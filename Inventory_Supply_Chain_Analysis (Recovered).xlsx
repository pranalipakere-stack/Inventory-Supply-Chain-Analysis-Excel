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anali\Documents\"/>
    </mc:Choice>
  </mc:AlternateContent>
  <xr:revisionPtr revIDLastSave="0" documentId="13_ncr:1_{927C3356-5F52-47DB-BF86-076CA5A1D995}" xr6:coauthVersionLast="47" xr6:coauthVersionMax="47" xr10:uidLastSave="{00000000-0000-0000-0000-000000000000}"/>
  <bookViews>
    <workbookView xWindow="-108" yWindow="-108" windowWidth="23256" windowHeight="12456" activeTab="1" xr2:uid="{3196F6F0-CF9E-4046-9C9D-1CF0A98917AE}"/>
  </bookViews>
  <sheets>
    <sheet name="Dashboard" sheetId="3" r:id="rId1"/>
    <sheet name="items_and_stock" sheetId="1" r:id="rId2"/>
    <sheet name="Stockout Status Distrirbution" sheetId="4" r:id="rId3"/>
    <sheet name="Revenue bu category" sheetId="5" r:id="rId4"/>
    <sheet name="Average Lead Time by Supplier" sheetId="6" r:id="rId5"/>
    <sheet name="Stock Value by Warehouse" sheetId="7" r:id="rId6"/>
    <sheet name="Lost Sales Units by Category" sheetId="9" r:id="rId7"/>
    <sheet name="Sheet3" sheetId="10" r:id="rId8"/>
  </sheet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4" i="3"/>
  <c r="F4" i="3"/>
  <c r="E4" i="3"/>
  <c r="D4" i="3"/>
  <c r="C4" i="3"/>
  <c r="B4" i="3"/>
  <c r="A4" i="3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<sst xmlns="http://schemas.openxmlformats.org/spreadsheetml/2006/main" count="25281" uniqueCount="380">
  <si>
    <t>Item code</t>
  </si>
  <si>
    <t>Description</t>
  </si>
  <si>
    <t>Category</t>
  </si>
  <si>
    <t>Supplier</t>
  </si>
  <si>
    <t>Warehouse</t>
  </si>
  <si>
    <t>Period</t>
  </si>
  <si>
    <t>Unit cost</t>
  </si>
  <si>
    <t>Landed cost (with freight)</t>
  </si>
  <si>
    <t>Average cost (stock value / qty)</t>
  </si>
  <si>
    <t>Selling price</t>
  </si>
  <si>
    <t>Lead time planned days</t>
  </si>
  <si>
    <t>Lead time actual days</t>
  </si>
  <si>
    <t>Qty received</t>
  </si>
  <si>
    <t>Qty on hand</t>
  </si>
  <si>
    <t>Stock value</t>
  </si>
  <si>
    <t>Qty allocated to orders</t>
  </si>
  <si>
    <t>Qty available</t>
  </si>
  <si>
    <t>Weeks of cover</t>
  </si>
  <si>
    <t>Days since last sale (month end)</t>
  </si>
  <si>
    <t>Units sold</t>
  </si>
  <si>
    <t>Revenue</t>
  </si>
  <si>
    <t>Lost sales units (stockout)</t>
  </si>
  <si>
    <t>Stocked out (Y/N)</t>
  </si>
  <si>
    <t>IT-10001</t>
  </si>
  <si>
    <t>Ball bearing 20-1</t>
  </si>
  <si>
    <t>Bearings</t>
  </si>
  <si>
    <t>Clearwater Supply</t>
  </si>
  <si>
    <t>Main warehouse</t>
  </si>
  <si>
    <t>2024-09</t>
  </si>
  <si>
    <t>N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</si>
  <si>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</si>
  <si>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</si>
  <si>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</si>
  <si>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</si>
  <si>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</si>
  <si>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</si>
  <si>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</si>
  <si>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</si>
  <si>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</si>
  <si>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</si>
  <si>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</si>
  <si>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</si>
  <si>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</si>
  <si>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</si>
  <si>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</si>
  <si>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</si>
  <si>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</si>
  <si>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</si>
  <si>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</si>
  <si>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</si>
  <si>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</si>
  <si>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</si>
  <si>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</si>
  <si>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IT-10002</t>
  </si>
  <si>
    <t>Ball bearing A-2</t>
  </si>
  <si>
    <t>IT-10003</t>
  </si>
  <si>
    <t>Pressure valve A-3</t>
  </si>
  <si>
    <t>Fluid power</t>
  </si>
  <si>
    <t>Summit Trading</t>
  </si>
  <si>
    <t>Y</t>
  </si>
  <si>
    <t>IT-10004</t>
  </si>
  <si>
    <t>Filter cartridge A-4</t>
  </si>
  <si>
    <t>IT-10005</t>
  </si>
  <si>
    <t>Hydraulic hose L-5</t>
  </si>
  <si>
    <t>IT-10006</t>
  </si>
  <si>
    <t>Hydraulic hose A-6</t>
  </si>
  <si>
    <t>North warehouse</t>
  </si>
  <si>
    <t>IT-10007</t>
  </si>
  <si>
    <t>Bolt assortment A-7</t>
  </si>
  <si>
    <t>Fasteners</t>
  </si>
  <si>
    <t>Eastbrook Co</t>
  </si>
  <si>
    <t>IT-10008</t>
  </si>
  <si>
    <t>Anchor bolt B-8</t>
  </si>
  <si>
    <t>IT-10009</t>
  </si>
  <si>
    <t>Pressure valve 20-9</t>
  </si>
  <si>
    <t>IT-10010</t>
  </si>
  <si>
    <t>Relay L-10</t>
  </si>
  <si>
    <t>Electrical</t>
  </si>
  <si>
    <t>Granite Partners</t>
  </si>
  <si>
    <t>IT-10011</t>
  </si>
  <si>
    <t>Hex nut pack A-11</t>
  </si>
  <si>
    <t>IT-10012</t>
  </si>
  <si>
    <t>Hex nut pack M-12</t>
  </si>
  <si>
    <t>IT-10013</t>
  </si>
  <si>
    <t>Control switch L-13</t>
  </si>
  <si>
    <t>IT-10014</t>
  </si>
  <si>
    <t>Ball bearing M-14</t>
  </si>
  <si>
    <t>IT-10015</t>
  </si>
  <si>
    <t>Control switch L-15</t>
  </si>
  <si>
    <t>IT-10016</t>
  </si>
  <si>
    <t>Drive belt M-16</t>
  </si>
  <si>
    <t>Power transmission</t>
  </si>
  <si>
    <t>Northfield Supply</t>
  </si>
  <si>
    <t>IT-10017</t>
  </si>
  <si>
    <t>Sensor unit 20-17</t>
  </si>
  <si>
    <t>IT-10018</t>
  </si>
  <si>
    <t>Anchor bolt S-18</t>
  </si>
  <si>
    <t>IT-10019</t>
  </si>
  <si>
    <t>Filter cartridge M-19</t>
  </si>
  <si>
    <t>IT-10020</t>
  </si>
  <si>
    <t>Filter cartridge 20-20</t>
  </si>
  <si>
    <t>IT-10021</t>
  </si>
  <si>
    <t>Filter cartridge L-21</t>
  </si>
  <si>
    <t>IT-10022</t>
  </si>
  <si>
    <t>Bolt assortment S-22</t>
  </si>
  <si>
    <t>IT-10023</t>
  </si>
  <si>
    <t>Sensor unit L-23</t>
  </si>
  <si>
    <t>IT-10024</t>
  </si>
  <si>
    <t>Control switch S-24</t>
  </si>
  <si>
    <t>IT-10025</t>
  </si>
  <si>
    <t>Coupling 10-25</t>
  </si>
  <si>
    <t>IT-10026</t>
  </si>
  <si>
    <t>Pressure valve 20-26</t>
  </si>
  <si>
    <t>IT-10027</t>
  </si>
  <si>
    <t>Pressure valve B-27</t>
  </si>
  <si>
    <t>IT-10028</t>
  </si>
  <si>
    <t>Hex nut pack L-28</t>
  </si>
  <si>
    <t>IT-10029</t>
  </si>
  <si>
    <t>Pressure valve A-29</t>
  </si>
  <si>
    <t>IT-10030</t>
  </si>
  <si>
    <t>Ball bearing L-30</t>
  </si>
  <si>
    <t>IT-10031</t>
  </si>
  <si>
    <t>Anchor bolt M-31</t>
  </si>
  <si>
    <t>IT-10032</t>
  </si>
  <si>
    <t>Pressure valve 10-32</t>
  </si>
  <si>
    <t>IT-10033</t>
  </si>
  <si>
    <t>Hex nut pack S-33</t>
  </si>
  <si>
    <t>IT-10034</t>
  </si>
  <si>
    <t>Hex nut pack S-34</t>
  </si>
  <si>
    <t>IT-10035</t>
  </si>
  <si>
    <t>Relay M-35</t>
  </si>
  <si>
    <t>IT-10036</t>
  </si>
  <si>
    <t>Hydraulic hose M-36</t>
  </si>
  <si>
    <t>IT-10037</t>
  </si>
  <si>
    <t>Hydraulic hose 10-37</t>
  </si>
  <si>
    <t>IT-10038</t>
  </si>
  <si>
    <t>Pillow block M-38</t>
  </si>
  <si>
    <t>IT-10039</t>
  </si>
  <si>
    <t>Pillow block 20-39</t>
  </si>
  <si>
    <t>IT-10040</t>
  </si>
  <si>
    <t>Ball bearing A-40</t>
  </si>
  <si>
    <t>IT-10041</t>
  </si>
  <si>
    <t>Sensor unit A-41</t>
  </si>
  <si>
    <t>IT-10042</t>
  </si>
  <si>
    <t>Roller bearing L-42</t>
  </si>
  <si>
    <t>IT-10043</t>
  </si>
  <si>
    <t>Control switch S-43</t>
  </si>
  <si>
    <t>IT-10044</t>
  </si>
  <si>
    <t>Gear set L-44</t>
  </si>
  <si>
    <t>IT-10045</t>
  </si>
  <si>
    <t>Anchor bolt 10-45</t>
  </si>
  <si>
    <t>IT-10046</t>
  </si>
  <si>
    <t>Pillow block A-46</t>
  </si>
  <si>
    <t>IT-10047</t>
  </si>
  <si>
    <t>Sprocket B-47</t>
  </si>
  <si>
    <t>IT-10048</t>
  </si>
  <si>
    <t>Gear set 20-48</t>
  </si>
  <si>
    <t>IT-10049</t>
  </si>
  <si>
    <t>Relay L-49</t>
  </si>
  <si>
    <t>IT-10050</t>
  </si>
  <si>
    <t>Relay S-50</t>
  </si>
  <si>
    <t>IT-10051</t>
  </si>
  <si>
    <t>Ball bearing 10-51</t>
  </si>
  <si>
    <t>IT-10052</t>
  </si>
  <si>
    <t>Gear set A-52</t>
  </si>
  <si>
    <t>IT-10053</t>
  </si>
  <si>
    <t>Relay B-53</t>
  </si>
  <si>
    <t>IT-10054</t>
  </si>
  <si>
    <t>Hydraulic hose 20-54</t>
  </si>
  <si>
    <t>IT-10055</t>
  </si>
  <si>
    <t>Control switch L-55</t>
  </si>
  <si>
    <t>IT-10056</t>
  </si>
  <si>
    <t>Sensor unit 10-56</t>
  </si>
  <si>
    <t>IT-10057</t>
  </si>
  <si>
    <t>Drive belt 20-57</t>
  </si>
  <si>
    <t>IT-10058</t>
  </si>
  <si>
    <t>Hex nut pack A-58</t>
  </si>
  <si>
    <t>IT-10059</t>
  </si>
  <si>
    <t>Hydraulic hose 10-59</t>
  </si>
  <si>
    <t>IT-10060</t>
  </si>
  <si>
    <t>Control switch 10-60</t>
  </si>
  <si>
    <t>IT-10061</t>
  </si>
  <si>
    <t>Pressure valve 20-61</t>
  </si>
  <si>
    <t>IT-10062</t>
  </si>
  <si>
    <t>Relay B-62</t>
  </si>
  <si>
    <t>IT-10063</t>
  </si>
  <si>
    <t>Anchor bolt B-63</t>
  </si>
  <si>
    <t>IT-10064</t>
  </si>
  <si>
    <t>Pillow block S-64</t>
  </si>
  <si>
    <t>IT-10065</t>
  </si>
  <si>
    <t>Gear set B-65</t>
  </si>
  <si>
    <t>IT-10066</t>
  </si>
  <si>
    <t>Filter cartridge A-66</t>
  </si>
  <si>
    <t>IT-10067</t>
  </si>
  <si>
    <t>Relay M-67</t>
  </si>
  <si>
    <t>IT-10068</t>
  </si>
  <si>
    <t>Hydraulic hose M-68</t>
  </si>
  <si>
    <t>IT-10069</t>
  </si>
  <si>
    <t>Roller bearing M-69</t>
  </si>
  <si>
    <t>IT-10070</t>
  </si>
  <si>
    <t>Pressure valve A-70</t>
  </si>
  <si>
    <t>IT-10071</t>
  </si>
  <si>
    <t>Hydraulic hose A-71</t>
  </si>
  <si>
    <t>IT-10072</t>
  </si>
  <si>
    <t>Pillow block S-72</t>
  </si>
  <si>
    <t>IT-10073</t>
  </si>
  <si>
    <t>Bolt assortment L-73</t>
  </si>
  <si>
    <t>IT-10074</t>
  </si>
  <si>
    <t>Pillow block 20-74</t>
  </si>
  <si>
    <t>IT-10075</t>
  </si>
  <si>
    <t>Roller bearing 20-75</t>
  </si>
  <si>
    <t>IT-10076</t>
  </si>
  <si>
    <t>Gear set 20-76</t>
  </si>
  <si>
    <t>IT-10077</t>
  </si>
  <si>
    <t>Coupling M-77</t>
  </si>
  <si>
    <t>IT-10078</t>
  </si>
  <si>
    <t>Roller bearing M-78</t>
  </si>
  <si>
    <t>IT-10079</t>
  </si>
  <si>
    <t>Filter cartridge 10-79</t>
  </si>
  <si>
    <t>IT-10080</t>
  </si>
  <si>
    <t>Anchor bolt A-80</t>
  </si>
  <si>
    <t>IT-10081</t>
  </si>
  <si>
    <t>Relay 10-81</t>
  </si>
  <si>
    <t>IT-10082</t>
  </si>
  <si>
    <t>Roller bearing S-82</t>
  </si>
  <si>
    <t>IT-10083</t>
  </si>
  <si>
    <t>Bolt assortment 10-83</t>
  </si>
  <si>
    <t>IT-10084</t>
  </si>
  <si>
    <t>Roller bearing L-84</t>
  </si>
  <si>
    <t>IT-10085</t>
  </si>
  <si>
    <t>Roller bearing A-85</t>
  </si>
  <si>
    <t>IT-10086</t>
  </si>
  <si>
    <t>Roller bearing 20-86</t>
  </si>
  <si>
    <t>IT-10087</t>
  </si>
  <si>
    <t>Sprocket 20-87</t>
  </si>
  <si>
    <t>IT-10088</t>
  </si>
  <si>
    <t>Relay 20-88</t>
  </si>
  <si>
    <t>IT-10089</t>
  </si>
  <si>
    <t>Sensor unit M-89</t>
  </si>
  <si>
    <t>IT-10090</t>
  </si>
  <si>
    <t>Relay 20-90</t>
  </si>
  <si>
    <t>IT-10091</t>
  </si>
  <si>
    <t>Sprocket M-91</t>
  </si>
  <si>
    <t>IT-10092</t>
  </si>
  <si>
    <t>Hydraulic hose B-92</t>
  </si>
  <si>
    <t>IT-10093</t>
  </si>
  <si>
    <t>Anchor bolt 10-93</t>
  </si>
  <si>
    <t>IT-10094</t>
  </si>
  <si>
    <t>Drive belt 20-94</t>
  </si>
  <si>
    <t>IT-10095</t>
  </si>
  <si>
    <t>Sprocket 10-95</t>
  </si>
  <si>
    <t>IT-10096</t>
  </si>
  <si>
    <t>Anchor bolt B-96</t>
  </si>
  <si>
    <t>IT-10097</t>
  </si>
  <si>
    <t>Roller bearing M-97</t>
  </si>
  <si>
    <t>IT-10098</t>
  </si>
  <si>
    <t>Control switch 10-98</t>
  </si>
  <si>
    <t>IT-10099</t>
  </si>
  <si>
    <t>Sensor unit B-99</t>
  </si>
  <si>
    <t>IT-10100</t>
  </si>
  <si>
    <t>Gear set A-100</t>
  </si>
  <si>
    <t>IT-10101</t>
  </si>
  <si>
    <t>Drive belt L-101</t>
  </si>
  <si>
    <t>IT-10102</t>
  </si>
  <si>
    <t>Relay L-102</t>
  </si>
  <si>
    <t>IT-10103</t>
  </si>
  <si>
    <t>Anchor bolt S-103</t>
  </si>
  <si>
    <t>IT-10104</t>
  </si>
  <si>
    <t>Hex nut pack S-104</t>
  </si>
  <si>
    <t>IT-10105</t>
  </si>
  <si>
    <t>Filter cartridge 20-105</t>
  </si>
  <si>
    <t>IT-10106</t>
  </si>
  <si>
    <t>Control switch 20-106</t>
  </si>
  <si>
    <t>IT-10107</t>
  </si>
  <si>
    <t>Pressure valve L-107</t>
  </si>
  <si>
    <t>IT-10108</t>
  </si>
  <si>
    <t>Drive belt 20-108</t>
  </si>
  <si>
    <t>IT-10109</t>
  </si>
  <si>
    <t>Bolt assortment A-109</t>
  </si>
  <si>
    <t>IT-10110</t>
  </si>
  <si>
    <t>Sensor unit A-110</t>
  </si>
  <si>
    <t>IT-10111</t>
  </si>
  <si>
    <t>Gear set M-111</t>
  </si>
  <si>
    <t>IT-10112</t>
  </si>
  <si>
    <t>Gear set B-112</t>
  </si>
  <si>
    <t>IT-10113</t>
  </si>
  <si>
    <t>Ball bearing 20-113</t>
  </si>
  <si>
    <t>IT-10114</t>
  </si>
  <si>
    <t>Pressure valve A-114</t>
  </si>
  <si>
    <t>IT-10115</t>
  </si>
  <si>
    <t>Pillow block A-115</t>
  </si>
  <si>
    <t>IT-10116</t>
  </si>
  <si>
    <t>Sensor unit L-116</t>
  </si>
  <si>
    <t>IT-10117</t>
  </si>
  <si>
    <t>Hydraulic hose 20-117</t>
  </si>
  <si>
    <t>IT-10118</t>
  </si>
  <si>
    <t>Sensor unit M-118</t>
  </si>
  <si>
    <t>IT-10119</t>
  </si>
  <si>
    <t>Pillow block L-119</t>
  </si>
  <si>
    <t>IT-10120</t>
  </si>
  <si>
    <t>Control switch B-120</t>
  </si>
  <si>
    <t>IT-10121</t>
  </si>
  <si>
    <t>Bolt assortment 10-121</t>
  </si>
  <si>
    <t>IT-10122</t>
  </si>
  <si>
    <t>Roller bearing L-122</t>
  </si>
  <si>
    <t>IT-10123</t>
  </si>
  <si>
    <t>Sensor unit B-123</t>
  </si>
  <si>
    <t>IT-10124</t>
  </si>
  <si>
    <t>Pillow block A-124</t>
  </si>
  <si>
    <t>IT-10125</t>
  </si>
  <si>
    <t>Roller bearing B-125</t>
  </si>
  <si>
    <t>IT-10126</t>
  </si>
  <si>
    <t>Anchor bolt A-126</t>
  </si>
  <si>
    <t>IT-10127</t>
  </si>
  <si>
    <t>Filter cartridge 10-127</t>
  </si>
  <si>
    <t>IT-10128</t>
  </si>
  <si>
    <t>Filter cartridge 10-128</t>
  </si>
  <si>
    <t>IT-10129</t>
  </si>
  <si>
    <t>Hydraulic hose S-129</t>
  </si>
  <si>
    <t>IT-10130</t>
  </si>
  <si>
    <t>Pillow block S-130</t>
  </si>
  <si>
    <t>IT-10131</t>
  </si>
  <si>
    <t>Relay 20-131</t>
  </si>
  <si>
    <t>IT-10132</t>
  </si>
  <si>
    <t>Pressure valve 10-132</t>
  </si>
  <si>
    <t>IT-10133</t>
  </si>
  <si>
    <t>Filter cartridge M-133</t>
  </si>
  <si>
    <t>IT-10134</t>
  </si>
  <si>
    <t>Bolt assortment M-134</t>
  </si>
  <si>
    <t>IT-10135</t>
  </si>
  <si>
    <t>Bolt assortment M-135</t>
  </si>
  <si>
    <t>IT-10136</t>
  </si>
  <si>
    <t>Coupling S-136</t>
  </si>
  <si>
    <t>IT-10137</t>
  </si>
  <si>
    <t>Hex nut pack 20-137</t>
  </si>
  <si>
    <t>IT-10138</t>
  </si>
  <si>
    <t>Ball bearing 10-138</t>
  </si>
  <si>
    <t>IT-10139</t>
  </si>
  <si>
    <t>Control switch L-139</t>
  </si>
  <si>
    <t>IT-10140</t>
  </si>
  <si>
    <t>Gear set 10-140</t>
  </si>
  <si>
    <t>IT-10141</t>
  </si>
  <si>
    <t>Sprocket L-141</t>
  </si>
  <si>
    <t>IT-10142</t>
  </si>
  <si>
    <t>Roller bearing A-142</t>
  </si>
  <si>
    <t>IT-10143</t>
  </si>
  <si>
    <t>Gear set A-143</t>
  </si>
  <si>
    <t>IT-10144</t>
  </si>
  <si>
    <t>Hydraulic hose L-144</t>
  </si>
  <si>
    <t>IT-10145</t>
  </si>
  <si>
    <t>Relay A-145</t>
  </si>
  <si>
    <t>IT-10146</t>
  </si>
  <si>
    <t>Anchor bolt 20-146</t>
  </si>
  <si>
    <t>IT-10147</t>
  </si>
  <si>
    <t>Control switch A-147</t>
  </si>
  <si>
    <t>IT-10148</t>
  </si>
  <si>
    <t>Pillow block A-148</t>
  </si>
  <si>
    <t>IT-10149</t>
  </si>
  <si>
    <t>Sensor unit 20-149</t>
  </si>
  <si>
    <t>IT-10150</t>
  </si>
  <si>
    <t>Drive belt 20-150</t>
  </si>
  <si>
    <t>Availability Check</t>
  </si>
  <si>
    <t>Stockout Status</t>
  </si>
  <si>
    <t>Number of Records</t>
  </si>
  <si>
    <t>INVENTORY &amp; SUPPLY CHAIN ANALYSIS</t>
  </si>
  <si>
    <t>TOTAL INVENTORY VALUE</t>
  </si>
  <si>
    <t>TOTAL STOCK QUANTITY</t>
  </si>
  <si>
    <t>TOTAL REVENUE</t>
  </si>
  <si>
    <t>STOCKOUT RECORDS</t>
  </si>
  <si>
    <t>LOST SALES UNITS</t>
  </si>
  <si>
    <t>AVERAGE LEAD TIME (DAYS)</t>
  </si>
  <si>
    <t>Row Labels</t>
  </si>
  <si>
    <t>Grand Total</t>
  </si>
  <si>
    <t>Count of Stocked out (Y/N)</t>
  </si>
  <si>
    <t>Sum of Revenue</t>
  </si>
  <si>
    <t>Average of Lead time actual days</t>
  </si>
  <si>
    <t>Sum of Stock value</t>
  </si>
  <si>
    <t>Sum of Lost sales units (stockout)</t>
  </si>
  <si>
    <t>Sum of Qty on hand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</si>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</sst>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49372E"/>
      <name val="Aptos Narrow"/>
      <family val="2"/>
      <scheme val="minor"/>
    </font>
    <font>
      <b/>
      <sz val="11"/>
      <color rgb="FF49372E"/>
      <name val="Aptos Narrow"/>
      <family val="2"/>
      <scheme val="minor"/>
    </font>
    <font>
      <b/>
      <sz val="18"/>
      <color rgb="FF49372E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9372E"/>
        <bgColor indexed="64"/>
      </patternFill>
    </fill>
    <fill>
      <patternFill patternType="solid">
        <fgColor rgb="FFE8DFD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6B98C"/>
      </left>
      <right style="thin">
        <color rgb="FFD6B98C"/>
      </right>
      <top style="thin">
        <color rgb="FFD6B98C"/>
      </top>
      <bottom style="thin">
        <color rgb="FFD6B98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9" fillId="34" borderId="10" xfId="0" applyFont="1" applyFill="1" applyBorder="1"/>
    <xf numFmtId="0" fontId="20" fillId="34" borderId="10" xfId="0" applyFont="1" applyFill="1" applyBorder="1"/>
    <xf numFmtId="0" fontId="20" fillId="34" borderId="10" xfId="0" applyFont="1" applyFill="1" applyBorder="1" applyAlignment="1">
      <alignment horizontal="center"/>
    </xf>
    <xf numFmtId="2" fontId="21" fillId="34" borderId="10" xfId="0" applyNumberFormat="1" applyFont="1" applyFill="1" applyBorder="1"/>
    <xf numFmtId="0" fontId="21" fillId="34" borderId="10" xfId="0" applyFont="1" applyFill="1" applyBorder="1"/>
    <xf numFmtId="0" fontId="20" fillId="34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33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colors>
    <mruColors>
      <color rgb="FF49372E"/>
      <color rgb="FFB96A50"/>
      <color rgb="FFF5F0E8"/>
      <color rgb="FFE8DFD3"/>
      <color rgb="FFD6B9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(Recovered).xlsx]Stockout Status Distrirbution!PivotTable1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49372E"/>
                </a:solidFill>
              </a:rPr>
              <a:t>Stockout Status Distribution</a:t>
            </a:r>
            <a:endParaRPr lang="en-IN">
              <a:solidFill>
                <a:srgbClr val="49372E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9372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B96A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9372E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B96A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9372E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B96A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'Stockout Status Distrirbution'!$B$3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93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D-4DB3-87A7-B8FE028A123D}"/>
              </c:ext>
            </c:extLst>
          </c:dPt>
          <c:dPt>
            <c:idx val="1"/>
            <c:bubble3D val="0"/>
            <c:spPr>
              <a:solidFill>
                <a:srgbClr val="B96A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D-4DB3-87A7-B8FE028A123D}"/>
              </c:ext>
            </c:extLst>
          </c:dPt>
          <c:cat>
            <c:strRef>
              <c:f>'Stockout Status Distrirbution'!$A$4:$A$6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'Stockout Status Distrirbution'!$B$4:$B$6</c:f>
              <c:numCache>
                <c:formatCode>General</c:formatCode>
                <c:ptCount val="2"/>
                <c:pt idx="0">
                  <c:v>3486</c:v>
                </c:pt>
                <c:pt idx="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1D-4DB3-87A7-B8FE028A1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DFD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(Recovered).xlsx]Revenue bu 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49372E"/>
                </a:solidFill>
              </a:rPr>
              <a:t>Revenue by Category</a:t>
            </a:r>
            <a:endParaRPr lang="en-IN">
              <a:solidFill>
                <a:srgbClr val="49372E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bu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372E"/>
            </a:solidFill>
            <a:ln>
              <a:noFill/>
            </a:ln>
            <a:effectLst/>
          </c:spPr>
          <c:invertIfNegative val="0"/>
          <c:cat>
            <c:strRef>
              <c:f>'Revenue bu category'!$A$4:$A$9</c:f>
              <c:strCache>
                <c:ptCount val="5"/>
                <c:pt idx="0">
                  <c:v>Bearings</c:v>
                </c:pt>
                <c:pt idx="1">
                  <c:v>Electrical</c:v>
                </c:pt>
                <c:pt idx="2">
                  <c:v>Fasteners</c:v>
                </c:pt>
                <c:pt idx="3">
                  <c:v>Fluid power</c:v>
                </c:pt>
                <c:pt idx="4">
                  <c:v>Power transmission</c:v>
                </c:pt>
              </c:strCache>
            </c:strRef>
          </c:cat>
          <c:val>
            <c:numRef>
              <c:f>'Revenue bu category'!$B$4:$B$9</c:f>
              <c:numCache>
                <c:formatCode>0.00</c:formatCode>
                <c:ptCount val="5"/>
                <c:pt idx="0">
                  <c:v>5253716.7200000025</c:v>
                </c:pt>
                <c:pt idx="1">
                  <c:v>4601753.6000000006</c:v>
                </c:pt>
                <c:pt idx="2">
                  <c:v>4548349.09</c:v>
                </c:pt>
                <c:pt idx="3">
                  <c:v>6138005.5599999912</c:v>
                </c:pt>
                <c:pt idx="4">
                  <c:v>3224943.44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8-40B5-A632-50D82348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266815"/>
        <c:axId val="127736463"/>
      </c:barChart>
      <c:catAx>
        <c:axId val="31126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36463"/>
        <c:crosses val="autoZero"/>
        <c:auto val="1"/>
        <c:lblAlgn val="ctr"/>
        <c:lblOffset val="100"/>
        <c:noMultiLvlLbl val="0"/>
      </c:catAx>
      <c:valAx>
        <c:axId val="1277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6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DFD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(Recovered).xlsx]Average Lead Time by Supplier!PivotTable3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49372E"/>
                </a:solidFill>
              </a:rPr>
              <a:t>Average Lead Time by Supplier</a:t>
            </a:r>
            <a:endParaRPr lang="en-IN">
              <a:solidFill>
                <a:srgbClr val="49372E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Lead Time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372E"/>
            </a:solidFill>
            <a:ln>
              <a:noFill/>
            </a:ln>
            <a:effectLst/>
          </c:spPr>
          <c:invertIfNegative val="0"/>
          <c:cat>
            <c:strRef>
              <c:f>'Average Lead Time by Supplier'!$A$4:$A$9</c:f>
              <c:strCache>
                <c:ptCount val="5"/>
                <c:pt idx="0">
                  <c:v>Clearwater Supply</c:v>
                </c:pt>
                <c:pt idx="1">
                  <c:v>Eastbrook Co</c:v>
                </c:pt>
                <c:pt idx="2">
                  <c:v>Granite Partners</c:v>
                </c:pt>
                <c:pt idx="3">
                  <c:v>Northfield Supply</c:v>
                </c:pt>
                <c:pt idx="4">
                  <c:v>Summit Trading</c:v>
                </c:pt>
              </c:strCache>
            </c:strRef>
          </c:cat>
          <c:val>
            <c:numRef>
              <c:f>'Average Lead Time by Supplier'!$B$4:$B$9</c:f>
              <c:numCache>
                <c:formatCode>General</c:formatCode>
                <c:ptCount val="5"/>
                <c:pt idx="0">
                  <c:v>37.140529531568227</c:v>
                </c:pt>
                <c:pt idx="1">
                  <c:v>40.770270270270274</c:v>
                </c:pt>
                <c:pt idx="2">
                  <c:v>38.564236111111114</c:v>
                </c:pt>
                <c:pt idx="3">
                  <c:v>33.553921568627452</c:v>
                </c:pt>
                <c:pt idx="4">
                  <c:v>35.343173431734314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D-4EF7-963C-0F194FA2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9702191"/>
        <c:axId val="127801263"/>
      </c:barChart>
      <c:catAx>
        <c:axId val="25970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01263"/>
        <c:crosses val="autoZero"/>
        <c:auto val="1"/>
        <c:lblAlgn val="ctr"/>
        <c:lblOffset val="100"/>
        <c:noMultiLvlLbl val="0"/>
      </c:catAx>
      <c:valAx>
        <c:axId val="12780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DFD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(Recovered).xlsx]Stock Value by Warehouse!PivotTable4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49372E"/>
                </a:solidFill>
              </a:rPr>
              <a:t>Stock Value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49372E"/>
            </a:solidFill>
            <a:round/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49372E"/>
            </a:solidFill>
            <a:round/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noFill/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49372E"/>
            </a:solidFill>
            <a:round/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49372E"/>
            </a:solidFill>
            <a:round/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solidFill>
                <a:srgbClr val="49372E"/>
              </a:solidFill>
            </a:ln>
            <a:effectLst/>
          </c:spPr>
        </c:marker>
      </c:pivotFmt>
      <c:pivotFmt>
        <c:idx val="4"/>
        <c:spPr>
          <a:solidFill>
            <a:srgbClr val="49372E"/>
          </a:solidFill>
          <a:ln>
            <a:solidFill>
              <a:srgbClr val="49372E"/>
            </a:solidFill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9372E"/>
          </a:solidFill>
          <a:ln>
            <a:solidFill>
              <a:srgbClr val="49372E"/>
            </a:solidFill>
          </a:ln>
          <a:effectLst/>
        </c:spPr>
        <c:marker>
          <c:symbol val="circle"/>
          <c:size val="5"/>
          <c:spPr>
            <a:solidFill>
              <a:srgbClr val="49372E"/>
            </a:solidFill>
            <a:ln w="9525">
              <a:solidFill>
                <a:srgbClr val="49372E"/>
              </a:solidFill>
            </a:ln>
            <a:effectLst/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'Stock Value by Warehouse'!$B$3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372E"/>
            </a:solidFill>
            <a:ln>
              <a:solidFill>
                <a:srgbClr val="49372E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9372E"/>
              </a:solidFill>
              <a:ln>
                <a:solidFill>
                  <a:srgbClr val="49372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5EFD-463A-8CBA-E665ECA6C673}"/>
              </c:ext>
            </c:extLst>
          </c:dPt>
          <c:cat>
            <c:strRef>
              <c:f>'Stock Value by Warehouse'!$A$4:$A$6</c:f>
              <c:strCache>
                <c:ptCount val="2"/>
                <c:pt idx="0">
                  <c:v>Main warehouse</c:v>
                </c:pt>
                <c:pt idx="1">
                  <c:v>North warehouse</c:v>
                </c:pt>
              </c:strCache>
            </c:strRef>
          </c:cat>
          <c:val>
            <c:numRef>
              <c:f>'Stock Value by Warehouse'!$B$4:$B$6</c:f>
              <c:numCache>
                <c:formatCode>General</c:formatCode>
                <c:ptCount val="2"/>
                <c:pt idx="0">
                  <c:v>14262357.369999994</c:v>
                </c:pt>
                <c:pt idx="1">
                  <c:v>23847966.089999966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D-463A-8CBA-E665ECA6C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736975"/>
        <c:axId val="274563983"/>
      </c:barChart>
      <c:catAx>
        <c:axId val="29973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63983"/>
        <c:crosses val="autoZero"/>
        <c:auto val="1"/>
        <c:lblAlgn val="ctr"/>
        <c:lblOffset val="100"/>
        <c:noMultiLvlLbl val="0"/>
      </c:catAx>
      <c:valAx>
        <c:axId val="27456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3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DFD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(Recovered).xlsx]Lost Sales Units by Category!PivotTable1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49372E"/>
                </a:solidFill>
              </a:rPr>
              <a:t>Lost Sales Units by Category</a:t>
            </a:r>
            <a:endParaRPr lang="en-IN">
              <a:solidFill>
                <a:srgbClr val="49372E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'Lost Sales Units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372E"/>
            </a:solidFill>
            <a:ln>
              <a:noFill/>
            </a:ln>
            <a:effectLst/>
          </c:spPr>
          <c:cat>
            <c:strRef>
              <c:f>'Lost Sales Units by Category'!$A$4:$A$9</c:f>
              <c:strCache>
                <c:ptCount val="5"/>
                <c:pt idx="0">
                  <c:v>Bearings</c:v>
                </c:pt>
                <c:pt idx="1">
                  <c:v>Electrical</c:v>
                </c:pt>
                <c:pt idx="2">
                  <c:v>Fasteners</c:v>
                </c:pt>
                <c:pt idx="3">
                  <c:v>Fluid power</c:v>
                </c:pt>
                <c:pt idx="4">
                  <c:v>Power transmission</c:v>
                </c:pt>
              </c:strCache>
            </c:strRef>
          </c:cat>
          <c:val>
            <c:numRef>
              <c:f>'Lost Sales Units by Category'!$B$4:$B$9</c:f>
              <c:numCache>
                <c:formatCode>General</c:formatCode>
                <c:ptCount val="5"/>
                <c:pt idx="0">
                  <c:v>3501</c:v>
                </c:pt>
                <c:pt idx="1">
                  <c:v>3335</c:v>
                </c:pt>
                <c:pt idx="2">
                  <c:v>4939</c:v>
                </c:pt>
                <c:pt idx="3">
                  <c:v>2901</c:v>
                </c:pt>
                <c:pt idx="4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F-4C7A-A75A-17C7DA6B2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835376"/>
        <c:axId val="1422317328"/>
      </c:areaChart>
      <c:catAx>
        <c:axId val="206883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17328"/>
        <c:crosses val="autoZero"/>
        <c:auto val="1"/>
        <c:lblAlgn val="ctr"/>
        <c:lblOffset val="100"/>
        <c:noMultiLvlLbl val="0"/>
      </c:catAx>
      <c:valAx>
        <c:axId val="14223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3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0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[Inventory_Supply_Chain_Analysis (Recovered).xlsx]Sheet3!PivotTable2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49372E"/>
                </a:solidFill>
              </a:rPr>
              <a:t>Stock Quantity by Category and Warehouse</a:t>
            </a:r>
            <a:endParaRPr lang="en-IN">
              <a:solidFill>
                <a:srgbClr val="49372E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96A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96A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93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96A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Main warehouse</c:v>
                </c:pt>
              </c:strCache>
            </c:strRef>
          </c:tx>
          <c:spPr>
            <a:solidFill>
              <a:srgbClr val="49372E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Bearings</c:v>
                </c:pt>
                <c:pt idx="1">
                  <c:v>Electrical</c:v>
                </c:pt>
                <c:pt idx="2">
                  <c:v>Fasteners</c:v>
                </c:pt>
                <c:pt idx="3">
                  <c:v>Fluid power</c:v>
                </c:pt>
                <c:pt idx="4">
                  <c:v>Power transmission</c:v>
                </c:pt>
              </c:strCache>
            </c:strRef>
          </c:cat>
          <c:val>
            <c:numRef>
              <c:f>Sheet3!$B$5:$B$10</c:f>
              <c:numCache>
                <c:formatCode>0.00</c:formatCode>
                <c:ptCount val="5"/>
                <c:pt idx="0">
                  <c:v>178259</c:v>
                </c:pt>
                <c:pt idx="1">
                  <c:v>190306</c:v>
                </c:pt>
                <c:pt idx="2">
                  <c:v>88765</c:v>
                </c:pt>
                <c:pt idx="3">
                  <c:v>147809</c:v>
                </c:pt>
                <c:pt idx="4">
                  <c:v>43945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8-43AA-9E50-DCE60CCC98A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 warehouse</c:v>
                </c:pt>
              </c:strCache>
            </c:strRef>
          </c:tx>
          <c:spPr>
            <a:solidFill>
              <a:srgbClr val="B96A50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Bearings</c:v>
                </c:pt>
                <c:pt idx="1">
                  <c:v>Electrical</c:v>
                </c:pt>
                <c:pt idx="2">
                  <c:v>Fasteners</c:v>
                </c:pt>
                <c:pt idx="3">
                  <c:v>Fluid power</c:v>
                </c:pt>
                <c:pt idx="4">
                  <c:v>Power transmission</c:v>
                </c:pt>
              </c:strCache>
            </c:strRef>
          </c:cat>
          <c:val>
            <c:numRef>
              <c:f>Sheet3!$C$5:$C$10</c:f>
              <c:numCache>
                <c:formatCode>0.00</c:formatCode>
                <c:ptCount val="5"/>
                <c:pt idx="0">
                  <c:v>197933</c:v>
                </c:pt>
                <c:pt idx="1">
                  <c:v>327267</c:v>
                </c:pt>
                <c:pt idx="2">
                  <c:v>252765</c:v>
                </c:pt>
                <c:pt idx="3">
                  <c:v>187281</c:v>
                </c:pt>
                <c:pt idx="4">
                  <c:v>218503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8-43AA-9E50-DCE60CCC9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44752"/>
        <c:axId val="1422433968"/>
      </c:barChart>
      <c:catAx>
        <c:axId val="687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33968"/>
        <c:crosses val="autoZero"/>
        <c:auto val="1"/>
        <c:lblAlgn val="ctr"/>
        <c:lblOffset val="100"/>
        <c:noMultiLvlLbl val="0"/>
      </c:catAx>
      <c:valAx>
        <c:axId val="14224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9372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9372E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0E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2</xdr:col>
      <xdr:colOff>468180</xdr:colOff>
      <xdr:row>17</xdr:row>
      <xdr:rowOff>148320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13418-F2D3-4F53-898C-F42A5A3DB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655320</xdr:colOff>
      <xdr:row>6</xdr:row>
      <xdr:rowOff>0</xdr:rowOff>
    </xdr:from>
    <xdr:to>
      <xdr:col>5</xdr:col>
      <xdr:colOff>247200</xdr:colOff>
      <xdr:row>17</xdr:row>
      <xdr:rowOff>148320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8CE80F-0D98-4232-A446-D7CF86705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403860</xdr:colOff>
      <xdr:row>6</xdr:row>
      <xdr:rowOff>0</xdr:rowOff>
    </xdr:from>
    <xdr:to>
      <xdr:col>8</xdr:col>
      <xdr:colOff>582480</xdr:colOff>
      <xdr:row>17</xdr:row>
      <xdr:rowOff>148320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39D3E1-0847-4D82-BA10-0C44DE41D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2</xdr:col>
      <xdr:colOff>468180</xdr:colOff>
      <xdr:row>30</xdr:row>
      <xdr:rowOff>148320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FB09E8-ABE4-4CD6-B6E1-140124D0B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647700</xdr:colOff>
      <xdr:row>19</xdr:row>
      <xdr:rowOff>7620</xdr:rowOff>
    </xdr:from>
    <xdr:to>
      <xdr:col>5</xdr:col>
      <xdr:colOff>239580</xdr:colOff>
      <xdr:row>30</xdr:row>
      <xdr:rowOff>155940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C40354-63B5-4C9C-BBDC-78963887C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388620</xdr:colOff>
      <xdr:row>19</xdr:row>
      <xdr:rowOff>0</xdr:rowOff>
    </xdr:from>
    <xdr:to>
      <xdr:col>8</xdr:col>
      <xdr:colOff>567240</xdr:colOff>
      <xdr:row>30</xdr:row>
      <xdr:rowOff>148320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6A7443-555C-4B56-B254-A61F21F6C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li" refreshedDate="46323.51356446759" createdVersion="8" refreshedVersion="8" minRefreshableVersion="3" recordCount="3600" xr:uid="{488257AD-B892-4C4B-A192-151A6C92B49F}">
  <cacheSource type="worksheet">
    <worksheetSource name="Table2"/>
  </cacheSource>
  <cacheFields count="24">
    <cacheField name="Item code" numFmtId="0">
      <sharedItems/>
    </cacheField>
    <cacheField name="Description" numFmtId="0">
      <sharedItems/>
    </cacheField>
    <cacheField name="Category" numFmtId="0">
      <sharedItems count="5">
        <s v="Bearings"/>
        <s v="Fluid power"/>
        <s v="Fasteners"/>
        <s v="Electrical"/>
        <s v="Power transmission"/>
      </sharedItems>
    </cacheField>
    <cacheField name="Supplier" numFmtId="0">
      <sharedItems count="5">
        <s v="Clearwater Supply"/>
        <s v="Summit Trading"/>
        <s v="Eastbrook Co"/>
        <s v="Granite Partners"/>
        <s v="Northfield Supply"/>
      </sharedItems>
    </cacheField>
    <cacheField name="Warehouse" numFmtId="0">
      <sharedItems count="2">
        <s v="Main warehouse"/>
        <s v="North warehouse"/>
      </sharedItems>
    </cacheField>
    <cacheField name="Period" numFmtId="14">
      <sharedItems/>
    </cacheField>
    <cacheField name="Unit cost" numFmtId="2">
      <sharedItems containsSemiMixedTypes="0" containsString="0" containsNumber="1" minValue="1.01" maxValue="680.84"/>
    </cacheField>
    <cacheField name="Landed cost (with freight)" numFmtId="0">
      <sharedItems containsSemiMixedTypes="0" containsString="0" containsNumber="1" minValue="1.01" maxValue="680.84"/>
    </cacheField>
    <cacheField name="Average cost (stock value / qty)" numFmtId="0">
      <sharedItems containsSemiMixedTypes="0" containsString="0" containsNumber="1" minValue="1.016284" maxValue="677.99865899999998"/>
    </cacheField>
    <cacheField name="Selling price" numFmtId="0">
      <sharedItems containsSemiMixedTypes="0" containsString="0" containsNumber="1" minValue="1.39" maxValue="979.06"/>
    </cacheField>
    <cacheField name="Lead time planned days" numFmtId="0">
      <sharedItems containsSemiMixedTypes="0" containsString="0" containsNumber="1" containsInteger="1" minValue="14" maxValue="60"/>
    </cacheField>
    <cacheField name="Lead time actual days" numFmtId="2">
      <sharedItems containsString="0" containsBlank="1" containsNumber="1" containsInteger="1" minValue="12" maxValue="106"/>
    </cacheField>
    <cacheField name="Qty received" numFmtId="0">
      <sharedItems containsSemiMixedTypes="0" containsString="0" containsNumber="1" containsInteger="1" minValue="0" maxValue="3824"/>
    </cacheField>
    <cacheField name="Qty on hand" numFmtId="2">
      <sharedItems containsSemiMixedTypes="0" containsString="0" containsNumber="1" containsInteger="1" minValue="0" maxValue="6004"/>
    </cacheField>
    <cacheField name="Stock value" numFmtId="0">
      <sharedItems containsSemiMixedTypes="0" containsString="0" containsNumber="1" minValue="0" maxValue="127923.83"/>
    </cacheField>
    <cacheField name="Qty allocated to orders" numFmtId="0">
      <sharedItems containsSemiMixedTypes="0" containsString="0" containsNumber="1" containsInteger="1" minValue="0" maxValue="397"/>
    </cacheField>
    <cacheField name="Qty available" numFmtId="0">
      <sharedItems containsSemiMixedTypes="0" containsString="0" containsNumber="1" containsInteger="1" minValue="0" maxValue="5646"/>
    </cacheField>
    <cacheField name="Weeks of cover" numFmtId="0">
      <sharedItems containsString="0" containsBlank="1" containsNumber="1" minValue="0" maxValue="208.68"/>
    </cacheField>
    <cacheField name="Days since last sale (month end)" numFmtId="0">
      <sharedItems containsSemiMixedTypes="0" containsString="0" containsNumber="1" containsInteger="1" minValue="0" maxValue="656"/>
    </cacheField>
    <cacheField name="Units sold" numFmtId="0">
      <sharedItems containsSemiMixedTypes="0" containsString="0" containsNumber="1" containsInteger="1" minValue="0" maxValue="2191"/>
    </cacheField>
    <cacheField name="Revenue" numFmtId="2">
      <sharedItems containsSemiMixedTypes="0" containsString="0" containsNumber="1" minValue="0" maxValue="69764.600000000006"/>
    </cacheField>
    <cacheField name="Lost sales units (stockout)" numFmtId="0">
      <sharedItems containsSemiMixedTypes="0" containsString="0" containsNumber="1" containsInteger="1" minValue="0" maxValue="1048"/>
    </cacheField>
    <cacheField name="Stocked out (Y/N)" numFmtId="0">
      <sharedItems count="2">
        <s v="N"/>
        <s v="Y"/>
      </sharedItems>
    </cacheField>
    <cacheField name="Availability Check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IT-10001"/>
    <s v="Ball bearing 20-1"/>
    <x v="0"/>
    <x v="0"/>
    <x v="0"/>
    <s v="2024-09"/>
    <n v="1.1000000000000001"/>
    <n v="1.1000000000000001"/>
    <n v="1.084438"/>
    <n v="1.45"/>
    <n v="25"/>
    <n v="24"/>
    <n v="168"/>
    <n v="489"/>
    <n v="530.29"/>
    <n v="13"/>
    <n v="476"/>
    <n v="14.09"/>
    <n v="2"/>
    <n v="204"/>
    <n v="295.8"/>
    <n v="0"/>
    <x v="0"/>
    <s v="OK"/>
  </r>
  <r>
    <s v="IT-10001"/>
    <s v="Ball bearing 20-1"/>
    <x v="0"/>
    <x v="0"/>
    <x v="0"/>
    <s v="2024-10"/>
    <n v="1.07"/>
    <n v="1.07"/>
    <n v="1.082943"/>
    <n v="1.45"/>
    <n v="25"/>
    <n v="24"/>
    <n v="56"/>
    <n v="384"/>
    <n v="415.85"/>
    <n v="57"/>
    <n v="327"/>
    <n v="9.7200000000000006"/>
    <n v="1"/>
    <n v="161"/>
    <n v="233.45"/>
    <n v="0"/>
    <x v="0"/>
    <s v="OK"/>
  </r>
  <r>
    <s v="IT-10001"/>
    <s v="Ball bearing 20-1"/>
    <x v="0"/>
    <x v="0"/>
    <x v="0"/>
    <s v="2024-11"/>
    <n v="1.07"/>
    <n v="1.07"/>
    <n v="1.0768720000000001"/>
    <n v="1.45"/>
    <n v="25"/>
    <n v="23"/>
    <n v="340"/>
    <n v="438"/>
    <n v="471.67"/>
    <n v="51"/>
    <n v="387"/>
    <n v="8.75"/>
    <n v="1"/>
    <n v="286"/>
    <n v="414.7"/>
    <n v="0"/>
    <x v="0"/>
    <s v="OK"/>
  </r>
  <r>
    <s v="IT-10001"/>
    <s v="Ball bearing 20-1"/>
    <x v="0"/>
    <x v="0"/>
    <x v="0"/>
    <s v="2024-12"/>
    <n v="1.0900000000000001"/>
    <n v="1.0900000000000001"/>
    <n v="1.0823970000000001"/>
    <n v="1.45"/>
    <n v="25"/>
    <n v="23"/>
    <n v="318"/>
    <n v="655"/>
    <n v="708.97"/>
    <n v="57"/>
    <n v="598"/>
    <n v="15.71"/>
    <n v="0"/>
    <n v="101"/>
    <n v="146.44999999999999"/>
    <n v="0"/>
    <x v="0"/>
    <s v="OK"/>
  </r>
  <r>
    <s v="IT-10001"/>
    <s v="Ball bearing 20-1"/>
    <x v="0"/>
    <x v="0"/>
    <x v="0"/>
    <s v="2025-01"/>
    <n v="1.07"/>
    <n v="1.07"/>
    <n v="1.081253"/>
    <n v="1.45"/>
    <n v="25"/>
    <n v="23"/>
    <n v="67"/>
    <n v="471"/>
    <n v="509.27"/>
    <n v="13"/>
    <n v="458"/>
    <n v="9.6999999999999993"/>
    <n v="0"/>
    <n v="251"/>
    <n v="363.95"/>
    <n v="0"/>
    <x v="0"/>
    <s v="OK"/>
  </r>
  <r>
    <s v="IT-10001"/>
    <s v="Ball bearing 20-1"/>
    <x v="0"/>
    <x v="0"/>
    <x v="0"/>
    <s v="2025-02"/>
    <n v="1.0900000000000001"/>
    <n v="1.0900000000000001"/>
    <n v="1.081596"/>
    <n v="1.49"/>
    <n v="25"/>
    <n v="22"/>
    <n v="19"/>
    <n v="307"/>
    <n v="332.05"/>
    <n v="64"/>
    <n v="243"/>
    <n v="7.38"/>
    <n v="0"/>
    <n v="183"/>
    <n v="272.67"/>
    <n v="0"/>
    <x v="0"/>
    <s v="OK"/>
  </r>
  <r>
    <s v="IT-10001"/>
    <s v="Ball bearing 20-1"/>
    <x v="0"/>
    <x v="0"/>
    <x v="0"/>
    <s v="2025-03"/>
    <n v="1.0900000000000001"/>
    <n v="1.0900000000000001"/>
    <n v="1.087405"/>
    <n v="1.49"/>
    <n v="25"/>
    <n v="25"/>
    <n v="689"/>
    <n v="790"/>
    <n v="859.05"/>
    <n v="25"/>
    <n v="765"/>
    <n v="15.87"/>
    <n v="3"/>
    <n v="206"/>
    <n v="306.94"/>
    <n v="0"/>
    <x v="0"/>
    <s v="OK"/>
  </r>
  <r>
    <s v="IT-10001"/>
    <s v="Ball bearing 20-1"/>
    <x v="0"/>
    <x v="0"/>
    <x v="0"/>
    <s v="2025-04"/>
    <n v="1.1200000000000001"/>
    <n v="1.1200000000000001"/>
    <n v="1.091548"/>
    <n v="1.49"/>
    <n v="25"/>
    <n v="25"/>
    <n v="115"/>
    <n v="691"/>
    <n v="754.26"/>
    <n v="19"/>
    <n v="672"/>
    <n v="14.57"/>
    <n v="3"/>
    <n v="214"/>
    <n v="318.86"/>
    <n v="0"/>
    <x v="0"/>
    <s v="OK"/>
  </r>
  <r>
    <s v="IT-10001"/>
    <s v="Ball bearing 20-1"/>
    <x v="0"/>
    <x v="0"/>
    <x v="0"/>
    <s v="2025-05"/>
    <n v="1.1100000000000001"/>
    <n v="1.1100000000000001"/>
    <n v="1.092201"/>
    <n v="1.49"/>
    <n v="25"/>
    <n v="22"/>
    <n v="25"/>
    <n v="427"/>
    <n v="466.37"/>
    <n v="44"/>
    <n v="383"/>
    <n v="7.92"/>
    <n v="0"/>
    <n v="289"/>
    <n v="430.61"/>
    <n v="0"/>
    <x v="0"/>
    <s v="OK"/>
  </r>
  <r>
    <s v="IT-10001"/>
    <s v="Ball bearing 20-1"/>
    <x v="0"/>
    <x v="0"/>
    <x v="0"/>
    <s v="2025-06"/>
    <n v="1.1200000000000001"/>
    <n v="1.1200000000000001"/>
    <n v="1.096409"/>
    <n v="1.49"/>
    <n v="25"/>
    <n v="23"/>
    <n v="76"/>
    <n v="337"/>
    <n v="369.49"/>
    <n v="19"/>
    <n v="318"/>
    <n v="6.55"/>
    <n v="1"/>
    <n v="166"/>
    <n v="247.34"/>
    <n v="0"/>
    <x v="0"/>
    <s v="OK"/>
  </r>
  <r>
    <s v="IT-10001"/>
    <s v="Ball bearing 20-1"/>
    <x v="0"/>
    <x v="0"/>
    <x v="0"/>
    <s v="2025-07"/>
    <n v="1.0900000000000001"/>
    <n v="1.0900000000000001"/>
    <n v="1.0938650000000001"/>
    <n v="1.49"/>
    <n v="25"/>
    <n v="23"/>
    <n v="220"/>
    <n v="326"/>
    <n v="356.6"/>
    <n v="19"/>
    <n v="307"/>
    <n v="6.25"/>
    <n v="0"/>
    <n v="231"/>
    <n v="344.19"/>
    <n v="0"/>
    <x v="0"/>
    <s v="OK"/>
  </r>
  <r>
    <s v="IT-10001"/>
    <s v="Ball bearing 20-1"/>
    <x v="0"/>
    <x v="0"/>
    <x v="0"/>
    <s v="2025-08"/>
    <n v="1.0900000000000001"/>
    <n v="1.0900000000000001"/>
    <n v="1.0938099999999999"/>
    <n v="1.49"/>
    <n v="25"/>
    <m/>
    <n v="0"/>
    <n v="42"/>
    <n v="45.94"/>
    <n v="42"/>
    <n v="0"/>
    <n v="0.81"/>
    <n v="0"/>
    <n v="284"/>
    <n v="423.16"/>
    <n v="0"/>
    <x v="0"/>
    <s v="OK"/>
  </r>
  <r>
    <s v="IT-10001"/>
    <s v="Ball bearing 20-1"/>
    <x v="0"/>
    <x v="0"/>
    <x v="0"/>
    <s v="2025-09"/>
    <n v="1.1200000000000001"/>
    <n v="1.1200000000000001"/>
    <n v="1.117529"/>
    <n v="1.49"/>
    <n v="25"/>
    <n v="38"/>
    <n v="406"/>
    <n v="259"/>
    <n v="289.44"/>
    <n v="13"/>
    <n v="246"/>
    <n v="4.84"/>
    <n v="0"/>
    <n v="189"/>
    <n v="281.61"/>
    <n v="0"/>
    <x v="0"/>
    <s v="OK"/>
  </r>
  <r>
    <s v="IT-10001"/>
    <s v="Ball bearing 20-1"/>
    <x v="0"/>
    <x v="0"/>
    <x v="0"/>
    <s v="2025-10"/>
    <n v="1.1100000000000001"/>
    <n v="1.1100000000000001"/>
    <n v="1.1136280000000001"/>
    <n v="1.49"/>
    <n v="25"/>
    <n v="36"/>
    <n v="280"/>
    <n v="452"/>
    <n v="503.36"/>
    <n v="25"/>
    <n v="427"/>
    <n v="10.61"/>
    <n v="7"/>
    <n v="87"/>
    <n v="129.63"/>
    <n v="0"/>
    <x v="0"/>
    <s v="OK"/>
  </r>
  <r>
    <s v="IT-10001"/>
    <s v="Ball bearing 20-1"/>
    <x v="0"/>
    <x v="0"/>
    <x v="0"/>
    <s v="2025-11"/>
    <n v="1.1000000000000001"/>
    <n v="1.1000000000000001"/>
    <n v="1.109823"/>
    <n v="1.49"/>
    <n v="25"/>
    <n v="39"/>
    <n v="175"/>
    <n v="453"/>
    <n v="502.75"/>
    <n v="32"/>
    <n v="421"/>
    <n v="13.09"/>
    <n v="8"/>
    <n v="174"/>
    <n v="259.26"/>
    <n v="0"/>
    <x v="0"/>
    <s v="OK"/>
  </r>
  <r>
    <s v="IT-10001"/>
    <s v="Ball bearing 20-1"/>
    <x v="0"/>
    <x v="0"/>
    <x v="0"/>
    <s v="2025-12"/>
    <n v="1.0900000000000001"/>
    <n v="1.0900000000000001"/>
    <n v="1.1024119999999999"/>
    <n v="1.49"/>
    <n v="25"/>
    <n v="22"/>
    <n v="270"/>
    <n v="456"/>
    <n v="502.7"/>
    <n v="38"/>
    <n v="418"/>
    <n v="11.35"/>
    <n v="2"/>
    <n v="267"/>
    <n v="397.83"/>
    <n v="0"/>
    <x v="0"/>
    <s v="OK"/>
  </r>
  <r>
    <s v="IT-10001"/>
    <s v="Ball bearing 20-1"/>
    <x v="0"/>
    <x v="0"/>
    <x v="0"/>
    <s v="2026-01"/>
    <n v="1.1100000000000001"/>
    <n v="1.1100000000000001"/>
    <n v="1.1059920000000001"/>
    <n v="1.49"/>
    <n v="25"/>
    <n v="25"/>
    <n v="406"/>
    <n v="781"/>
    <n v="863.78"/>
    <n v="64"/>
    <n v="717"/>
    <n v="19.66"/>
    <n v="2"/>
    <n v="81"/>
    <n v="120.69"/>
    <n v="0"/>
    <x v="0"/>
    <s v="OK"/>
  </r>
  <r>
    <s v="IT-10001"/>
    <s v="Ball bearing 20-1"/>
    <x v="0"/>
    <x v="0"/>
    <x v="0"/>
    <s v="2026-02"/>
    <n v="1.1000000000000001"/>
    <n v="1.1000000000000001"/>
    <n v="1.1060000000000001"/>
    <n v="1.53"/>
    <n v="25"/>
    <m/>
    <n v="0"/>
    <n v="605"/>
    <n v="669.13"/>
    <n v="44"/>
    <n v="561"/>
    <n v="14.84"/>
    <n v="1"/>
    <n v="176"/>
    <n v="269.27999999999997"/>
    <n v="0"/>
    <x v="0"/>
    <s v="OK"/>
  </r>
  <r>
    <s v="IT-10001"/>
    <s v="Ball bearing 20-1"/>
    <x v="0"/>
    <x v="0"/>
    <x v="0"/>
    <s v="2026-03"/>
    <n v="1.1000000000000001"/>
    <n v="1.1000000000000001"/>
    <n v="1.104441"/>
    <n v="1.53"/>
    <n v="25"/>
    <n v="23"/>
    <n v="211"/>
    <n v="572"/>
    <n v="631.74"/>
    <n v="32"/>
    <n v="540"/>
    <n v="14.68"/>
    <n v="1"/>
    <n v="244"/>
    <n v="373.32"/>
    <n v="0"/>
    <x v="0"/>
    <s v="OK"/>
  </r>
  <r>
    <s v="IT-10001"/>
    <s v="Ball bearing 20-1"/>
    <x v="0"/>
    <x v="0"/>
    <x v="0"/>
    <s v="2026-04"/>
    <n v="1.1399999999999999"/>
    <n v="1.1399999999999999"/>
    <n v="1.1076569999999999"/>
    <n v="1.53"/>
    <n v="25"/>
    <n v="24"/>
    <n v="57"/>
    <n v="606"/>
    <n v="671.24"/>
    <n v="57"/>
    <n v="549"/>
    <n v="17.39"/>
    <n v="15"/>
    <n v="23"/>
    <n v="35.19"/>
    <n v="0"/>
    <x v="0"/>
    <s v="OK"/>
  </r>
  <r>
    <s v="IT-10001"/>
    <s v="Ball bearing 20-1"/>
    <x v="0"/>
    <x v="0"/>
    <x v="0"/>
    <s v="2026-05"/>
    <n v="1.1499999999999999"/>
    <n v="1.1499999999999999"/>
    <n v="1.1114120000000001"/>
    <n v="1.53"/>
    <n v="25"/>
    <n v="22"/>
    <n v="59"/>
    <n v="432"/>
    <n v="480.13"/>
    <n v="51"/>
    <n v="381"/>
    <n v="11.36"/>
    <n v="3"/>
    <n v="233"/>
    <n v="356.49"/>
    <n v="0"/>
    <x v="0"/>
    <s v="OK"/>
  </r>
  <r>
    <s v="IT-10001"/>
    <s v="Ball bearing 20-1"/>
    <x v="0"/>
    <x v="0"/>
    <x v="0"/>
    <s v="2026-06"/>
    <n v="1.1499999999999999"/>
    <n v="1.1499999999999999"/>
    <n v="1.124268"/>
    <n v="1.53"/>
    <n v="25"/>
    <n v="25"/>
    <n v="216"/>
    <n v="478"/>
    <n v="537.4"/>
    <n v="25"/>
    <n v="453"/>
    <n v="14.59"/>
    <n v="2"/>
    <n v="170"/>
    <n v="260.10000000000002"/>
    <n v="0"/>
    <x v="0"/>
    <s v="OK"/>
  </r>
  <r>
    <s v="IT-10001"/>
    <s v="Ball bearing 20-1"/>
    <x v="0"/>
    <x v="0"/>
    <x v="0"/>
    <s v="2026-07"/>
    <n v="1.1299999999999999"/>
    <n v="1.1299999999999999"/>
    <n v="1.124258"/>
    <n v="1.53"/>
    <n v="25"/>
    <m/>
    <n v="0"/>
    <n v="364"/>
    <n v="409.23"/>
    <n v="64"/>
    <n v="300"/>
    <n v="9.25"/>
    <n v="3"/>
    <n v="114"/>
    <n v="174.42"/>
    <n v="0"/>
    <x v="0"/>
    <s v="OK"/>
  </r>
  <r>
    <s v="IT-10001"/>
    <s v="Ball bearing 20-1"/>
    <x v="0"/>
    <x v="0"/>
    <x v="0"/>
    <s v="2026-08"/>
    <n v="1.1299999999999999"/>
    <n v="1.1299999999999999"/>
    <n v="1.12625"/>
    <n v="1.53"/>
    <n v="25"/>
    <n v="40"/>
    <n v="192"/>
    <n v="280"/>
    <n v="315.35000000000002"/>
    <n v="57"/>
    <n v="223"/>
    <n v="6.57"/>
    <n v="2"/>
    <n v="276"/>
    <n v="422.28"/>
    <n v="0"/>
    <x v="0"/>
    <s v="OK"/>
  </r>
  <r>
    <s v="IT-10002"/>
    <s v="Ball bearing A-2"/>
    <x v="0"/>
    <x v="0"/>
    <x v="0"/>
    <s v="2024-09"/>
    <n v="3.74"/>
    <n v="4.05"/>
    <n v="3.94"/>
    <n v="5.58"/>
    <n v="59"/>
    <m/>
    <n v="0"/>
    <n v="0"/>
    <n v="0"/>
    <n v="0"/>
    <n v="0"/>
    <m/>
    <n v="230"/>
    <n v="0"/>
    <n v="0"/>
    <n v="0"/>
    <x v="0"/>
    <s v="OK"/>
  </r>
  <r>
    <s v="IT-10002"/>
    <s v="Ball bearing A-2"/>
    <x v="0"/>
    <x v="0"/>
    <x v="0"/>
    <s v="2024-10"/>
    <n v="3.81"/>
    <n v="4.12"/>
    <n v="3.94"/>
    <n v="5.58"/>
    <n v="59"/>
    <m/>
    <n v="0"/>
    <n v="0"/>
    <n v="0"/>
    <n v="0"/>
    <n v="0"/>
    <m/>
    <n v="261"/>
    <n v="0"/>
    <n v="0"/>
    <n v="0"/>
    <x v="0"/>
    <s v="OK"/>
  </r>
  <r>
    <s v="IT-10002"/>
    <s v="Ball bearing A-2"/>
    <x v="0"/>
    <x v="0"/>
    <x v="0"/>
    <s v="2024-11"/>
    <n v="3.76"/>
    <n v="4.07"/>
    <n v="3.94"/>
    <n v="5.58"/>
    <n v="59"/>
    <m/>
    <n v="0"/>
    <n v="0"/>
    <n v="0"/>
    <n v="0"/>
    <n v="0"/>
    <m/>
    <n v="291"/>
    <n v="0"/>
    <n v="0"/>
    <n v="0"/>
    <x v="0"/>
    <s v="OK"/>
  </r>
  <r>
    <s v="IT-10002"/>
    <s v="Ball bearing A-2"/>
    <x v="0"/>
    <x v="0"/>
    <x v="0"/>
    <s v="2024-12"/>
    <n v="3.75"/>
    <n v="4.0599999999999996"/>
    <n v="3.94"/>
    <n v="5.58"/>
    <n v="59"/>
    <m/>
    <n v="0"/>
    <n v="0"/>
    <n v="0"/>
    <n v="0"/>
    <n v="0"/>
    <m/>
    <n v="322"/>
    <n v="0"/>
    <n v="0"/>
    <n v="0"/>
    <x v="0"/>
    <s v="OK"/>
  </r>
  <r>
    <s v="IT-10002"/>
    <s v="Ball bearing A-2"/>
    <x v="0"/>
    <x v="0"/>
    <x v="0"/>
    <s v="2025-01"/>
    <n v="3.82"/>
    <n v="4.13"/>
    <n v="3.94"/>
    <n v="5.58"/>
    <n v="59"/>
    <m/>
    <n v="0"/>
    <n v="0"/>
    <n v="0"/>
    <n v="0"/>
    <n v="0"/>
    <m/>
    <n v="353"/>
    <n v="0"/>
    <n v="0"/>
    <n v="0"/>
    <x v="0"/>
    <s v="OK"/>
  </r>
  <r>
    <s v="IT-10002"/>
    <s v="Ball bearing A-2"/>
    <x v="0"/>
    <x v="0"/>
    <x v="0"/>
    <s v="2025-02"/>
    <n v="3.74"/>
    <n v="4.05"/>
    <n v="3.94"/>
    <n v="5.74"/>
    <n v="59"/>
    <m/>
    <n v="0"/>
    <n v="0"/>
    <n v="0"/>
    <n v="0"/>
    <n v="0"/>
    <m/>
    <n v="381"/>
    <n v="0"/>
    <n v="0"/>
    <n v="0"/>
    <x v="0"/>
    <s v="OK"/>
  </r>
  <r>
    <s v="IT-10002"/>
    <s v="Ball bearing A-2"/>
    <x v="0"/>
    <x v="0"/>
    <x v="0"/>
    <s v="2025-03"/>
    <n v="3.68"/>
    <n v="3.98"/>
    <n v="3.98"/>
    <n v="5.74"/>
    <n v="59"/>
    <n v="53"/>
    <n v="56"/>
    <n v="56"/>
    <n v="222.88"/>
    <n v="0"/>
    <n v="56"/>
    <m/>
    <n v="412"/>
    <n v="0"/>
    <n v="0"/>
    <n v="0"/>
    <x v="0"/>
    <s v="OK"/>
  </r>
  <r>
    <s v="IT-10002"/>
    <s v="Ball bearing A-2"/>
    <x v="0"/>
    <x v="0"/>
    <x v="0"/>
    <s v="2025-04"/>
    <n v="3.89"/>
    <n v="4.21"/>
    <n v="4.1403780000000001"/>
    <n v="5.74"/>
    <n v="59"/>
    <n v="51"/>
    <n v="129"/>
    <n v="185"/>
    <n v="765.97"/>
    <n v="0"/>
    <n v="185"/>
    <m/>
    <n v="442"/>
    <n v="0"/>
    <n v="0"/>
    <n v="0"/>
    <x v="0"/>
    <s v="OK"/>
  </r>
  <r>
    <s v="IT-10002"/>
    <s v="Ball bearing A-2"/>
    <x v="0"/>
    <x v="0"/>
    <x v="0"/>
    <s v="2025-05"/>
    <n v="3.79"/>
    <n v="4.0999999999999996"/>
    <n v="4.1100709999999996"/>
    <n v="5.74"/>
    <n v="59"/>
    <n v="53"/>
    <n v="557"/>
    <n v="567"/>
    <n v="2330.41"/>
    <n v="31"/>
    <n v="536"/>
    <n v="42.58"/>
    <n v="1"/>
    <n v="175"/>
    <n v="1004.5"/>
    <n v="0"/>
    <x v="0"/>
    <s v="OK"/>
  </r>
  <r>
    <s v="IT-10002"/>
    <s v="Ball bearing A-2"/>
    <x v="0"/>
    <x v="0"/>
    <x v="0"/>
    <s v="2025-06"/>
    <n v="3.89"/>
    <n v="4.21"/>
    <n v="4.1671379999999996"/>
    <n v="5.74"/>
    <n v="59"/>
    <n v="57"/>
    <n v="755"/>
    <n v="1153"/>
    <n v="4804.71"/>
    <n v="27"/>
    <n v="1126"/>
    <n v="43.57"/>
    <n v="8"/>
    <n v="169"/>
    <n v="970.06"/>
    <n v="0"/>
    <x v="0"/>
    <s v="OK"/>
  </r>
  <r>
    <s v="IT-10002"/>
    <s v="Ball bearing A-2"/>
    <x v="0"/>
    <x v="0"/>
    <x v="0"/>
    <s v="2025-07"/>
    <n v="3.79"/>
    <n v="4.0999999999999996"/>
    <n v="4.1486270000000003"/>
    <n v="5.74"/>
    <n v="59"/>
    <n v="59"/>
    <n v="439"/>
    <n v="1209"/>
    <n v="5015.6899999999996"/>
    <n v="94"/>
    <n v="1115"/>
    <n v="21.86"/>
    <n v="2"/>
    <n v="383"/>
    <n v="2198.42"/>
    <n v="0"/>
    <x v="0"/>
    <s v="OK"/>
  </r>
  <r>
    <s v="IT-10002"/>
    <s v="Ball bearing A-2"/>
    <x v="0"/>
    <x v="0"/>
    <x v="0"/>
    <s v="2025-08"/>
    <n v="3.87"/>
    <n v="4.1900000000000004"/>
    <n v="4.1614339999999999"/>
    <n v="5.74"/>
    <n v="59"/>
    <n v="59"/>
    <n v="542"/>
    <n v="1283"/>
    <n v="5339.12"/>
    <n v="67"/>
    <n v="1216"/>
    <n v="16.53"/>
    <n v="0"/>
    <n v="468"/>
    <n v="2686.32"/>
    <n v="0"/>
    <x v="0"/>
    <s v="OK"/>
  </r>
  <r>
    <s v="IT-10002"/>
    <s v="Ball bearing A-2"/>
    <x v="0"/>
    <x v="0"/>
    <x v="0"/>
    <s v="2025-09"/>
    <n v="3.79"/>
    <n v="4.0999999999999996"/>
    <n v="4.1502699999999999"/>
    <n v="5.74"/>
    <n v="59"/>
    <n v="53"/>
    <n v="285"/>
    <n v="1445"/>
    <n v="5997.14"/>
    <n v="40"/>
    <n v="1405"/>
    <n v="19.5"/>
    <n v="4"/>
    <n v="123"/>
    <n v="706.02"/>
    <n v="0"/>
    <x v="0"/>
    <s v="OK"/>
  </r>
  <r>
    <s v="IT-10002"/>
    <s v="Ball bearing A-2"/>
    <x v="0"/>
    <x v="0"/>
    <x v="0"/>
    <s v="2025-10"/>
    <n v="3.91"/>
    <n v="4.2300000000000004"/>
    <n v="4.1502699999999999"/>
    <n v="5.74"/>
    <n v="59"/>
    <m/>
    <n v="0"/>
    <n v="999"/>
    <n v="4146.12"/>
    <n v="54"/>
    <n v="945"/>
    <n v="12.66"/>
    <n v="1"/>
    <n v="446"/>
    <n v="2560.04"/>
    <n v="0"/>
    <x v="0"/>
    <s v="OK"/>
  </r>
  <r>
    <s v="IT-10002"/>
    <s v="Ball bearing A-2"/>
    <x v="0"/>
    <x v="0"/>
    <x v="0"/>
    <s v="2025-11"/>
    <n v="3.84"/>
    <n v="4.16"/>
    <n v="4.1502699999999999"/>
    <n v="5.74"/>
    <n v="59"/>
    <m/>
    <n v="0"/>
    <n v="666"/>
    <n v="2764.08"/>
    <n v="121"/>
    <n v="545"/>
    <n v="9.6"/>
    <n v="0"/>
    <n v="333"/>
    <n v="1911.42"/>
    <n v="0"/>
    <x v="0"/>
    <s v="OK"/>
  </r>
  <r>
    <s v="IT-10002"/>
    <s v="Ball bearing A-2"/>
    <x v="0"/>
    <x v="0"/>
    <x v="0"/>
    <s v="2025-12"/>
    <n v="3.87"/>
    <n v="4.1900000000000004"/>
    <n v="4.1748729999999998"/>
    <n v="5.74"/>
    <n v="59"/>
    <n v="52"/>
    <n v="1083"/>
    <n v="1461"/>
    <n v="6099.49"/>
    <n v="94"/>
    <n v="1367"/>
    <n v="18"/>
    <n v="4"/>
    <n v="288"/>
    <n v="1653.12"/>
    <n v="0"/>
    <x v="0"/>
    <s v="OK"/>
  </r>
  <r>
    <s v="IT-10002"/>
    <s v="Ball bearing A-2"/>
    <x v="0"/>
    <x v="0"/>
    <x v="0"/>
    <s v="2026-01"/>
    <n v="3.88"/>
    <n v="4.2"/>
    <n v="4.1748690000000002"/>
    <n v="5.74"/>
    <n v="59"/>
    <m/>
    <n v="0"/>
    <n v="1029"/>
    <n v="4295.9399999999996"/>
    <n v="27"/>
    <n v="1002"/>
    <n v="12.84"/>
    <n v="0"/>
    <n v="432"/>
    <n v="2479.6799999999998"/>
    <n v="0"/>
    <x v="0"/>
    <s v="OK"/>
  </r>
  <r>
    <s v="IT-10002"/>
    <s v="Ball bearing A-2"/>
    <x v="0"/>
    <x v="0"/>
    <x v="0"/>
    <s v="2026-02"/>
    <n v="3.9"/>
    <n v="4.22"/>
    <n v="4.1748630000000002"/>
    <n v="5.91"/>
    <n v="59"/>
    <m/>
    <n v="0"/>
    <n v="730"/>
    <n v="3047.65"/>
    <n v="40"/>
    <n v="690"/>
    <n v="9.2100000000000009"/>
    <n v="0"/>
    <n v="299"/>
    <n v="1767.09"/>
    <n v="0"/>
    <x v="0"/>
    <s v="OK"/>
  </r>
  <r>
    <s v="IT-10002"/>
    <s v="Ball bearing A-2"/>
    <x v="0"/>
    <x v="0"/>
    <x v="0"/>
    <s v="2026-03"/>
    <n v="3.82"/>
    <n v="4.13"/>
    <n v="4.1748459999999996"/>
    <n v="5.91"/>
    <n v="59"/>
    <m/>
    <n v="0"/>
    <n v="260"/>
    <n v="1085.46"/>
    <n v="67"/>
    <n v="193"/>
    <n v="2.78"/>
    <n v="0"/>
    <n v="470"/>
    <n v="2777.7"/>
    <n v="0"/>
    <x v="0"/>
    <s v="OK"/>
  </r>
  <r>
    <s v="IT-10002"/>
    <s v="Ball bearing A-2"/>
    <x v="0"/>
    <x v="0"/>
    <x v="0"/>
    <s v="2026-04"/>
    <n v="3.94"/>
    <n v="4.26"/>
    <n v="4.2380000000000004"/>
    <n v="5.91"/>
    <n v="59"/>
    <n v="51"/>
    <n v="746"/>
    <n v="625"/>
    <n v="2648.75"/>
    <n v="54"/>
    <n v="571"/>
    <n v="6.91"/>
    <n v="1"/>
    <n v="381"/>
    <n v="2251.71"/>
    <n v="0"/>
    <x v="0"/>
    <s v="OK"/>
  </r>
  <r>
    <s v="IT-10002"/>
    <s v="Ball bearing A-2"/>
    <x v="0"/>
    <x v="0"/>
    <x v="0"/>
    <s v="2026-05"/>
    <n v="4.0199999999999996"/>
    <n v="4.3499999999999996"/>
    <n v="4.3023179999999996"/>
    <n v="5.91"/>
    <n v="59"/>
    <n v="106"/>
    <n v="843"/>
    <n v="811"/>
    <n v="3489.18"/>
    <n v="94"/>
    <n v="717"/>
    <n v="7.07"/>
    <n v="1"/>
    <n v="657"/>
    <n v="3882.87"/>
    <n v="0"/>
    <x v="0"/>
    <s v="OK"/>
  </r>
  <r>
    <s v="IT-10002"/>
    <s v="Ball bearing A-2"/>
    <x v="0"/>
    <x v="0"/>
    <x v="0"/>
    <s v="2026-06"/>
    <n v="4.01"/>
    <n v="4.34"/>
    <n v="4.3072800000000004"/>
    <n v="5.91"/>
    <n v="59"/>
    <n v="82"/>
    <n v="123"/>
    <n v="522"/>
    <n v="2248.4"/>
    <n v="80"/>
    <n v="442"/>
    <n v="4.68"/>
    <n v="0"/>
    <n v="412"/>
    <n v="2434.92"/>
    <n v="0"/>
    <x v="0"/>
    <s v="OK"/>
  </r>
  <r>
    <s v="IT-10002"/>
    <s v="Ball bearing A-2"/>
    <x v="0"/>
    <x v="0"/>
    <x v="0"/>
    <s v="2026-07"/>
    <n v="4.04"/>
    <n v="4.37"/>
    <n v="4.3475580000000003"/>
    <n v="5.91"/>
    <n v="59"/>
    <n v="53"/>
    <n v="937"/>
    <n v="782"/>
    <n v="3399.79"/>
    <n v="27"/>
    <n v="755"/>
    <n v="5.89"/>
    <n v="2"/>
    <n v="677"/>
    <n v="4001.07"/>
    <n v="0"/>
    <x v="0"/>
    <s v="OK"/>
  </r>
  <r>
    <s v="IT-10002"/>
    <s v="Ball bearing A-2"/>
    <x v="0"/>
    <x v="0"/>
    <x v="0"/>
    <s v="2026-08"/>
    <n v="3.99"/>
    <n v="4.32"/>
    <n v="4.3475650000000003"/>
    <n v="5.91"/>
    <n v="59"/>
    <m/>
    <n v="0"/>
    <n v="271"/>
    <n v="1178.19"/>
    <n v="40"/>
    <n v="231"/>
    <n v="2.23"/>
    <n v="5"/>
    <n v="511"/>
    <n v="3020.01"/>
    <n v="0"/>
    <x v="0"/>
    <s v="OK"/>
  </r>
  <r>
    <s v="IT-10003"/>
    <s v="Pressure valve A-3"/>
    <x v="1"/>
    <x v="1"/>
    <x v="0"/>
    <s v="2024-09"/>
    <n v="73.42"/>
    <n v="79.16"/>
    <n v="79.082593000000003"/>
    <n v="109.31"/>
    <n v="31"/>
    <m/>
    <n v="0"/>
    <n v="27"/>
    <n v="2135.23"/>
    <n v="13"/>
    <n v="14"/>
    <n v="2.4300000000000002"/>
    <n v="4"/>
    <n v="48"/>
    <n v="5246.88"/>
    <n v="0"/>
    <x v="0"/>
    <s v="OK"/>
  </r>
  <r>
    <s v="IT-10003"/>
    <s v="Pressure valve A-3"/>
    <x v="1"/>
    <x v="1"/>
    <x v="0"/>
    <s v="2024-10"/>
    <n v="72.040000000000006"/>
    <n v="77.67"/>
    <n v="78.22"/>
    <n v="109.31"/>
    <n v="31"/>
    <n v="46"/>
    <n v="42"/>
    <n v="1"/>
    <n v="78.22"/>
    <n v="1"/>
    <n v="0"/>
    <n v="7.0000000000000007E-2"/>
    <n v="1"/>
    <n v="68"/>
    <n v="7433.08"/>
    <n v="0"/>
    <x v="0"/>
    <s v="OK"/>
  </r>
  <r>
    <s v="IT-10003"/>
    <s v="Pressure valve A-3"/>
    <x v="1"/>
    <x v="1"/>
    <x v="0"/>
    <s v="2024-11"/>
    <n v="72.44"/>
    <n v="78.099999999999994"/>
    <n v="78.100846000000004"/>
    <n v="109.31"/>
    <n v="31"/>
    <n v="29"/>
    <n v="143"/>
    <n v="130"/>
    <n v="10153.11"/>
    <n v="8"/>
    <n v="122"/>
    <n v="13"/>
    <n v="3"/>
    <n v="14"/>
    <n v="1530.34"/>
    <n v="0"/>
    <x v="0"/>
    <s v="OK"/>
  </r>
  <r>
    <s v="IT-10003"/>
    <s v="Pressure valve A-3"/>
    <x v="1"/>
    <x v="1"/>
    <x v="0"/>
    <s v="2024-12"/>
    <n v="73.39"/>
    <n v="79.13"/>
    <n v="78.100800000000007"/>
    <n v="109.31"/>
    <n v="31"/>
    <m/>
    <n v="0"/>
    <n v="100"/>
    <n v="7810.08"/>
    <n v="14"/>
    <n v="86"/>
    <n v="11.73"/>
    <n v="3"/>
    <n v="30"/>
    <n v="3279.3"/>
    <n v="0"/>
    <x v="0"/>
    <s v="OK"/>
  </r>
  <r>
    <s v="IT-10003"/>
    <s v="Pressure valve A-3"/>
    <x v="1"/>
    <x v="1"/>
    <x v="0"/>
    <s v="2025-01"/>
    <n v="75.67"/>
    <n v="81.59"/>
    <n v="79.132783000000003"/>
    <n v="109.31"/>
    <n v="31"/>
    <n v="28"/>
    <n v="42"/>
    <n v="115"/>
    <n v="9100.27"/>
    <n v="10"/>
    <n v="105"/>
    <n v="21.29"/>
    <n v="8"/>
    <n v="27"/>
    <n v="2951.37"/>
    <n v="0"/>
    <x v="0"/>
    <s v="OK"/>
  </r>
  <r>
    <s v="IT-10003"/>
    <s v="Pressure valve A-3"/>
    <x v="1"/>
    <x v="1"/>
    <x v="0"/>
    <s v="2025-02"/>
    <n v="75.650000000000006"/>
    <n v="81.56"/>
    <n v="79.132795999999999"/>
    <n v="115.5"/>
    <n v="31"/>
    <m/>
    <n v="0"/>
    <n v="93"/>
    <n v="7359.35"/>
    <n v="10"/>
    <n v="83"/>
    <n v="15.14"/>
    <n v="15"/>
    <n v="22"/>
    <n v="2541"/>
    <n v="0"/>
    <x v="0"/>
    <s v="OK"/>
  </r>
  <r>
    <s v="IT-10003"/>
    <s v="Pressure valve A-3"/>
    <x v="1"/>
    <x v="1"/>
    <x v="0"/>
    <s v="2025-03"/>
    <n v="73.959999999999994"/>
    <n v="79.739999999999995"/>
    <n v="79.321646999999999"/>
    <n v="115.5"/>
    <n v="31"/>
    <n v="28"/>
    <n v="42"/>
    <n v="85"/>
    <n v="6742.34"/>
    <n v="13"/>
    <n v="72"/>
    <n v="11.04"/>
    <n v="2"/>
    <n v="50"/>
    <n v="5775"/>
    <n v="0"/>
    <x v="0"/>
    <s v="OK"/>
  </r>
  <r>
    <s v="IT-10003"/>
    <s v="Pressure valve A-3"/>
    <x v="1"/>
    <x v="1"/>
    <x v="0"/>
    <s v="2025-04"/>
    <n v="76.64"/>
    <n v="82.63"/>
    <n v="79.321667000000005"/>
    <n v="115.5"/>
    <n v="31"/>
    <m/>
    <n v="0"/>
    <n v="72"/>
    <n v="5711.16"/>
    <n v="14"/>
    <n v="58"/>
    <n v="10.77"/>
    <n v="6"/>
    <n v="13"/>
    <n v="1501.5"/>
    <n v="0"/>
    <x v="0"/>
    <s v="OK"/>
  </r>
  <r>
    <s v="IT-10003"/>
    <s v="Pressure valve A-3"/>
    <x v="1"/>
    <x v="1"/>
    <x v="0"/>
    <s v="2025-05"/>
    <n v="74.17"/>
    <n v="79.97"/>
    <n v="79.319999999999993"/>
    <n v="115.5"/>
    <n v="31"/>
    <m/>
    <n v="0"/>
    <n v="2"/>
    <n v="158.63999999999999"/>
    <n v="2"/>
    <n v="0"/>
    <n v="0.2"/>
    <n v="3"/>
    <n v="70"/>
    <n v="8085"/>
    <n v="0"/>
    <x v="0"/>
    <s v="OK"/>
  </r>
  <r>
    <s v="IT-10003"/>
    <s v="Pressure valve A-3"/>
    <x v="1"/>
    <x v="1"/>
    <x v="0"/>
    <s v="2025-06"/>
    <n v="74.209999999999994"/>
    <n v="80.010000000000005"/>
    <n v="80.000776999999999"/>
    <n v="115.5"/>
    <n v="31"/>
    <n v="30"/>
    <n v="148"/>
    <n v="103"/>
    <n v="8240.08"/>
    <n v="4"/>
    <n v="99"/>
    <n v="10.3"/>
    <n v="3"/>
    <n v="47"/>
    <n v="5428.5"/>
    <n v="0"/>
    <x v="0"/>
    <s v="OK"/>
  </r>
  <r>
    <s v="IT-10003"/>
    <s v="Pressure valve A-3"/>
    <x v="1"/>
    <x v="1"/>
    <x v="0"/>
    <s v="2025-07"/>
    <n v="76.39"/>
    <n v="82.36"/>
    <n v="80.938907999999998"/>
    <n v="115.5"/>
    <n v="31"/>
    <n v="30"/>
    <n v="68"/>
    <n v="119"/>
    <n v="9631.73"/>
    <n v="3"/>
    <n v="116"/>
    <n v="9.25"/>
    <n v="5"/>
    <n v="52"/>
    <n v="6006"/>
    <n v="0"/>
    <x v="0"/>
    <s v="OK"/>
  </r>
  <r>
    <s v="IT-10003"/>
    <s v="Pressure valve A-3"/>
    <x v="1"/>
    <x v="1"/>
    <x v="0"/>
    <s v="2025-08"/>
    <n v="75.510000000000005"/>
    <n v="81.41"/>
    <n v="80.938833000000002"/>
    <n v="115.5"/>
    <n v="31"/>
    <m/>
    <n v="0"/>
    <n v="60"/>
    <n v="4856.33"/>
    <n v="4"/>
    <n v="56"/>
    <n v="4.99"/>
    <n v="0"/>
    <n v="59"/>
    <n v="6814.5"/>
    <n v="0"/>
    <x v="0"/>
    <s v="OK"/>
  </r>
  <r>
    <s v="IT-10003"/>
    <s v="Pressure valve A-3"/>
    <x v="1"/>
    <x v="1"/>
    <x v="0"/>
    <s v="2025-09"/>
    <n v="76.180000000000007"/>
    <n v="82.14"/>
    <n v="81.513289"/>
    <n v="115.5"/>
    <n v="31"/>
    <n v="29"/>
    <n v="55"/>
    <n v="76"/>
    <n v="6195.01"/>
    <n v="6"/>
    <n v="70"/>
    <n v="6.66"/>
    <n v="8"/>
    <n v="39"/>
    <n v="4504.5"/>
    <n v="0"/>
    <x v="0"/>
    <s v="OK"/>
  </r>
  <r>
    <s v="IT-10003"/>
    <s v="Pressure valve A-3"/>
    <x v="1"/>
    <x v="1"/>
    <x v="0"/>
    <s v="2025-10"/>
    <n v="75.44"/>
    <n v="81.34"/>
    <n v="81.433466999999993"/>
    <n v="115.5"/>
    <n v="31"/>
    <n v="29"/>
    <n v="65"/>
    <n v="75"/>
    <n v="6107.51"/>
    <n v="8"/>
    <n v="67"/>
    <n v="6.01"/>
    <n v="2"/>
    <n v="66"/>
    <n v="7623"/>
    <n v="0"/>
    <x v="0"/>
    <s v="OK"/>
  </r>
  <r>
    <s v="IT-10003"/>
    <s v="Pressure valve A-3"/>
    <x v="1"/>
    <x v="1"/>
    <x v="0"/>
    <s v="2025-11"/>
    <n v="75.41"/>
    <n v="81.31"/>
    <n v="81.381724000000006"/>
    <n v="115.5"/>
    <n v="31"/>
    <n v="28"/>
    <n v="54"/>
    <n v="58"/>
    <n v="4720.1400000000003"/>
    <n v="6"/>
    <n v="52"/>
    <n v="4.28"/>
    <n v="1"/>
    <n v="71"/>
    <n v="8200.5"/>
    <n v="0"/>
    <x v="0"/>
    <s v="OK"/>
  </r>
  <r>
    <s v="IT-10003"/>
    <s v="Pressure valve A-3"/>
    <x v="1"/>
    <x v="1"/>
    <x v="0"/>
    <s v="2025-12"/>
    <n v="74.599999999999994"/>
    <n v="80.430000000000007"/>
    <n v="81.381724000000006"/>
    <n v="115.5"/>
    <n v="31"/>
    <m/>
    <n v="0"/>
    <n v="0"/>
    <n v="0"/>
    <n v="0"/>
    <n v="0"/>
    <n v="0"/>
    <n v="0"/>
    <n v="58"/>
    <n v="6699"/>
    <n v="10"/>
    <x v="1"/>
    <s v="OK"/>
  </r>
  <r>
    <s v="IT-10003"/>
    <s v="Pressure valve A-3"/>
    <x v="1"/>
    <x v="1"/>
    <x v="0"/>
    <s v="2026-01"/>
    <n v="76.72"/>
    <n v="82.72"/>
    <n v="82.72"/>
    <n v="115.5"/>
    <n v="31"/>
    <n v="31"/>
    <n v="151"/>
    <n v="99"/>
    <n v="8189.28"/>
    <n v="7"/>
    <n v="92"/>
    <n v="7.19"/>
    <n v="11"/>
    <n v="52"/>
    <n v="6006"/>
    <n v="0"/>
    <x v="0"/>
    <s v="OK"/>
  </r>
  <r>
    <s v="IT-10003"/>
    <s v="Pressure valve A-3"/>
    <x v="1"/>
    <x v="1"/>
    <x v="0"/>
    <s v="2026-02"/>
    <n v="77.010000000000005"/>
    <n v="83.03"/>
    <n v="82.812353000000002"/>
    <n v="122.04"/>
    <n v="31"/>
    <n v="28"/>
    <n v="42"/>
    <n v="119"/>
    <n v="9854.67"/>
    <n v="4"/>
    <n v="115"/>
    <n v="11.59"/>
    <n v="0"/>
    <n v="22"/>
    <n v="2684.88"/>
    <n v="0"/>
    <x v="0"/>
    <s v="OK"/>
  </r>
  <r>
    <s v="IT-10003"/>
    <s v="Pressure valve A-3"/>
    <x v="1"/>
    <x v="1"/>
    <x v="0"/>
    <s v="2026-03"/>
    <n v="79.27"/>
    <n v="85.47"/>
    <n v="82.812308000000002"/>
    <n v="122.04"/>
    <n v="31"/>
    <m/>
    <n v="0"/>
    <n v="78"/>
    <n v="6459.36"/>
    <n v="6"/>
    <n v="72"/>
    <n v="8.7200000000000006"/>
    <n v="5"/>
    <n v="41"/>
    <n v="5003.6400000000003"/>
    <n v="0"/>
    <x v="0"/>
    <s v="OK"/>
  </r>
  <r>
    <s v="IT-10003"/>
    <s v="Pressure valve A-3"/>
    <x v="1"/>
    <x v="1"/>
    <x v="0"/>
    <s v="2026-04"/>
    <n v="76.84"/>
    <n v="82.85"/>
    <n v="82.826144999999997"/>
    <n v="122.04"/>
    <n v="31"/>
    <n v="27"/>
    <n v="45"/>
    <n v="83"/>
    <n v="6874.57"/>
    <n v="4"/>
    <n v="79"/>
    <n v="10.25"/>
    <n v="8"/>
    <n v="40"/>
    <n v="4881.6000000000004"/>
    <n v="0"/>
    <x v="0"/>
    <s v="OK"/>
  </r>
  <r>
    <s v="IT-10003"/>
    <s v="Pressure valve A-3"/>
    <x v="1"/>
    <x v="1"/>
    <x v="0"/>
    <s v="2026-05"/>
    <n v="78.209999999999994"/>
    <n v="84.33"/>
    <n v="82.826053000000002"/>
    <n v="122.04"/>
    <n v="31"/>
    <m/>
    <n v="0"/>
    <n v="38"/>
    <n v="3147.39"/>
    <n v="13"/>
    <n v="25"/>
    <n v="3.96"/>
    <n v="2"/>
    <n v="45"/>
    <n v="5491.8"/>
    <n v="0"/>
    <x v="0"/>
    <s v="OK"/>
  </r>
  <r>
    <s v="IT-10003"/>
    <s v="Pressure valve A-3"/>
    <x v="1"/>
    <x v="1"/>
    <x v="0"/>
    <s v="2026-06"/>
    <n v="78.260000000000005"/>
    <n v="84.38"/>
    <n v="83.650908999999999"/>
    <n v="122.04"/>
    <n v="31"/>
    <n v="27"/>
    <n v="43"/>
    <n v="22"/>
    <n v="1840.32"/>
    <n v="11"/>
    <n v="11"/>
    <n v="1.99"/>
    <n v="2"/>
    <n v="59"/>
    <n v="7200.36"/>
    <n v="0"/>
    <x v="0"/>
    <s v="OK"/>
  </r>
  <r>
    <s v="IT-10003"/>
    <s v="Pressure valve A-3"/>
    <x v="1"/>
    <x v="1"/>
    <x v="0"/>
    <s v="2026-07"/>
    <n v="77.62"/>
    <n v="83.69"/>
    <n v="83.650908999999999"/>
    <n v="122.04"/>
    <n v="31"/>
    <m/>
    <n v="0"/>
    <n v="0"/>
    <n v="0"/>
    <n v="0"/>
    <n v="0"/>
    <n v="0"/>
    <n v="1"/>
    <n v="22"/>
    <n v="2684.88"/>
    <n v="53"/>
    <x v="1"/>
    <s v="OK"/>
  </r>
  <r>
    <s v="IT-10003"/>
    <s v="Pressure valve A-3"/>
    <x v="1"/>
    <x v="1"/>
    <x v="0"/>
    <s v="2026-08"/>
    <n v="78.16"/>
    <n v="84.27"/>
    <n v="84.27"/>
    <n v="122.04"/>
    <n v="31"/>
    <n v="44"/>
    <n v="48"/>
    <n v="0"/>
    <n v="0"/>
    <n v="0"/>
    <n v="0"/>
    <n v="0"/>
    <n v="8"/>
    <n v="48"/>
    <n v="5857.92"/>
    <n v="4"/>
    <x v="1"/>
    <s v="OK"/>
  </r>
  <r>
    <s v="IT-10004"/>
    <s v="Filter cartridge A-4"/>
    <x v="1"/>
    <x v="1"/>
    <x v="0"/>
    <s v="2024-09"/>
    <n v="90.37"/>
    <n v="90.37"/>
    <n v="89.853333000000006"/>
    <n v="123.98"/>
    <n v="39"/>
    <m/>
    <n v="0"/>
    <n v="0"/>
    <n v="0"/>
    <n v="0"/>
    <n v="0"/>
    <n v="0"/>
    <n v="15"/>
    <n v="21"/>
    <n v="2603.58"/>
    <n v="1"/>
    <x v="1"/>
    <s v="OK"/>
  </r>
  <r>
    <s v="IT-10004"/>
    <s v="Filter cartridge A-4"/>
    <x v="1"/>
    <x v="1"/>
    <x v="0"/>
    <s v="2024-10"/>
    <n v="89.14"/>
    <n v="89.14"/>
    <n v="89.14"/>
    <n v="123.98"/>
    <n v="39"/>
    <n v="37"/>
    <n v="33"/>
    <n v="22"/>
    <n v="1961.08"/>
    <n v="5"/>
    <n v="17"/>
    <n v="6.43"/>
    <n v="0"/>
    <n v="11"/>
    <n v="1363.78"/>
    <n v="0"/>
    <x v="0"/>
    <s v="OK"/>
  </r>
  <r>
    <s v="IT-10004"/>
    <s v="Filter cartridge A-4"/>
    <x v="1"/>
    <x v="1"/>
    <x v="0"/>
    <s v="2024-11"/>
    <n v="88.63"/>
    <n v="88.63"/>
    <n v="88.933125000000004"/>
    <n v="123.98"/>
    <n v="39"/>
    <n v="36"/>
    <n v="15"/>
    <n v="16"/>
    <n v="1422.93"/>
    <n v="2"/>
    <n v="14"/>
    <n v="3.92"/>
    <n v="7"/>
    <n v="21"/>
    <n v="2603.58"/>
    <n v="0"/>
    <x v="0"/>
    <s v="OK"/>
  </r>
  <r>
    <s v="IT-10004"/>
    <s v="Filter cartridge A-4"/>
    <x v="1"/>
    <x v="1"/>
    <x v="0"/>
    <s v="2024-12"/>
    <n v="89.59"/>
    <n v="89.59"/>
    <n v="89.271332999999998"/>
    <n v="123.98"/>
    <n v="39"/>
    <n v="37"/>
    <n v="17"/>
    <n v="15"/>
    <n v="1339.07"/>
    <n v="1"/>
    <n v="14"/>
    <n v="3.94"/>
    <n v="0"/>
    <n v="18"/>
    <n v="2231.64"/>
    <n v="0"/>
    <x v="0"/>
    <s v="OK"/>
  </r>
  <r>
    <s v="IT-10004"/>
    <s v="Filter cartridge A-4"/>
    <x v="1"/>
    <x v="1"/>
    <x v="0"/>
    <s v="2025-01"/>
    <n v="94.02"/>
    <n v="94.02"/>
    <n v="91.722104999999999"/>
    <n v="123.98"/>
    <n v="39"/>
    <n v="38"/>
    <n v="16"/>
    <n v="19"/>
    <n v="1742.72"/>
    <n v="4"/>
    <n v="15"/>
    <n v="4.9000000000000004"/>
    <n v="0"/>
    <n v="12"/>
    <n v="1487.76"/>
    <n v="0"/>
    <x v="0"/>
    <s v="OK"/>
  </r>
  <r>
    <s v="IT-10004"/>
    <s v="Filter cartridge A-4"/>
    <x v="1"/>
    <x v="1"/>
    <x v="0"/>
    <s v="2025-02"/>
    <n v="93.27"/>
    <n v="93.27"/>
    <n v="92.404814999999999"/>
    <n v="129.43"/>
    <n v="39"/>
    <n v="38"/>
    <n v="15"/>
    <n v="27"/>
    <n v="2494.9299999999998"/>
    <n v="3"/>
    <n v="24"/>
    <n v="9.3800000000000008"/>
    <n v="1"/>
    <n v="7"/>
    <n v="906.01"/>
    <n v="0"/>
    <x v="0"/>
    <s v="OK"/>
  </r>
  <r>
    <s v="IT-10004"/>
    <s v="Filter cartridge A-4"/>
    <x v="1"/>
    <x v="1"/>
    <x v="0"/>
    <s v="2025-03"/>
    <n v="94.51"/>
    <n v="94.51"/>
    <n v="92.404544999999999"/>
    <n v="129.43"/>
    <n v="39"/>
    <m/>
    <n v="0"/>
    <n v="11"/>
    <n v="1016.45"/>
    <n v="2"/>
    <n v="9"/>
    <n v="4.04"/>
    <n v="3"/>
    <n v="16"/>
    <n v="2070.88"/>
    <n v="0"/>
    <x v="0"/>
    <s v="OK"/>
  </r>
  <r>
    <s v="IT-10004"/>
    <s v="Filter cartridge A-4"/>
    <x v="1"/>
    <x v="1"/>
    <x v="0"/>
    <s v="2025-04"/>
    <n v="93.05"/>
    <n v="93.05"/>
    <n v="92.404544999999999"/>
    <n v="129.43"/>
    <n v="39"/>
    <m/>
    <n v="0"/>
    <n v="0"/>
    <n v="0"/>
    <n v="0"/>
    <n v="0"/>
    <n v="0"/>
    <n v="3"/>
    <n v="11"/>
    <n v="1423.73"/>
    <n v="14"/>
    <x v="1"/>
    <s v="OK"/>
  </r>
  <r>
    <s v="IT-10004"/>
    <s v="Filter cartridge A-4"/>
    <x v="1"/>
    <x v="1"/>
    <x v="0"/>
    <s v="2025-05"/>
    <n v="94.58"/>
    <n v="94.58"/>
    <n v="94.58"/>
    <n v="129.43"/>
    <n v="39"/>
    <n v="34"/>
    <n v="46"/>
    <n v="39"/>
    <n v="3688.62"/>
    <n v="4"/>
    <n v="35"/>
    <n v="15.08"/>
    <n v="9"/>
    <n v="7"/>
    <n v="906.01"/>
    <n v="0"/>
    <x v="0"/>
    <s v="OK"/>
  </r>
  <r>
    <s v="IT-10004"/>
    <s v="Filter cartridge A-4"/>
    <x v="1"/>
    <x v="1"/>
    <x v="0"/>
    <s v="2025-06"/>
    <n v="94.06"/>
    <n v="94.06"/>
    <n v="94.58"/>
    <n v="129.43"/>
    <n v="39"/>
    <m/>
    <n v="0"/>
    <n v="29"/>
    <n v="2742.82"/>
    <n v="4"/>
    <n v="25"/>
    <n v="13.46"/>
    <n v="9"/>
    <n v="10"/>
    <n v="1294.3"/>
    <n v="0"/>
    <x v="0"/>
    <s v="OK"/>
  </r>
  <r>
    <s v="IT-10004"/>
    <s v="Filter cartridge A-4"/>
    <x v="1"/>
    <x v="1"/>
    <x v="0"/>
    <s v="2025-07"/>
    <n v="92.48"/>
    <n v="92.48"/>
    <n v="93.864074000000002"/>
    <n v="129.43"/>
    <n v="39"/>
    <n v="37"/>
    <n v="15"/>
    <n v="27"/>
    <n v="2534.33"/>
    <n v="3"/>
    <n v="24"/>
    <n v="10.44"/>
    <n v="3"/>
    <n v="17"/>
    <n v="2200.31"/>
    <n v="0"/>
    <x v="0"/>
    <s v="OK"/>
  </r>
  <r>
    <s v="IT-10004"/>
    <s v="Filter cartridge A-4"/>
    <x v="1"/>
    <x v="1"/>
    <x v="0"/>
    <s v="2025-08"/>
    <n v="91.79"/>
    <n v="91.79"/>
    <n v="93.123333000000002"/>
    <n v="129.43"/>
    <n v="39"/>
    <n v="37"/>
    <n v="15"/>
    <n v="24"/>
    <n v="2234.96"/>
    <n v="4"/>
    <n v="20"/>
    <n v="7.01"/>
    <n v="6"/>
    <n v="18"/>
    <n v="2329.7399999999998"/>
    <n v="0"/>
    <x v="0"/>
    <s v="OK"/>
  </r>
  <r>
    <s v="IT-10004"/>
    <s v="Filter cartridge A-4"/>
    <x v="1"/>
    <x v="1"/>
    <x v="0"/>
    <s v="2025-09"/>
    <n v="92.99"/>
    <n v="92.99"/>
    <n v="93.123529000000005"/>
    <n v="129.43"/>
    <n v="39"/>
    <m/>
    <n v="0"/>
    <n v="17"/>
    <n v="1583.1"/>
    <n v="3"/>
    <n v="14"/>
    <n v="5.32"/>
    <n v="0"/>
    <n v="7"/>
    <n v="906.01"/>
    <n v="0"/>
    <x v="0"/>
    <s v="OK"/>
  </r>
  <r>
    <s v="IT-10004"/>
    <s v="Filter cartridge A-4"/>
    <x v="1"/>
    <x v="1"/>
    <x v="0"/>
    <s v="2025-10"/>
    <n v="91.28"/>
    <n v="91.28"/>
    <n v="92.259"/>
    <n v="129.43"/>
    <n v="39"/>
    <n v="36"/>
    <n v="15"/>
    <n v="10"/>
    <n v="922.59"/>
    <n v="3"/>
    <n v="7"/>
    <n v="2.8"/>
    <n v="2"/>
    <n v="22"/>
    <n v="2847.46"/>
    <n v="0"/>
    <x v="0"/>
    <s v="OK"/>
  </r>
  <r>
    <s v="IT-10004"/>
    <s v="Filter cartridge A-4"/>
    <x v="1"/>
    <x v="1"/>
    <x v="0"/>
    <s v="2025-11"/>
    <n v="92.56"/>
    <n v="92.56"/>
    <n v="92.44"/>
    <n v="129.43"/>
    <n v="39"/>
    <n v="54"/>
    <n v="15"/>
    <n v="12"/>
    <n v="1109.28"/>
    <n v="3"/>
    <n v="9"/>
    <n v="3.71"/>
    <n v="1"/>
    <n v="13"/>
    <n v="1682.59"/>
    <n v="0"/>
    <x v="0"/>
    <s v="OK"/>
  </r>
  <r>
    <s v="IT-10004"/>
    <s v="Filter cartridge A-4"/>
    <x v="1"/>
    <x v="1"/>
    <x v="0"/>
    <s v="2025-12"/>
    <n v="92.24"/>
    <n v="92.24"/>
    <n v="92.312856999999994"/>
    <n v="129.43"/>
    <n v="39"/>
    <n v="51"/>
    <n v="21"/>
    <n v="14"/>
    <n v="1292.3800000000001"/>
    <n v="4"/>
    <n v="10"/>
    <n v="3.41"/>
    <n v="4"/>
    <n v="19"/>
    <n v="2459.17"/>
    <n v="0"/>
    <x v="0"/>
    <s v="OK"/>
  </r>
  <r>
    <s v="IT-10004"/>
    <s v="Filter cartridge A-4"/>
    <x v="1"/>
    <x v="1"/>
    <x v="0"/>
    <s v="2026-01"/>
    <n v="97.29"/>
    <n v="97.29"/>
    <n v="94.887241000000003"/>
    <n v="129.43"/>
    <n v="39"/>
    <n v="36"/>
    <n v="15"/>
    <n v="29"/>
    <n v="2751.73"/>
    <n v="5"/>
    <n v="24"/>
    <n v="11.91"/>
    <n v="35"/>
    <n v="0"/>
    <n v="0"/>
    <n v="0"/>
    <x v="0"/>
    <s v="OK"/>
  </r>
  <r>
    <s v="IT-10004"/>
    <s v="Filter cartridge A-4"/>
    <x v="1"/>
    <x v="1"/>
    <x v="0"/>
    <s v="2026-02"/>
    <n v="98.19"/>
    <n v="98.19"/>
    <n v="96.013333000000003"/>
    <n v="135.12"/>
    <n v="39"/>
    <n v="36"/>
    <n v="15"/>
    <n v="24"/>
    <n v="2304.3200000000002"/>
    <n v="4"/>
    <n v="20"/>
    <n v="7.91"/>
    <n v="10"/>
    <n v="20"/>
    <n v="2702.4"/>
    <n v="0"/>
    <x v="0"/>
    <s v="OK"/>
  </r>
  <r>
    <s v="IT-10004"/>
    <s v="Filter cartridge A-4"/>
    <x v="1"/>
    <x v="1"/>
    <x v="0"/>
    <s v="2026-03"/>
    <n v="96.79"/>
    <n v="96.79"/>
    <n v="96.013076999999996"/>
    <n v="135.12"/>
    <n v="39"/>
    <m/>
    <n v="0"/>
    <n v="13"/>
    <n v="1248.17"/>
    <n v="4"/>
    <n v="9"/>
    <n v="5.39"/>
    <n v="8"/>
    <n v="11"/>
    <n v="1486.32"/>
    <n v="0"/>
    <x v="0"/>
    <s v="OK"/>
  </r>
  <r>
    <s v="IT-10004"/>
    <s v="Filter cartridge A-4"/>
    <x v="1"/>
    <x v="1"/>
    <x v="0"/>
    <s v="2026-04"/>
    <n v="96.98"/>
    <n v="96.98"/>
    <n v="96.657857000000007"/>
    <n v="135.12"/>
    <n v="39"/>
    <n v="35"/>
    <n v="26"/>
    <n v="28"/>
    <n v="2706.42"/>
    <n v="3"/>
    <n v="25"/>
    <n v="8.48"/>
    <n v="0"/>
    <n v="11"/>
    <n v="1486.32"/>
    <n v="0"/>
    <x v="0"/>
    <s v="OK"/>
  </r>
  <r>
    <s v="IT-10004"/>
    <s v="Filter cartridge A-4"/>
    <x v="1"/>
    <x v="1"/>
    <x v="0"/>
    <s v="2026-05"/>
    <n v="96.87"/>
    <n v="96.87"/>
    <n v="96.732105000000004"/>
    <n v="135.12"/>
    <n v="39"/>
    <n v="38"/>
    <n v="15"/>
    <n v="19"/>
    <n v="1837.91"/>
    <n v="1"/>
    <n v="18"/>
    <n v="5.43"/>
    <n v="2"/>
    <n v="24"/>
    <n v="3242.88"/>
    <n v="0"/>
    <x v="0"/>
    <s v="OK"/>
  </r>
  <r>
    <s v="IT-10004"/>
    <s v="Filter cartridge A-4"/>
    <x v="1"/>
    <x v="1"/>
    <x v="0"/>
    <s v="2026-06"/>
    <n v="98.04"/>
    <n v="98.04"/>
    <n v="96.731667000000002"/>
    <n v="135.12"/>
    <n v="39"/>
    <m/>
    <n v="0"/>
    <n v="6"/>
    <n v="580.39"/>
    <n v="5"/>
    <n v="1"/>
    <n v="1.63"/>
    <n v="0"/>
    <n v="13"/>
    <n v="1756.56"/>
    <n v="0"/>
    <x v="0"/>
    <s v="OK"/>
  </r>
  <r>
    <s v="IT-10004"/>
    <s v="Filter cartridge A-4"/>
    <x v="1"/>
    <x v="1"/>
    <x v="0"/>
    <s v="2026-07"/>
    <n v="98"/>
    <n v="98"/>
    <n v="97.695333000000005"/>
    <n v="135.12"/>
    <n v="39"/>
    <n v="38"/>
    <n v="19"/>
    <n v="15"/>
    <n v="1465.43"/>
    <n v="4"/>
    <n v="11"/>
    <n v="4.1900000000000004"/>
    <n v="13"/>
    <n v="10"/>
    <n v="1351.2"/>
    <n v="0"/>
    <x v="0"/>
    <s v="OK"/>
  </r>
  <r>
    <s v="IT-10004"/>
    <s v="Filter cartridge A-4"/>
    <x v="1"/>
    <x v="1"/>
    <x v="0"/>
    <s v="2026-08"/>
    <n v="96.28"/>
    <n v="96.28"/>
    <n v="96.923000000000002"/>
    <n v="135.12"/>
    <n v="39"/>
    <n v="35"/>
    <n v="18"/>
    <n v="10"/>
    <n v="969.23"/>
    <n v="1"/>
    <n v="9"/>
    <n v="2.86"/>
    <n v="2"/>
    <n v="23"/>
    <n v="3107.76"/>
    <n v="0"/>
    <x v="0"/>
    <s v="OK"/>
  </r>
  <r>
    <s v="IT-10005"/>
    <s v="Hydraulic hose L-5"/>
    <x v="1"/>
    <x v="1"/>
    <x v="0"/>
    <s v="2024-09"/>
    <n v="1.04"/>
    <n v="1.1100000000000001"/>
    <n v="1.113124"/>
    <n v="1.5"/>
    <n v="16"/>
    <m/>
    <n v="0"/>
    <n v="477"/>
    <n v="530.96"/>
    <n v="62"/>
    <n v="415"/>
    <n v="13.9"/>
    <n v="0"/>
    <n v="87"/>
    <n v="130.5"/>
    <n v="0"/>
    <x v="0"/>
    <s v="OK"/>
  </r>
  <r>
    <s v="IT-10005"/>
    <s v="Hydraulic hose L-5"/>
    <x v="1"/>
    <x v="1"/>
    <x v="0"/>
    <s v="2024-10"/>
    <n v="1.03"/>
    <n v="1.1000000000000001"/>
    <n v="1.108776"/>
    <n v="1.5"/>
    <n v="16"/>
    <n v="21"/>
    <n v="236"/>
    <n v="441"/>
    <n v="488.97"/>
    <n v="62"/>
    <n v="379"/>
    <n v="9.98"/>
    <n v="2"/>
    <n v="272"/>
    <n v="408"/>
    <n v="0"/>
    <x v="0"/>
    <s v="OK"/>
  </r>
  <r>
    <s v="IT-10005"/>
    <s v="Hydraulic hose L-5"/>
    <x v="1"/>
    <x v="1"/>
    <x v="0"/>
    <s v="2024-11"/>
    <n v="1.04"/>
    <n v="1.1100000000000001"/>
    <n v="1.1090059999999999"/>
    <n v="1.5"/>
    <n v="16"/>
    <n v="21"/>
    <n v="111"/>
    <n v="312"/>
    <n v="346.01"/>
    <n v="23"/>
    <n v="289"/>
    <n v="6.77"/>
    <n v="0"/>
    <n v="240"/>
    <n v="360"/>
    <n v="0"/>
    <x v="0"/>
    <s v="OK"/>
  </r>
  <r>
    <s v="IT-10005"/>
    <s v="Hydraulic hose L-5"/>
    <x v="1"/>
    <x v="1"/>
    <x v="0"/>
    <s v="2024-12"/>
    <n v="1.05"/>
    <n v="1.1200000000000001"/>
    <n v="1.115148"/>
    <n v="1.5"/>
    <n v="16"/>
    <n v="14"/>
    <n v="396"/>
    <n v="507"/>
    <n v="565.38"/>
    <n v="23"/>
    <n v="484"/>
    <n v="9.35"/>
    <n v="0"/>
    <n v="201"/>
    <n v="301.5"/>
    <n v="0"/>
    <x v="0"/>
    <s v="OK"/>
  </r>
  <r>
    <s v="IT-10005"/>
    <s v="Hydraulic hose L-5"/>
    <x v="1"/>
    <x v="1"/>
    <x v="0"/>
    <s v="2025-01"/>
    <n v="1.0900000000000001"/>
    <n v="1.1599999999999999"/>
    <n v="1.1289800000000001"/>
    <n v="1.5"/>
    <n v="16"/>
    <n v="16"/>
    <n v="226"/>
    <n v="539"/>
    <n v="608.52"/>
    <n v="70"/>
    <n v="469"/>
    <n v="11.16"/>
    <n v="0"/>
    <n v="194"/>
    <n v="291"/>
    <n v="0"/>
    <x v="0"/>
    <s v="OK"/>
  </r>
  <r>
    <s v="IT-10005"/>
    <s v="Hydraulic hose L-5"/>
    <x v="1"/>
    <x v="1"/>
    <x v="0"/>
    <s v="2025-02"/>
    <n v="1.08"/>
    <n v="1.1499999999999999"/>
    <n v="1.1289899999999999"/>
    <n v="1.58"/>
    <n v="16"/>
    <m/>
    <n v="0"/>
    <n v="396"/>
    <n v="447.08"/>
    <n v="39"/>
    <n v="357"/>
    <n v="9.4600000000000009"/>
    <n v="0"/>
    <n v="143"/>
    <n v="225.94"/>
    <n v="0"/>
    <x v="0"/>
    <s v="OK"/>
  </r>
  <r>
    <s v="IT-10005"/>
    <s v="Hydraulic hose L-5"/>
    <x v="1"/>
    <x v="1"/>
    <x v="0"/>
    <s v="2025-03"/>
    <n v="1.07"/>
    <n v="1.1399999999999999"/>
    <n v="1.1327050000000001"/>
    <n v="1.58"/>
    <n v="16"/>
    <n v="14"/>
    <n v="202"/>
    <n v="440"/>
    <n v="498.39"/>
    <n v="47"/>
    <n v="393"/>
    <n v="11.43"/>
    <n v="1"/>
    <n v="158"/>
    <n v="249.64"/>
    <n v="0"/>
    <x v="0"/>
    <s v="OK"/>
  </r>
  <r>
    <s v="IT-10005"/>
    <s v="Hydraulic hose L-5"/>
    <x v="1"/>
    <x v="1"/>
    <x v="0"/>
    <s v="2025-04"/>
    <n v="1.08"/>
    <n v="1.1499999999999999"/>
    <n v="1.1367590000000001"/>
    <n v="1.58"/>
    <n v="16"/>
    <n v="24"/>
    <n v="135"/>
    <n v="361"/>
    <n v="410.37"/>
    <n v="23"/>
    <n v="338"/>
    <n v="8.91"/>
    <n v="4"/>
    <n v="214"/>
    <n v="338.12"/>
    <n v="0"/>
    <x v="0"/>
    <s v="OK"/>
  </r>
  <r>
    <s v="IT-10005"/>
    <s v="Hydraulic hose L-5"/>
    <x v="1"/>
    <x v="1"/>
    <x v="0"/>
    <s v="2025-05"/>
    <n v="1.0900000000000001"/>
    <n v="1.1599999999999999"/>
    <n v="1.1487289999999999"/>
    <n v="1.58"/>
    <n v="16"/>
    <n v="29"/>
    <n v="383"/>
    <n v="480"/>
    <n v="551.39"/>
    <n v="16"/>
    <n v="464"/>
    <n v="9.92"/>
    <n v="1"/>
    <n v="264"/>
    <n v="417.12"/>
    <n v="0"/>
    <x v="0"/>
    <s v="OK"/>
  </r>
  <r>
    <s v="IT-10005"/>
    <s v="Hydraulic hose L-5"/>
    <x v="1"/>
    <x v="1"/>
    <x v="0"/>
    <s v="2025-06"/>
    <n v="1.08"/>
    <n v="1.1499999999999999"/>
    <n v="1.149132"/>
    <n v="1.58"/>
    <n v="16"/>
    <n v="14"/>
    <n v="222"/>
    <n v="507"/>
    <n v="582.61"/>
    <n v="78"/>
    <n v="429"/>
    <n v="9.7899999999999991"/>
    <n v="1"/>
    <n v="195"/>
    <n v="308.10000000000002"/>
    <n v="0"/>
    <x v="0"/>
    <s v="OK"/>
  </r>
  <r>
    <s v="IT-10005"/>
    <s v="Hydraulic hose L-5"/>
    <x v="1"/>
    <x v="1"/>
    <x v="0"/>
    <s v="2025-07"/>
    <n v="1.0900000000000001"/>
    <n v="1.1599999999999999"/>
    <n v="1.151294"/>
    <n v="1.58"/>
    <n v="16"/>
    <n v="15"/>
    <n v="126"/>
    <n v="201"/>
    <n v="231.41"/>
    <n v="23"/>
    <n v="178"/>
    <n v="2.96"/>
    <n v="0"/>
    <n v="432"/>
    <n v="682.56"/>
    <n v="0"/>
    <x v="0"/>
    <s v="OK"/>
  </r>
  <r>
    <s v="IT-10005"/>
    <s v="Hydraulic hose L-5"/>
    <x v="1"/>
    <x v="1"/>
    <x v="0"/>
    <s v="2025-08"/>
    <n v="1.07"/>
    <n v="1.1399999999999999"/>
    <n v="1.1435390000000001"/>
    <n v="1.58"/>
    <n v="16"/>
    <n v="14"/>
    <n v="442"/>
    <n v="308"/>
    <n v="352.21"/>
    <n v="39"/>
    <n v="269"/>
    <n v="4.21"/>
    <n v="4"/>
    <n v="335"/>
    <n v="529.29999999999995"/>
    <n v="0"/>
    <x v="0"/>
    <s v="OK"/>
  </r>
  <r>
    <s v="IT-10005"/>
    <s v="Hydraulic hose L-5"/>
    <x v="1"/>
    <x v="1"/>
    <x v="0"/>
    <s v="2025-09"/>
    <n v="1.1000000000000001"/>
    <n v="1.17"/>
    <n v="1.155152"/>
    <n v="1.58"/>
    <n v="16"/>
    <n v="14"/>
    <n v="241"/>
    <n v="396"/>
    <n v="457.44"/>
    <n v="39"/>
    <n v="357"/>
    <n v="5.66"/>
    <n v="6"/>
    <n v="153"/>
    <n v="241.74"/>
    <n v="0"/>
    <x v="0"/>
    <s v="OK"/>
  </r>
  <r>
    <s v="IT-10005"/>
    <s v="Hydraulic hose L-5"/>
    <x v="1"/>
    <x v="1"/>
    <x v="0"/>
    <s v="2025-10"/>
    <n v="1.1000000000000001"/>
    <n v="1.17"/>
    <n v="1.162209"/>
    <n v="1.58"/>
    <n v="16"/>
    <n v="16"/>
    <n v="359"/>
    <n v="602"/>
    <n v="699.65"/>
    <n v="23"/>
    <n v="579"/>
    <n v="12.34"/>
    <n v="0"/>
    <n v="153"/>
    <n v="241.74"/>
    <n v="0"/>
    <x v="0"/>
    <s v="OK"/>
  </r>
  <r>
    <s v="IT-10005"/>
    <s v="Hydraulic hose L-5"/>
    <x v="1"/>
    <x v="1"/>
    <x v="0"/>
    <s v="2025-11"/>
    <n v="1.07"/>
    <n v="1.1399999999999999"/>
    <n v="1.1590450000000001"/>
    <n v="1.58"/>
    <n v="16"/>
    <n v="15"/>
    <n v="100"/>
    <n v="513"/>
    <n v="594.59"/>
    <n v="62"/>
    <n v="451"/>
    <n v="13.47"/>
    <n v="1"/>
    <n v="189"/>
    <n v="298.62"/>
    <n v="0"/>
    <x v="0"/>
    <s v="OK"/>
  </r>
  <r>
    <s v="IT-10005"/>
    <s v="Hydraulic hose L-5"/>
    <x v="1"/>
    <x v="1"/>
    <x v="0"/>
    <s v="2025-12"/>
    <n v="1.0900000000000001"/>
    <n v="1.1599999999999999"/>
    <n v="1.159265"/>
    <n v="1.58"/>
    <n v="16"/>
    <n v="14"/>
    <n v="163"/>
    <n v="340"/>
    <n v="394.15"/>
    <n v="78"/>
    <n v="262"/>
    <n v="6.59"/>
    <n v="1"/>
    <n v="336"/>
    <n v="530.88"/>
    <n v="0"/>
    <x v="0"/>
    <s v="OK"/>
  </r>
  <r>
    <s v="IT-10005"/>
    <s v="Hydraulic hose L-5"/>
    <x v="1"/>
    <x v="1"/>
    <x v="0"/>
    <s v="2026-01"/>
    <n v="1.1200000000000001"/>
    <n v="1.19"/>
    <n v="1.175691"/>
    <n v="1.58"/>
    <n v="16"/>
    <n v="16"/>
    <n v="390"/>
    <n v="615"/>
    <n v="723.05"/>
    <n v="31"/>
    <n v="584"/>
    <n v="12.63"/>
    <n v="4"/>
    <n v="115"/>
    <n v="181.7"/>
    <n v="0"/>
    <x v="0"/>
    <s v="OK"/>
  </r>
  <r>
    <s v="IT-10005"/>
    <s v="Hydraulic hose L-5"/>
    <x v="1"/>
    <x v="1"/>
    <x v="0"/>
    <s v="2026-02"/>
    <n v="1.1200000000000001"/>
    <n v="1.19"/>
    <n v="1.175692"/>
    <n v="1.66"/>
    <n v="16"/>
    <m/>
    <n v="0"/>
    <n v="448"/>
    <n v="526.71"/>
    <n v="16"/>
    <n v="432"/>
    <n v="9.32"/>
    <n v="0"/>
    <n v="167"/>
    <n v="277.22000000000003"/>
    <n v="0"/>
    <x v="0"/>
    <s v="OK"/>
  </r>
  <r>
    <s v="IT-10005"/>
    <s v="Hydraulic hose L-5"/>
    <x v="1"/>
    <x v="1"/>
    <x v="0"/>
    <s v="2026-03"/>
    <n v="1.1299999999999999"/>
    <n v="1.21"/>
    <n v="1.190623"/>
    <n v="1.66"/>
    <n v="16"/>
    <n v="15"/>
    <n v="345"/>
    <n v="610"/>
    <n v="726.28"/>
    <n v="16"/>
    <n v="594"/>
    <n v="16.87"/>
    <n v="1"/>
    <n v="183"/>
    <n v="303.77999999999997"/>
    <n v="0"/>
    <x v="0"/>
    <s v="OK"/>
  </r>
  <r>
    <s v="IT-10005"/>
    <s v="Hydraulic hose L-5"/>
    <x v="1"/>
    <x v="1"/>
    <x v="0"/>
    <s v="2026-04"/>
    <n v="1.1499999999999999"/>
    <n v="1.23"/>
    <n v="1.196172"/>
    <n v="1.66"/>
    <n v="16"/>
    <n v="15"/>
    <n v="100"/>
    <n v="606"/>
    <n v="724.88"/>
    <n v="47"/>
    <n v="559"/>
    <n v="16.97"/>
    <n v="3"/>
    <n v="104"/>
    <n v="172.64"/>
    <n v="0"/>
    <x v="0"/>
    <s v="OK"/>
  </r>
  <r>
    <s v="IT-10005"/>
    <s v="Hydraulic hose L-5"/>
    <x v="1"/>
    <x v="1"/>
    <x v="0"/>
    <s v="2026-05"/>
    <n v="1.1499999999999999"/>
    <n v="1.23"/>
    <n v="1.206019"/>
    <n v="1.66"/>
    <n v="16"/>
    <n v="14"/>
    <n v="249"/>
    <n v="648"/>
    <n v="781.5"/>
    <n v="39"/>
    <n v="609"/>
    <n v="17.239999999999998"/>
    <n v="0"/>
    <n v="207"/>
    <n v="343.62"/>
    <n v="0"/>
    <x v="0"/>
    <s v="OK"/>
  </r>
  <r>
    <s v="IT-10005"/>
    <s v="Hydraulic hose L-5"/>
    <x v="1"/>
    <x v="1"/>
    <x v="0"/>
    <s v="2026-06"/>
    <n v="1.1100000000000001"/>
    <n v="1.18"/>
    <n v="1.206024"/>
    <n v="1.66"/>
    <n v="16"/>
    <m/>
    <n v="0"/>
    <n v="415"/>
    <n v="500.5"/>
    <n v="78"/>
    <n v="337"/>
    <n v="9.92"/>
    <n v="0"/>
    <n v="233"/>
    <n v="386.78"/>
    <n v="0"/>
    <x v="0"/>
    <s v="OK"/>
  </r>
  <r>
    <s v="IT-10005"/>
    <s v="Hydraulic hose L-5"/>
    <x v="1"/>
    <x v="1"/>
    <x v="0"/>
    <s v="2026-07"/>
    <n v="1.1299999999999999"/>
    <n v="1.21"/>
    <n v="1.2078960000000001"/>
    <n v="1.66"/>
    <n v="16"/>
    <n v="15"/>
    <n v="367"/>
    <n v="442"/>
    <n v="533.89"/>
    <n v="54"/>
    <n v="388"/>
    <n v="7.45"/>
    <n v="1"/>
    <n v="340"/>
    <n v="564.4"/>
    <n v="0"/>
    <x v="0"/>
    <s v="OK"/>
  </r>
  <r>
    <s v="IT-10005"/>
    <s v="Hydraulic hose L-5"/>
    <x v="1"/>
    <x v="1"/>
    <x v="0"/>
    <s v="2026-08"/>
    <n v="1.1100000000000001"/>
    <n v="1.18"/>
    <n v="1.196347"/>
    <n v="1.66"/>
    <n v="16"/>
    <n v="14"/>
    <n v="312"/>
    <n v="542"/>
    <n v="648.41999999999996"/>
    <n v="31"/>
    <n v="511"/>
    <n v="9.07"/>
    <n v="1"/>
    <n v="212"/>
    <n v="351.92"/>
    <n v="0"/>
    <x v="0"/>
    <s v="OK"/>
  </r>
  <r>
    <s v="IT-10006"/>
    <s v="Hydraulic hose A-6"/>
    <x v="1"/>
    <x v="1"/>
    <x v="1"/>
    <s v="2024-09"/>
    <n v="112.31"/>
    <n v="112.31"/>
    <n v="113.7984"/>
    <n v="152.99"/>
    <n v="34"/>
    <n v="33"/>
    <n v="10"/>
    <n v="50"/>
    <n v="5689.92"/>
    <n v="7"/>
    <n v="43"/>
    <n v="10.95"/>
    <n v="16"/>
    <n v="20"/>
    <n v="3059.8"/>
    <n v="0"/>
    <x v="0"/>
    <s v="OK"/>
  </r>
  <r>
    <s v="IT-10006"/>
    <s v="Hydraulic hose A-6"/>
    <x v="1"/>
    <x v="1"/>
    <x v="1"/>
    <s v="2024-10"/>
    <n v="112.2"/>
    <n v="112.2"/>
    <n v="113.798333"/>
    <n v="152.99"/>
    <n v="34"/>
    <m/>
    <n v="0"/>
    <n v="24"/>
    <n v="2731.16"/>
    <n v="1"/>
    <n v="23"/>
    <n v="5.35"/>
    <n v="5"/>
    <n v="26"/>
    <n v="3977.74"/>
    <n v="0"/>
    <x v="0"/>
    <s v="OK"/>
  </r>
  <r>
    <s v="IT-10006"/>
    <s v="Hydraulic hose A-6"/>
    <x v="1"/>
    <x v="1"/>
    <x v="1"/>
    <s v="2024-11"/>
    <n v="112.98"/>
    <n v="112.98"/>
    <n v="113.407073"/>
    <n v="152.99"/>
    <n v="34"/>
    <n v="44"/>
    <n v="22"/>
    <n v="41"/>
    <n v="4649.6899999999996"/>
    <n v="6"/>
    <n v="35"/>
    <n v="10.45"/>
    <n v="21"/>
    <n v="5"/>
    <n v="764.95"/>
    <n v="0"/>
    <x v="0"/>
    <s v="OK"/>
  </r>
  <r>
    <s v="IT-10006"/>
    <s v="Hydraulic hose A-6"/>
    <x v="1"/>
    <x v="1"/>
    <x v="1"/>
    <s v="2024-12"/>
    <n v="112.97"/>
    <n v="112.97"/>
    <n v="113.202766"/>
    <n v="152.99"/>
    <n v="34"/>
    <n v="31"/>
    <n v="36"/>
    <n v="47"/>
    <n v="5320.53"/>
    <n v="5"/>
    <n v="42"/>
    <n v="10.130000000000001"/>
    <n v="1"/>
    <n v="30"/>
    <n v="4589.7"/>
    <n v="0"/>
    <x v="0"/>
    <s v="OK"/>
  </r>
  <r>
    <s v="IT-10006"/>
    <s v="Hydraulic hose A-6"/>
    <x v="1"/>
    <x v="1"/>
    <x v="1"/>
    <s v="2025-01"/>
    <n v="118.09"/>
    <n v="118.09"/>
    <n v="114.060323"/>
    <n v="152.99"/>
    <n v="34"/>
    <n v="52"/>
    <n v="10"/>
    <n v="31"/>
    <n v="3535.87"/>
    <n v="4"/>
    <n v="27"/>
    <n v="6.68"/>
    <n v="2"/>
    <n v="26"/>
    <n v="3977.74"/>
    <n v="0"/>
    <x v="0"/>
    <s v="OK"/>
  </r>
  <r>
    <s v="IT-10006"/>
    <s v="Hydraulic hose A-6"/>
    <x v="1"/>
    <x v="1"/>
    <x v="1"/>
    <s v="2025-02"/>
    <n v="117.25"/>
    <n v="117.25"/>
    <n v="115.857347"/>
    <n v="158.84"/>
    <n v="34"/>
    <n v="34"/>
    <n v="40"/>
    <n v="49"/>
    <n v="5677.01"/>
    <n v="5"/>
    <n v="44"/>
    <n v="8.08"/>
    <n v="3"/>
    <n v="22"/>
    <n v="3494.48"/>
    <n v="0"/>
    <x v="0"/>
    <s v="OK"/>
  </r>
  <r>
    <s v="IT-10006"/>
    <s v="Hydraulic hose A-6"/>
    <x v="1"/>
    <x v="1"/>
    <x v="1"/>
    <s v="2025-03"/>
    <n v="116.96"/>
    <n v="116.96"/>
    <n v="116.059574"/>
    <n v="158.84"/>
    <n v="34"/>
    <n v="40"/>
    <n v="11"/>
    <n v="47"/>
    <n v="5454.8"/>
    <n v="4"/>
    <n v="43"/>
    <n v="9.91"/>
    <n v="9"/>
    <n v="13"/>
    <n v="2064.92"/>
    <n v="0"/>
    <x v="0"/>
    <s v="OK"/>
  </r>
  <r>
    <s v="IT-10006"/>
    <s v="Hydraulic hose A-6"/>
    <x v="1"/>
    <x v="1"/>
    <x v="1"/>
    <s v="2025-04"/>
    <n v="120.87"/>
    <n v="120.87"/>
    <n v="116.059667"/>
    <n v="158.84"/>
    <n v="34"/>
    <m/>
    <n v="0"/>
    <n v="30"/>
    <n v="3481.79"/>
    <n v="6"/>
    <n v="24"/>
    <n v="7.34"/>
    <n v="0"/>
    <n v="17"/>
    <n v="2700.28"/>
    <n v="0"/>
    <x v="0"/>
    <s v="OK"/>
  </r>
  <r>
    <s v="IT-10006"/>
    <s v="Hydraulic hose A-6"/>
    <x v="1"/>
    <x v="1"/>
    <x v="1"/>
    <s v="2025-05"/>
    <n v="119.67"/>
    <n v="119.67"/>
    <n v="117.66421099999999"/>
    <n v="158.84"/>
    <n v="34"/>
    <n v="40"/>
    <n v="24"/>
    <n v="19"/>
    <n v="2235.62"/>
    <n v="2"/>
    <n v="17"/>
    <n v="3.84"/>
    <n v="8"/>
    <n v="35"/>
    <n v="5559.4"/>
    <n v="0"/>
    <x v="0"/>
    <s v="OK"/>
  </r>
  <r>
    <s v="IT-10006"/>
    <s v="Hydraulic hose A-6"/>
    <x v="1"/>
    <x v="1"/>
    <x v="1"/>
    <s v="2025-06"/>
    <n v="117.36"/>
    <n v="117.36"/>
    <n v="117.48875"/>
    <n v="158.84"/>
    <n v="34"/>
    <n v="44"/>
    <n v="26"/>
    <n v="16"/>
    <n v="1879.82"/>
    <n v="3"/>
    <n v="13"/>
    <n v="2.57"/>
    <n v="5"/>
    <n v="29"/>
    <n v="4606.3599999999997"/>
    <n v="0"/>
    <x v="0"/>
    <s v="OK"/>
  </r>
  <r>
    <s v="IT-10006"/>
    <s v="Hydraulic hose A-6"/>
    <x v="1"/>
    <x v="1"/>
    <x v="1"/>
    <s v="2025-07"/>
    <n v="118.82"/>
    <n v="118.82"/>
    <n v="118.376316"/>
    <n v="158.84"/>
    <n v="34"/>
    <n v="31"/>
    <n v="32"/>
    <n v="38"/>
    <n v="4498.3"/>
    <n v="4"/>
    <n v="34"/>
    <n v="6.75"/>
    <n v="9"/>
    <n v="10"/>
    <n v="1588.4"/>
    <n v="0"/>
    <x v="0"/>
    <s v="OK"/>
  </r>
  <r>
    <s v="IT-10006"/>
    <s v="Hydraulic hose A-6"/>
    <x v="1"/>
    <x v="1"/>
    <x v="1"/>
    <s v="2025-08"/>
    <n v="116.66"/>
    <n v="116.66"/>
    <n v="117.368961"/>
    <n v="158.84"/>
    <n v="34"/>
    <n v="31"/>
    <n v="54"/>
    <n v="77"/>
    <n v="9037.41"/>
    <n v="4"/>
    <n v="73"/>
    <n v="18.739999999999998"/>
    <n v="5"/>
    <n v="15"/>
    <n v="2382.6"/>
    <n v="0"/>
    <x v="0"/>
    <s v="OK"/>
  </r>
  <r>
    <s v="IT-10006"/>
    <s v="Hydraulic hose A-6"/>
    <x v="1"/>
    <x v="1"/>
    <x v="1"/>
    <s v="2025-09"/>
    <n v="117.38"/>
    <n v="117.38"/>
    <n v="117.369016"/>
    <n v="158.84"/>
    <n v="34"/>
    <m/>
    <n v="0"/>
    <n v="61"/>
    <n v="7159.51"/>
    <n v="2"/>
    <n v="59"/>
    <n v="19.55"/>
    <n v="3"/>
    <n v="16"/>
    <n v="2541.44"/>
    <n v="0"/>
    <x v="0"/>
    <s v="OK"/>
  </r>
  <r>
    <s v="IT-10006"/>
    <s v="Hydraulic hose A-6"/>
    <x v="1"/>
    <x v="1"/>
    <x v="1"/>
    <s v="2025-10"/>
    <n v="120.07"/>
    <n v="120.07"/>
    <n v="118.43875"/>
    <n v="158.84"/>
    <n v="34"/>
    <n v="29"/>
    <n v="40"/>
    <n v="88"/>
    <n v="10422.61"/>
    <n v="6"/>
    <n v="82"/>
    <n v="26.29"/>
    <n v="18"/>
    <n v="13"/>
    <n v="2064.92"/>
    <n v="0"/>
    <x v="0"/>
    <s v="OK"/>
  </r>
  <r>
    <s v="IT-10006"/>
    <s v="Hydraulic hose A-6"/>
    <x v="1"/>
    <x v="1"/>
    <x v="1"/>
    <s v="2025-11"/>
    <n v="118.84"/>
    <n v="118.84"/>
    <n v="118.438689"/>
    <n v="158.84"/>
    <n v="34"/>
    <m/>
    <n v="0"/>
    <n v="61"/>
    <n v="7224.76"/>
    <n v="2"/>
    <n v="59"/>
    <n v="14.16"/>
    <n v="0"/>
    <n v="27"/>
    <n v="4288.68"/>
    <n v="0"/>
    <x v="0"/>
    <s v="OK"/>
  </r>
  <r>
    <s v="IT-10006"/>
    <s v="Hydraulic hose A-6"/>
    <x v="1"/>
    <x v="1"/>
    <x v="1"/>
    <s v="2025-12"/>
    <n v="119.96"/>
    <n v="119.96"/>
    <n v="118.438605"/>
    <n v="158.84"/>
    <n v="34"/>
    <m/>
    <n v="0"/>
    <n v="43"/>
    <n v="5092.8599999999997"/>
    <n v="1"/>
    <n v="42"/>
    <n v="9.74"/>
    <n v="1"/>
    <n v="18"/>
    <n v="2859.12"/>
    <n v="0"/>
    <x v="0"/>
    <s v="OK"/>
  </r>
  <r>
    <s v="IT-10006"/>
    <s v="Hydraulic hose A-6"/>
    <x v="1"/>
    <x v="1"/>
    <x v="1"/>
    <s v="2026-01"/>
    <n v="121.12"/>
    <n v="121.12"/>
    <n v="119.260233"/>
    <n v="158.84"/>
    <n v="34"/>
    <n v="47"/>
    <n v="19"/>
    <n v="43"/>
    <n v="5128.1899999999996"/>
    <n v="4"/>
    <n v="39"/>
    <n v="8.83"/>
    <n v="4"/>
    <n v="19"/>
    <n v="3017.96"/>
    <n v="0"/>
    <x v="0"/>
    <s v="OK"/>
  </r>
  <r>
    <s v="IT-10006"/>
    <s v="Hydraulic hose A-6"/>
    <x v="1"/>
    <x v="1"/>
    <x v="1"/>
    <s v="2026-02"/>
    <n v="121.73"/>
    <n v="121.73"/>
    <n v="120.096136"/>
    <n v="164.92"/>
    <n v="34"/>
    <n v="34"/>
    <n v="22"/>
    <n v="44"/>
    <n v="5284.23"/>
    <n v="1"/>
    <n v="43"/>
    <n v="9.75"/>
    <n v="0"/>
    <n v="21"/>
    <n v="3463.32"/>
    <n v="0"/>
    <x v="0"/>
    <s v="OK"/>
  </r>
  <r>
    <s v="IT-10006"/>
    <s v="Hydraulic hose A-6"/>
    <x v="1"/>
    <x v="1"/>
    <x v="1"/>
    <s v="2026-03"/>
    <n v="125.41"/>
    <n v="125.41"/>
    <n v="123.07186799999999"/>
    <n v="164.92"/>
    <n v="34"/>
    <n v="30"/>
    <n v="56"/>
    <n v="91"/>
    <n v="11199.54"/>
    <n v="1"/>
    <n v="90"/>
    <n v="23.88"/>
    <n v="5"/>
    <n v="9"/>
    <n v="1484.28"/>
    <n v="0"/>
    <x v="0"/>
    <s v="OK"/>
  </r>
  <r>
    <s v="IT-10006"/>
    <s v="Hydraulic hose A-6"/>
    <x v="1"/>
    <x v="1"/>
    <x v="1"/>
    <s v="2026-04"/>
    <n v="121.37"/>
    <n v="121.37"/>
    <n v="123.071867"/>
    <n v="164.92"/>
    <n v="34"/>
    <m/>
    <n v="0"/>
    <n v="75"/>
    <n v="9230.39"/>
    <n v="7"/>
    <n v="68"/>
    <n v="20.73"/>
    <n v="13"/>
    <n v="16"/>
    <n v="2638.72"/>
    <n v="0"/>
    <x v="0"/>
    <s v="OK"/>
  </r>
  <r>
    <s v="IT-10006"/>
    <s v="Hydraulic hose A-6"/>
    <x v="1"/>
    <x v="1"/>
    <x v="1"/>
    <s v="2026-05"/>
    <n v="125.11"/>
    <n v="125.11"/>
    <n v="123.071961"/>
    <n v="164.92"/>
    <n v="34"/>
    <m/>
    <n v="0"/>
    <n v="51"/>
    <n v="6276.67"/>
    <n v="1"/>
    <n v="50"/>
    <n v="13.68"/>
    <n v="11"/>
    <n v="24"/>
    <n v="3958.08"/>
    <n v="0"/>
    <x v="0"/>
    <s v="OK"/>
  </r>
  <r>
    <s v="IT-10006"/>
    <s v="Hydraulic hose A-6"/>
    <x v="1"/>
    <x v="1"/>
    <x v="1"/>
    <s v="2026-06"/>
    <n v="121.55"/>
    <n v="121.55"/>
    <n v="122.74413"/>
    <n v="164.92"/>
    <n v="34"/>
    <n v="46"/>
    <n v="14"/>
    <n v="46"/>
    <n v="5646.23"/>
    <n v="6"/>
    <n v="40"/>
    <n v="10.14"/>
    <n v="5"/>
    <n v="19"/>
    <n v="3133.48"/>
    <n v="0"/>
    <x v="0"/>
    <s v="OK"/>
  </r>
  <r>
    <s v="IT-10006"/>
    <s v="Hydraulic hose A-6"/>
    <x v="1"/>
    <x v="1"/>
    <x v="1"/>
    <s v="2026-07"/>
    <n v="124.38"/>
    <n v="124.38"/>
    <n v="122.744545"/>
    <n v="164.92"/>
    <n v="34"/>
    <m/>
    <n v="0"/>
    <n v="11"/>
    <n v="1350.19"/>
    <n v="5"/>
    <n v="6"/>
    <n v="1.85"/>
    <n v="16"/>
    <n v="35"/>
    <n v="5772.2"/>
    <n v="0"/>
    <x v="0"/>
    <s v="OK"/>
  </r>
  <r>
    <s v="IT-10006"/>
    <s v="Hydraulic hose A-6"/>
    <x v="1"/>
    <x v="1"/>
    <x v="1"/>
    <s v="2026-08"/>
    <n v="121.4"/>
    <n v="121.4"/>
    <n v="121.597174"/>
    <n v="164.92"/>
    <n v="34"/>
    <n v="31"/>
    <n v="64"/>
    <n v="46"/>
    <n v="5593.47"/>
    <n v="4"/>
    <n v="42"/>
    <n v="7.28"/>
    <n v="2"/>
    <n v="29"/>
    <n v="4782.68"/>
    <n v="0"/>
    <x v="0"/>
    <s v="OK"/>
  </r>
  <r>
    <s v="IT-10007"/>
    <s v="Bolt assortment A-7"/>
    <x v="2"/>
    <x v="2"/>
    <x v="1"/>
    <s v="2024-09"/>
    <n v="65.319999999999993"/>
    <n v="65.319999999999993"/>
    <n v="64.806989999999999"/>
    <n v="88.44"/>
    <n v="57"/>
    <m/>
    <n v="0"/>
    <n v="505"/>
    <n v="32727.53"/>
    <n v="83"/>
    <n v="422"/>
    <n v="6.7"/>
    <n v="3"/>
    <n v="344"/>
    <n v="30423.360000000001"/>
    <n v="0"/>
    <x v="0"/>
    <s v="OK"/>
  </r>
  <r>
    <s v="IT-10007"/>
    <s v="Bolt assortment A-7"/>
    <x v="2"/>
    <x v="2"/>
    <x v="1"/>
    <s v="2024-10"/>
    <n v="64.42"/>
    <n v="64.42"/>
    <n v="64.591132999999999"/>
    <n v="88.44"/>
    <n v="57"/>
    <n v="52"/>
    <n v="637"/>
    <n v="1006"/>
    <n v="64978.68"/>
    <n v="50"/>
    <n v="956"/>
    <n v="14.5"/>
    <n v="0"/>
    <n v="136"/>
    <n v="12027.84"/>
    <n v="0"/>
    <x v="0"/>
    <s v="OK"/>
  </r>
  <r>
    <s v="IT-10007"/>
    <s v="Bolt assortment A-7"/>
    <x v="2"/>
    <x v="2"/>
    <x v="1"/>
    <s v="2024-11"/>
    <n v="63.29"/>
    <n v="63.29"/>
    <n v="64.322287000000003"/>
    <n v="88.44"/>
    <n v="57"/>
    <n v="54"/>
    <n v="262"/>
    <n v="927"/>
    <n v="59626.76"/>
    <n v="25"/>
    <n v="902"/>
    <n v="14.68"/>
    <n v="0"/>
    <n v="341"/>
    <n v="30158.04"/>
    <n v="0"/>
    <x v="0"/>
    <s v="OK"/>
  </r>
  <r>
    <s v="IT-10007"/>
    <s v="Bolt assortment A-7"/>
    <x v="2"/>
    <x v="2"/>
    <x v="1"/>
    <s v="2024-12"/>
    <n v="66.540000000000006"/>
    <n v="66.540000000000006"/>
    <n v="64.82396"/>
    <n v="88.44"/>
    <n v="57"/>
    <n v="56"/>
    <n v="271"/>
    <n v="957"/>
    <n v="62036.53"/>
    <n v="17"/>
    <n v="940"/>
    <n v="17.52"/>
    <n v="1"/>
    <n v="241"/>
    <n v="21314.04"/>
    <n v="0"/>
    <x v="0"/>
    <s v="OK"/>
  </r>
  <r>
    <s v="IT-10007"/>
    <s v="Bolt assortment A-7"/>
    <x v="2"/>
    <x v="2"/>
    <x v="1"/>
    <s v="2025-01"/>
    <n v="64.81"/>
    <n v="64.81"/>
    <n v="64.823956999999993"/>
    <n v="88.44"/>
    <n v="57"/>
    <m/>
    <n v="0"/>
    <n v="609"/>
    <n v="39477.79"/>
    <n v="50"/>
    <n v="559"/>
    <n v="8.61"/>
    <n v="1"/>
    <n v="348"/>
    <n v="30777.119999999999"/>
    <n v="0"/>
    <x v="0"/>
    <s v="OK"/>
  </r>
  <r>
    <s v="IT-10007"/>
    <s v="Bolt assortment A-7"/>
    <x v="2"/>
    <x v="2"/>
    <x v="1"/>
    <s v="2025-02"/>
    <n v="66.72"/>
    <n v="66.72"/>
    <n v="65.926944000000006"/>
    <n v="92.96"/>
    <n v="57"/>
    <n v="50"/>
    <n v="847"/>
    <n v="1263"/>
    <n v="83265.73"/>
    <n v="25"/>
    <n v="1238"/>
    <n v="20.77"/>
    <n v="0"/>
    <n v="193"/>
    <n v="17941.28"/>
    <n v="0"/>
    <x v="0"/>
    <s v="OK"/>
  </r>
  <r>
    <s v="IT-10007"/>
    <s v="Bolt assortment A-7"/>
    <x v="2"/>
    <x v="2"/>
    <x v="1"/>
    <s v="2025-03"/>
    <n v="66.64"/>
    <n v="66.64"/>
    <n v="65.980226999999999"/>
    <n v="92.96"/>
    <n v="57"/>
    <n v="96"/>
    <n v="102"/>
    <n v="1147"/>
    <n v="75679.320000000007"/>
    <n v="83"/>
    <n v="1064"/>
    <n v="19.43"/>
    <n v="0"/>
    <n v="218"/>
    <n v="20265.28"/>
    <n v="0"/>
    <x v="0"/>
    <s v="OK"/>
  </r>
  <r>
    <s v="IT-10007"/>
    <s v="Bolt assortment A-7"/>
    <x v="2"/>
    <x v="2"/>
    <x v="1"/>
    <s v="2025-04"/>
    <n v="65.680000000000007"/>
    <n v="65.680000000000007"/>
    <n v="65.972573999999994"/>
    <n v="92.96"/>
    <n v="57"/>
    <n v="54"/>
    <n v="30"/>
    <n v="1041"/>
    <n v="68677.45"/>
    <n v="83"/>
    <n v="958"/>
    <n v="24.2"/>
    <n v="0"/>
    <n v="136"/>
    <n v="12642.56"/>
    <n v="0"/>
    <x v="0"/>
    <s v="OK"/>
  </r>
  <r>
    <s v="IT-10007"/>
    <s v="Bolt assortment A-7"/>
    <x v="2"/>
    <x v="2"/>
    <x v="1"/>
    <s v="2025-05"/>
    <n v="65.069999999999993"/>
    <n v="65.069999999999993"/>
    <n v="65.701435000000004"/>
    <n v="92.96"/>
    <n v="57"/>
    <n v="51"/>
    <n v="447"/>
    <n v="1066"/>
    <n v="70037.73"/>
    <n v="66"/>
    <n v="1000"/>
    <n v="18.05"/>
    <n v="0"/>
    <n v="422"/>
    <n v="39229.120000000003"/>
    <n v="0"/>
    <x v="0"/>
    <s v="OK"/>
  </r>
  <r>
    <s v="IT-10007"/>
    <s v="Bolt assortment A-7"/>
    <x v="2"/>
    <x v="2"/>
    <x v="1"/>
    <s v="2025-06"/>
    <n v="66.37"/>
    <n v="66.37"/>
    <n v="65.701430000000002"/>
    <n v="92.96"/>
    <n v="57"/>
    <m/>
    <n v="0"/>
    <n v="853"/>
    <n v="56043.32"/>
    <n v="66"/>
    <n v="787"/>
    <n v="14.38"/>
    <n v="0"/>
    <n v="213"/>
    <n v="19800.48"/>
    <n v="0"/>
    <x v="0"/>
    <s v="OK"/>
  </r>
  <r>
    <s v="IT-10007"/>
    <s v="Bolt assortment A-7"/>
    <x v="2"/>
    <x v="2"/>
    <x v="1"/>
    <s v="2025-07"/>
    <n v="66.94"/>
    <n v="66.94"/>
    <n v="65.701435000000004"/>
    <n v="92.96"/>
    <n v="57"/>
    <m/>
    <n v="0"/>
    <n v="418"/>
    <n v="27463.200000000001"/>
    <n v="25"/>
    <n v="393"/>
    <n v="5.13"/>
    <n v="2"/>
    <n v="435"/>
    <n v="40437.599999999999"/>
    <n v="0"/>
    <x v="0"/>
    <s v="OK"/>
  </r>
  <r>
    <s v="IT-10007"/>
    <s v="Bolt assortment A-7"/>
    <x v="2"/>
    <x v="2"/>
    <x v="1"/>
    <s v="2025-08"/>
    <n v="65.56"/>
    <n v="65.56"/>
    <n v="65.598743999999996"/>
    <n v="92.96"/>
    <n v="57"/>
    <n v="57"/>
    <n v="1108"/>
    <n v="1194"/>
    <n v="78324.899999999994"/>
    <n v="17"/>
    <n v="1177"/>
    <n v="16.010000000000002"/>
    <n v="4"/>
    <n v="332"/>
    <n v="30862.720000000001"/>
    <n v="0"/>
    <x v="0"/>
    <s v="OK"/>
  </r>
  <r>
    <s v="IT-10007"/>
    <s v="Bolt assortment A-7"/>
    <x v="2"/>
    <x v="2"/>
    <x v="1"/>
    <s v="2025-09"/>
    <n v="67.040000000000006"/>
    <n v="67.040000000000006"/>
    <n v="65.794807000000006"/>
    <n v="92.96"/>
    <n v="57"/>
    <n v="50"/>
    <n v="188"/>
    <n v="1242"/>
    <n v="81717.149999999994"/>
    <n v="74"/>
    <n v="1168"/>
    <n v="18"/>
    <n v="0"/>
    <n v="140"/>
    <n v="13014.4"/>
    <n v="0"/>
    <x v="0"/>
    <s v="OK"/>
  </r>
  <r>
    <s v="IT-10007"/>
    <s v="Bolt assortment A-7"/>
    <x v="2"/>
    <x v="2"/>
    <x v="1"/>
    <s v="2025-10"/>
    <n v="67.11"/>
    <n v="67.11"/>
    <n v="65.988879999999995"/>
    <n v="92.96"/>
    <n v="57"/>
    <n v="55"/>
    <n v="215"/>
    <n v="1045"/>
    <n v="68958.38"/>
    <n v="50"/>
    <n v="995"/>
    <n v="15.54"/>
    <n v="1"/>
    <n v="412"/>
    <n v="38299.519999999997"/>
    <n v="0"/>
    <x v="0"/>
    <s v="OK"/>
  </r>
  <r>
    <s v="IT-10007"/>
    <s v="Bolt assortment A-7"/>
    <x v="2"/>
    <x v="2"/>
    <x v="1"/>
    <s v="2025-11"/>
    <n v="65.97"/>
    <n v="65.97"/>
    <n v="65.984576000000004"/>
    <n v="92.96"/>
    <n v="57"/>
    <n v="50"/>
    <n v="309"/>
    <n v="1049"/>
    <n v="69217.820000000007"/>
    <n v="17"/>
    <n v="1032"/>
    <n v="15.91"/>
    <n v="0"/>
    <n v="305"/>
    <n v="28352.799999999999"/>
    <n v="0"/>
    <x v="0"/>
    <s v="OK"/>
  </r>
  <r>
    <s v="IT-10007"/>
    <s v="Bolt assortment A-7"/>
    <x v="2"/>
    <x v="2"/>
    <x v="1"/>
    <s v="2025-12"/>
    <n v="66.95"/>
    <n v="66.95"/>
    <n v="66.010552000000004"/>
    <n v="92.96"/>
    <n v="57"/>
    <n v="54"/>
    <n v="29"/>
    <n v="869"/>
    <n v="57363.17"/>
    <n v="25"/>
    <n v="844"/>
    <n v="12.33"/>
    <n v="0"/>
    <n v="209"/>
    <n v="19428.64"/>
    <n v="0"/>
    <x v="0"/>
    <s v="OK"/>
  </r>
  <r>
    <s v="IT-10007"/>
    <s v="Bolt assortment A-7"/>
    <x v="2"/>
    <x v="2"/>
    <x v="1"/>
    <s v="2026-01"/>
    <n v="68.900000000000006"/>
    <n v="68.900000000000006"/>
    <n v="67.090969999999999"/>
    <n v="92.96"/>
    <n v="57"/>
    <n v="52"/>
    <n v="519"/>
    <n v="1340"/>
    <n v="89901.9"/>
    <n v="41"/>
    <n v="1299"/>
    <n v="31.34"/>
    <n v="1"/>
    <n v="48"/>
    <n v="4462.08"/>
    <n v="0"/>
    <x v="0"/>
    <s v="OK"/>
  </r>
  <r>
    <s v="IT-10007"/>
    <s v="Bolt assortment A-7"/>
    <x v="2"/>
    <x v="2"/>
    <x v="1"/>
    <s v="2026-02"/>
    <n v="67.36"/>
    <n v="67.36"/>
    <n v="67.145928999999995"/>
    <n v="97.71"/>
    <n v="57"/>
    <n v="56"/>
    <n v="344"/>
    <n v="1427"/>
    <n v="95817.24"/>
    <n v="25"/>
    <n v="1402"/>
    <n v="35.69"/>
    <n v="2"/>
    <n v="257"/>
    <n v="25111.47"/>
    <n v="0"/>
    <x v="0"/>
    <s v="OK"/>
  </r>
  <r>
    <s v="IT-10007"/>
    <s v="Bolt assortment A-7"/>
    <x v="2"/>
    <x v="2"/>
    <x v="1"/>
    <s v="2026-03"/>
    <n v="69"/>
    <n v="69"/>
    <n v="67.145932000000002"/>
    <n v="97.71"/>
    <n v="57"/>
    <m/>
    <n v="0"/>
    <n v="1153"/>
    <n v="77419.259999999995"/>
    <n v="74"/>
    <n v="1079"/>
    <n v="25.6"/>
    <n v="2"/>
    <n v="274"/>
    <n v="26772.54"/>
    <n v="0"/>
    <x v="0"/>
    <s v="OK"/>
  </r>
  <r>
    <s v="IT-10007"/>
    <s v="Bolt assortment A-7"/>
    <x v="2"/>
    <x v="2"/>
    <x v="1"/>
    <s v="2026-04"/>
    <n v="67.040000000000006"/>
    <n v="67.040000000000006"/>
    <n v="67.144749000000004"/>
    <n v="97.71"/>
    <n v="57"/>
    <n v="49"/>
    <n v="13"/>
    <n v="916"/>
    <n v="61504.59"/>
    <n v="33"/>
    <n v="883"/>
    <n v="14.91"/>
    <n v="2"/>
    <n v="250"/>
    <n v="24427.5"/>
    <n v="0"/>
    <x v="0"/>
    <s v="OK"/>
  </r>
  <r>
    <s v="IT-10007"/>
    <s v="Bolt assortment A-7"/>
    <x v="2"/>
    <x v="2"/>
    <x v="1"/>
    <s v="2026-05"/>
    <n v="67.61"/>
    <n v="67.61"/>
    <n v="67.252475000000004"/>
    <n v="97.71"/>
    <n v="57"/>
    <n v="49"/>
    <n v="276"/>
    <n v="1083"/>
    <n v="72834.429999999993"/>
    <n v="17"/>
    <n v="1066"/>
    <n v="22.49"/>
    <n v="3"/>
    <n v="109"/>
    <n v="10650.39"/>
    <n v="0"/>
    <x v="0"/>
    <s v="OK"/>
  </r>
  <r>
    <s v="IT-10007"/>
    <s v="Bolt assortment A-7"/>
    <x v="2"/>
    <x v="2"/>
    <x v="1"/>
    <s v="2026-06"/>
    <n v="68.010000000000005"/>
    <n v="68.010000000000005"/>
    <n v="67.499487000000002"/>
    <n v="97.71"/>
    <n v="57"/>
    <n v="51"/>
    <n v="524"/>
    <n v="1188"/>
    <n v="80189.39"/>
    <n v="83"/>
    <n v="1105"/>
    <n v="19.850000000000001"/>
    <n v="3"/>
    <n v="419"/>
    <n v="40940.49"/>
    <n v="0"/>
    <x v="0"/>
    <s v="OK"/>
  </r>
  <r>
    <s v="IT-10007"/>
    <s v="Bolt assortment A-7"/>
    <x v="2"/>
    <x v="2"/>
    <x v="1"/>
    <s v="2026-07"/>
    <n v="66.97"/>
    <n v="66.97"/>
    <n v="67.499487999999999"/>
    <n v="97.71"/>
    <n v="57"/>
    <m/>
    <n v="0"/>
    <n v="1075"/>
    <n v="72561.95"/>
    <n v="74"/>
    <n v="1001"/>
    <n v="22.04"/>
    <n v="1"/>
    <n v="113"/>
    <n v="11041.23"/>
    <n v="0"/>
    <x v="0"/>
    <s v="OK"/>
  </r>
  <r>
    <s v="IT-10007"/>
    <s v="Bolt assortment A-7"/>
    <x v="2"/>
    <x v="2"/>
    <x v="1"/>
    <s v="2026-08"/>
    <n v="68.23"/>
    <n v="68.23"/>
    <n v="67.635529000000005"/>
    <n v="97.71"/>
    <n v="57"/>
    <n v="51"/>
    <n v="246"/>
    <n v="1143"/>
    <n v="77307.41"/>
    <n v="83"/>
    <n v="1060"/>
    <n v="21.16"/>
    <n v="1"/>
    <n v="178"/>
    <n v="17392.38"/>
    <n v="0"/>
    <x v="0"/>
    <s v="OK"/>
  </r>
  <r>
    <s v="IT-10008"/>
    <s v="Anchor bolt B-8"/>
    <x v="2"/>
    <x v="2"/>
    <x v="1"/>
    <s v="2024-09"/>
    <n v="2.96"/>
    <n v="2.96"/>
    <n v="2.9597600000000002"/>
    <n v="4.0199999999999996"/>
    <n v="53"/>
    <m/>
    <n v="0"/>
    <n v="1085"/>
    <n v="3211.34"/>
    <n v="94"/>
    <n v="991"/>
    <n v="8.66"/>
    <n v="1"/>
    <n v="562"/>
    <n v="2259.2399999999998"/>
    <n v="0"/>
    <x v="0"/>
    <s v="OK"/>
  </r>
  <r>
    <s v="IT-10008"/>
    <s v="Anchor bolt B-8"/>
    <x v="2"/>
    <x v="2"/>
    <x v="1"/>
    <s v="2024-10"/>
    <n v="2.95"/>
    <n v="2.95"/>
    <n v="2.9597790000000002"/>
    <n v="4.0199999999999996"/>
    <n v="53"/>
    <m/>
    <n v="0"/>
    <n v="271"/>
    <n v="802.1"/>
    <n v="31"/>
    <n v="240"/>
    <n v="1.8"/>
    <n v="1"/>
    <n v="814"/>
    <n v="3272.28"/>
    <n v="0"/>
    <x v="0"/>
    <s v="OK"/>
  </r>
  <r>
    <s v="IT-10008"/>
    <s v="Anchor bolt B-8"/>
    <x v="2"/>
    <x v="2"/>
    <x v="1"/>
    <s v="2024-11"/>
    <n v="2.95"/>
    <n v="2.95"/>
    <n v="2.951416"/>
    <n v="4.0199999999999996"/>
    <n v="53"/>
    <n v="72"/>
    <n v="1601"/>
    <n v="1872"/>
    <n v="5525.05"/>
    <n v="126"/>
    <n v="1746"/>
    <n v="17.690000000000001"/>
    <n v="31"/>
    <n v="0"/>
    <n v="0"/>
    <n v="0"/>
    <x v="0"/>
    <s v="OK"/>
  </r>
  <r>
    <s v="IT-10008"/>
    <s v="Anchor bolt B-8"/>
    <x v="2"/>
    <x v="2"/>
    <x v="1"/>
    <s v="2024-12"/>
    <n v="3.02"/>
    <n v="3.02"/>
    <n v="2.962809"/>
    <n v="4.0199999999999996"/>
    <n v="53"/>
    <n v="52"/>
    <n v="373"/>
    <n v="2086"/>
    <n v="6180.42"/>
    <n v="47"/>
    <n v="2039"/>
    <n v="28.18"/>
    <n v="4"/>
    <n v="159"/>
    <n v="639.17999999999995"/>
    <n v="0"/>
    <x v="0"/>
    <s v="OK"/>
  </r>
  <r>
    <s v="IT-10008"/>
    <s v="Anchor bolt B-8"/>
    <x v="2"/>
    <x v="2"/>
    <x v="1"/>
    <s v="2025-01"/>
    <n v="3.05"/>
    <n v="3.05"/>
    <n v="2.9628060000000001"/>
    <n v="4.0199999999999996"/>
    <n v="53"/>
    <m/>
    <n v="0"/>
    <n v="1276"/>
    <n v="3780.54"/>
    <n v="157"/>
    <n v="1119"/>
    <n v="17.309999999999999"/>
    <n v="1"/>
    <n v="810"/>
    <n v="3256.2"/>
    <n v="0"/>
    <x v="0"/>
    <s v="OK"/>
  </r>
  <r>
    <s v="IT-10008"/>
    <s v="Anchor bolt B-8"/>
    <x v="2"/>
    <x v="2"/>
    <x v="1"/>
    <s v="2025-02"/>
    <n v="3.11"/>
    <n v="3.11"/>
    <n v="2.9774500000000002"/>
    <n v="4.13"/>
    <n v="53"/>
    <n v="82"/>
    <n v="141"/>
    <n v="996"/>
    <n v="2965.54"/>
    <n v="79"/>
    <n v="917"/>
    <n v="9.2100000000000009"/>
    <n v="0"/>
    <n v="421"/>
    <n v="1738.73"/>
    <n v="0"/>
    <x v="0"/>
    <s v="OK"/>
  </r>
  <r>
    <s v="IT-10008"/>
    <s v="Anchor bolt B-8"/>
    <x v="2"/>
    <x v="2"/>
    <x v="1"/>
    <s v="2025-03"/>
    <n v="3.07"/>
    <n v="3.07"/>
    <n v="2.977455"/>
    <n v="4.13"/>
    <n v="53"/>
    <m/>
    <n v="0"/>
    <n v="786"/>
    <n v="2340.2800000000002"/>
    <n v="142"/>
    <n v="644"/>
    <n v="7.01"/>
    <n v="1"/>
    <n v="210"/>
    <n v="867.3"/>
    <n v="0"/>
    <x v="0"/>
    <s v="OK"/>
  </r>
  <r>
    <s v="IT-10008"/>
    <s v="Anchor bolt B-8"/>
    <x v="2"/>
    <x v="2"/>
    <x v="1"/>
    <s v="2025-04"/>
    <n v="3.09"/>
    <n v="3.09"/>
    <n v="3.0518239999999999"/>
    <n v="4.13"/>
    <n v="53"/>
    <n v="75"/>
    <n v="1531"/>
    <n v="2040"/>
    <n v="6225.72"/>
    <n v="63"/>
    <n v="1977"/>
    <n v="28.57"/>
    <n v="1"/>
    <n v="277"/>
    <n v="1144.01"/>
    <n v="0"/>
    <x v="0"/>
    <s v="OK"/>
  </r>
  <r>
    <s v="IT-10008"/>
    <s v="Anchor bolt B-8"/>
    <x v="2"/>
    <x v="2"/>
    <x v="1"/>
    <s v="2025-05"/>
    <n v="3.02"/>
    <n v="3.02"/>
    <n v="3.0518260000000001"/>
    <n v="4.13"/>
    <n v="53"/>
    <m/>
    <n v="0"/>
    <n v="1314"/>
    <n v="4010.1"/>
    <n v="126"/>
    <n v="1188"/>
    <n v="14.24"/>
    <n v="0"/>
    <n v="726"/>
    <n v="2998.38"/>
    <n v="0"/>
    <x v="0"/>
    <s v="OK"/>
  </r>
  <r>
    <s v="IT-10008"/>
    <s v="Anchor bolt B-8"/>
    <x v="2"/>
    <x v="2"/>
    <x v="1"/>
    <s v="2025-06"/>
    <n v="3.11"/>
    <n v="3.11"/>
    <n v="3.0746799999999999"/>
    <n v="4.13"/>
    <n v="53"/>
    <n v="47"/>
    <n v="850"/>
    <n v="1607"/>
    <n v="4941.01"/>
    <n v="47"/>
    <n v="1560"/>
    <n v="13.39"/>
    <n v="1"/>
    <n v="557"/>
    <n v="2300.41"/>
    <n v="0"/>
    <x v="0"/>
    <s v="OK"/>
  </r>
  <r>
    <s v="IT-10008"/>
    <s v="Anchor bolt B-8"/>
    <x v="2"/>
    <x v="2"/>
    <x v="1"/>
    <s v="2025-07"/>
    <n v="3.04"/>
    <n v="3.04"/>
    <n v="3.0640719999999999"/>
    <n v="4.13"/>
    <n v="53"/>
    <n v="53"/>
    <n v="708"/>
    <n v="1982"/>
    <n v="6072.99"/>
    <n v="142"/>
    <n v="1840"/>
    <n v="16.12"/>
    <n v="2"/>
    <n v="333"/>
    <n v="1375.29"/>
    <n v="0"/>
    <x v="0"/>
    <s v="OK"/>
  </r>
  <r>
    <s v="IT-10008"/>
    <s v="Anchor bolt B-8"/>
    <x v="2"/>
    <x v="2"/>
    <x v="1"/>
    <s v="2025-08"/>
    <n v="3.05"/>
    <n v="3.05"/>
    <n v="3.0640700000000001"/>
    <n v="4.13"/>
    <n v="53"/>
    <m/>
    <n v="0"/>
    <n v="1435"/>
    <n v="4396.9399999999996"/>
    <n v="110"/>
    <n v="1325"/>
    <n v="13.12"/>
    <n v="1"/>
    <n v="547"/>
    <n v="2259.11"/>
    <n v="0"/>
    <x v="0"/>
    <s v="OK"/>
  </r>
  <r>
    <s v="IT-10008"/>
    <s v="Anchor bolt B-8"/>
    <x v="2"/>
    <x v="2"/>
    <x v="1"/>
    <s v="2025-09"/>
    <n v="3.01"/>
    <n v="3.01"/>
    <n v="3.0498690000000002"/>
    <n v="4.13"/>
    <n v="53"/>
    <n v="59"/>
    <n v="511"/>
    <n v="1374"/>
    <n v="4190.5200000000004"/>
    <n v="110"/>
    <n v="1264"/>
    <n v="12.44"/>
    <n v="1"/>
    <n v="572"/>
    <n v="2362.36"/>
    <n v="0"/>
    <x v="0"/>
    <s v="OK"/>
  </r>
  <r>
    <s v="IT-10008"/>
    <s v="Anchor bolt B-8"/>
    <x v="2"/>
    <x v="2"/>
    <x v="1"/>
    <s v="2025-10"/>
    <n v="3.12"/>
    <n v="3.12"/>
    <n v="3.0498639999999999"/>
    <n v="4.13"/>
    <n v="53"/>
    <m/>
    <n v="0"/>
    <n v="810"/>
    <n v="2470.39"/>
    <n v="110"/>
    <n v="700"/>
    <n v="6.33"/>
    <n v="1"/>
    <n v="564"/>
    <n v="2329.3200000000002"/>
    <n v="0"/>
    <x v="0"/>
    <s v="OK"/>
  </r>
  <r>
    <s v="IT-10008"/>
    <s v="Anchor bolt B-8"/>
    <x v="2"/>
    <x v="2"/>
    <x v="1"/>
    <s v="2025-11"/>
    <n v="3.09"/>
    <n v="3.09"/>
    <n v="3.049858"/>
    <n v="4.13"/>
    <n v="53"/>
    <m/>
    <n v="0"/>
    <n v="351"/>
    <n v="1070.5"/>
    <n v="126"/>
    <n v="225"/>
    <n v="2.86"/>
    <n v="2"/>
    <n v="459"/>
    <n v="1895.67"/>
    <n v="0"/>
    <x v="0"/>
    <s v="OK"/>
  </r>
  <r>
    <s v="IT-10008"/>
    <s v="Anchor bolt B-8"/>
    <x v="2"/>
    <x v="2"/>
    <x v="1"/>
    <s v="2025-12"/>
    <n v="3.16"/>
    <n v="3.16"/>
    <n v="3.1400700000000001"/>
    <n v="4.13"/>
    <n v="53"/>
    <n v="74"/>
    <n v="1589"/>
    <n v="1136"/>
    <n v="3567.12"/>
    <n v="31"/>
    <n v="1105"/>
    <n v="8.17"/>
    <n v="3"/>
    <n v="804"/>
    <n v="3320.52"/>
    <n v="0"/>
    <x v="0"/>
    <s v="OK"/>
  </r>
  <r>
    <s v="IT-10008"/>
    <s v="Anchor bolt B-8"/>
    <x v="2"/>
    <x v="2"/>
    <x v="1"/>
    <s v="2026-01"/>
    <n v="3.08"/>
    <n v="3.08"/>
    <n v="3.1314959999999998"/>
    <n v="4.13"/>
    <n v="53"/>
    <n v="51"/>
    <n v="189"/>
    <n v="782"/>
    <n v="2448.83"/>
    <n v="94"/>
    <n v="688"/>
    <n v="5.69"/>
    <n v="2"/>
    <n v="543"/>
    <n v="2242.59"/>
    <n v="0"/>
    <x v="0"/>
    <s v="OK"/>
  </r>
  <r>
    <s v="IT-10008"/>
    <s v="Anchor bolt B-8"/>
    <x v="2"/>
    <x v="2"/>
    <x v="1"/>
    <s v="2026-02"/>
    <n v="3.08"/>
    <n v="3.08"/>
    <n v="3.131507"/>
    <n v="4.24"/>
    <n v="53"/>
    <m/>
    <n v="0"/>
    <n v="365"/>
    <n v="1143"/>
    <n v="63"/>
    <n v="302"/>
    <n v="2.66"/>
    <n v="0"/>
    <n v="417"/>
    <n v="1768.08"/>
    <n v="0"/>
    <x v="0"/>
    <s v="OK"/>
  </r>
  <r>
    <s v="IT-10008"/>
    <s v="Anchor bolt B-8"/>
    <x v="2"/>
    <x v="2"/>
    <x v="1"/>
    <s v="2026-03"/>
    <n v="3.09"/>
    <n v="3.09"/>
    <n v="3.0985100000000001"/>
    <n v="4.24"/>
    <n v="53"/>
    <n v="69"/>
    <n v="1415"/>
    <n v="1114"/>
    <n v="3451.74"/>
    <n v="63"/>
    <n v="1051"/>
    <n v="8.81"/>
    <n v="2"/>
    <n v="666"/>
    <n v="2823.84"/>
    <n v="0"/>
    <x v="0"/>
    <s v="OK"/>
  </r>
  <r>
    <s v="IT-10008"/>
    <s v="Anchor bolt B-8"/>
    <x v="2"/>
    <x v="2"/>
    <x v="1"/>
    <s v="2026-04"/>
    <n v="3.16"/>
    <n v="3.16"/>
    <n v="3.1223450000000001"/>
    <n v="4.24"/>
    <n v="53"/>
    <n v="47"/>
    <n v="705"/>
    <n v="1275"/>
    <n v="3980.99"/>
    <n v="126"/>
    <n v="1149"/>
    <n v="9.9600000000000009"/>
    <n v="2"/>
    <n v="544"/>
    <n v="2306.56"/>
    <n v="0"/>
    <x v="0"/>
    <s v="OK"/>
  </r>
  <r>
    <s v="IT-10008"/>
    <s v="Anchor bolt B-8"/>
    <x v="2"/>
    <x v="2"/>
    <x v="1"/>
    <s v="2026-05"/>
    <n v="3.18"/>
    <n v="3.18"/>
    <n v="3.1223459999999998"/>
    <n v="4.24"/>
    <n v="53"/>
    <m/>
    <n v="0"/>
    <n v="874"/>
    <n v="2728.93"/>
    <n v="79"/>
    <n v="795"/>
    <n v="7.13"/>
    <n v="0"/>
    <n v="401"/>
    <n v="1700.24"/>
    <n v="0"/>
    <x v="0"/>
    <s v="OK"/>
  </r>
  <r>
    <s v="IT-10008"/>
    <s v="Anchor bolt B-8"/>
    <x v="2"/>
    <x v="2"/>
    <x v="1"/>
    <s v="2026-06"/>
    <n v="3.17"/>
    <n v="3.17"/>
    <n v="3.1372"/>
    <n v="4.24"/>
    <n v="53"/>
    <n v="68"/>
    <n v="396"/>
    <n v="775"/>
    <n v="2431.33"/>
    <n v="31"/>
    <n v="744"/>
    <n v="7"/>
    <n v="3"/>
    <n v="495"/>
    <n v="2098.8000000000002"/>
    <n v="0"/>
    <x v="0"/>
    <s v="OK"/>
  </r>
  <r>
    <s v="IT-10008"/>
    <s v="Anchor bolt B-8"/>
    <x v="2"/>
    <x v="2"/>
    <x v="1"/>
    <s v="2026-07"/>
    <n v="3.14"/>
    <n v="3.14"/>
    <n v="3.1389939999999998"/>
    <n v="4.24"/>
    <n v="53"/>
    <n v="88"/>
    <n v="1385"/>
    <n v="1819"/>
    <n v="5709.83"/>
    <n v="110"/>
    <n v="1709"/>
    <n v="19.329999999999998"/>
    <n v="0"/>
    <n v="341"/>
    <n v="1445.84"/>
    <n v="0"/>
    <x v="0"/>
    <s v="OK"/>
  </r>
  <r>
    <s v="IT-10008"/>
    <s v="Anchor bolt B-8"/>
    <x v="2"/>
    <x v="2"/>
    <x v="1"/>
    <s v="2026-08"/>
    <n v="3.13"/>
    <n v="3.13"/>
    <n v="3.138992"/>
    <n v="4.24"/>
    <n v="53"/>
    <m/>
    <n v="0"/>
    <n v="1349"/>
    <n v="4234.5"/>
    <n v="79"/>
    <n v="1270"/>
    <n v="13.58"/>
    <n v="2"/>
    <n v="470"/>
    <n v="1992.8"/>
    <n v="0"/>
    <x v="0"/>
    <s v="OK"/>
  </r>
  <r>
    <s v="IT-10009"/>
    <s v="Pressure valve 20-9"/>
    <x v="1"/>
    <x v="1"/>
    <x v="1"/>
    <s v="2024-09"/>
    <n v="7.1"/>
    <n v="7.64"/>
    <n v="7.545966"/>
    <n v="10.32"/>
    <n v="19"/>
    <n v="23"/>
    <n v="195"/>
    <n v="471"/>
    <n v="3554.15"/>
    <n v="30"/>
    <n v="441"/>
    <n v="9.44"/>
    <n v="2"/>
    <n v="241"/>
    <n v="2487.12"/>
    <n v="0"/>
    <x v="0"/>
    <s v="OK"/>
  </r>
  <r>
    <s v="IT-10009"/>
    <s v="Pressure valve 20-9"/>
    <x v="1"/>
    <x v="1"/>
    <x v="1"/>
    <s v="2024-10"/>
    <n v="6.91"/>
    <n v="7.43"/>
    <n v="7.5002079999999998"/>
    <n v="10.32"/>
    <n v="19"/>
    <n v="16"/>
    <n v="307"/>
    <n v="673"/>
    <n v="5047.6400000000003"/>
    <n v="36"/>
    <n v="637"/>
    <n v="18.350000000000001"/>
    <n v="1"/>
    <n v="105"/>
    <n v="1083.5999999999999"/>
    <n v="0"/>
    <x v="0"/>
    <s v="OK"/>
  </r>
  <r>
    <s v="IT-10009"/>
    <s v="Pressure valve 20-9"/>
    <x v="1"/>
    <x v="1"/>
    <x v="1"/>
    <s v="2024-11"/>
    <n v="6.95"/>
    <n v="7.48"/>
    <n v="7.4959249999999997"/>
    <n v="10.32"/>
    <n v="19"/>
    <n v="18"/>
    <n v="181"/>
    <n v="665"/>
    <n v="4984.79"/>
    <n v="30"/>
    <n v="635"/>
    <n v="16.16"/>
    <n v="4"/>
    <n v="189"/>
    <n v="1950.48"/>
    <n v="0"/>
    <x v="0"/>
    <s v="OK"/>
  </r>
  <r>
    <s v="IT-10009"/>
    <s v="Pressure valve 20-9"/>
    <x v="1"/>
    <x v="1"/>
    <x v="1"/>
    <s v="2024-12"/>
    <n v="6.94"/>
    <n v="7.47"/>
    <n v="7.4959220000000002"/>
    <n v="10.32"/>
    <n v="19"/>
    <m/>
    <n v="0"/>
    <n v="515"/>
    <n v="3860.4"/>
    <n v="18"/>
    <n v="497"/>
    <n v="15.24"/>
    <n v="0"/>
    <n v="150"/>
    <n v="1548"/>
    <n v="0"/>
    <x v="0"/>
    <s v="OK"/>
  </r>
  <r>
    <s v="IT-10009"/>
    <s v="Pressure valve 20-9"/>
    <x v="1"/>
    <x v="1"/>
    <x v="1"/>
    <s v="2025-01"/>
    <n v="7.16"/>
    <n v="7.7"/>
    <n v="7.4959230000000003"/>
    <n v="10.32"/>
    <n v="19"/>
    <m/>
    <n v="0"/>
    <n v="260"/>
    <n v="1948.94"/>
    <n v="18"/>
    <n v="242"/>
    <n v="5.75"/>
    <n v="0"/>
    <n v="255"/>
    <n v="2631.6"/>
    <n v="0"/>
    <x v="0"/>
    <s v="OK"/>
  </r>
  <r>
    <s v="IT-10009"/>
    <s v="Pressure valve 20-9"/>
    <x v="1"/>
    <x v="1"/>
    <x v="1"/>
    <s v="2025-02"/>
    <n v="7.36"/>
    <n v="7.92"/>
    <n v="7.5146379999999997"/>
    <n v="10.88"/>
    <n v="19"/>
    <n v="33"/>
    <n v="12"/>
    <n v="207"/>
    <n v="1555.53"/>
    <n v="30"/>
    <n v="177"/>
    <n v="5.66"/>
    <n v="0"/>
    <n v="65"/>
    <n v="707.2"/>
    <n v="0"/>
    <x v="0"/>
    <s v="OK"/>
  </r>
  <r>
    <s v="IT-10009"/>
    <s v="Pressure valve 20-9"/>
    <x v="1"/>
    <x v="1"/>
    <x v="1"/>
    <s v="2025-03"/>
    <n v="7.2"/>
    <n v="7.75"/>
    <n v="7.6849550000000004"/>
    <n v="10.88"/>
    <n v="19"/>
    <n v="30"/>
    <n v="542"/>
    <n v="559"/>
    <n v="4295.8900000000003"/>
    <n v="30"/>
    <n v="529"/>
    <n v="14.09"/>
    <n v="0"/>
    <n v="190"/>
    <n v="2067.1999999999998"/>
    <n v="0"/>
    <x v="0"/>
    <s v="OK"/>
  </r>
  <r>
    <s v="IT-10009"/>
    <s v="Pressure valve 20-9"/>
    <x v="1"/>
    <x v="1"/>
    <x v="1"/>
    <s v="2025-04"/>
    <n v="7.33"/>
    <n v="7.88"/>
    <n v="7.7077650000000002"/>
    <n v="10.88"/>
    <n v="19"/>
    <n v="17"/>
    <n v="74"/>
    <n v="519"/>
    <n v="4000.33"/>
    <n v="24"/>
    <n v="495"/>
    <n v="17.88"/>
    <n v="0"/>
    <n v="114"/>
    <n v="1240.32"/>
    <n v="0"/>
    <x v="0"/>
    <s v="OK"/>
  </r>
  <r>
    <s v="IT-10009"/>
    <s v="Pressure valve 20-9"/>
    <x v="1"/>
    <x v="1"/>
    <x v="1"/>
    <s v="2025-05"/>
    <n v="7.39"/>
    <n v="7.95"/>
    <n v="7.7884089999999997"/>
    <n v="10.88"/>
    <n v="19"/>
    <n v="18"/>
    <n v="259"/>
    <n v="679"/>
    <n v="5288.33"/>
    <n v="42"/>
    <n v="637"/>
    <n v="22.14"/>
    <n v="2"/>
    <n v="99"/>
    <n v="1077.1199999999999"/>
    <n v="0"/>
    <x v="0"/>
    <s v="OK"/>
  </r>
  <r>
    <s v="IT-10009"/>
    <s v="Pressure valve 20-9"/>
    <x v="1"/>
    <x v="1"/>
    <x v="1"/>
    <s v="2025-06"/>
    <n v="7.28"/>
    <n v="7.83"/>
    <n v="7.788405"/>
    <n v="10.88"/>
    <n v="19"/>
    <m/>
    <n v="0"/>
    <n v="395"/>
    <n v="3076.42"/>
    <n v="42"/>
    <n v="353"/>
    <n v="10.33"/>
    <n v="0"/>
    <n v="284"/>
    <n v="3089.92"/>
    <n v="0"/>
    <x v="0"/>
    <s v="OK"/>
  </r>
  <r>
    <s v="IT-10009"/>
    <s v="Pressure valve 20-9"/>
    <x v="1"/>
    <x v="1"/>
    <x v="1"/>
    <s v="2025-07"/>
    <n v="7.36"/>
    <n v="7.92"/>
    <n v="7.8283379999999996"/>
    <n v="10.88"/>
    <n v="19"/>
    <n v="16"/>
    <n v="172"/>
    <n v="337"/>
    <n v="2638.15"/>
    <n v="54"/>
    <n v="283"/>
    <n v="7.23"/>
    <n v="0"/>
    <n v="230"/>
    <n v="2502.4"/>
    <n v="0"/>
    <x v="0"/>
    <s v="OK"/>
  </r>
  <r>
    <s v="IT-10009"/>
    <s v="Pressure valve 20-9"/>
    <x v="1"/>
    <x v="1"/>
    <x v="1"/>
    <s v="2025-08"/>
    <n v="7.36"/>
    <n v="7.92"/>
    <n v="7.8658210000000004"/>
    <n v="10.88"/>
    <n v="19"/>
    <n v="16"/>
    <n v="233"/>
    <n v="347"/>
    <n v="2729.44"/>
    <n v="54"/>
    <n v="293"/>
    <n v="6.19"/>
    <n v="5"/>
    <n v="223"/>
    <n v="2426.2399999999998"/>
    <n v="0"/>
    <x v="0"/>
    <s v="OK"/>
  </r>
  <r>
    <s v="IT-10009"/>
    <s v="Pressure valve 20-9"/>
    <x v="1"/>
    <x v="1"/>
    <x v="1"/>
    <s v="2025-09"/>
    <n v="7.22"/>
    <n v="7.77"/>
    <n v="7.8140349999999996"/>
    <n v="10.88"/>
    <n v="19"/>
    <n v="19"/>
    <n v="408"/>
    <n v="518"/>
    <n v="4047.67"/>
    <n v="30"/>
    <n v="488"/>
    <n v="9.8699999999999992"/>
    <n v="0"/>
    <n v="237"/>
    <n v="2578.56"/>
    <n v="0"/>
    <x v="0"/>
    <s v="OK"/>
  </r>
  <r>
    <s v="IT-10009"/>
    <s v="Pressure valve 20-9"/>
    <x v="1"/>
    <x v="1"/>
    <x v="1"/>
    <s v="2025-10"/>
    <n v="7.27"/>
    <n v="7.82"/>
    <n v="7.8158779999999997"/>
    <n v="10.88"/>
    <n v="19"/>
    <n v="17"/>
    <n v="232"/>
    <n v="609"/>
    <n v="4759.87"/>
    <n v="18"/>
    <n v="591"/>
    <n v="13.32"/>
    <n v="0"/>
    <n v="141"/>
    <n v="1534.08"/>
    <n v="0"/>
    <x v="0"/>
    <s v="OK"/>
  </r>
  <r>
    <s v="IT-10009"/>
    <s v="Pressure valve 20-9"/>
    <x v="1"/>
    <x v="1"/>
    <x v="1"/>
    <s v="2025-11"/>
    <n v="7.34"/>
    <n v="7.9"/>
    <n v="7.8387950000000002"/>
    <n v="10.88"/>
    <n v="19"/>
    <n v="17"/>
    <n v="228"/>
    <n v="780"/>
    <n v="6114.26"/>
    <n v="18"/>
    <n v="762"/>
    <n v="23.31"/>
    <n v="0"/>
    <n v="57"/>
    <n v="620.16"/>
    <n v="0"/>
    <x v="0"/>
    <s v="OK"/>
  </r>
  <r>
    <s v="IT-10009"/>
    <s v="Pressure valve 20-9"/>
    <x v="1"/>
    <x v="1"/>
    <x v="1"/>
    <s v="2025-12"/>
    <n v="7.31"/>
    <n v="7.86"/>
    <n v="7.8387909999999996"/>
    <n v="10.88"/>
    <n v="19"/>
    <m/>
    <n v="0"/>
    <n v="637"/>
    <n v="4993.3100000000004"/>
    <n v="24"/>
    <n v="613"/>
    <n v="24.55"/>
    <n v="1"/>
    <n v="143"/>
    <n v="1555.84"/>
    <n v="0"/>
    <x v="0"/>
    <s v="OK"/>
  </r>
  <r>
    <s v="IT-10009"/>
    <s v="Pressure valve 20-9"/>
    <x v="1"/>
    <x v="1"/>
    <x v="1"/>
    <s v="2026-01"/>
    <n v="7.56"/>
    <n v="8.1300000000000008"/>
    <n v="7.8388020000000003"/>
    <n v="10.88"/>
    <n v="19"/>
    <m/>
    <n v="0"/>
    <n v="459"/>
    <n v="3598.01"/>
    <n v="48"/>
    <n v="411"/>
    <n v="15.96"/>
    <n v="1"/>
    <n v="178"/>
    <n v="1936.64"/>
    <n v="0"/>
    <x v="0"/>
    <s v="OK"/>
  </r>
  <r>
    <s v="IT-10009"/>
    <s v="Pressure valve 20-9"/>
    <x v="1"/>
    <x v="1"/>
    <x v="1"/>
    <s v="2026-02"/>
    <n v="7.51"/>
    <n v="8.08"/>
    <n v="7.8920349999999999"/>
    <n v="11.47"/>
    <n v="19"/>
    <n v="18"/>
    <n v="130"/>
    <n v="521"/>
    <n v="4111.75"/>
    <n v="61"/>
    <n v="460"/>
    <n v="17.22"/>
    <n v="5"/>
    <n v="68"/>
    <n v="779.96"/>
    <n v="0"/>
    <x v="0"/>
    <s v="OK"/>
  </r>
  <r>
    <s v="IT-10009"/>
    <s v="Pressure valve 20-9"/>
    <x v="1"/>
    <x v="1"/>
    <x v="1"/>
    <s v="2026-03"/>
    <n v="7.56"/>
    <n v="8.1300000000000008"/>
    <n v="7.9424409999999996"/>
    <n v="11.47"/>
    <n v="19"/>
    <n v="19"/>
    <n v="140"/>
    <n v="512"/>
    <n v="4066.53"/>
    <n v="42"/>
    <n v="470"/>
    <n v="16.670000000000002"/>
    <n v="4"/>
    <n v="149"/>
    <n v="1709.03"/>
    <n v="0"/>
    <x v="0"/>
    <s v="OK"/>
  </r>
  <r>
    <s v="IT-10009"/>
    <s v="Pressure valve 20-9"/>
    <x v="1"/>
    <x v="1"/>
    <x v="1"/>
    <s v="2026-04"/>
    <n v="7.45"/>
    <n v="8.01"/>
    <n v="7.9453529999999999"/>
    <n v="11.47"/>
    <n v="19"/>
    <n v="19"/>
    <n v="23"/>
    <n v="340"/>
    <n v="2701.42"/>
    <n v="48"/>
    <n v="292"/>
    <n v="10.49"/>
    <n v="1"/>
    <n v="195"/>
    <n v="2236.65"/>
    <n v="0"/>
    <x v="0"/>
    <s v="OK"/>
  </r>
  <r>
    <s v="IT-10009"/>
    <s v="Pressure valve 20-9"/>
    <x v="1"/>
    <x v="1"/>
    <x v="1"/>
    <s v="2026-05"/>
    <n v="7.45"/>
    <n v="8.01"/>
    <n v="7.9800899999999997"/>
    <n v="11.47"/>
    <n v="19"/>
    <n v="31"/>
    <n v="395"/>
    <n v="663"/>
    <n v="5290.8"/>
    <n v="42"/>
    <n v="621"/>
    <n v="20.95"/>
    <n v="1"/>
    <n v="72"/>
    <n v="825.84"/>
    <n v="0"/>
    <x v="0"/>
    <s v="OK"/>
  </r>
  <r>
    <s v="IT-10009"/>
    <s v="Pressure valve 20-9"/>
    <x v="1"/>
    <x v="1"/>
    <x v="1"/>
    <s v="2026-06"/>
    <n v="7.64"/>
    <n v="8.2200000000000006"/>
    <n v="7.9860850000000001"/>
    <n v="11.47"/>
    <n v="19"/>
    <n v="17"/>
    <n v="17"/>
    <n v="567"/>
    <n v="4528.1099999999997"/>
    <n v="18"/>
    <n v="549"/>
    <n v="19.399999999999999"/>
    <n v="3"/>
    <n v="113"/>
    <n v="1296.1099999999999"/>
    <n v="0"/>
    <x v="0"/>
    <s v="OK"/>
  </r>
  <r>
    <s v="IT-10009"/>
    <s v="Pressure valve 20-9"/>
    <x v="1"/>
    <x v="1"/>
    <x v="1"/>
    <s v="2026-07"/>
    <n v="7.41"/>
    <n v="7.97"/>
    <n v="7.9846079999999997"/>
    <n v="11.47"/>
    <n v="19"/>
    <n v="18"/>
    <n v="57"/>
    <n v="408"/>
    <n v="3257.72"/>
    <n v="24"/>
    <n v="384"/>
    <n v="13.37"/>
    <n v="0"/>
    <n v="216"/>
    <n v="2477.52"/>
    <n v="0"/>
    <x v="0"/>
    <s v="OK"/>
  </r>
  <r>
    <s v="IT-10009"/>
    <s v="Pressure valve 20-9"/>
    <x v="1"/>
    <x v="1"/>
    <x v="1"/>
    <s v="2026-08"/>
    <n v="7.66"/>
    <n v="8.24"/>
    <n v="8.1055530000000005"/>
    <n v="11.47"/>
    <n v="19"/>
    <n v="18"/>
    <n v="367"/>
    <n v="497"/>
    <n v="4028.46"/>
    <n v="48"/>
    <n v="449"/>
    <n v="10.76"/>
    <n v="0"/>
    <n v="278"/>
    <n v="3188.66"/>
    <n v="0"/>
    <x v="0"/>
    <s v="OK"/>
  </r>
  <r>
    <s v="IT-10010"/>
    <s v="Relay L-10"/>
    <x v="3"/>
    <x v="3"/>
    <x v="0"/>
    <s v="2024-09"/>
    <n v="1.89"/>
    <n v="2.09"/>
    <n v="2.09"/>
    <n v="3.01"/>
    <n v="32"/>
    <n v="44"/>
    <n v="1332"/>
    <n v="608"/>
    <n v="1270.72"/>
    <n v="226"/>
    <n v="382"/>
    <n v="3.81"/>
    <n v="0"/>
    <n v="724"/>
    <n v="2179.2399999999998"/>
    <n v="0"/>
    <x v="0"/>
    <s v="OK"/>
  </r>
  <r>
    <s v="IT-10010"/>
    <s v="Relay L-10"/>
    <x v="3"/>
    <x v="3"/>
    <x v="0"/>
    <s v="2024-10"/>
    <n v="1.91"/>
    <n v="2.11"/>
    <n v="2.1024530000000001"/>
    <n v="3.01"/>
    <n v="32"/>
    <n v="31"/>
    <n v="1003"/>
    <n v="860"/>
    <n v="1808.11"/>
    <n v="68"/>
    <n v="792"/>
    <n v="4.95"/>
    <n v="0"/>
    <n v="751"/>
    <n v="2260.5100000000002"/>
    <n v="0"/>
    <x v="0"/>
    <s v="OK"/>
  </r>
  <r>
    <s v="IT-10010"/>
    <s v="Relay L-10"/>
    <x v="3"/>
    <x v="3"/>
    <x v="0"/>
    <s v="2024-11"/>
    <n v="1.94"/>
    <n v="2.14"/>
    <n v="2.1178240000000002"/>
    <n v="3.01"/>
    <n v="32"/>
    <n v="29"/>
    <n v="596"/>
    <n v="547"/>
    <n v="1158.45"/>
    <n v="113"/>
    <n v="434"/>
    <n v="2.98"/>
    <n v="0"/>
    <n v="909"/>
    <n v="2736.09"/>
    <n v="0"/>
    <x v="0"/>
    <s v="OK"/>
  </r>
  <r>
    <s v="IT-10010"/>
    <s v="Relay L-10"/>
    <x v="3"/>
    <x v="3"/>
    <x v="0"/>
    <s v="2024-12"/>
    <n v="1.93"/>
    <n v="2.13"/>
    <n v="2.1178240000000002"/>
    <n v="3.01"/>
    <n v="32"/>
    <m/>
    <n v="0"/>
    <n v="0"/>
    <n v="0"/>
    <n v="0"/>
    <n v="0"/>
    <n v="0"/>
    <n v="3"/>
    <n v="547"/>
    <n v="1646.47"/>
    <n v="440"/>
    <x v="1"/>
    <s v="OK"/>
  </r>
  <r>
    <s v="IT-10010"/>
    <s v="Relay L-10"/>
    <x v="3"/>
    <x v="3"/>
    <x v="0"/>
    <s v="2025-01"/>
    <n v="1.95"/>
    <n v="2.15"/>
    <n v="2.15"/>
    <n v="3.01"/>
    <n v="32"/>
    <n v="30"/>
    <n v="1535"/>
    <n v="774"/>
    <n v="1664.1"/>
    <n v="203"/>
    <n v="571"/>
    <n v="4.59"/>
    <n v="0"/>
    <n v="761"/>
    <n v="2290.61"/>
    <n v="0"/>
    <x v="0"/>
    <s v="OK"/>
  </r>
  <r>
    <s v="IT-10010"/>
    <s v="Relay L-10"/>
    <x v="3"/>
    <x v="3"/>
    <x v="0"/>
    <s v="2025-02"/>
    <n v="1.94"/>
    <n v="2.14"/>
    <n v="2.1454780000000002"/>
    <n v="3.18"/>
    <n v="32"/>
    <n v="28"/>
    <n v="639"/>
    <n v="763"/>
    <n v="1637"/>
    <n v="226"/>
    <n v="537"/>
    <n v="5.01"/>
    <n v="0"/>
    <n v="650"/>
    <n v="2067"/>
    <n v="0"/>
    <x v="0"/>
    <s v="OK"/>
  </r>
  <r>
    <s v="IT-10010"/>
    <s v="Relay L-10"/>
    <x v="3"/>
    <x v="3"/>
    <x v="0"/>
    <s v="2025-03"/>
    <n v="2.02"/>
    <n v="2.23"/>
    <n v="2.1935039999999999"/>
    <n v="3.18"/>
    <n v="32"/>
    <n v="31"/>
    <n v="1004"/>
    <n v="705"/>
    <n v="1546.42"/>
    <n v="45"/>
    <n v="660"/>
    <n v="3.67"/>
    <n v="1"/>
    <n v="1062"/>
    <n v="3377.16"/>
    <n v="0"/>
    <x v="0"/>
    <s v="OK"/>
  </r>
  <r>
    <s v="IT-10010"/>
    <s v="Relay L-10"/>
    <x v="3"/>
    <x v="3"/>
    <x v="0"/>
    <s v="2025-04"/>
    <n v="2.0299999999999998"/>
    <n v="2.2400000000000002"/>
    <n v="2.1935039999999999"/>
    <n v="3.18"/>
    <n v="32"/>
    <m/>
    <n v="0"/>
    <n v="0"/>
    <n v="0"/>
    <n v="0"/>
    <n v="0"/>
    <n v="0"/>
    <n v="0"/>
    <n v="705"/>
    <n v="2241.9"/>
    <n v="134"/>
    <x v="1"/>
    <s v="OK"/>
  </r>
  <r>
    <s v="IT-10010"/>
    <s v="Relay L-10"/>
    <x v="3"/>
    <x v="3"/>
    <x v="0"/>
    <s v="2025-05"/>
    <n v="2.06"/>
    <n v="2.27"/>
    <n v="2.27"/>
    <n v="3.18"/>
    <n v="32"/>
    <n v="29"/>
    <n v="1628"/>
    <n v="1275"/>
    <n v="2894.25"/>
    <n v="226"/>
    <n v="1049"/>
    <n v="7.9"/>
    <n v="2"/>
    <n v="353"/>
    <n v="1122.54"/>
    <n v="0"/>
    <x v="0"/>
    <s v="OK"/>
  </r>
  <r>
    <s v="IT-10010"/>
    <s v="Relay L-10"/>
    <x v="3"/>
    <x v="3"/>
    <x v="0"/>
    <s v="2025-06"/>
    <n v="1.99"/>
    <n v="2.2000000000000002"/>
    <n v="2.27"/>
    <n v="3.18"/>
    <n v="32"/>
    <m/>
    <n v="0"/>
    <n v="473"/>
    <n v="1073.71"/>
    <n v="68"/>
    <n v="405"/>
    <n v="3.31"/>
    <n v="1"/>
    <n v="802"/>
    <n v="2550.36"/>
    <n v="0"/>
    <x v="0"/>
    <s v="OK"/>
  </r>
  <r>
    <s v="IT-10010"/>
    <s v="Relay L-10"/>
    <x v="3"/>
    <x v="3"/>
    <x v="0"/>
    <s v="2025-07"/>
    <n v="2.04"/>
    <n v="2.25"/>
    <n v="2.2625929999999999"/>
    <n v="3.18"/>
    <n v="32"/>
    <n v="32"/>
    <n v="279"/>
    <n v="351"/>
    <n v="794.17"/>
    <n v="45"/>
    <n v="306"/>
    <n v="2.96"/>
    <n v="0"/>
    <n v="401"/>
    <n v="1275.18"/>
    <n v="0"/>
    <x v="0"/>
    <s v="OK"/>
  </r>
  <r>
    <s v="IT-10010"/>
    <s v="Relay L-10"/>
    <x v="3"/>
    <x v="3"/>
    <x v="0"/>
    <s v="2025-08"/>
    <n v="2.0099999999999998"/>
    <n v="2.2200000000000002"/>
    <n v="2.227033"/>
    <n v="3.18"/>
    <n v="32"/>
    <n v="30"/>
    <n v="1774"/>
    <n v="1321"/>
    <n v="2941.91"/>
    <n v="203"/>
    <n v="1118"/>
    <n v="8.65"/>
    <n v="0"/>
    <n v="804"/>
    <n v="2556.7199999999998"/>
    <n v="0"/>
    <x v="0"/>
    <s v="OK"/>
  </r>
  <r>
    <s v="IT-10010"/>
    <s v="Relay L-10"/>
    <x v="3"/>
    <x v="3"/>
    <x v="0"/>
    <s v="2025-09"/>
    <n v="2"/>
    <n v="2.21"/>
    <n v="2.2270340000000002"/>
    <n v="3.18"/>
    <n v="32"/>
    <m/>
    <n v="0"/>
    <n v="826"/>
    <n v="1839.53"/>
    <n v="45"/>
    <n v="781"/>
    <n v="6.39"/>
    <n v="1"/>
    <n v="495"/>
    <n v="1574.1"/>
    <n v="0"/>
    <x v="0"/>
    <s v="OK"/>
  </r>
  <r>
    <s v="IT-10010"/>
    <s v="Relay L-10"/>
    <x v="3"/>
    <x v="3"/>
    <x v="0"/>
    <s v="2025-10"/>
    <n v="2.0299999999999998"/>
    <n v="2.2400000000000002"/>
    <n v="2.234334"/>
    <n v="3.18"/>
    <n v="32"/>
    <n v="31"/>
    <n v="1063"/>
    <n v="1193"/>
    <n v="2665.56"/>
    <n v="226"/>
    <n v="967"/>
    <n v="7.86"/>
    <n v="0"/>
    <n v="696"/>
    <n v="2213.2800000000002"/>
    <n v="0"/>
    <x v="0"/>
    <s v="OK"/>
  </r>
  <r>
    <s v="IT-10010"/>
    <s v="Relay L-10"/>
    <x v="3"/>
    <x v="3"/>
    <x v="0"/>
    <s v="2025-11"/>
    <n v="2.0499999999999998"/>
    <n v="2.2599999999999998"/>
    <n v="2.2343310000000001"/>
    <n v="3.18"/>
    <n v="32"/>
    <m/>
    <n v="0"/>
    <n v="381"/>
    <n v="851.28"/>
    <n v="181"/>
    <n v="200"/>
    <n v="2.4700000000000002"/>
    <n v="0"/>
    <n v="812"/>
    <n v="2582.16"/>
    <n v="0"/>
    <x v="0"/>
    <s v="OK"/>
  </r>
  <r>
    <s v="IT-10010"/>
    <s v="Relay L-10"/>
    <x v="3"/>
    <x v="3"/>
    <x v="0"/>
    <s v="2025-12"/>
    <n v="2.0099999999999998"/>
    <n v="2.2200000000000002"/>
    <n v="2.2238120000000001"/>
    <n v="3.18"/>
    <n v="32"/>
    <n v="31"/>
    <n v="1052"/>
    <n v="522"/>
    <n v="1160.83"/>
    <n v="113"/>
    <n v="409"/>
    <n v="2.84"/>
    <n v="0"/>
    <n v="911"/>
    <n v="2896.98"/>
    <n v="0"/>
    <x v="0"/>
    <s v="OK"/>
  </r>
  <r>
    <s v="IT-10010"/>
    <s v="Relay L-10"/>
    <x v="3"/>
    <x v="3"/>
    <x v="0"/>
    <s v="2026-01"/>
    <n v="2.0499999999999998"/>
    <n v="2.2599999999999998"/>
    <n v="2.2238120000000001"/>
    <n v="3.18"/>
    <n v="32"/>
    <m/>
    <n v="0"/>
    <n v="0"/>
    <n v="0"/>
    <n v="0"/>
    <n v="0"/>
    <n v="0"/>
    <n v="0"/>
    <n v="522"/>
    <n v="1659.96"/>
    <n v="121"/>
    <x v="1"/>
    <s v="OK"/>
  </r>
  <r>
    <s v="IT-10010"/>
    <s v="Relay L-10"/>
    <x v="3"/>
    <x v="3"/>
    <x v="0"/>
    <s v="2026-02"/>
    <n v="2.06"/>
    <n v="2.27"/>
    <n v="2.27"/>
    <n v="3.36"/>
    <n v="32"/>
    <n v="41"/>
    <n v="1791"/>
    <n v="798"/>
    <n v="1811.46"/>
    <n v="136"/>
    <n v="662"/>
    <n v="4.2300000000000004"/>
    <n v="0"/>
    <n v="993"/>
    <n v="3336.48"/>
    <n v="0"/>
    <x v="0"/>
    <s v="OK"/>
  </r>
  <r>
    <s v="IT-10010"/>
    <s v="Relay L-10"/>
    <x v="3"/>
    <x v="3"/>
    <x v="0"/>
    <s v="2026-03"/>
    <n v="2.11"/>
    <n v="2.33"/>
    <n v="2.2928899999999999"/>
    <n v="3.36"/>
    <n v="32"/>
    <n v="28"/>
    <n v="492"/>
    <n v="782"/>
    <n v="1793.04"/>
    <n v="45"/>
    <n v="737"/>
    <n v="4.97"/>
    <n v="0"/>
    <n v="508"/>
    <n v="1706.88"/>
    <n v="0"/>
    <x v="0"/>
    <s v="OK"/>
  </r>
  <r>
    <s v="IT-10010"/>
    <s v="Relay L-10"/>
    <x v="3"/>
    <x v="3"/>
    <x v="0"/>
    <s v="2026-04"/>
    <n v="2.12"/>
    <n v="2.34"/>
    <n v="2.3052079999999999"/>
    <n v="3.36"/>
    <n v="32"/>
    <n v="30"/>
    <n v="277"/>
    <n v="745"/>
    <n v="1717.38"/>
    <n v="203"/>
    <n v="542"/>
    <n v="5.22"/>
    <n v="0"/>
    <n v="314"/>
    <n v="1055.04"/>
    <n v="0"/>
    <x v="0"/>
    <s v="OK"/>
  </r>
  <r>
    <s v="IT-10010"/>
    <s v="Relay L-10"/>
    <x v="3"/>
    <x v="3"/>
    <x v="0"/>
    <s v="2026-05"/>
    <n v="2.14"/>
    <n v="2.36"/>
    <n v="2.3442729999999998"/>
    <n v="3.36"/>
    <n v="32"/>
    <n v="30"/>
    <n v="1851"/>
    <n v="2092"/>
    <n v="4904.22"/>
    <n v="158"/>
    <n v="1934"/>
    <n v="20.74"/>
    <n v="2"/>
    <n v="504"/>
    <n v="1693.44"/>
    <n v="0"/>
    <x v="0"/>
    <s v="OK"/>
  </r>
  <r>
    <s v="IT-10010"/>
    <s v="Relay L-10"/>
    <x v="3"/>
    <x v="3"/>
    <x v="0"/>
    <s v="2026-06"/>
    <n v="2.1800000000000002"/>
    <n v="2.41"/>
    <n v="2.344274"/>
    <n v="3.36"/>
    <n v="32"/>
    <m/>
    <n v="0"/>
    <n v="1453"/>
    <n v="3406.23"/>
    <n v="158"/>
    <n v="1295"/>
    <n v="12.96"/>
    <n v="1"/>
    <n v="639"/>
    <n v="2147.04"/>
    <n v="0"/>
    <x v="0"/>
    <s v="OK"/>
  </r>
  <r>
    <s v="IT-10010"/>
    <s v="Relay L-10"/>
    <x v="3"/>
    <x v="3"/>
    <x v="0"/>
    <s v="2026-07"/>
    <n v="2.15"/>
    <n v="2.37"/>
    <n v="2.3500350000000001"/>
    <n v="3.36"/>
    <n v="32"/>
    <n v="29"/>
    <n v="419"/>
    <n v="1151"/>
    <n v="2704.89"/>
    <n v="45"/>
    <n v="1106"/>
    <n v="8.1199999999999992"/>
    <n v="0"/>
    <n v="721"/>
    <n v="2422.56"/>
    <n v="0"/>
    <x v="0"/>
    <s v="OK"/>
  </r>
  <r>
    <s v="IT-10010"/>
    <s v="Relay L-10"/>
    <x v="3"/>
    <x v="3"/>
    <x v="0"/>
    <s v="2026-08"/>
    <n v="2.11"/>
    <n v="2.33"/>
    <n v="2.3432309999999998"/>
    <n v="3.36"/>
    <n v="32"/>
    <n v="28"/>
    <n v="592"/>
    <n v="1272"/>
    <n v="2980.59"/>
    <n v="181"/>
    <n v="1091"/>
    <n v="9.1300000000000008"/>
    <n v="2"/>
    <n v="471"/>
    <n v="1582.56"/>
    <n v="0"/>
    <x v="0"/>
    <s v="OK"/>
  </r>
  <r>
    <s v="IT-10011"/>
    <s v="Hex nut pack A-11"/>
    <x v="2"/>
    <x v="2"/>
    <x v="1"/>
    <s v="2024-09"/>
    <n v="1.52"/>
    <n v="1.52"/>
    <n v="1.52"/>
    <n v="2.21"/>
    <n v="38"/>
    <m/>
    <n v="0"/>
    <n v="0"/>
    <n v="0"/>
    <n v="0"/>
    <n v="0"/>
    <m/>
    <n v="230"/>
    <n v="0"/>
    <n v="0"/>
    <n v="0"/>
    <x v="0"/>
    <s v="OK"/>
  </r>
  <r>
    <s v="IT-10011"/>
    <s v="Hex nut pack A-11"/>
    <x v="2"/>
    <x v="2"/>
    <x v="1"/>
    <s v="2024-10"/>
    <n v="1.5"/>
    <n v="1.5"/>
    <n v="1.52"/>
    <n v="2.21"/>
    <n v="38"/>
    <m/>
    <n v="0"/>
    <n v="0"/>
    <n v="0"/>
    <n v="0"/>
    <n v="0"/>
    <m/>
    <n v="261"/>
    <n v="0"/>
    <n v="0"/>
    <n v="0"/>
    <x v="0"/>
    <s v="OK"/>
  </r>
  <r>
    <s v="IT-10011"/>
    <s v="Hex nut pack A-11"/>
    <x v="2"/>
    <x v="2"/>
    <x v="1"/>
    <s v="2024-11"/>
    <n v="1.53"/>
    <n v="1.53"/>
    <n v="1.52"/>
    <n v="2.21"/>
    <n v="38"/>
    <m/>
    <n v="0"/>
    <n v="0"/>
    <n v="0"/>
    <n v="0"/>
    <n v="0"/>
    <m/>
    <n v="291"/>
    <n v="0"/>
    <n v="0"/>
    <n v="0"/>
    <x v="0"/>
    <s v="OK"/>
  </r>
  <r>
    <s v="IT-10011"/>
    <s v="Hex nut pack A-11"/>
    <x v="2"/>
    <x v="2"/>
    <x v="1"/>
    <s v="2024-12"/>
    <n v="1.56"/>
    <n v="1.56"/>
    <n v="1.52"/>
    <n v="2.21"/>
    <n v="38"/>
    <m/>
    <n v="0"/>
    <n v="0"/>
    <n v="0"/>
    <n v="0"/>
    <n v="0"/>
    <m/>
    <n v="322"/>
    <n v="0"/>
    <n v="0"/>
    <n v="0"/>
    <x v="0"/>
    <s v="OK"/>
  </r>
  <r>
    <s v="IT-10011"/>
    <s v="Hex nut pack A-11"/>
    <x v="2"/>
    <x v="2"/>
    <x v="1"/>
    <s v="2025-01"/>
    <n v="1.54"/>
    <n v="1.54"/>
    <n v="1.54"/>
    <n v="2.21"/>
    <n v="38"/>
    <n v="36"/>
    <n v="544"/>
    <n v="544"/>
    <n v="837.76"/>
    <n v="0"/>
    <n v="544"/>
    <m/>
    <n v="353"/>
    <n v="0"/>
    <n v="0"/>
    <n v="0"/>
    <x v="0"/>
    <s v="OK"/>
  </r>
  <r>
    <s v="IT-10011"/>
    <s v="Hex nut pack A-11"/>
    <x v="2"/>
    <x v="2"/>
    <x v="1"/>
    <s v="2025-02"/>
    <n v="1.56"/>
    <n v="1.56"/>
    <n v="1.553552"/>
    <n v="2.2799999999999998"/>
    <n v="38"/>
    <n v="43"/>
    <n v="1144"/>
    <n v="1371"/>
    <n v="2129.92"/>
    <n v="119"/>
    <n v="1252"/>
    <n v="55.61"/>
    <n v="3"/>
    <n v="317"/>
    <n v="722.76"/>
    <n v="0"/>
    <x v="0"/>
    <s v="OK"/>
  </r>
  <r>
    <s v="IT-10011"/>
    <s v="Hex nut pack A-11"/>
    <x v="2"/>
    <x v="2"/>
    <x v="1"/>
    <s v="2025-03"/>
    <n v="1.59"/>
    <n v="1.59"/>
    <n v="1.578902"/>
    <n v="2.2799999999999998"/>
    <n v="38"/>
    <n v="58"/>
    <n v="3132"/>
    <n v="3452"/>
    <n v="5450.37"/>
    <n v="185"/>
    <n v="3267"/>
    <n v="32.44"/>
    <n v="0"/>
    <n v="1051"/>
    <n v="2396.2800000000002"/>
    <n v="0"/>
    <x v="0"/>
    <s v="OK"/>
  </r>
  <r>
    <s v="IT-10011"/>
    <s v="Hex nut pack A-11"/>
    <x v="2"/>
    <x v="2"/>
    <x v="1"/>
    <s v="2025-04"/>
    <n v="1.54"/>
    <n v="1.54"/>
    <n v="1.577356"/>
    <n v="2.2799999999999998"/>
    <n v="38"/>
    <n v="37"/>
    <n v="143"/>
    <n v="2927"/>
    <n v="4616.92"/>
    <n v="358"/>
    <n v="2569"/>
    <n v="18.28"/>
    <n v="0"/>
    <n v="668"/>
    <n v="1523.04"/>
    <n v="0"/>
    <x v="0"/>
    <s v="OK"/>
  </r>
  <r>
    <s v="IT-10011"/>
    <s v="Hex nut pack A-11"/>
    <x v="2"/>
    <x v="2"/>
    <x v="1"/>
    <s v="2025-05"/>
    <n v="1.54"/>
    <n v="1.54"/>
    <n v="1.5573619999999999"/>
    <n v="2.2799999999999998"/>
    <n v="38"/>
    <n v="35"/>
    <n v="3371"/>
    <n v="6004"/>
    <n v="9350.4"/>
    <n v="358"/>
    <n v="5646"/>
    <n v="39.200000000000003"/>
    <n v="4"/>
    <n v="294"/>
    <n v="670.32"/>
    <n v="0"/>
    <x v="0"/>
    <s v="OK"/>
  </r>
  <r>
    <s v="IT-10011"/>
    <s v="Hex nut pack A-11"/>
    <x v="2"/>
    <x v="2"/>
    <x v="1"/>
    <s v="2025-06"/>
    <n v="1.58"/>
    <n v="1.58"/>
    <n v="1.5573619999999999"/>
    <n v="2.2799999999999998"/>
    <n v="38"/>
    <m/>
    <n v="0"/>
    <n v="5250"/>
    <n v="8176.15"/>
    <n v="238"/>
    <n v="5012"/>
    <n v="39.770000000000003"/>
    <n v="0"/>
    <n v="754"/>
    <n v="1719.12"/>
    <n v="0"/>
    <x v="0"/>
    <s v="OK"/>
  </r>
  <r>
    <s v="IT-10011"/>
    <s v="Hex nut pack A-11"/>
    <x v="2"/>
    <x v="2"/>
    <x v="1"/>
    <s v="2025-07"/>
    <n v="1.54"/>
    <n v="1.54"/>
    <n v="1.5573630000000001"/>
    <n v="2.2799999999999998"/>
    <n v="38"/>
    <m/>
    <n v="0"/>
    <n v="3655"/>
    <n v="5692.16"/>
    <n v="238"/>
    <n v="3417"/>
    <n v="18.18"/>
    <n v="0"/>
    <n v="1595"/>
    <n v="3636.6"/>
    <n v="0"/>
    <x v="0"/>
    <s v="OK"/>
  </r>
  <r>
    <s v="IT-10011"/>
    <s v="Hex nut pack A-11"/>
    <x v="2"/>
    <x v="2"/>
    <x v="1"/>
    <s v="2025-08"/>
    <n v="1.55"/>
    <n v="1.55"/>
    <n v="1.556408"/>
    <n v="2.2799999999999998"/>
    <n v="38"/>
    <n v="35"/>
    <n v="545"/>
    <n v="3647"/>
    <n v="5676.22"/>
    <n v="79"/>
    <n v="3568"/>
    <n v="16.52"/>
    <n v="0"/>
    <n v="553"/>
    <n v="1260.8399999999999"/>
    <n v="0"/>
    <x v="0"/>
    <s v="OK"/>
  </r>
  <r>
    <s v="IT-10011"/>
    <s v="Hex nut pack A-11"/>
    <x v="2"/>
    <x v="2"/>
    <x v="1"/>
    <s v="2025-09"/>
    <n v="1.55"/>
    <n v="1.55"/>
    <n v="1.554028"/>
    <n v="2.2799999999999998"/>
    <n v="38"/>
    <n v="33"/>
    <n v="2154"/>
    <n v="5323"/>
    <n v="8272.09"/>
    <n v="159"/>
    <n v="5164"/>
    <n v="26.64"/>
    <n v="1"/>
    <n v="478"/>
    <n v="1089.8399999999999"/>
    <n v="0"/>
    <x v="0"/>
    <s v="OK"/>
  </r>
  <r>
    <s v="IT-10011"/>
    <s v="Hex nut pack A-11"/>
    <x v="2"/>
    <x v="2"/>
    <x v="1"/>
    <s v="2025-10"/>
    <n v="1.57"/>
    <n v="1.57"/>
    <n v="1.554027"/>
    <n v="2.2799999999999998"/>
    <n v="38"/>
    <m/>
    <n v="0"/>
    <n v="3568"/>
    <n v="5544.77"/>
    <n v="119"/>
    <n v="3449"/>
    <n v="16.829999999999998"/>
    <n v="0"/>
    <n v="1755"/>
    <n v="4001.4"/>
    <n v="0"/>
    <x v="0"/>
    <s v="OK"/>
  </r>
  <r>
    <s v="IT-10011"/>
    <s v="Hex nut pack A-11"/>
    <x v="2"/>
    <x v="2"/>
    <x v="1"/>
    <s v="2025-11"/>
    <n v="1.59"/>
    <n v="1.59"/>
    <n v="1.5595650000000001"/>
    <n v="2.2799999999999998"/>
    <n v="38"/>
    <n v="38"/>
    <n v="649"/>
    <n v="3082"/>
    <n v="4806.58"/>
    <n v="397"/>
    <n v="2685"/>
    <n v="11.9"/>
    <n v="2"/>
    <n v="1135"/>
    <n v="2587.8000000000002"/>
    <n v="0"/>
    <x v="0"/>
    <s v="OK"/>
  </r>
  <r>
    <s v="IT-10011"/>
    <s v="Hex nut pack A-11"/>
    <x v="2"/>
    <x v="2"/>
    <x v="1"/>
    <s v="2025-12"/>
    <n v="1.59"/>
    <n v="1.59"/>
    <n v="1.565823"/>
    <n v="2.2799999999999998"/>
    <n v="38"/>
    <n v="59"/>
    <n v="798"/>
    <n v="2552"/>
    <n v="3995.98"/>
    <n v="318"/>
    <n v="2234"/>
    <n v="7.95"/>
    <n v="0"/>
    <n v="1328"/>
    <n v="3027.84"/>
    <n v="0"/>
    <x v="0"/>
    <s v="OK"/>
  </r>
  <r>
    <s v="IT-10011"/>
    <s v="Hex nut pack A-11"/>
    <x v="2"/>
    <x v="2"/>
    <x v="1"/>
    <s v="2026-01"/>
    <n v="1.58"/>
    <n v="1.58"/>
    <n v="1.570154"/>
    <n v="2.2799999999999998"/>
    <n v="38"/>
    <n v="36"/>
    <n v="1123"/>
    <n v="3314"/>
    <n v="5203.49"/>
    <n v="79"/>
    <n v="3235"/>
    <n v="15.42"/>
    <n v="0"/>
    <n v="361"/>
    <n v="823.08"/>
    <n v="0"/>
    <x v="0"/>
    <s v="OK"/>
  </r>
  <r>
    <s v="IT-10011"/>
    <s v="Hex nut pack A-11"/>
    <x v="2"/>
    <x v="2"/>
    <x v="1"/>
    <s v="2026-02"/>
    <n v="1.59"/>
    <n v="1.59"/>
    <n v="1.573097"/>
    <n v="2.35"/>
    <n v="38"/>
    <n v="33"/>
    <n v="577"/>
    <n v="2635"/>
    <n v="4145.1099999999997"/>
    <n v="397"/>
    <n v="2238"/>
    <n v="11.5"/>
    <n v="0"/>
    <n v="1256"/>
    <n v="2951.6"/>
    <n v="0"/>
    <x v="0"/>
    <s v="OK"/>
  </r>
  <r>
    <s v="IT-10011"/>
    <s v="Hex nut pack A-11"/>
    <x v="2"/>
    <x v="2"/>
    <x v="1"/>
    <s v="2026-03"/>
    <n v="1.6"/>
    <n v="1.6"/>
    <n v="1.5823780000000001"/>
    <n v="2.35"/>
    <n v="38"/>
    <n v="35"/>
    <n v="1388"/>
    <n v="3486"/>
    <n v="5516.17"/>
    <n v="79"/>
    <n v="3407"/>
    <n v="20.81"/>
    <n v="2"/>
    <n v="537"/>
    <n v="1261.95"/>
    <n v="0"/>
    <x v="0"/>
    <s v="OK"/>
  </r>
  <r>
    <s v="IT-10011"/>
    <s v="Hex nut pack A-11"/>
    <x v="2"/>
    <x v="2"/>
    <x v="1"/>
    <s v="2026-04"/>
    <n v="1.6"/>
    <n v="1.6"/>
    <n v="1.590192"/>
    <n v="2.35"/>
    <n v="38"/>
    <n v="56"/>
    <n v="2777"/>
    <n v="4436"/>
    <n v="7054.09"/>
    <n v="318"/>
    <n v="4118"/>
    <n v="15.58"/>
    <n v="0"/>
    <n v="1827"/>
    <n v="4293.45"/>
    <n v="0"/>
    <x v="0"/>
    <s v="OK"/>
  </r>
  <r>
    <s v="IT-10011"/>
    <s v="Hex nut pack A-11"/>
    <x v="2"/>
    <x v="2"/>
    <x v="1"/>
    <s v="2026-05"/>
    <n v="1.62"/>
    <n v="1.62"/>
    <n v="1.5901909999999999"/>
    <n v="2.35"/>
    <n v="38"/>
    <m/>
    <n v="0"/>
    <n v="4034"/>
    <n v="6414.83"/>
    <n v="199"/>
    <n v="3835"/>
    <n v="19.170000000000002"/>
    <n v="0"/>
    <n v="402"/>
    <n v="944.7"/>
    <n v="0"/>
    <x v="0"/>
    <s v="OK"/>
  </r>
  <r>
    <s v="IT-10011"/>
    <s v="Hex nut pack A-11"/>
    <x v="2"/>
    <x v="2"/>
    <x v="1"/>
    <s v="2026-06"/>
    <n v="1.61"/>
    <n v="1.61"/>
    <n v="1.5901909999999999"/>
    <n v="2.35"/>
    <n v="38"/>
    <m/>
    <n v="0"/>
    <n v="2989"/>
    <n v="4753.08"/>
    <n v="119"/>
    <n v="2870"/>
    <n v="11.87"/>
    <n v="1"/>
    <n v="1045"/>
    <n v="2455.75"/>
    <n v="0"/>
    <x v="0"/>
    <s v="OK"/>
  </r>
  <r>
    <s v="IT-10011"/>
    <s v="Hex nut pack A-11"/>
    <x v="2"/>
    <x v="2"/>
    <x v="1"/>
    <s v="2026-07"/>
    <n v="1.59"/>
    <n v="1.59"/>
    <n v="1.590093"/>
    <n v="2.35"/>
    <n v="38"/>
    <n v="35"/>
    <n v="3069"/>
    <n v="4835"/>
    <n v="7688.1"/>
    <n v="119"/>
    <n v="4716"/>
    <n v="23.8"/>
    <n v="0"/>
    <n v="1223"/>
    <n v="2874.05"/>
    <n v="0"/>
    <x v="0"/>
    <s v="OK"/>
  </r>
  <r>
    <s v="IT-10011"/>
    <s v="Hex nut pack A-11"/>
    <x v="2"/>
    <x v="2"/>
    <x v="1"/>
    <s v="2026-08"/>
    <n v="1.61"/>
    <n v="1.61"/>
    <n v="1.590093"/>
    <n v="2.35"/>
    <n v="38"/>
    <m/>
    <n v="0"/>
    <n v="3442"/>
    <n v="5473.1"/>
    <n v="238"/>
    <n v="3204"/>
    <n v="12.36"/>
    <n v="0"/>
    <n v="1393"/>
    <n v="3273.55"/>
    <n v="0"/>
    <x v="0"/>
    <s v="OK"/>
  </r>
  <r>
    <s v="IT-10012"/>
    <s v="Hex nut pack M-12"/>
    <x v="2"/>
    <x v="2"/>
    <x v="1"/>
    <s v="2024-09"/>
    <n v="33.06"/>
    <n v="33.06"/>
    <n v="33.601033999999999"/>
    <n v="47.65"/>
    <n v="49"/>
    <n v="86"/>
    <n v="311"/>
    <n v="1054"/>
    <n v="35415.49"/>
    <n v="64"/>
    <n v="990"/>
    <n v="42.23"/>
    <n v="3"/>
    <n v="109"/>
    <n v="5193.8500000000004"/>
    <n v="0"/>
    <x v="0"/>
    <s v="OK"/>
  </r>
  <r>
    <s v="IT-10012"/>
    <s v="Hex nut pack M-12"/>
    <x v="2"/>
    <x v="2"/>
    <x v="1"/>
    <s v="2024-10"/>
    <n v="33.979999999999997"/>
    <n v="33.979999999999997"/>
    <n v="33.601039"/>
    <n v="47.65"/>
    <n v="49"/>
    <m/>
    <n v="0"/>
    <n v="760"/>
    <n v="25536.79"/>
    <n v="36"/>
    <n v="724"/>
    <n v="18.5"/>
    <n v="0"/>
    <n v="294"/>
    <n v="14009.1"/>
    <n v="0"/>
    <x v="0"/>
    <s v="OK"/>
  </r>
  <r>
    <s v="IT-10012"/>
    <s v="Hex nut pack M-12"/>
    <x v="2"/>
    <x v="2"/>
    <x v="1"/>
    <s v="2024-11"/>
    <n v="33.11"/>
    <n v="33.11"/>
    <n v="33.588456000000001"/>
    <n v="47.65"/>
    <n v="49"/>
    <n v="45"/>
    <n v="20"/>
    <n v="531"/>
    <n v="17835.47"/>
    <n v="21"/>
    <n v="510"/>
    <n v="10.59"/>
    <n v="5"/>
    <n v="249"/>
    <n v="11864.85"/>
    <n v="0"/>
    <x v="0"/>
    <s v="OK"/>
  </r>
  <r>
    <s v="IT-10012"/>
    <s v="Hex nut pack M-12"/>
    <x v="2"/>
    <x v="2"/>
    <x v="1"/>
    <s v="2024-12"/>
    <n v="34.369999999999997"/>
    <n v="34.369999999999997"/>
    <n v="33.908886000000003"/>
    <n v="47.65"/>
    <n v="49"/>
    <n v="48"/>
    <n v="369"/>
    <n v="700"/>
    <n v="23736.22"/>
    <n v="14"/>
    <n v="686"/>
    <n v="12.38"/>
    <n v="0"/>
    <n v="200"/>
    <n v="9530"/>
    <n v="0"/>
    <x v="0"/>
    <s v="OK"/>
  </r>
  <r>
    <s v="IT-10012"/>
    <s v="Hex nut pack M-12"/>
    <x v="2"/>
    <x v="2"/>
    <x v="1"/>
    <s v="2025-01"/>
    <n v="34.979999999999997"/>
    <n v="34.979999999999997"/>
    <n v="34.287041000000002"/>
    <n v="47.65"/>
    <n v="49"/>
    <n v="42"/>
    <n v="382"/>
    <n v="943"/>
    <n v="32332.68"/>
    <n v="21"/>
    <n v="922"/>
    <n v="21.08"/>
    <n v="7"/>
    <n v="139"/>
    <n v="6623.35"/>
    <n v="0"/>
    <x v="0"/>
    <s v="OK"/>
  </r>
  <r>
    <s v="IT-10012"/>
    <s v="Hex nut pack M-12"/>
    <x v="2"/>
    <x v="2"/>
    <x v="1"/>
    <s v="2025-02"/>
    <n v="34.51"/>
    <n v="34.51"/>
    <n v="34.308031"/>
    <n v="50.37"/>
    <n v="49"/>
    <n v="46"/>
    <n v="98"/>
    <n v="1036"/>
    <n v="35543.120000000003"/>
    <n v="14"/>
    <n v="1022"/>
    <n v="38.72"/>
    <n v="11"/>
    <n v="5"/>
    <n v="251.85"/>
    <n v="0"/>
    <x v="0"/>
    <s v="OK"/>
  </r>
  <r>
    <s v="IT-10012"/>
    <s v="Hex nut pack M-12"/>
    <x v="2"/>
    <x v="2"/>
    <x v="1"/>
    <s v="2025-03"/>
    <n v="34.49"/>
    <n v="34.49"/>
    <n v="34.309601000000001"/>
    <n v="50.37"/>
    <n v="49"/>
    <n v="46"/>
    <n v="9"/>
    <n v="752"/>
    <n v="25800.82"/>
    <n v="57"/>
    <n v="695"/>
    <n v="22.12"/>
    <n v="1"/>
    <n v="293"/>
    <n v="14758.41"/>
    <n v="0"/>
    <x v="0"/>
    <s v="OK"/>
  </r>
  <r>
    <s v="IT-10012"/>
    <s v="Hex nut pack M-12"/>
    <x v="2"/>
    <x v="2"/>
    <x v="1"/>
    <s v="2025-04"/>
    <n v="34.840000000000003"/>
    <n v="34.840000000000003"/>
    <n v="34.477733000000001"/>
    <n v="50.37"/>
    <n v="49"/>
    <n v="45"/>
    <n v="349"/>
    <n v="953"/>
    <n v="32857.279999999999"/>
    <n v="64"/>
    <n v="889"/>
    <n v="27.17"/>
    <n v="5"/>
    <n v="148"/>
    <n v="7454.76"/>
    <n v="0"/>
    <x v="0"/>
    <s v="OK"/>
  </r>
  <r>
    <s v="IT-10012"/>
    <s v="Hex nut pack M-12"/>
    <x v="2"/>
    <x v="2"/>
    <x v="1"/>
    <s v="2025-05"/>
    <n v="35.04"/>
    <n v="35.04"/>
    <n v="34.477738000000002"/>
    <n v="50.37"/>
    <n v="49"/>
    <m/>
    <n v="0"/>
    <n v="809"/>
    <n v="27892.49"/>
    <n v="50"/>
    <n v="759"/>
    <n v="18.18"/>
    <n v="0"/>
    <n v="144"/>
    <n v="7253.28"/>
    <n v="0"/>
    <x v="0"/>
    <s v="OK"/>
  </r>
  <r>
    <s v="IT-10012"/>
    <s v="Hex nut pack M-12"/>
    <x v="2"/>
    <x v="2"/>
    <x v="1"/>
    <s v="2025-06"/>
    <n v="34.409999999999997"/>
    <n v="34.409999999999997"/>
    <n v="34.477735000000003"/>
    <n v="50.37"/>
    <n v="49"/>
    <m/>
    <n v="0"/>
    <n v="565"/>
    <n v="19479.919999999998"/>
    <n v="29"/>
    <n v="536"/>
    <n v="13.7"/>
    <n v="3"/>
    <n v="244"/>
    <n v="12290.28"/>
    <n v="0"/>
    <x v="0"/>
    <s v="OK"/>
  </r>
  <r>
    <s v="IT-10012"/>
    <s v="Hex nut pack M-12"/>
    <x v="2"/>
    <x v="2"/>
    <x v="1"/>
    <s v="2025-07"/>
    <n v="35.090000000000003"/>
    <n v="35.090000000000003"/>
    <n v="34.691471"/>
    <n v="50.37"/>
    <n v="49"/>
    <n v="88"/>
    <n v="303"/>
    <n v="544"/>
    <n v="18872.16"/>
    <n v="21"/>
    <n v="523"/>
    <n v="10.039999999999999"/>
    <n v="1"/>
    <n v="324"/>
    <n v="16319.88"/>
    <n v="0"/>
    <x v="0"/>
    <s v="OK"/>
  </r>
  <r>
    <s v="IT-10012"/>
    <s v="Hex nut pack M-12"/>
    <x v="2"/>
    <x v="2"/>
    <x v="1"/>
    <s v="2025-08"/>
    <n v="34.01"/>
    <n v="34.01"/>
    <n v="34.481648"/>
    <n v="50.37"/>
    <n v="49"/>
    <n v="81"/>
    <n v="242"/>
    <n v="443"/>
    <n v="15275.37"/>
    <n v="64"/>
    <n v="379"/>
    <n v="6.39"/>
    <n v="0"/>
    <n v="343"/>
    <n v="17276.91"/>
    <n v="0"/>
    <x v="0"/>
    <s v="OK"/>
  </r>
  <r>
    <s v="IT-10012"/>
    <s v="Hex nut pack M-12"/>
    <x v="2"/>
    <x v="2"/>
    <x v="1"/>
    <s v="2025-09"/>
    <n v="34.24"/>
    <n v="34.24"/>
    <n v="34.355234000000003"/>
    <n v="50.37"/>
    <n v="49"/>
    <n v="47"/>
    <n v="486"/>
    <n v="768"/>
    <n v="26384.82"/>
    <n v="14"/>
    <n v="754"/>
    <n v="12.19"/>
    <n v="0"/>
    <n v="161"/>
    <n v="8109.57"/>
    <n v="0"/>
    <x v="0"/>
    <s v="OK"/>
  </r>
  <r>
    <s v="IT-10012"/>
    <s v="Hex nut pack M-12"/>
    <x v="2"/>
    <x v="2"/>
    <x v="1"/>
    <s v="2025-10"/>
    <n v="34.15"/>
    <n v="34.15"/>
    <n v="34.310513"/>
    <n v="50.37"/>
    <n v="49"/>
    <n v="46"/>
    <n v="214"/>
    <n v="663"/>
    <n v="22747.87"/>
    <n v="36"/>
    <n v="627"/>
    <n v="10.59"/>
    <n v="1"/>
    <n v="319"/>
    <n v="16068.03"/>
    <n v="0"/>
    <x v="0"/>
    <s v="OK"/>
  </r>
  <r>
    <s v="IT-10012"/>
    <s v="Hex nut pack M-12"/>
    <x v="2"/>
    <x v="2"/>
    <x v="1"/>
    <s v="2025-11"/>
    <n v="34.75"/>
    <n v="34.75"/>
    <n v="34.390712000000001"/>
    <n v="50.37"/>
    <n v="49"/>
    <n v="46"/>
    <n v="148"/>
    <n v="590"/>
    <n v="20290.52"/>
    <n v="72"/>
    <n v="518"/>
    <n v="10.94"/>
    <n v="3"/>
    <n v="221"/>
    <n v="11131.77"/>
    <n v="0"/>
    <x v="0"/>
    <s v="OK"/>
  </r>
  <r>
    <s v="IT-10012"/>
    <s v="Hex nut pack M-12"/>
    <x v="2"/>
    <x v="2"/>
    <x v="1"/>
    <s v="2025-12"/>
    <n v="36.03"/>
    <n v="36.03"/>
    <n v="35.261180000000003"/>
    <n v="50.37"/>
    <n v="49"/>
    <n v="45"/>
    <n v="668"/>
    <n v="1186"/>
    <n v="41819.760000000002"/>
    <n v="50"/>
    <n v="1136"/>
    <n v="25.47"/>
    <n v="0"/>
    <n v="72"/>
    <n v="3626.64"/>
    <n v="0"/>
    <x v="0"/>
    <s v="OK"/>
  </r>
  <r>
    <s v="IT-10012"/>
    <s v="Hex nut pack M-12"/>
    <x v="2"/>
    <x v="2"/>
    <x v="1"/>
    <s v="2026-01"/>
    <n v="35.31"/>
    <n v="35.31"/>
    <n v="35.261175999999999"/>
    <n v="50.37"/>
    <n v="49"/>
    <m/>
    <n v="0"/>
    <n v="1088"/>
    <n v="38364.160000000003"/>
    <n v="50"/>
    <n v="1038"/>
    <n v="36.57"/>
    <n v="2"/>
    <n v="98"/>
    <n v="4936.26"/>
    <n v="0"/>
    <x v="0"/>
    <s v="OK"/>
  </r>
  <r>
    <s v="IT-10012"/>
    <s v="Hex nut pack M-12"/>
    <x v="2"/>
    <x v="2"/>
    <x v="1"/>
    <s v="2026-02"/>
    <n v="35.729999999999997"/>
    <n v="35.729999999999997"/>
    <n v="35.292910999999997"/>
    <n v="53.24"/>
    <n v="49"/>
    <n v="87"/>
    <n v="79"/>
    <n v="907"/>
    <n v="32010.67"/>
    <n v="29"/>
    <n v="878"/>
    <n v="27.12"/>
    <n v="1"/>
    <n v="260"/>
    <n v="13842.4"/>
    <n v="0"/>
    <x v="0"/>
    <s v="OK"/>
  </r>
  <r>
    <s v="IT-10012"/>
    <s v="Hex nut pack M-12"/>
    <x v="2"/>
    <x v="2"/>
    <x v="1"/>
    <s v="2026-03"/>
    <n v="35.520000000000003"/>
    <n v="35.520000000000003"/>
    <n v="35.304780999999998"/>
    <n v="53.24"/>
    <n v="49"/>
    <n v="48"/>
    <n v="50"/>
    <n v="571"/>
    <n v="20159.03"/>
    <n v="43"/>
    <n v="528"/>
    <n v="9.8699999999999992"/>
    <n v="0"/>
    <n v="386"/>
    <n v="20550.64"/>
    <n v="0"/>
    <x v="0"/>
    <s v="OK"/>
  </r>
  <r>
    <s v="IT-10012"/>
    <s v="Hex nut pack M-12"/>
    <x v="2"/>
    <x v="2"/>
    <x v="1"/>
    <s v="2026-04"/>
    <n v="35.21"/>
    <n v="35.21"/>
    <n v="35.283234"/>
    <n v="53.24"/>
    <n v="49"/>
    <n v="47"/>
    <n v="168"/>
    <n v="739"/>
    <n v="26074.31"/>
    <n v="50"/>
    <n v="689"/>
    <n v="14.54"/>
    <n v="30"/>
    <n v="0"/>
    <n v="0"/>
    <n v="0"/>
    <x v="0"/>
    <s v="OK"/>
  </r>
  <r>
    <s v="IT-10012"/>
    <s v="Hex nut pack M-12"/>
    <x v="2"/>
    <x v="2"/>
    <x v="1"/>
    <s v="2026-05"/>
    <n v="35.659999999999997"/>
    <n v="35.659999999999997"/>
    <n v="35.420183999999999"/>
    <n v="53.24"/>
    <n v="49"/>
    <n v="45"/>
    <n v="422"/>
    <n v="926"/>
    <n v="32799.089999999997"/>
    <n v="36"/>
    <n v="890"/>
    <n v="19.600000000000001"/>
    <n v="3"/>
    <n v="235"/>
    <n v="12511.4"/>
    <n v="0"/>
    <x v="0"/>
    <s v="OK"/>
  </r>
  <r>
    <s v="IT-10012"/>
    <s v="Hex nut pack M-12"/>
    <x v="2"/>
    <x v="2"/>
    <x v="1"/>
    <s v="2026-06"/>
    <n v="35.25"/>
    <n v="35.25"/>
    <n v="35.420184999999996"/>
    <n v="53.24"/>
    <n v="49"/>
    <m/>
    <n v="0"/>
    <n v="701"/>
    <n v="24829.55"/>
    <n v="29"/>
    <n v="672"/>
    <n v="19.809999999999999"/>
    <n v="3"/>
    <n v="225"/>
    <n v="11979"/>
    <n v="0"/>
    <x v="0"/>
    <s v="OK"/>
  </r>
  <r>
    <s v="IT-10012"/>
    <s v="Hex nut pack M-12"/>
    <x v="2"/>
    <x v="2"/>
    <x v="1"/>
    <s v="2026-07"/>
    <n v="35.28"/>
    <n v="35.28"/>
    <n v="35.387511000000003"/>
    <n v="53.24"/>
    <n v="49"/>
    <n v="47"/>
    <n v="213"/>
    <n v="904"/>
    <n v="31990.31"/>
    <n v="43"/>
    <n v="861"/>
    <n v="25.28"/>
    <n v="2"/>
    <n v="10"/>
    <n v="532.4"/>
    <n v="0"/>
    <x v="0"/>
    <s v="OK"/>
  </r>
  <r>
    <s v="IT-10012"/>
    <s v="Hex nut pack M-12"/>
    <x v="2"/>
    <x v="2"/>
    <x v="1"/>
    <s v="2026-08"/>
    <n v="35.21"/>
    <n v="35.21"/>
    <n v="35.387515999999998"/>
    <n v="53.24"/>
    <n v="49"/>
    <m/>
    <n v="0"/>
    <n v="781"/>
    <n v="27637.65"/>
    <n v="21"/>
    <n v="760"/>
    <n v="28.67"/>
    <n v="1"/>
    <n v="123"/>
    <n v="6548.52"/>
    <n v="0"/>
    <x v="0"/>
    <s v="OK"/>
  </r>
  <r>
    <s v="IT-10013"/>
    <s v="Control switch L-13"/>
    <x v="3"/>
    <x v="3"/>
    <x v="0"/>
    <s v="2024-09"/>
    <n v="67.7"/>
    <n v="72.81"/>
    <n v="71.712897999999996"/>
    <n v="100.56"/>
    <n v="20"/>
    <n v="25"/>
    <n v="234"/>
    <n v="383"/>
    <n v="27466.04"/>
    <n v="50"/>
    <n v="333"/>
    <n v="8.56"/>
    <n v="0"/>
    <n v="317"/>
    <n v="31877.52"/>
    <n v="0"/>
    <x v="0"/>
    <s v="OK"/>
  </r>
  <r>
    <s v="IT-10013"/>
    <s v="Control switch L-13"/>
    <x v="3"/>
    <x v="3"/>
    <x v="0"/>
    <s v="2024-10"/>
    <n v="66.52"/>
    <n v="71.540000000000006"/>
    <n v="71.658451999999997"/>
    <n v="100.56"/>
    <n v="20"/>
    <n v="20"/>
    <n v="176"/>
    <n v="310"/>
    <n v="22214.12"/>
    <n v="57"/>
    <n v="253"/>
    <n v="7.16"/>
    <n v="1"/>
    <n v="249"/>
    <n v="25039.439999999999"/>
    <n v="0"/>
    <x v="0"/>
    <s v="OK"/>
  </r>
  <r>
    <s v="IT-10013"/>
    <s v="Control switch L-13"/>
    <x v="3"/>
    <x v="3"/>
    <x v="0"/>
    <s v="2024-11"/>
    <n v="65.680000000000007"/>
    <n v="70.64"/>
    <n v="71.101575999999994"/>
    <n v="100.56"/>
    <n v="20"/>
    <n v="19"/>
    <n v="374"/>
    <n v="552"/>
    <n v="39248.07"/>
    <n v="50"/>
    <n v="502"/>
    <n v="10.28"/>
    <n v="0"/>
    <n v="132"/>
    <n v="13273.92"/>
    <n v="0"/>
    <x v="0"/>
    <s v="OK"/>
  </r>
  <r>
    <s v="IT-10013"/>
    <s v="Control switch L-13"/>
    <x v="3"/>
    <x v="3"/>
    <x v="0"/>
    <s v="2024-12"/>
    <n v="67.22"/>
    <n v="72.290000000000006"/>
    <n v="71.283860000000004"/>
    <n v="100.56"/>
    <n v="20"/>
    <n v="19"/>
    <n v="100"/>
    <n v="399"/>
    <n v="28442.26"/>
    <n v="72"/>
    <n v="327"/>
    <n v="8.27"/>
    <n v="0"/>
    <n v="253"/>
    <n v="25441.68"/>
    <n v="0"/>
    <x v="0"/>
    <s v="OK"/>
  </r>
  <r>
    <s v="IT-10013"/>
    <s v="Control switch L-13"/>
    <x v="3"/>
    <x v="3"/>
    <x v="0"/>
    <s v="2025-01"/>
    <n v="67.28"/>
    <n v="72.36"/>
    <n v="71.594598000000005"/>
    <n v="100.56"/>
    <n v="20"/>
    <n v="19"/>
    <n v="162"/>
    <n v="261"/>
    <n v="18686.189999999999"/>
    <n v="36"/>
    <n v="225"/>
    <n v="5.01"/>
    <n v="1"/>
    <n v="300"/>
    <n v="30168"/>
    <n v="0"/>
    <x v="0"/>
    <s v="OK"/>
  </r>
  <r>
    <s v="IT-10013"/>
    <s v="Control switch L-13"/>
    <x v="3"/>
    <x v="3"/>
    <x v="0"/>
    <s v="2025-02"/>
    <n v="65.73"/>
    <n v="70.69"/>
    <n v="70.961695000000006"/>
    <n v="103.43"/>
    <n v="20"/>
    <n v="19"/>
    <n v="608"/>
    <n v="596"/>
    <n v="42293.17"/>
    <n v="57"/>
    <n v="539"/>
    <n v="9.2799999999999994"/>
    <n v="0"/>
    <n v="273"/>
    <n v="28236.39"/>
    <n v="0"/>
    <x v="0"/>
    <s v="OK"/>
  </r>
  <r>
    <s v="IT-10013"/>
    <s v="Control switch L-13"/>
    <x v="3"/>
    <x v="3"/>
    <x v="0"/>
    <s v="2025-03"/>
    <n v="69.400000000000006"/>
    <n v="74.64"/>
    <n v="70.961691999999999"/>
    <n v="103.43"/>
    <n v="20"/>
    <m/>
    <n v="0"/>
    <n v="455"/>
    <n v="32287.57"/>
    <n v="14"/>
    <n v="441"/>
    <n v="8.19"/>
    <n v="0"/>
    <n v="141"/>
    <n v="14583.63"/>
    <n v="0"/>
    <x v="0"/>
    <s v="OK"/>
  </r>
  <r>
    <s v="IT-10013"/>
    <s v="Control switch L-13"/>
    <x v="3"/>
    <x v="3"/>
    <x v="0"/>
    <s v="2025-04"/>
    <n v="71.3"/>
    <n v="76.680000000000007"/>
    <n v="73.792288999999997"/>
    <n v="103.43"/>
    <n v="20"/>
    <n v="19"/>
    <n v="446"/>
    <n v="712"/>
    <n v="52540.11"/>
    <n v="36"/>
    <n v="676"/>
    <n v="15.01"/>
    <n v="0"/>
    <n v="189"/>
    <n v="19548.27"/>
    <n v="0"/>
    <x v="0"/>
    <s v="OK"/>
  </r>
  <r>
    <s v="IT-10013"/>
    <s v="Control switch L-13"/>
    <x v="3"/>
    <x v="3"/>
    <x v="0"/>
    <s v="2025-05"/>
    <n v="70.849999999999994"/>
    <n v="76.2"/>
    <n v="73.792285000000007"/>
    <n v="103.43"/>
    <n v="20"/>
    <m/>
    <n v="0"/>
    <n v="499"/>
    <n v="36822.35"/>
    <n v="14"/>
    <n v="485"/>
    <n v="12.08"/>
    <n v="0"/>
    <n v="213"/>
    <n v="22030.59"/>
    <n v="0"/>
    <x v="0"/>
    <s v="OK"/>
  </r>
  <r>
    <s v="IT-10013"/>
    <s v="Control switch L-13"/>
    <x v="3"/>
    <x v="3"/>
    <x v="0"/>
    <s v="2025-06"/>
    <n v="69.959999999999994"/>
    <n v="75.239999999999995"/>
    <n v="73.792277999999996"/>
    <n v="103.43"/>
    <n v="20"/>
    <m/>
    <n v="0"/>
    <n v="281"/>
    <n v="20735.63"/>
    <n v="21"/>
    <n v="260"/>
    <n v="5.89"/>
    <n v="1"/>
    <n v="218"/>
    <n v="22547.74"/>
    <n v="0"/>
    <x v="0"/>
    <s v="OK"/>
  </r>
  <r>
    <s v="IT-10013"/>
    <s v="Control switch L-13"/>
    <x v="3"/>
    <x v="3"/>
    <x v="0"/>
    <s v="2025-07"/>
    <n v="70.61"/>
    <n v="75.94"/>
    <n v="74.723232999999993"/>
    <n v="103.43"/>
    <n v="20"/>
    <n v="17"/>
    <n v="215"/>
    <n v="232"/>
    <n v="17335.79"/>
    <n v="29"/>
    <n v="203"/>
    <n v="4.3899999999999997"/>
    <n v="0"/>
    <n v="264"/>
    <n v="27305.52"/>
    <n v="0"/>
    <x v="0"/>
    <s v="OK"/>
  </r>
  <r>
    <s v="IT-10013"/>
    <s v="Control switch L-13"/>
    <x v="3"/>
    <x v="3"/>
    <x v="0"/>
    <s v="2025-08"/>
    <n v="71.5"/>
    <n v="76.900000000000006"/>
    <n v="76.250884999999997"/>
    <n v="103.43"/>
    <n v="20"/>
    <n v="18"/>
    <n v="546"/>
    <n v="644"/>
    <n v="49105.57"/>
    <n v="21"/>
    <n v="623"/>
    <n v="13.74"/>
    <n v="2"/>
    <n v="134"/>
    <n v="13859.62"/>
    <n v="0"/>
    <x v="0"/>
    <s v="OK"/>
  </r>
  <r>
    <s v="IT-10013"/>
    <s v="Control switch L-13"/>
    <x v="3"/>
    <x v="3"/>
    <x v="0"/>
    <s v="2025-09"/>
    <n v="71.42"/>
    <n v="76.81"/>
    <n v="76.250877000000003"/>
    <n v="103.43"/>
    <n v="20"/>
    <m/>
    <n v="0"/>
    <n v="570"/>
    <n v="43463"/>
    <n v="43"/>
    <n v="527"/>
    <n v="15.87"/>
    <n v="0"/>
    <n v="74"/>
    <n v="7653.82"/>
    <n v="0"/>
    <x v="0"/>
    <s v="OK"/>
  </r>
  <r>
    <s v="IT-10013"/>
    <s v="Control switch L-13"/>
    <x v="3"/>
    <x v="3"/>
    <x v="0"/>
    <s v="2025-10"/>
    <n v="71.87"/>
    <n v="77.3"/>
    <n v="76.250870000000006"/>
    <n v="103.43"/>
    <n v="20"/>
    <m/>
    <n v="0"/>
    <n v="391"/>
    <n v="29814.09"/>
    <n v="29"/>
    <n v="362"/>
    <n v="13.28"/>
    <n v="4"/>
    <n v="179"/>
    <n v="18513.97"/>
    <n v="0"/>
    <x v="0"/>
    <s v="OK"/>
  </r>
  <r>
    <s v="IT-10013"/>
    <s v="Control switch L-13"/>
    <x v="3"/>
    <x v="3"/>
    <x v="0"/>
    <s v="2025-11"/>
    <n v="71.13"/>
    <n v="76.5"/>
    <n v="76.343397999999993"/>
    <n v="103.43"/>
    <n v="20"/>
    <n v="34"/>
    <n v="231"/>
    <n v="362"/>
    <n v="27636.31"/>
    <n v="36"/>
    <n v="326"/>
    <n v="9.17"/>
    <n v="0"/>
    <n v="260"/>
    <n v="26891.8"/>
    <n v="0"/>
    <x v="0"/>
    <s v="OK"/>
  </r>
  <r>
    <s v="IT-10013"/>
    <s v="Control switch L-13"/>
    <x v="3"/>
    <x v="3"/>
    <x v="0"/>
    <s v="2025-12"/>
    <n v="70.989999999999995"/>
    <n v="76.349999999999994"/>
    <n v="76.346417000000002"/>
    <n v="103.43"/>
    <n v="20"/>
    <n v="25"/>
    <n v="305"/>
    <n v="533"/>
    <n v="40692.639999999999"/>
    <n v="50"/>
    <n v="483"/>
    <n v="12.23"/>
    <n v="0"/>
    <n v="134"/>
    <n v="13859.62"/>
    <n v="0"/>
    <x v="0"/>
    <s v="OK"/>
  </r>
  <r>
    <s v="IT-10013"/>
    <s v="Control switch L-13"/>
    <x v="3"/>
    <x v="3"/>
    <x v="0"/>
    <s v="2026-01"/>
    <n v="69.44"/>
    <n v="74.680000000000007"/>
    <n v="76.346430999999995"/>
    <n v="103.43"/>
    <n v="20"/>
    <m/>
    <n v="0"/>
    <n v="269"/>
    <n v="20537.189999999999"/>
    <n v="72"/>
    <n v="197"/>
    <n v="5.37"/>
    <n v="1"/>
    <n v="264"/>
    <n v="27305.52"/>
    <n v="0"/>
    <x v="0"/>
    <s v="OK"/>
  </r>
  <r>
    <s v="IT-10013"/>
    <s v="Control switch L-13"/>
    <x v="3"/>
    <x v="3"/>
    <x v="0"/>
    <s v="2026-02"/>
    <n v="70.12"/>
    <n v="75.41"/>
    <n v="75.716447000000002"/>
    <n v="106.38"/>
    <n v="20"/>
    <n v="19"/>
    <n v="553"/>
    <n v="636"/>
    <n v="48155.66"/>
    <n v="72"/>
    <n v="564"/>
    <n v="14"/>
    <n v="0"/>
    <n v="186"/>
    <n v="19786.68"/>
    <n v="0"/>
    <x v="0"/>
    <s v="OK"/>
  </r>
  <r>
    <s v="IT-10013"/>
    <s v="Control switch L-13"/>
    <x v="3"/>
    <x v="3"/>
    <x v="0"/>
    <s v="2026-03"/>
    <n v="74.86"/>
    <n v="80.510000000000005"/>
    <n v="75.716443999999996"/>
    <n v="106.38"/>
    <n v="20"/>
    <m/>
    <n v="0"/>
    <n v="540"/>
    <n v="40886.879999999997"/>
    <n v="64"/>
    <n v="476"/>
    <n v="12.72"/>
    <n v="1"/>
    <n v="96"/>
    <n v="10212.48"/>
    <n v="0"/>
    <x v="0"/>
    <s v="OK"/>
  </r>
  <r>
    <s v="IT-10013"/>
    <s v="Control switch L-13"/>
    <x v="3"/>
    <x v="3"/>
    <x v="0"/>
    <s v="2026-04"/>
    <n v="74.52"/>
    <n v="80.150000000000006"/>
    <n v="77.056816999999995"/>
    <n v="106.38"/>
    <n v="20"/>
    <n v="18"/>
    <n v="234"/>
    <n v="597"/>
    <n v="46002.92"/>
    <n v="21"/>
    <n v="576"/>
    <n v="16.54"/>
    <n v="4"/>
    <n v="177"/>
    <n v="18829.259999999998"/>
    <n v="0"/>
    <x v="0"/>
    <s v="OK"/>
  </r>
  <r>
    <s v="IT-10013"/>
    <s v="Control switch L-13"/>
    <x v="3"/>
    <x v="3"/>
    <x v="0"/>
    <s v="2026-05"/>
    <n v="74.72"/>
    <n v="80.36"/>
    <n v="77.530721"/>
    <n v="106.38"/>
    <n v="20"/>
    <n v="18"/>
    <n v="100"/>
    <n v="416"/>
    <n v="32252.78"/>
    <n v="64"/>
    <n v="352"/>
    <n v="9.8699999999999992"/>
    <n v="1"/>
    <n v="281"/>
    <n v="29892.78"/>
    <n v="0"/>
    <x v="0"/>
    <s v="OK"/>
  </r>
  <r>
    <s v="IT-10013"/>
    <s v="Control switch L-13"/>
    <x v="3"/>
    <x v="3"/>
    <x v="0"/>
    <s v="2026-06"/>
    <n v="76.290000000000006"/>
    <n v="82.05"/>
    <n v="79.289310999999998"/>
    <n v="106.38"/>
    <n v="20"/>
    <n v="19"/>
    <n v="265"/>
    <n v="334"/>
    <n v="26482.63"/>
    <n v="57"/>
    <n v="277"/>
    <n v="5.39"/>
    <n v="0"/>
    <n v="347"/>
    <n v="36913.86"/>
    <n v="0"/>
    <x v="0"/>
    <s v="OK"/>
  </r>
  <r>
    <s v="IT-10013"/>
    <s v="Control switch L-13"/>
    <x v="3"/>
    <x v="3"/>
    <x v="0"/>
    <s v="2026-07"/>
    <n v="73.459999999999994"/>
    <n v="79.010000000000005"/>
    <n v="79.289281000000003"/>
    <n v="106.38"/>
    <n v="20"/>
    <m/>
    <n v="0"/>
    <n v="139"/>
    <n v="11021.21"/>
    <n v="50"/>
    <n v="89"/>
    <n v="2.2200000000000002"/>
    <n v="7"/>
    <n v="195"/>
    <n v="20744.099999999999"/>
    <n v="0"/>
    <x v="0"/>
    <s v="OK"/>
  </r>
  <r>
    <s v="IT-10013"/>
    <s v="Control switch L-13"/>
    <x v="3"/>
    <x v="3"/>
    <x v="0"/>
    <s v="2026-08"/>
    <n v="75.959999999999994"/>
    <n v="81.69"/>
    <n v="81.275976"/>
    <n v="106.38"/>
    <n v="20"/>
    <n v="17"/>
    <n v="667"/>
    <n v="507"/>
    <n v="41206.92"/>
    <n v="14"/>
    <n v="493"/>
    <n v="7.92"/>
    <n v="0"/>
    <n v="299"/>
    <n v="31807.62"/>
    <n v="0"/>
    <x v="0"/>
    <s v="OK"/>
  </r>
  <r>
    <s v="IT-10014"/>
    <s v="Ball bearing M-14"/>
    <x v="0"/>
    <x v="0"/>
    <x v="1"/>
    <s v="2024-09"/>
    <n v="18.87"/>
    <n v="18.87"/>
    <n v="18.831714000000002"/>
    <n v="26.52"/>
    <n v="57"/>
    <m/>
    <n v="0"/>
    <n v="35"/>
    <n v="659.11"/>
    <n v="16"/>
    <n v="19"/>
    <n v="1.76"/>
    <n v="5"/>
    <n v="46"/>
    <n v="1219.92"/>
    <n v="0"/>
    <x v="0"/>
    <s v="OK"/>
  </r>
  <r>
    <s v="IT-10014"/>
    <s v="Ball bearing M-14"/>
    <x v="0"/>
    <x v="0"/>
    <x v="1"/>
    <s v="2024-10"/>
    <n v="18.5"/>
    <n v="18.5"/>
    <n v="18.535177999999998"/>
    <n v="26.52"/>
    <n v="57"/>
    <n v="55"/>
    <n v="295"/>
    <n v="197"/>
    <n v="3651.43"/>
    <n v="19"/>
    <n v="178"/>
    <n v="9.3800000000000008"/>
    <n v="0"/>
    <n v="133"/>
    <n v="3527.16"/>
    <n v="0"/>
    <x v="0"/>
    <s v="OK"/>
  </r>
  <r>
    <s v="IT-10014"/>
    <s v="Ball bearing M-14"/>
    <x v="0"/>
    <x v="0"/>
    <x v="1"/>
    <s v="2024-11"/>
    <n v="19.100000000000001"/>
    <n v="19.100000000000001"/>
    <n v="18.535188000000002"/>
    <n v="26.52"/>
    <n v="57"/>
    <m/>
    <n v="0"/>
    <n v="133"/>
    <n v="2465.1799999999998"/>
    <n v="5"/>
    <n v="128"/>
    <n v="7.12"/>
    <n v="1"/>
    <n v="64"/>
    <n v="1697.28"/>
    <n v="0"/>
    <x v="0"/>
    <s v="OK"/>
  </r>
  <r>
    <s v="IT-10014"/>
    <s v="Ball bearing M-14"/>
    <x v="0"/>
    <x v="0"/>
    <x v="1"/>
    <s v="2024-12"/>
    <n v="18.95"/>
    <n v="18.95"/>
    <n v="18.766714"/>
    <n v="26.52"/>
    <n v="57"/>
    <n v="49"/>
    <n v="168"/>
    <n v="210"/>
    <n v="3941.01"/>
    <n v="7"/>
    <n v="203"/>
    <n v="9.58"/>
    <n v="2"/>
    <n v="91"/>
    <n v="2413.3200000000002"/>
    <n v="0"/>
    <x v="0"/>
    <s v="OK"/>
  </r>
  <r>
    <s v="IT-10014"/>
    <s v="Ball bearing M-14"/>
    <x v="0"/>
    <x v="0"/>
    <x v="1"/>
    <s v="2025-01"/>
    <n v="19.100000000000001"/>
    <n v="19.100000000000001"/>
    <n v="18.771438"/>
    <n v="26.52"/>
    <n v="57"/>
    <n v="51"/>
    <n v="3"/>
    <n v="160"/>
    <n v="3003.43"/>
    <n v="14"/>
    <n v="146"/>
    <n v="10.11"/>
    <n v="0"/>
    <n v="53"/>
    <n v="1405.56"/>
    <n v="0"/>
    <x v="0"/>
    <s v="OK"/>
  </r>
  <r>
    <s v="IT-10014"/>
    <s v="Ball bearing M-14"/>
    <x v="0"/>
    <x v="0"/>
    <x v="1"/>
    <s v="2025-02"/>
    <n v="18.53"/>
    <n v="18.53"/>
    <n v="18.694358999999999"/>
    <n v="27.67"/>
    <n v="57"/>
    <n v="50"/>
    <n v="75"/>
    <n v="156"/>
    <n v="2916.32"/>
    <n v="5"/>
    <n v="151"/>
    <n v="8.99"/>
    <n v="3"/>
    <n v="79"/>
    <n v="2185.9299999999998"/>
    <n v="0"/>
    <x v="0"/>
    <s v="OK"/>
  </r>
  <r>
    <s v="IT-10014"/>
    <s v="Ball bearing M-14"/>
    <x v="0"/>
    <x v="0"/>
    <x v="1"/>
    <s v="2025-03"/>
    <n v="18.75"/>
    <n v="18.75"/>
    <n v="18.694400000000002"/>
    <n v="27.67"/>
    <n v="57"/>
    <m/>
    <n v="0"/>
    <n v="100"/>
    <n v="1869.44"/>
    <n v="23"/>
    <n v="77"/>
    <n v="6.84"/>
    <n v="6"/>
    <n v="56"/>
    <n v="1549.52"/>
    <n v="0"/>
    <x v="0"/>
    <s v="OK"/>
  </r>
  <r>
    <s v="IT-10014"/>
    <s v="Ball bearing M-14"/>
    <x v="0"/>
    <x v="0"/>
    <x v="1"/>
    <s v="2025-04"/>
    <n v="19.66"/>
    <n v="19.66"/>
    <n v="19.338144"/>
    <n v="27.67"/>
    <n v="57"/>
    <n v="88"/>
    <n v="200"/>
    <n v="167"/>
    <n v="3229.47"/>
    <n v="21"/>
    <n v="146"/>
    <n v="7.92"/>
    <n v="2"/>
    <n v="133"/>
    <n v="3680.11"/>
    <n v="0"/>
    <x v="0"/>
    <s v="OK"/>
  </r>
  <r>
    <s v="IT-10014"/>
    <s v="Ball bearing M-14"/>
    <x v="0"/>
    <x v="0"/>
    <x v="1"/>
    <s v="2025-05"/>
    <n v="19.739999999999998"/>
    <n v="19.739999999999998"/>
    <n v="19.402774000000001"/>
    <n v="27.67"/>
    <n v="57"/>
    <n v="51"/>
    <n v="32"/>
    <n v="155"/>
    <n v="3007.43"/>
    <n v="16"/>
    <n v="139"/>
    <n v="8.74"/>
    <n v="0"/>
    <n v="44"/>
    <n v="1217.48"/>
    <n v="0"/>
    <x v="0"/>
    <s v="OK"/>
  </r>
  <r>
    <s v="IT-10014"/>
    <s v="Ball bearing M-14"/>
    <x v="0"/>
    <x v="0"/>
    <x v="1"/>
    <s v="2025-06"/>
    <n v="19.45"/>
    <n v="19.45"/>
    <n v="19.402737999999999"/>
    <n v="27.67"/>
    <n v="57"/>
    <m/>
    <n v="0"/>
    <n v="84"/>
    <n v="1629.83"/>
    <n v="23"/>
    <n v="61"/>
    <n v="4.4000000000000004"/>
    <n v="3"/>
    <n v="71"/>
    <n v="1964.57"/>
    <n v="0"/>
    <x v="0"/>
    <s v="OK"/>
  </r>
  <r>
    <s v="IT-10014"/>
    <s v="Ball bearing M-14"/>
    <x v="0"/>
    <x v="0"/>
    <x v="1"/>
    <s v="2025-07"/>
    <n v="19.36"/>
    <n v="19.36"/>
    <n v="19.373797"/>
    <n v="27.67"/>
    <n v="57"/>
    <n v="56"/>
    <n v="176"/>
    <n v="187"/>
    <n v="3622.9"/>
    <n v="16"/>
    <n v="171"/>
    <n v="13.07"/>
    <n v="11"/>
    <n v="73"/>
    <n v="2019.91"/>
    <n v="0"/>
    <x v="0"/>
    <s v="OK"/>
  </r>
  <r>
    <s v="IT-10014"/>
    <s v="Ball bearing M-14"/>
    <x v="0"/>
    <x v="0"/>
    <x v="1"/>
    <s v="2025-08"/>
    <n v="19.100000000000001"/>
    <n v="19.100000000000001"/>
    <n v="19.242229999999999"/>
    <n v="27.67"/>
    <n v="57"/>
    <n v="50"/>
    <n v="173"/>
    <n v="287"/>
    <n v="5522.52"/>
    <n v="14"/>
    <n v="273"/>
    <n v="17.38"/>
    <n v="5"/>
    <n v="73"/>
    <n v="2019.91"/>
    <n v="0"/>
    <x v="0"/>
    <s v="OK"/>
  </r>
  <r>
    <s v="IT-10014"/>
    <s v="Ball bearing M-14"/>
    <x v="0"/>
    <x v="0"/>
    <x v="1"/>
    <s v="2025-09"/>
    <n v="19.2"/>
    <n v="19.2"/>
    <n v="19.242222000000002"/>
    <n v="27.67"/>
    <n v="57"/>
    <m/>
    <n v="0"/>
    <n v="225"/>
    <n v="4329.5"/>
    <n v="21"/>
    <n v="204"/>
    <n v="14.22"/>
    <n v="2"/>
    <n v="62"/>
    <n v="1715.54"/>
    <n v="0"/>
    <x v="0"/>
    <s v="OK"/>
  </r>
  <r>
    <s v="IT-10014"/>
    <s v="Ball bearing M-14"/>
    <x v="0"/>
    <x v="0"/>
    <x v="1"/>
    <s v="2025-10"/>
    <n v="19.79"/>
    <n v="19.79"/>
    <n v="19.242222000000002"/>
    <n v="27.67"/>
    <n v="57"/>
    <m/>
    <n v="0"/>
    <n v="153"/>
    <n v="2944.06"/>
    <n v="12"/>
    <n v="141"/>
    <n v="9.7100000000000009"/>
    <n v="2"/>
    <n v="72"/>
    <n v="1992.24"/>
    <n v="0"/>
    <x v="0"/>
    <s v="OK"/>
  </r>
  <r>
    <s v="IT-10014"/>
    <s v="Ball bearing M-14"/>
    <x v="0"/>
    <x v="0"/>
    <x v="1"/>
    <s v="2025-11"/>
    <n v="19.12"/>
    <n v="19.12"/>
    <n v="19.183613999999999"/>
    <n v="27.67"/>
    <n v="57"/>
    <n v="50"/>
    <n v="141"/>
    <n v="249"/>
    <n v="4776.72"/>
    <n v="14"/>
    <n v="235"/>
    <n v="18.079999999999998"/>
    <n v="0"/>
    <n v="45"/>
    <n v="1245.1500000000001"/>
    <n v="0"/>
    <x v="0"/>
    <s v="OK"/>
  </r>
  <r>
    <s v="IT-10014"/>
    <s v="Ball bearing M-14"/>
    <x v="0"/>
    <x v="0"/>
    <x v="1"/>
    <s v="2025-12"/>
    <n v="19.12"/>
    <n v="19.12"/>
    <n v="19.163284000000001"/>
    <n v="27.67"/>
    <n v="57"/>
    <n v="53"/>
    <n v="117"/>
    <n v="271"/>
    <n v="5193.25"/>
    <n v="14"/>
    <n v="257"/>
    <n v="16.8"/>
    <n v="5"/>
    <n v="95"/>
    <n v="2628.65"/>
    <n v="0"/>
    <x v="0"/>
    <s v="OK"/>
  </r>
  <r>
    <s v="IT-10014"/>
    <s v="Ball bearing M-14"/>
    <x v="0"/>
    <x v="0"/>
    <x v="1"/>
    <s v="2026-01"/>
    <n v="19.36"/>
    <n v="19.36"/>
    <n v="19.183477"/>
    <n v="27.67"/>
    <n v="57"/>
    <n v="55"/>
    <n v="31"/>
    <n v="256"/>
    <n v="4910.97"/>
    <n v="19"/>
    <n v="237"/>
    <n v="18.09"/>
    <n v="0"/>
    <n v="46"/>
    <n v="1272.82"/>
    <n v="0"/>
    <x v="0"/>
    <s v="OK"/>
  </r>
  <r>
    <s v="IT-10014"/>
    <s v="Ball bearing M-14"/>
    <x v="0"/>
    <x v="0"/>
    <x v="1"/>
    <s v="2026-02"/>
    <n v="19.66"/>
    <n v="19.66"/>
    <n v="19.183503000000002"/>
    <n v="28.87"/>
    <n v="57"/>
    <m/>
    <n v="0"/>
    <n v="157"/>
    <n v="3011.81"/>
    <n v="12"/>
    <n v="145"/>
    <n v="8.41"/>
    <n v="2"/>
    <n v="99"/>
    <n v="2858.13"/>
    <n v="0"/>
    <x v="0"/>
    <s v="OK"/>
  </r>
  <r>
    <s v="IT-10014"/>
    <s v="Ball bearing M-14"/>
    <x v="0"/>
    <x v="0"/>
    <x v="1"/>
    <s v="2026-03"/>
    <n v="19.78"/>
    <n v="19.78"/>
    <n v="19.464676999999998"/>
    <n v="28.87"/>
    <n v="57"/>
    <n v="54"/>
    <n v="140"/>
    <n v="201"/>
    <n v="3912.4"/>
    <n v="16"/>
    <n v="185"/>
    <n v="10.72"/>
    <n v="3"/>
    <n v="96"/>
    <n v="2771.52"/>
    <n v="0"/>
    <x v="0"/>
    <s v="OK"/>
  </r>
  <r>
    <s v="IT-10014"/>
    <s v="Ball bearing M-14"/>
    <x v="0"/>
    <x v="0"/>
    <x v="1"/>
    <s v="2026-04"/>
    <n v="20.239999999999998"/>
    <n v="20.239999999999998"/>
    <n v="19.727360999999998"/>
    <n v="28.87"/>
    <n v="57"/>
    <n v="50"/>
    <n v="103"/>
    <n v="216"/>
    <n v="4261.1099999999997"/>
    <n v="16"/>
    <n v="200"/>
    <n v="9.6999999999999993"/>
    <n v="4"/>
    <n v="88"/>
    <n v="2540.56"/>
    <n v="0"/>
    <x v="0"/>
    <s v="OK"/>
  </r>
  <r>
    <s v="IT-10014"/>
    <s v="Ball bearing M-14"/>
    <x v="0"/>
    <x v="0"/>
    <x v="1"/>
    <s v="2026-05"/>
    <n v="20.190000000000001"/>
    <n v="20.190000000000001"/>
    <n v="19.727367999999998"/>
    <n v="28.87"/>
    <n v="57"/>
    <m/>
    <n v="0"/>
    <n v="133"/>
    <n v="2623.74"/>
    <n v="19"/>
    <n v="114"/>
    <n v="6.55"/>
    <n v="1"/>
    <n v="83"/>
    <n v="2396.21"/>
    <n v="0"/>
    <x v="0"/>
    <s v="OK"/>
  </r>
  <r>
    <s v="IT-10014"/>
    <s v="Ball bearing M-14"/>
    <x v="0"/>
    <x v="0"/>
    <x v="1"/>
    <s v="2026-06"/>
    <n v="20.02"/>
    <n v="20.02"/>
    <n v="19.850819999999999"/>
    <n v="28.87"/>
    <n v="57"/>
    <n v="82"/>
    <n v="97"/>
    <n v="122"/>
    <n v="2421.8000000000002"/>
    <n v="19"/>
    <n v="103"/>
    <n v="5.68"/>
    <n v="0"/>
    <n v="108"/>
    <n v="3117.96"/>
    <n v="0"/>
    <x v="0"/>
    <s v="OK"/>
  </r>
  <r>
    <s v="IT-10014"/>
    <s v="Ball bearing M-14"/>
    <x v="0"/>
    <x v="0"/>
    <x v="1"/>
    <s v="2026-07"/>
    <n v="20.11"/>
    <n v="20.11"/>
    <n v="20.004954999999999"/>
    <n v="28.87"/>
    <n v="57"/>
    <n v="50"/>
    <n v="179"/>
    <n v="224"/>
    <n v="4481.1099999999997"/>
    <n v="14"/>
    <n v="210"/>
    <n v="10.99"/>
    <n v="0"/>
    <n v="77"/>
    <n v="2222.9899999999998"/>
    <n v="0"/>
    <x v="0"/>
    <s v="OK"/>
  </r>
  <r>
    <s v="IT-10014"/>
    <s v="Ball bearing M-14"/>
    <x v="0"/>
    <x v="0"/>
    <x v="1"/>
    <s v="2026-08"/>
    <n v="20.36"/>
    <n v="20.36"/>
    <n v="20.050563"/>
    <n v="28.87"/>
    <n v="57"/>
    <n v="56"/>
    <n v="33"/>
    <n v="160"/>
    <n v="3208.09"/>
    <n v="23"/>
    <n v="137"/>
    <n v="7.46"/>
    <n v="2"/>
    <n v="97"/>
    <n v="2800.39"/>
    <n v="0"/>
    <x v="0"/>
    <s v="OK"/>
  </r>
  <r>
    <s v="IT-10015"/>
    <s v="Control switch L-15"/>
    <x v="3"/>
    <x v="3"/>
    <x v="0"/>
    <s v="2024-09"/>
    <n v="158.94"/>
    <n v="172.26"/>
    <n v="172.41800000000001"/>
    <n v="233.87"/>
    <n v="20"/>
    <n v="20"/>
    <n v="16"/>
    <n v="15"/>
    <n v="2586.27"/>
    <n v="1"/>
    <n v="14"/>
    <n v="7.3"/>
    <n v="12"/>
    <n v="7"/>
    <n v="1637.09"/>
    <n v="0"/>
    <x v="0"/>
    <s v="OK"/>
  </r>
  <r>
    <s v="IT-10015"/>
    <s v="Control switch L-15"/>
    <x v="3"/>
    <x v="3"/>
    <x v="0"/>
    <s v="2024-10"/>
    <n v="154.63999999999999"/>
    <n v="167.6"/>
    <n v="172.41800000000001"/>
    <n v="233.87"/>
    <n v="20"/>
    <m/>
    <n v="0"/>
    <n v="5"/>
    <n v="862.09"/>
    <n v="2"/>
    <n v="3"/>
    <n v="2.19"/>
    <n v="3"/>
    <n v="10"/>
    <n v="2338.6999999999998"/>
    <n v="0"/>
    <x v="0"/>
    <s v="OK"/>
  </r>
  <r>
    <s v="IT-10015"/>
    <s v="Control switch L-15"/>
    <x v="3"/>
    <x v="3"/>
    <x v="0"/>
    <s v="2024-11"/>
    <n v="159.82"/>
    <n v="173.21"/>
    <n v="173.05153799999999"/>
    <n v="233.87"/>
    <n v="20"/>
    <n v="18"/>
    <n v="20"/>
    <n v="13"/>
    <n v="2249.67"/>
    <n v="2"/>
    <n v="11"/>
    <n v="5.83"/>
    <n v="6"/>
    <n v="12"/>
    <n v="2806.44"/>
    <n v="0"/>
    <x v="0"/>
    <s v="OK"/>
  </r>
  <r>
    <s v="IT-10015"/>
    <s v="Control switch L-15"/>
    <x v="3"/>
    <x v="3"/>
    <x v="0"/>
    <s v="2024-12"/>
    <n v="160.03"/>
    <n v="173.44"/>
    <n v="173.142"/>
    <n v="233.87"/>
    <n v="20"/>
    <n v="17"/>
    <n v="4"/>
    <n v="5"/>
    <n v="865.71"/>
    <n v="2"/>
    <n v="3"/>
    <n v="1.93"/>
    <n v="8"/>
    <n v="12"/>
    <n v="2806.44"/>
    <n v="0"/>
    <x v="0"/>
    <s v="OK"/>
  </r>
  <r>
    <s v="IT-10015"/>
    <s v="Control switch L-15"/>
    <x v="3"/>
    <x v="3"/>
    <x v="0"/>
    <s v="2025-01"/>
    <n v="155.31"/>
    <n v="168.33"/>
    <n v="169.53272699999999"/>
    <n v="233.87"/>
    <n v="20"/>
    <n v="20"/>
    <n v="15"/>
    <n v="11"/>
    <n v="1864.86"/>
    <n v="2"/>
    <n v="9"/>
    <n v="4.38"/>
    <n v="18"/>
    <n v="9"/>
    <n v="2104.83"/>
    <n v="0"/>
    <x v="0"/>
    <s v="OK"/>
  </r>
  <r>
    <s v="IT-10015"/>
    <s v="Control switch L-15"/>
    <x v="3"/>
    <x v="3"/>
    <x v="0"/>
    <s v="2025-02"/>
    <n v="157.83000000000001"/>
    <n v="171.06"/>
    <n v="170.175556"/>
    <n v="247.14"/>
    <n v="20"/>
    <n v="18"/>
    <n v="8"/>
    <n v="9"/>
    <n v="1531.58"/>
    <n v="3"/>
    <n v="6"/>
    <n v="3.73"/>
    <n v="13"/>
    <n v="10"/>
    <n v="2471.4"/>
    <n v="0"/>
    <x v="0"/>
    <s v="OK"/>
  </r>
  <r>
    <s v="IT-10015"/>
    <s v="Control switch L-15"/>
    <x v="3"/>
    <x v="3"/>
    <x v="0"/>
    <s v="2025-03"/>
    <n v="168.37"/>
    <n v="182.48"/>
    <n v="177.86625000000001"/>
    <n v="247.14"/>
    <n v="20"/>
    <n v="29"/>
    <n v="15"/>
    <n v="8"/>
    <n v="1422.93"/>
    <n v="2"/>
    <n v="6"/>
    <n v="2.94"/>
    <n v="11"/>
    <n v="16"/>
    <n v="3954.24"/>
    <n v="0"/>
    <x v="0"/>
    <s v="OK"/>
  </r>
  <r>
    <s v="IT-10015"/>
    <s v="Control switch L-15"/>
    <x v="3"/>
    <x v="3"/>
    <x v="0"/>
    <s v="2025-04"/>
    <n v="166.53"/>
    <n v="180.49"/>
    <n v="179.44"/>
    <n v="247.14"/>
    <n v="20"/>
    <n v="20"/>
    <n v="12"/>
    <n v="5"/>
    <n v="897.2"/>
    <n v="1"/>
    <n v="4"/>
    <n v="1.55"/>
    <n v="7"/>
    <n v="15"/>
    <n v="3707.1"/>
    <n v="0"/>
    <x v="0"/>
    <s v="OK"/>
  </r>
  <r>
    <s v="IT-10015"/>
    <s v="Control switch L-15"/>
    <x v="3"/>
    <x v="3"/>
    <x v="0"/>
    <s v="2025-05"/>
    <n v="168.65"/>
    <n v="182.78"/>
    <n v="181.852"/>
    <n v="247.14"/>
    <n v="20"/>
    <n v="29"/>
    <n v="13"/>
    <n v="15"/>
    <n v="2727.78"/>
    <n v="1"/>
    <n v="14"/>
    <n v="5.8"/>
    <n v="3"/>
    <n v="3"/>
    <n v="741.42"/>
    <n v="0"/>
    <x v="0"/>
    <s v="OK"/>
  </r>
  <r>
    <s v="IT-10015"/>
    <s v="Control switch L-15"/>
    <x v="3"/>
    <x v="3"/>
    <x v="0"/>
    <s v="2025-06"/>
    <n v="168.44"/>
    <n v="182.56"/>
    <n v="182.11769200000001"/>
    <n v="247.14"/>
    <n v="20"/>
    <n v="20"/>
    <n v="9"/>
    <n v="13"/>
    <n v="2367.5300000000002"/>
    <n v="3"/>
    <n v="10"/>
    <n v="5.83"/>
    <n v="0"/>
    <n v="11"/>
    <n v="2718.54"/>
    <n v="0"/>
    <x v="0"/>
    <s v="OK"/>
  </r>
  <r>
    <s v="IT-10015"/>
    <s v="Control switch L-15"/>
    <x v="3"/>
    <x v="3"/>
    <x v="0"/>
    <s v="2025-07"/>
    <n v="168.02"/>
    <n v="182.1"/>
    <n v="182.11833300000001"/>
    <n v="247.14"/>
    <n v="20"/>
    <m/>
    <n v="0"/>
    <n v="6"/>
    <n v="1092.71"/>
    <n v="2"/>
    <n v="4"/>
    <n v="3.76"/>
    <n v="15"/>
    <n v="7"/>
    <n v="1729.98"/>
    <n v="0"/>
    <x v="0"/>
    <s v="OK"/>
  </r>
  <r>
    <s v="IT-10015"/>
    <s v="Control switch L-15"/>
    <x v="3"/>
    <x v="3"/>
    <x v="0"/>
    <s v="2025-08"/>
    <n v="169.43"/>
    <n v="183.63"/>
    <n v="183.252308"/>
    <n v="247.14"/>
    <n v="20"/>
    <n v="19"/>
    <n v="18"/>
    <n v="13"/>
    <n v="2382.2800000000002"/>
    <n v="2"/>
    <n v="11"/>
    <n v="5.89"/>
    <n v="7"/>
    <n v="11"/>
    <n v="2718.54"/>
    <n v="0"/>
    <x v="0"/>
    <s v="OK"/>
  </r>
  <r>
    <s v="IT-10015"/>
    <s v="Control switch L-15"/>
    <x v="3"/>
    <x v="3"/>
    <x v="0"/>
    <s v="2025-09"/>
    <n v="165.72"/>
    <n v="179.61"/>
    <n v="181.0025"/>
    <n v="247.14"/>
    <n v="20"/>
    <n v="19"/>
    <n v="21"/>
    <n v="24"/>
    <n v="4344.0600000000004"/>
    <n v="3"/>
    <n v="21"/>
    <n v="11.27"/>
    <n v="2"/>
    <n v="10"/>
    <n v="2471.4"/>
    <n v="0"/>
    <x v="0"/>
    <s v="OK"/>
  </r>
  <r>
    <s v="IT-10015"/>
    <s v="Control switch L-15"/>
    <x v="3"/>
    <x v="3"/>
    <x v="0"/>
    <s v="2025-10"/>
    <n v="168.32"/>
    <n v="182.43"/>
    <n v="181.0025"/>
    <n v="247.14"/>
    <n v="20"/>
    <m/>
    <n v="0"/>
    <n v="12"/>
    <n v="2172.0300000000002"/>
    <n v="2"/>
    <n v="10"/>
    <n v="4.78"/>
    <n v="2"/>
    <n v="12"/>
    <n v="2965.68"/>
    <n v="0"/>
    <x v="0"/>
    <s v="OK"/>
  </r>
  <r>
    <s v="IT-10015"/>
    <s v="Control switch L-15"/>
    <x v="3"/>
    <x v="3"/>
    <x v="0"/>
    <s v="2025-11"/>
    <n v="169.11"/>
    <n v="183.28"/>
    <n v="181"/>
    <n v="247.14"/>
    <n v="20"/>
    <m/>
    <n v="0"/>
    <n v="2"/>
    <n v="362"/>
    <n v="1"/>
    <n v="1"/>
    <n v="0.81"/>
    <n v="7"/>
    <n v="10"/>
    <n v="2471.4"/>
    <n v="0"/>
    <x v="0"/>
    <s v="OK"/>
  </r>
  <r>
    <s v="IT-10015"/>
    <s v="Control switch L-15"/>
    <x v="3"/>
    <x v="3"/>
    <x v="0"/>
    <s v="2025-12"/>
    <n v="167.23"/>
    <n v="181.25"/>
    <n v="181.23190500000001"/>
    <n v="247.14"/>
    <n v="20"/>
    <n v="30"/>
    <n v="26"/>
    <n v="21"/>
    <n v="3805.87"/>
    <n v="1"/>
    <n v="20"/>
    <n v="9.52"/>
    <n v="3"/>
    <n v="7"/>
    <n v="1729.98"/>
    <n v="0"/>
    <x v="0"/>
    <s v="OK"/>
  </r>
  <r>
    <s v="IT-10015"/>
    <s v="Control switch L-15"/>
    <x v="3"/>
    <x v="3"/>
    <x v="0"/>
    <s v="2026-01"/>
    <n v="165.87"/>
    <n v="179.77"/>
    <n v="181.16538499999999"/>
    <n v="247.14"/>
    <n v="20"/>
    <n v="18"/>
    <n v="1"/>
    <n v="13"/>
    <n v="2355.15"/>
    <n v="2"/>
    <n v="11"/>
    <n v="6.57"/>
    <n v="1"/>
    <n v="9"/>
    <n v="2224.2600000000002"/>
    <n v="0"/>
    <x v="0"/>
    <s v="OK"/>
  </r>
  <r>
    <s v="IT-10015"/>
    <s v="Control switch L-15"/>
    <x v="3"/>
    <x v="3"/>
    <x v="0"/>
    <s v="2026-02"/>
    <n v="170.2"/>
    <n v="184.46"/>
    <n v="181.16499999999999"/>
    <n v="261.16000000000003"/>
    <n v="20"/>
    <m/>
    <n v="0"/>
    <n v="6"/>
    <n v="1086.99"/>
    <n v="3"/>
    <n v="3"/>
    <n v="3.35"/>
    <n v="0"/>
    <n v="7"/>
    <n v="1828.12"/>
    <n v="0"/>
    <x v="0"/>
    <s v="OK"/>
  </r>
  <r>
    <s v="IT-10015"/>
    <s v="Control switch L-15"/>
    <x v="3"/>
    <x v="3"/>
    <x v="0"/>
    <s v="2026-03"/>
    <n v="177.07"/>
    <n v="191.91"/>
    <n v="189.60739100000001"/>
    <n v="261.16000000000003"/>
    <n v="20"/>
    <n v="19"/>
    <n v="22"/>
    <n v="23"/>
    <n v="4360.97"/>
    <n v="1"/>
    <n v="22"/>
    <n v="14.08"/>
    <n v="22"/>
    <n v="5"/>
    <n v="1305.8"/>
    <n v="0"/>
    <x v="0"/>
    <s v="OK"/>
  </r>
  <r>
    <s v="IT-10015"/>
    <s v="Control switch L-15"/>
    <x v="3"/>
    <x v="3"/>
    <x v="0"/>
    <s v="2026-04"/>
    <n v="180.03"/>
    <n v="195.12"/>
    <n v="190.24333300000001"/>
    <n v="261.16000000000003"/>
    <n v="20"/>
    <n v="18"/>
    <n v="3"/>
    <n v="12"/>
    <n v="2282.92"/>
    <n v="1"/>
    <n v="11"/>
    <n v="5.87"/>
    <n v="4"/>
    <n v="14"/>
    <n v="3656.24"/>
    <n v="0"/>
    <x v="0"/>
    <s v="OK"/>
  </r>
  <r>
    <s v="IT-10015"/>
    <s v="Control switch L-15"/>
    <x v="3"/>
    <x v="3"/>
    <x v="0"/>
    <s v="2026-05"/>
    <n v="179.28"/>
    <n v="194.31"/>
    <n v="192.09153800000001"/>
    <n v="261.16000000000003"/>
    <n v="20"/>
    <n v="19"/>
    <n v="10"/>
    <n v="13"/>
    <n v="2497.19"/>
    <n v="3"/>
    <n v="10"/>
    <n v="6.1"/>
    <n v="11"/>
    <n v="9"/>
    <n v="2350.44"/>
    <n v="0"/>
    <x v="0"/>
    <s v="OK"/>
  </r>
  <r>
    <s v="IT-10015"/>
    <s v="Control switch L-15"/>
    <x v="3"/>
    <x v="3"/>
    <x v="0"/>
    <s v="2026-06"/>
    <n v="175.54"/>
    <n v="190.25"/>
    <n v="191.33812499999999"/>
    <n v="261.16000000000003"/>
    <n v="20"/>
    <n v="29"/>
    <n v="9"/>
    <n v="16"/>
    <n v="3061.41"/>
    <n v="1"/>
    <n v="15"/>
    <n v="7.17"/>
    <n v="3"/>
    <n v="6"/>
    <n v="1566.96"/>
    <n v="0"/>
    <x v="0"/>
    <s v="OK"/>
  </r>
  <r>
    <s v="IT-10015"/>
    <s v="Control switch L-15"/>
    <x v="3"/>
    <x v="3"/>
    <x v="0"/>
    <s v="2026-07"/>
    <n v="174.53"/>
    <n v="189.16"/>
    <n v="190.28399999999999"/>
    <n v="261.16000000000003"/>
    <n v="20"/>
    <n v="19"/>
    <n v="15"/>
    <n v="20"/>
    <n v="3805.68"/>
    <n v="2"/>
    <n v="18"/>
    <n v="10.11"/>
    <n v="2"/>
    <n v="11"/>
    <n v="2872.76"/>
    <n v="0"/>
    <x v="0"/>
    <s v="OK"/>
  </r>
  <r>
    <s v="IT-10015"/>
    <s v="Control switch L-15"/>
    <x v="3"/>
    <x v="3"/>
    <x v="0"/>
    <s v="2026-08"/>
    <n v="177.74"/>
    <n v="192.64"/>
    <n v="190.755"/>
    <n v="261.16000000000003"/>
    <n v="20"/>
    <n v="29"/>
    <n v="5"/>
    <n v="20"/>
    <n v="3815.1"/>
    <n v="2"/>
    <n v="18"/>
    <n v="11.95"/>
    <n v="6"/>
    <n v="5"/>
    <n v="1305.8"/>
    <n v="0"/>
    <x v="0"/>
    <s v="OK"/>
  </r>
  <r>
    <s v="IT-10016"/>
    <s v="Drive belt M-16"/>
    <x v="4"/>
    <x v="4"/>
    <x v="0"/>
    <s v="2024-09"/>
    <n v="26.21"/>
    <n v="26.21"/>
    <n v="25.71"/>
    <n v="35.54"/>
    <n v="25"/>
    <m/>
    <n v="0"/>
    <n v="0"/>
    <n v="0"/>
    <n v="0"/>
    <n v="0"/>
    <m/>
    <n v="230"/>
    <n v="0"/>
    <n v="0"/>
    <n v="0"/>
    <x v="0"/>
    <s v="OK"/>
  </r>
  <r>
    <s v="IT-10016"/>
    <s v="Drive belt M-16"/>
    <x v="4"/>
    <x v="4"/>
    <x v="0"/>
    <s v="2024-10"/>
    <n v="27.05"/>
    <n v="27.05"/>
    <n v="25.71"/>
    <n v="35.54"/>
    <n v="25"/>
    <m/>
    <n v="0"/>
    <n v="0"/>
    <n v="0"/>
    <n v="0"/>
    <n v="0"/>
    <m/>
    <n v="261"/>
    <n v="0"/>
    <n v="0"/>
    <n v="0"/>
    <x v="0"/>
    <s v="OK"/>
  </r>
  <r>
    <s v="IT-10016"/>
    <s v="Drive belt M-16"/>
    <x v="4"/>
    <x v="4"/>
    <x v="0"/>
    <s v="2024-11"/>
    <n v="27.04"/>
    <n v="27.04"/>
    <n v="25.71"/>
    <n v="35.54"/>
    <n v="25"/>
    <m/>
    <n v="0"/>
    <n v="0"/>
    <n v="0"/>
    <n v="0"/>
    <n v="0"/>
    <m/>
    <n v="291"/>
    <n v="0"/>
    <n v="0"/>
    <n v="0"/>
    <x v="0"/>
    <s v="OK"/>
  </r>
  <r>
    <s v="IT-10016"/>
    <s v="Drive belt M-16"/>
    <x v="4"/>
    <x v="4"/>
    <x v="0"/>
    <s v="2024-12"/>
    <n v="27.38"/>
    <n v="27.38"/>
    <n v="25.71"/>
    <n v="35.54"/>
    <n v="25"/>
    <m/>
    <n v="0"/>
    <n v="0"/>
    <n v="0"/>
    <n v="0"/>
    <n v="0"/>
    <m/>
    <n v="322"/>
    <n v="0"/>
    <n v="0"/>
    <n v="0"/>
    <x v="0"/>
    <s v="OK"/>
  </r>
  <r>
    <s v="IT-10016"/>
    <s v="Drive belt M-16"/>
    <x v="4"/>
    <x v="4"/>
    <x v="0"/>
    <s v="2025-01"/>
    <n v="27.16"/>
    <n v="27.16"/>
    <n v="27.16"/>
    <n v="35.54"/>
    <n v="25"/>
    <n v="24"/>
    <n v="123"/>
    <n v="123"/>
    <n v="3340.68"/>
    <n v="0"/>
    <n v="123"/>
    <m/>
    <n v="353"/>
    <n v="0"/>
    <n v="0"/>
    <n v="0"/>
    <x v="0"/>
    <s v="OK"/>
  </r>
  <r>
    <s v="IT-10016"/>
    <s v="Drive belt M-16"/>
    <x v="4"/>
    <x v="4"/>
    <x v="0"/>
    <s v="2025-02"/>
    <n v="27.28"/>
    <n v="27.28"/>
    <n v="27.213239000000002"/>
    <n v="37.130000000000003"/>
    <n v="25"/>
    <n v="23"/>
    <n v="98"/>
    <n v="142"/>
    <n v="3864.28"/>
    <n v="9"/>
    <n v="133"/>
    <n v="23.11"/>
    <n v="0"/>
    <n v="79"/>
    <n v="2933.27"/>
    <n v="0"/>
    <x v="0"/>
    <s v="OK"/>
  </r>
  <r>
    <s v="IT-10016"/>
    <s v="Drive belt M-16"/>
    <x v="4"/>
    <x v="4"/>
    <x v="0"/>
    <s v="2025-03"/>
    <n v="27.07"/>
    <n v="27.07"/>
    <n v="27.132809000000002"/>
    <n v="37.130000000000003"/>
    <n v="25"/>
    <n v="24"/>
    <n v="182"/>
    <n v="89"/>
    <n v="2414.8200000000002"/>
    <n v="19"/>
    <n v="70"/>
    <n v="3.64"/>
    <n v="0"/>
    <n v="235"/>
    <n v="8725.5499999999993"/>
    <n v="0"/>
    <x v="0"/>
    <s v="OK"/>
  </r>
  <r>
    <s v="IT-10016"/>
    <s v="Drive belt M-16"/>
    <x v="4"/>
    <x v="4"/>
    <x v="0"/>
    <s v="2025-04"/>
    <n v="27.5"/>
    <n v="27.5"/>
    <n v="27.132809000000002"/>
    <n v="37.130000000000003"/>
    <n v="25"/>
    <m/>
    <n v="0"/>
    <n v="0"/>
    <n v="0"/>
    <n v="0"/>
    <n v="0"/>
    <n v="0"/>
    <n v="1"/>
    <n v="89"/>
    <n v="3304.57"/>
    <n v="199"/>
    <x v="1"/>
    <s v="OK"/>
  </r>
  <r>
    <s v="IT-10016"/>
    <s v="Drive belt M-16"/>
    <x v="4"/>
    <x v="4"/>
    <x v="0"/>
    <s v="2025-05"/>
    <n v="27.14"/>
    <n v="27.14"/>
    <n v="27.14"/>
    <n v="37.130000000000003"/>
    <n v="25"/>
    <n v="24"/>
    <n v="443"/>
    <n v="193"/>
    <n v="5238.0200000000004"/>
    <n v="42"/>
    <n v="151"/>
    <n v="4.42"/>
    <n v="2"/>
    <n v="250"/>
    <n v="9282.5"/>
    <n v="0"/>
    <x v="0"/>
    <s v="OK"/>
  </r>
  <r>
    <s v="IT-10016"/>
    <s v="Drive belt M-16"/>
    <x v="4"/>
    <x v="4"/>
    <x v="0"/>
    <s v="2025-06"/>
    <n v="27.75"/>
    <n v="27.75"/>
    <n v="27.14"/>
    <n v="37.130000000000003"/>
    <n v="25"/>
    <m/>
    <n v="0"/>
    <n v="3"/>
    <n v="81.42"/>
    <n v="3"/>
    <n v="0"/>
    <n v="7.0000000000000007E-2"/>
    <n v="1"/>
    <n v="190"/>
    <n v="7054.7"/>
    <n v="0"/>
    <x v="0"/>
    <s v="OK"/>
  </r>
  <r>
    <s v="IT-10016"/>
    <s v="Drive belt M-16"/>
    <x v="4"/>
    <x v="4"/>
    <x v="0"/>
    <s v="2025-07"/>
    <n v="27.18"/>
    <n v="27.18"/>
    <n v="27.179767999999999"/>
    <n v="37.130000000000003"/>
    <n v="25"/>
    <n v="21"/>
    <n v="490"/>
    <n v="302"/>
    <n v="8208.2900000000009"/>
    <n v="64"/>
    <n v="238"/>
    <n v="6.29"/>
    <n v="0"/>
    <n v="191"/>
    <n v="7091.83"/>
    <n v="0"/>
    <x v="0"/>
    <s v="OK"/>
  </r>
  <r>
    <s v="IT-10016"/>
    <s v="Drive belt M-16"/>
    <x v="4"/>
    <x v="4"/>
    <x v="0"/>
    <s v="2025-08"/>
    <n v="27.66"/>
    <n v="27.66"/>
    <n v="27.386879"/>
    <n v="37.130000000000003"/>
    <n v="25"/>
    <n v="21"/>
    <n v="229"/>
    <n v="330"/>
    <n v="9037.67"/>
    <n v="71"/>
    <n v="259"/>
    <n v="7.45"/>
    <n v="1"/>
    <n v="201"/>
    <n v="7463.13"/>
    <n v="0"/>
    <x v="0"/>
    <s v="OK"/>
  </r>
  <r>
    <s v="IT-10016"/>
    <s v="Drive belt M-16"/>
    <x v="4"/>
    <x v="4"/>
    <x v="0"/>
    <s v="2025-09"/>
    <n v="27"/>
    <n v="27"/>
    <n v="27.386861"/>
    <n v="37.130000000000003"/>
    <n v="25"/>
    <m/>
    <n v="0"/>
    <n v="137"/>
    <n v="3752"/>
    <n v="64"/>
    <n v="73"/>
    <n v="3.08"/>
    <n v="5"/>
    <n v="193"/>
    <n v="7166.09"/>
    <n v="0"/>
    <x v="0"/>
    <s v="OK"/>
  </r>
  <r>
    <s v="IT-10016"/>
    <s v="Drive belt M-16"/>
    <x v="4"/>
    <x v="4"/>
    <x v="0"/>
    <s v="2025-10"/>
    <n v="29.32"/>
    <n v="29.32"/>
    <n v="28.904229000000001"/>
    <n v="37.130000000000003"/>
    <n v="25"/>
    <n v="23"/>
    <n v="500"/>
    <n v="506"/>
    <n v="14625.54"/>
    <n v="49"/>
    <n v="457"/>
    <n v="12.67"/>
    <n v="2"/>
    <n v="131"/>
    <n v="4864.03"/>
    <n v="0"/>
    <x v="0"/>
    <s v="OK"/>
  </r>
  <r>
    <s v="IT-10016"/>
    <s v="Drive belt M-16"/>
    <x v="4"/>
    <x v="4"/>
    <x v="0"/>
    <s v="2025-11"/>
    <n v="28.4"/>
    <n v="28.4"/>
    <n v="28.753865000000001"/>
    <n v="37.130000000000003"/>
    <n v="25"/>
    <n v="22"/>
    <n v="215"/>
    <n v="533"/>
    <n v="15325.81"/>
    <n v="71"/>
    <n v="462"/>
    <n v="13.53"/>
    <n v="1"/>
    <n v="188"/>
    <n v="6980.44"/>
    <n v="0"/>
    <x v="0"/>
    <s v="OK"/>
  </r>
  <r>
    <s v="IT-10016"/>
    <s v="Drive belt M-16"/>
    <x v="4"/>
    <x v="4"/>
    <x v="0"/>
    <s v="2025-12"/>
    <n v="29.2"/>
    <n v="29.2"/>
    <n v="28.908235999999999"/>
    <n v="37.130000000000003"/>
    <n v="25"/>
    <n v="22"/>
    <n v="282"/>
    <n v="618"/>
    <n v="17865.29"/>
    <n v="28"/>
    <n v="590"/>
    <n v="15.74"/>
    <n v="0"/>
    <n v="197"/>
    <n v="7314.61"/>
    <n v="0"/>
    <x v="0"/>
    <s v="OK"/>
  </r>
  <r>
    <s v="IT-10016"/>
    <s v="Drive belt M-16"/>
    <x v="4"/>
    <x v="4"/>
    <x v="0"/>
    <s v="2026-01"/>
    <n v="28.42"/>
    <n v="28.42"/>
    <n v="28.908235000000001"/>
    <n v="37.130000000000003"/>
    <n v="25"/>
    <m/>
    <n v="0"/>
    <n v="442"/>
    <n v="12777.44"/>
    <n v="21"/>
    <n v="421"/>
    <n v="10.35"/>
    <n v="0"/>
    <n v="176"/>
    <n v="6534.88"/>
    <n v="0"/>
    <x v="0"/>
    <s v="OK"/>
  </r>
  <r>
    <s v="IT-10016"/>
    <s v="Drive belt M-16"/>
    <x v="4"/>
    <x v="4"/>
    <x v="0"/>
    <s v="2026-02"/>
    <n v="28.94"/>
    <n v="28.94"/>
    <n v="28.912458000000001"/>
    <n v="38.79"/>
    <n v="25"/>
    <n v="33"/>
    <n v="68"/>
    <n v="301"/>
    <n v="8702.65"/>
    <n v="14"/>
    <n v="287"/>
    <n v="6.65"/>
    <n v="3"/>
    <n v="209"/>
    <n v="8107.11"/>
    <n v="0"/>
    <x v="0"/>
    <s v="OK"/>
  </r>
  <r>
    <s v="IT-10016"/>
    <s v="Drive belt M-16"/>
    <x v="4"/>
    <x v="4"/>
    <x v="0"/>
    <s v="2026-03"/>
    <n v="29.21"/>
    <n v="29.21"/>
    <n v="29.085607"/>
    <n v="38.79"/>
    <n v="25"/>
    <n v="23"/>
    <n v="419"/>
    <n v="544"/>
    <n v="15822.57"/>
    <n v="21"/>
    <n v="523"/>
    <n v="12.47"/>
    <n v="0"/>
    <n v="176"/>
    <n v="6827.04"/>
    <n v="0"/>
    <x v="0"/>
    <s v="OK"/>
  </r>
  <r>
    <s v="IT-10016"/>
    <s v="Drive belt M-16"/>
    <x v="4"/>
    <x v="4"/>
    <x v="0"/>
    <s v="2026-04"/>
    <n v="29.19"/>
    <n v="29.19"/>
    <n v="29.085605999999999"/>
    <n v="38.79"/>
    <n v="25"/>
    <m/>
    <n v="0"/>
    <n v="289"/>
    <n v="8405.74"/>
    <n v="42"/>
    <n v="247"/>
    <n v="5.74"/>
    <n v="4"/>
    <n v="255"/>
    <n v="9891.4500000000007"/>
    <n v="0"/>
    <x v="0"/>
    <s v="OK"/>
  </r>
  <r>
    <s v="IT-10016"/>
    <s v="Drive belt M-16"/>
    <x v="4"/>
    <x v="4"/>
    <x v="0"/>
    <s v="2026-05"/>
    <n v="28.93"/>
    <n v="28.93"/>
    <n v="28.989321"/>
    <n v="38.79"/>
    <n v="25"/>
    <n v="24"/>
    <n v="469"/>
    <n v="442"/>
    <n v="12813.28"/>
    <n v="42"/>
    <n v="400"/>
    <n v="7.78"/>
    <n v="0"/>
    <n v="316"/>
    <n v="12257.64"/>
    <n v="0"/>
    <x v="0"/>
    <s v="OK"/>
  </r>
  <r>
    <s v="IT-10016"/>
    <s v="Drive belt M-16"/>
    <x v="4"/>
    <x v="4"/>
    <x v="0"/>
    <s v="2026-06"/>
    <n v="29.17"/>
    <n v="29.17"/>
    <n v="29.045034000000001"/>
    <n v="38.79"/>
    <n v="25"/>
    <n v="24"/>
    <n v="197"/>
    <n v="437"/>
    <n v="12692.68"/>
    <n v="42"/>
    <n v="395"/>
    <n v="7.35"/>
    <n v="1"/>
    <n v="202"/>
    <n v="7835.58"/>
    <n v="0"/>
    <x v="0"/>
    <s v="OK"/>
  </r>
  <r>
    <s v="IT-10016"/>
    <s v="Drive belt M-16"/>
    <x v="4"/>
    <x v="4"/>
    <x v="0"/>
    <s v="2026-07"/>
    <n v="28.87"/>
    <n v="28.87"/>
    <n v="29.02027"/>
    <n v="38.79"/>
    <n v="25"/>
    <n v="21"/>
    <n v="72"/>
    <n v="333"/>
    <n v="9663.75"/>
    <n v="56"/>
    <n v="277"/>
    <n v="6.31"/>
    <n v="2"/>
    <n v="176"/>
    <n v="6827.04"/>
    <n v="0"/>
    <x v="0"/>
    <s v="OK"/>
  </r>
  <r>
    <s v="IT-10016"/>
    <s v="Drive belt M-16"/>
    <x v="4"/>
    <x v="4"/>
    <x v="0"/>
    <s v="2026-08"/>
    <n v="28.65"/>
    <n v="28.65"/>
    <n v="28.895133000000001"/>
    <n v="38.79"/>
    <n v="25"/>
    <n v="22"/>
    <n v="170"/>
    <n v="413"/>
    <n v="11933.69"/>
    <n v="56"/>
    <n v="357"/>
    <n v="11.6"/>
    <n v="5"/>
    <n v="90"/>
    <n v="3491.1"/>
    <n v="0"/>
    <x v="0"/>
    <s v="OK"/>
  </r>
  <r>
    <s v="IT-10017"/>
    <s v="Sensor unit 20-17"/>
    <x v="3"/>
    <x v="3"/>
    <x v="1"/>
    <s v="2024-09"/>
    <n v="269.14999999999998"/>
    <n v="269.14999999999998"/>
    <n v="267.55111099999999"/>
    <n v="381.41"/>
    <n v="15"/>
    <n v="13"/>
    <n v="23"/>
    <n v="27"/>
    <n v="7223.88"/>
    <n v="5"/>
    <n v="22"/>
    <n v="6.45"/>
    <n v="8"/>
    <n v="16"/>
    <n v="6102.56"/>
    <n v="0"/>
    <x v="0"/>
    <s v="OK"/>
  </r>
  <r>
    <s v="IT-10017"/>
    <s v="Sensor unit 20-17"/>
    <x v="3"/>
    <x v="3"/>
    <x v="1"/>
    <s v="2024-10"/>
    <n v="272.66000000000003"/>
    <n v="272.66000000000003"/>
    <n v="267.55111099999999"/>
    <n v="381.41"/>
    <n v="15"/>
    <m/>
    <n v="0"/>
    <n v="0"/>
    <n v="0"/>
    <n v="0"/>
    <n v="0"/>
    <n v="0"/>
    <n v="14"/>
    <n v="27"/>
    <n v="10298.07"/>
    <n v="5"/>
    <x v="1"/>
    <s v="OK"/>
  </r>
  <r>
    <s v="IT-10017"/>
    <s v="Sensor unit 20-17"/>
    <x v="3"/>
    <x v="3"/>
    <x v="1"/>
    <s v="2024-11"/>
    <n v="268.39"/>
    <n v="268.39"/>
    <n v="268.39"/>
    <n v="381.41"/>
    <n v="15"/>
    <n v="14"/>
    <n v="52"/>
    <n v="17"/>
    <n v="4562.63"/>
    <n v="3"/>
    <n v="14"/>
    <n v="2.83"/>
    <n v="9"/>
    <n v="35"/>
    <n v="13349.35"/>
    <n v="0"/>
    <x v="0"/>
    <s v="OK"/>
  </r>
  <r>
    <s v="IT-10017"/>
    <s v="Sensor unit 20-17"/>
    <x v="3"/>
    <x v="3"/>
    <x v="1"/>
    <s v="2024-12"/>
    <n v="265.02"/>
    <n v="265.02"/>
    <n v="266.18923100000001"/>
    <n v="381.41"/>
    <n v="15"/>
    <n v="14"/>
    <n v="32"/>
    <n v="39"/>
    <n v="10381.379999999999"/>
    <n v="5"/>
    <n v="34"/>
    <n v="7.12"/>
    <n v="11"/>
    <n v="10"/>
    <n v="3814.1"/>
    <n v="0"/>
    <x v="0"/>
    <s v="OK"/>
  </r>
  <r>
    <s v="IT-10017"/>
    <s v="Sensor unit 20-17"/>
    <x v="3"/>
    <x v="3"/>
    <x v="1"/>
    <s v="2025-01"/>
    <n v="272.98"/>
    <n v="272.98"/>
    <n v="266.96076900000003"/>
    <n v="381.41"/>
    <n v="15"/>
    <n v="25"/>
    <n v="5"/>
    <n v="13"/>
    <n v="3470.49"/>
    <n v="2"/>
    <n v="11"/>
    <n v="2.25"/>
    <n v="1"/>
    <n v="31"/>
    <n v="11823.71"/>
    <n v="0"/>
    <x v="0"/>
    <s v="OK"/>
  </r>
  <r>
    <s v="IT-10017"/>
    <s v="Sensor unit 20-17"/>
    <x v="3"/>
    <x v="3"/>
    <x v="1"/>
    <s v="2025-02"/>
    <n v="270.64999999999998"/>
    <n v="270.64999999999998"/>
    <n v="269.05166700000001"/>
    <n v="400.23"/>
    <n v="15"/>
    <n v="13"/>
    <n v="17"/>
    <n v="12"/>
    <n v="3228.62"/>
    <n v="6"/>
    <n v="6"/>
    <n v="2.62"/>
    <n v="8"/>
    <n v="18"/>
    <n v="7204.14"/>
    <n v="0"/>
    <x v="0"/>
    <s v="OK"/>
  </r>
  <r>
    <s v="IT-10017"/>
    <s v="Sensor unit 20-17"/>
    <x v="3"/>
    <x v="3"/>
    <x v="1"/>
    <s v="2025-03"/>
    <n v="288.64999999999998"/>
    <n v="288.64999999999998"/>
    <n v="282.29399999999998"/>
    <n v="400.23"/>
    <n v="15"/>
    <n v="25"/>
    <n v="25"/>
    <n v="20"/>
    <n v="5645.88"/>
    <n v="5"/>
    <n v="15"/>
    <n v="3.9"/>
    <n v="3"/>
    <n v="17"/>
    <n v="6803.91"/>
    <n v="0"/>
    <x v="0"/>
    <s v="OK"/>
  </r>
  <r>
    <s v="IT-10017"/>
    <s v="Sensor unit 20-17"/>
    <x v="3"/>
    <x v="3"/>
    <x v="1"/>
    <s v="2025-04"/>
    <n v="279.08999999999997"/>
    <n v="279.08999999999997"/>
    <n v="280.92086999999998"/>
    <n v="400.23"/>
    <n v="15"/>
    <n v="13"/>
    <n v="15"/>
    <n v="23"/>
    <n v="6461.18"/>
    <n v="1"/>
    <n v="22"/>
    <n v="6.22"/>
    <n v="14"/>
    <n v="12"/>
    <n v="4802.76"/>
    <n v="0"/>
    <x v="0"/>
    <s v="OK"/>
  </r>
  <r>
    <s v="IT-10017"/>
    <s v="Sensor unit 20-17"/>
    <x v="3"/>
    <x v="3"/>
    <x v="1"/>
    <s v="2025-05"/>
    <n v="284.10000000000002"/>
    <n v="284.10000000000002"/>
    <n v="282.22500000000002"/>
    <n v="400.23"/>
    <n v="15"/>
    <n v="13"/>
    <n v="16"/>
    <n v="26"/>
    <n v="7337.85"/>
    <n v="6"/>
    <n v="20"/>
    <n v="8.14"/>
    <n v="2"/>
    <n v="13"/>
    <n v="5202.99"/>
    <n v="0"/>
    <x v="0"/>
    <s v="OK"/>
  </r>
  <r>
    <s v="IT-10017"/>
    <s v="Sensor unit 20-17"/>
    <x v="3"/>
    <x v="3"/>
    <x v="1"/>
    <s v="2025-06"/>
    <n v="286.45999999999998"/>
    <n v="286.45999999999998"/>
    <n v="283.40117600000002"/>
    <n v="400.23"/>
    <n v="15"/>
    <n v="14"/>
    <n v="10"/>
    <n v="17"/>
    <n v="4817.82"/>
    <n v="4"/>
    <n v="13"/>
    <n v="5.0199999999999996"/>
    <n v="0"/>
    <n v="19"/>
    <n v="7604.37"/>
    <n v="0"/>
    <x v="0"/>
    <s v="OK"/>
  </r>
  <r>
    <s v="IT-10017"/>
    <s v="Sensor unit 20-17"/>
    <x v="3"/>
    <x v="3"/>
    <x v="1"/>
    <s v="2025-07"/>
    <n v="278.39"/>
    <n v="278.39"/>
    <n v="281.94"/>
    <n v="400.23"/>
    <n v="15"/>
    <n v="15"/>
    <n v="7"/>
    <n v="4"/>
    <n v="1127.76"/>
    <n v="4"/>
    <n v="0"/>
    <n v="1.01"/>
    <n v="7"/>
    <n v="20"/>
    <n v="8004.6"/>
    <n v="0"/>
    <x v="0"/>
    <s v="OK"/>
  </r>
  <r>
    <s v="IT-10017"/>
    <s v="Sensor unit 20-17"/>
    <x v="3"/>
    <x v="3"/>
    <x v="1"/>
    <s v="2025-08"/>
    <n v="285.72000000000003"/>
    <n v="285.72000000000003"/>
    <n v="285.322069"/>
    <n v="400.23"/>
    <n v="15"/>
    <n v="13"/>
    <n v="34"/>
    <n v="29"/>
    <n v="8274.34"/>
    <n v="3"/>
    <n v="26"/>
    <n v="7.94"/>
    <n v="8"/>
    <n v="9"/>
    <n v="3602.07"/>
    <n v="0"/>
    <x v="0"/>
    <s v="OK"/>
  </r>
  <r>
    <s v="IT-10017"/>
    <s v="Sensor unit 20-17"/>
    <x v="3"/>
    <x v="3"/>
    <x v="1"/>
    <s v="2025-09"/>
    <n v="287.77"/>
    <n v="287.77"/>
    <n v="286.15649999999999"/>
    <n v="400.23"/>
    <n v="15"/>
    <n v="20"/>
    <n v="15"/>
    <n v="20"/>
    <n v="5723.13"/>
    <n v="2"/>
    <n v="18"/>
    <n v="4.96"/>
    <n v="2"/>
    <n v="24"/>
    <n v="9605.52"/>
    <n v="0"/>
    <x v="0"/>
    <s v="OK"/>
  </r>
  <r>
    <s v="IT-10017"/>
    <s v="Sensor unit 20-17"/>
    <x v="3"/>
    <x v="3"/>
    <x v="1"/>
    <s v="2025-10"/>
    <n v="289.29000000000002"/>
    <n v="289.29000000000002"/>
    <n v="287.8972"/>
    <n v="400.23"/>
    <n v="15"/>
    <n v="15"/>
    <n v="25"/>
    <n v="25"/>
    <n v="7197.43"/>
    <n v="5"/>
    <n v="20"/>
    <n v="6.2"/>
    <n v="21"/>
    <n v="20"/>
    <n v="8004.6"/>
    <n v="0"/>
    <x v="0"/>
    <s v="OK"/>
  </r>
  <r>
    <s v="IT-10017"/>
    <s v="Sensor unit 20-17"/>
    <x v="3"/>
    <x v="3"/>
    <x v="1"/>
    <s v="2025-11"/>
    <n v="280.89999999999998"/>
    <n v="280.89999999999998"/>
    <n v="286.20090900000002"/>
    <n v="400.23"/>
    <n v="15"/>
    <n v="13"/>
    <n v="8"/>
    <n v="22"/>
    <n v="6296.42"/>
    <n v="6"/>
    <n v="16"/>
    <n v="5.2"/>
    <n v="0"/>
    <n v="11"/>
    <n v="4402.53"/>
    <n v="0"/>
    <x v="0"/>
    <s v="OK"/>
  </r>
  <r>
    <s v="IT-10017"/>
    <s v="Sensor unit 20-17"/>
    <x v="3"/>
    <x v="3"/>
    <x v="1"/>
    <s v="2025-12"/>
    <n v="283.18"/>
    <n v="283.18"/>
    <n v="286.20090900000002"/>
    <n v="400.23"/>
    <n v="15"/>
    <m/>
    <n v="0"/>
    <n v="22"/>
    <n v="6296.42"/>
    <n v="4"/>
    <n v="18"/>
    <n v="9.33"/>
    <n v="31"/>
    <n v="0"/>
    <n v="0"/>
    <n v="0"/>
    <x v="0"/>
    <s v="OK"/>
  </r>
  <r>
    <s v="IT-10017"/>
    <s v="Sensor unit 20-17"/>
    <x v="3"/>
    <x v="3"/>
    <x v="1"/>
    <s v="2026-01"/>
    <n v="287.69"/>
    <n v="287.69"/>
    <n v="286.77999999999997"/>
    <n v="400.23"/>
    <n v="15"/>
    <n v="14"/>
    <n v="14"/>
    <n v="13"/>
    <n v="3728.14"/>
    <n v="6"/>
    <n v="7"/>
    <n v="5.03"/>
    <n v="0"/>
    <n v="23"/>
    <n v="9205.2900000000009"/>
    <n v="0"/>
    <x v="0"/>
    <s v="OK"/>
  </r>
  <r>
    <s v="IT-10017"/>
    <s v="Sensor unit 20-17"/>
    <x v="3"/>
    <x v="3"/>
    <x v="1"/>
    <s v="2026-02"/>
    <n v="284.22000000000003"/>
    <n v="284.22000000000003"/>
    <n v="285.32933300000002"/>
    <n v="419.97"/>
    <n v="15"/>
    <n v="17"/>
    <n v="17"/>
    <n v="15"/>
    <n v="4279.9399999999996"/>
    <n v="5"/>
    <n v="10"/>
    <n v="5.08"/>
    <n v="7"/>
    <n v="15"/>
    <n v="6299.55"/>
    <n v="0"/>
    <x v="0"/>
    <s v="OK"/>
  </r>
  <r>
    <s v="IT-10017"/>
    <s v="Sensor unit 20-17"/>
    <x v="3"/>
    <x v="3"/>
    <x v="1"/>
    <s v="2026-03"/>
    <n v="300.67"/>
    <n v="300.67"/>
    <n v="292.73517199999998"/>
    <n v="419.97"/>
    <n v="15"/>
    <n v="18"/>
    <n v="14"/>
    <n v="0"/>
    <n v="0"/>
    <n v="0"/>
    <n v="0"/>
    <n v="0"/>
    <n v="2"/>
    <n v="29"/>
    <n v="12179.13"/>
    <n v="1"/>
    <x v="1"/>
    <s v="OK"/>
  </r>
  <r>
    <s v="IT-10017"/>
    <s v="Sensor unit 20-17"/>
    <x v="3"/>
    <x v="3"/>
    <x v="1"/>
    <s v="2026-04"/>
    <n v="296.89"/>
    <n v="296.89"/>
    <n v="296.89"/>
    <n v="419.97"/>
    <n v="15"/>
    <n v="14"/>
    <n v="43"/>
    <n v="26"/>
    <n v="7719.14"/>
    <n v="5"/>
    <n v="21"/>
    <n v="5.42"/>
    <n v="3"/>
    <n v="17"/>
    <n v="7139.49"/>
    <n v="0"/>
    <x v="0"/>
    <s v="OK"/>
  </r>
  <r>
    <s v="IT-10017"/>
    <s v="Sensor unit 20-17"/>
    <x v="3"/>
    <x v="3"/>
    <x v="1"/>
    <s v="2026-05"/>
    <n v="295.02999999999997"/>
    <n v="295.02999999999997"/>
    <n v="296.89"/>
    <n v="419.97"/>
    <n v="15"/>
    <m/>
    <n v="0"/>
    <n v="10"/>
    <n v="2968.9"/>
    <n v="4"/>
    <n v="6"/>
    <n v="2.12"/>
    <n v="23"/>
    <n v="16"/>
    <n v="6719.52"/>
    <n v="0"/>
    <x v="0"/>
    <s v="OK"/>
  </r>
  <r>
    <s v="IT-10017"/>
    <s v="Sensor unit 20-17"/>
    <x v="3"/>
    <x v="3"/>
    <x v="1"/>
    <s v="2026-06"/>
    <n v="298.91000000000003"/>
    <n v="298.91000000000003"/>
    <n v="298.16199999999998"/>
    <n v="419.97"/>
    <n v="15"/>
    <n v="14"/>
    <n v="17"/>
    <n v="15"/>
    <n v="4472.43"/>
    <n v="5"/>
    <n v="10"/>
    <n v="4.33"/>
    <n v="0"/>
    <n v="12"/>
    <n v="5039.6400000000003"/>
    <n v="0"/>
    <x v="0"/>
    <s v="OK"/>
  </r>
  <r>
    <s v="IT-10017"/>
    <s v="Sensor unit 20-17"/>
    <x v="3"/>
    <x v="3"/>
    <x v="1"/>
    <s v="2026-07"/>
    <n v="304.01"/>
    <n v="304.01"/>
    <n v="301.76064500000001"/>
    <n v="419.97"/>
    <n v="15"/>
    <n v="21"/>
    <n v="24"/>
    <n v="31"/>
    <n v="9354.58"/>
    <n v="3"/>
    <n v="28"/>
    <n v="11.32"/>
    <n v="7"/>
    <n v="8"/>
    <n v="3359.76"/>
    <n v="0"/>
    <x v="0"/>
    <s v="OK"/>
  </r>
  <r>
    <s v="IT-10017"/>
    <s v="Sensor unit 20-17"/>
    <x v="3"/>
    <x v="3"/>
    <x v="1"/>
    <s v="2026-08"/>
    <n v="295.3"/>
    <n v="295.3"/>
    <n v="299.472353"/>
    <n v="419.97"/>
    <n v="15"/>
    <n v="26"/>
    <n v="17"/>
    <n v="34"/>
    <n v="10182.06"/>
    <n v="2"/>
    <n v="32"/>
    <n v="13.14"/>
    <n v="11"/>
    <n v="14"/>
    <n v="5879.58"/>
    <n v="0"/>
    <x v="0"/>
    <s v="OK"/>
  </r>
  <r>
    <s v="IT-10018"/>
    <s v="Anchor bolt S-18"/>
    <x v="2"/>
    <x v="2"/>
    <x v="0"/>
    <s v="2024-09"/>
    <n v="112.5"/>
    <n v="112.5"/>
    <n v="113.98787900000001"/>
    <n v="152.80000000000001"/>
    <n v="32"/>
    <m/>
    <n v="0"/>
    <n v="33"/>
    <n v="3761.6"/>
    <n v="9"/>
    <n v="24"/>
    <n v="3.98"/>
    <n v="8"/>
    <n v="37"/>
    <n v="5653.6"/>
    <n v="0"/>
    <x v="0"/>
    <s v="OK"/>
  </r>
  <r>
    <s v="IT-10018"/>
    <s v="Anchor bolt S-18"/>
    <x v="2"/>
    <x v="2"/>
    <x v="0"/>
    <s v="2024-10"/>
    <n v="111.5"/>
    <n v="111.5"/>
    <n v="112.56629"/>
    <n v="152.80000000000001"/>
    <n v="32"/>
    <n v="49"/>
    <n v="44"/>
    <n v="62"/>
    <n v="6979.11"/>
    <n v="3"/>
    <n v="59"/>
    <n v="8.23"/>
    <n v="1"/>
    <n v="15"/>
    <n v="2292"/>
    <n v="0"/>
    <x v="0"/>
    <s v="OK"/>
  </r>
  <r>
    <s v="IT-10018"/>
    <s v="Anchor bolt S-18"/>
    <x v="2"/>
    <x v="2"/>
    <x v="0"/>
    <s v="2024-11"/>
    <n v="115.36"/>
    <n v="115.36"/>
    <n v="113.4772"/>
    <n v="152.80000000000001"/>
    <n v="32"/>
    <n v="42"/>
    <n v="30"/>
    <n v="50"/>
    <n v="5673.86"/>
    <n v="9"/>
    <n v="41"/>
    <n v="6.91"/>
    <n v="0"/>
    <n v="42"/>
    <n v="6417.6"/>
    <n v="0"/>
    <x v="0"/>
    <s v="OK"/>
  </r>
  <r>
    <s v="IT-10018"/>
    <s v="Anchor bolt S-18"/>
    <x v="2"/>
    <x v="2"/>
    <x v="0"/>
    <s v="2024-12"/>
    <n v="117.59"/>
    <n v="117.59"/>
    <n v="114.652308"/>
    <n v="152.80000000000001"/>
    <n v="32"/>
    <n v="52"/>
    <n v="20"/>
    <n v="39"/>
    <n v="4471.4399999999996"/>
    <n v="9"/>
    <n v="30"/>
    <n v="5.82"/>
    <n v="5"/>
    <n v="31"/>
    <n v="4736.8"/>
    <n v="0"/>
    <x v="0"/>
    <s v="OK"/>
  </r>
  <r>
    <s v="IT-10018"/>
    <s v="Anchor bolt S-18"/>
    <x v="2"/>
    <x v="2"/>
    <x v="0"/>
    <s v="2025-01"/>
    <n v="114.35"/>
    <n v="114.35"/>
    <n v="114.549756"/>
    <n v="152.80000000000001"/>
    <n v="32"/>
    <n v="28"/>
    <n v="20"/>
    <n v="41"/>
    <n v="4696.54"/>
    <n v="4"/>
    <n v="37"/>
    <n v="5.92"/>
    <n v="13"/>
    <n v="18"/>
    <n v="2750.4"/>
    <n v="0"/>
    <x v="0"/>
    <s v="OK"/>
  </r>
  <r>
    <s v="IT-10018"/>
    <s v="Anchor bolt S-18"/>
    <x v="2"/>
    <x v="2"/>
    <x v="0"/>
    <s v="2025-02"/>
    <n v="115.06"/>
    <n v="115.06"/>
    <n v="114.897778"/>
    <n v="161.05000000000001"/>
    <n v="32"/>
    <n v="27"/>
    <n v="88"/>
    <n v="81"/>
    <n v="9306.7199999999993"/>
    <n v="6"/>
    <n v="75"/>
    <n v="10.74"/>
    <n v="0"/>
    <n v="48"/>
    <n v="7730.4"/>
    <n v="0"/>
    <x v="0"/>
    <s v="OK"/>
  </r>
  <r>
    <s v="IT-10018"/>
    <s v="Anchor bolt S-18"/>
    <x v="2"/>
    <x v="2"/>
    <x v="0"/>
    <s v="2025-03"/>
    <n v="115.05"/>
    <n v="115.05"/>
    <n v="114.927976"/>
    <n v="161.05000000000001"/>
    <n v="32"/>
    <n v="28"/>
    <n v="20"/>
    <n v="84"/>
    <n v="9653.9500000000007"/>
    <n v="5"/>
    <n v="79"/>
    <n v="13.01"/>
    <n v="14"/>
    <n v="17"/>
    <n v="2737.85"/>
    <n v="0"/>
    <x v="0"/>
    <s v="OK"/>
  </r>
  <r>
    <s v="IT-10018"/>
    <s v="Anchor bolt S-18"/>
    <x v="2"/>
    <x v="2"/>
    <x v="0"/>
    <s v="2025-04"/>
    <n v="114.86"/>
    <n v="114.86"/>
    <n v="114.927857"/>
    <n v="161.05000000000001"/>
    <n v="32"/>
    <m/>
    <n v="0"/>
    <n v="42"/>
    <n v="4826.97"/>
    <n v="6"/>
    <n v="36"/>
    <n v="4.99"/>
    <n v="14"/>
    <n v="42"/>
    <n v="6764.1"/>
    <n v="0"/>
    <x v="0"/>
    <s v="OK"/>
  </r>
  <r>
    <s v="IT-10018"/>
    <s v="Anchor bolt S-18"/>
    <x v="2"/>
    <x v="2"/>
    <x v="0"/>
    <s v="2025-05"/>
    <n v="118.99"/>
    <n v="118.99"/>
    <n v="117.34949400000001"/>
    <n v="161.05000000000001"/>
    <n v="32"/>
    <n v="28"/>
    <n v="62"/>
    <n v="79"/>
    <n v="9270.61"/>
    <n v="9"/>
    <n v="70"/>
    <n v="12.36"/>
    <n v="5"/>
    <n v="25"/>
    <n v="4026.25"/>
    <n v="0"/>
    <x v="0"/>
    <s v="OK"/>
  </r>
  <r>
    <s v="IT-10018"/>
    <s v="Anchor bolt S-18"/>
    <x v="2"/>
    <x v="2"/>
    <x v="0"/>
    <s v="2025-06"/>
    <n v="118.35"/>
    <n v="118.35"/>
    <n v="117.349487"/>
    <n v="161.05000000000001"/>
    <n v="32"/>
    <m/>
    <n v="0"/>
    <n v="39"/>
    <n v="4576.63"/>
    <n v="5"/>
    <n v="34"/>
    <n v="4.74"/>
    <n v="1"/>
    <n v="40"/>
    <n v="6442"/>
    <n v="0"/>
    <x v="0"/>
    <s v="OK"/>
  </r>
  <r>
    <s v="IT-10018"/>
    <s v="Anchor bolt S-18"/>
    <x v="2"/>
    <x v="2"/>
    <x v="0"/>
    <s v="2025-07"/>
    <n v="115.43"/>
    <n v="115.43"/>
    <n v="116.104474"/>
    <n v="161.05000000000001"/>
    <n v="32"/>
    <n v="30"/>
    <n v="72"/>
    <n v="76"/>
    <n v="8823.94"/>
    <n v="3"/>
    <n v="73"/>
    <n v="9.99"/>
    <n v="4"/>
    <n v="35"/>
    <n v="5636.75"/>
    <n v="0"/>
    <x v="0"/>
    <s v="OK"/>
  </r>
  <r>
    <s v="IT-10018"/>
    <s v="Anchor bolt S-18"/>
    <x v="2"/>
    <x v="2"/>
    <x v="0"/>
    <s v="2025-08"/>
    <n v="117.35"/>
    <n v="117.35"/>
    <n v="116.363896"/>
    <n v="161.05000000000001"/>
    <n v="32"/>
    <n v="31"/>
    <n v="20"/>
    <n v="77"/>
    <n v="8960.02"/>
    <n v="3"/>
    <n v="74"/>
    <n v="10.77"/>
    <n v="11"/>
    <n v="19"/>
    <n v="3059.95"/>
    <n v="0"/>
    <x v="0"/>
    <s v="OK"/>
  </r>
  <r>
    <s v="IT-10018"/>
    <s v="Anchor bolt S-18"/>
    <x v="2"/>
    <x v="2"/>
    <x v="0"/>
    <s v="2025-09"/>
    <n v="117.91"/>
    <n v="117.91"/>
    <n v="116.363947"/>
    <n v="161.05000000000001"/>
    <n v="32"/>
    <m/>
    <n v="0"/>
    <n v="38"/>
    <n v="4421.83"/>
    <n v="10"/>
    <n v="28"/>
    <n v="5.37"/>
    <n v="4"/>
    <n v="39"/>
    <n v="6280.95"/>
    <n v="0"/>
    <x v="0"/>
    <s v="OK"/>
  </r>
  <r>
    <s v="IT-10018"/>
    <s v="Anchor bolt S-18"/>
    <x v="2"/>
    <x v="2"/>
    <x v="0"/>
    <s v="2025-10"/>
    <n v="116.02"/>
    <n v="116.02"/>
    <n v="116.2452"/>
    <n v="161.05000000000001"/>
    <n v="32"/>
    <n v="31"/>
    <n v="20"/>
    <n v="25"/>
    <n v="2906.13"/>
    <n v="10"/>
    <n v="15"/>
    <n v="3.61"/>
    <n v="5"/>
    <n v="33"/>
    <n v="5314.65"/>
    <n v="0"/>
    <x v="0"/>
    <s v="OK"/>
  </r>
  <r>
    <s v="IT-10018"/>
    <s v="Anchor bolt S-18"/>
    <x v="2"/>
    <x v="2"/>
    <x v="0"/>
    <s v="2025-11"/>
    <n v="116.08"/>
    <n v="116.08"/>
    <n v="116.122927"/>
    <n v="161.05000000000001"/>
    <n v="32"/>
    <n v="46"/>
    <n v="71"/>
    <n v="41"/>
    <n v="4761.04"/>
    <n v="4"/>
    <n v="37"/>
    <n v="4.2"/>
    <n v="5"/>
    <n v="55"/>
    <n v="8857.75"/>
    <n v="0"/>
    <x v="0"/>
    <s v="OK"/>
  </r>
  <r>
    <s v="IT-10018"/>
    <s v="Anchor bolt S-18"/>
    <x v="2"/>
    <x v="2"/>
    <x v="0"/>
    <s v="2025-12"/>
    <n v="118.49"/>
    <n v="118.49"/>
    <n v="117.74917499999999"/>
    <n v="161.05000000000001"/>
    <n v="32"/>
    <n v="30"/>
    <n v="90"/>
    <n v="97"/>
    <n v="11421.67"/>
    <n v="10"/>
    <n v="87"/>
    <n v="10.45"/>
    <n v="0"/>
    <n v="34"/>
    <n v="5475.7"/>
    <n v="0"/>
    <x v="0"/>
    <s v="OK"/>
  </r>
  <r>
    <s v="IT-10018"/>
    <s v="Anchor bolt S-18"/>
    <x v="2"/>
    <x v="2"/>
    <x v="0"/>
    <s v="2026-01"/>
    <n v="118.91"/>
    <n v="118.91"/>
    <n v="117.971628"/>
    <n v="161.05000000000001"/>
    <n v="32"/>
    <n v="30"/>
    <n v="23"/>
    <n v="86"/>
    <n v="10145.56"/>
    <n v="4"/>
    <n v="82"/>
    <n v="9.19"/>
    <n v="10"/>
    <n v="34"/>
    <n v="5475.7"/>
    <n v="0"/>
    <x v="0"/>
    <s v="OK"/>
  </r>
  <r>
    <s v="IT-10018"/>
    <s v="Anchor bolt S-18"/>
    <x v="2"/>
    <x v="2"/>
    <x v="0"/>
    <s v="2026-02"/>
    <n v="121.65"/>
    <n v="121.65"/>
    <n v="117.971563"/>
    <n v="169.75"/>
    <n v="32"/>
    <m/>
    <n v="0"/>
    <n v="64"/>
    <n v="7550.18"/>
    <n v="3"/>
    <n v="61"/>
    <n v="9.14"/>
    <n v="0"/>
    <n v="22"/>
    <n v="3734.5"/>
    <n v="0"/>
    <x v="0"/>
    <s v="OK"/>
  </r>
  <r>
    <s v="IT-10018"/>
    <s v="Anchor bolt S-18"/>
    <x v="2"/>
    <x v="2"/>
    <x v="0"/>
    <s v="2026-03"/>
    <n v="117.94"/>
    <n v="117.94"/>
    <n v="117.963962"/>
    <n v="169.75"/>
    <n v="32"/>
    <n v="31"/>
    <n v="20"/>
    <n v="53"/>
    <n v="6252.09"/>
    <n v="10"/>
    <n v="43"/>
    <n v="7.83"/>
    <n v="13"/>
    <n v="31"/>
    <n v="5262.25"/>
    <n v="0"/>
    <x v="0"/>
    <s v="OK"/>
  </r>
  <r>
    <s v="IT-10018"/>
    <s v="Anchor bolt S-18"/>
    <x v="2"/>
    <x v="2"/>
    <x v="0"/>
    <s v="2026-04"/>
    <n v="121.85"/>
    <n v="121.85"/>
    <n v="117.964286"/>
    <n v="169.75"/>
    <n v="32"/>
    <m/>
    <n v="0"/>
    <n v="7"/>
    <n v="825.75"/>
    <n v="2"/>
    <n v="5"/>
    <n v="0.9"/>
    <n v="2"/>
    <n v="46"/>
    <n v="7808.5"/>
    <n v="0"/>
    <x v="0"/>
    <s v="OK"/>
  </r>
  <r>
    <s v="IT-10018"/>
    <s v="Anchor bolt S-18"/>
    <x v="2"/>
    <x v="2"/>
    <x v="0"/>
    <s v="2026-05"/>
    <n v="121.29"/>
    <n v="121.29"/>
    <n v="121.031356"/>
    <n v="169.75"/>
    <n v="32"/>
    <n v="28"/>
    <n v="83"/>
    <n v="59"/>
    <n v="7140.85"/>
    <n v="3"/>
    <n v="56"/>
    <n v="7.18"/>
    <n v="1"/>
    <n v="31"/>
    <n v="5262.25"/>
    <n v="0"/>
    <x v="0"/>
    <s v="OK"/>
  </r>
  <r>
    <s v="IT-10018"/>
    <s v="Anchor bolt S-18"/>
    <x v="2"/>
    <x v="2"/>
    <x v="0"/>
    <s v="2026-06"/>
    <n v="120.47"/>
    <n v="120.47"/>
    <n v="120.87393899999999"/>
    <n v="169.75"/>
    <n v="32"/>
    <n v="30"/>
    <n v="23"/>
    <n v="66"/>
    <n v="7977.68"/>
    <n v="2"/>
    <n v="64"/>
    <n v="9.23"/>
    <n v="4"/>
    <n v="16"/>
    <n v="2716"/>
    <n v="0"/>
    <x v="0"/>
    <s v="OK"/>
  </r>
  <r>
    <s v="IT-10018"/>
    <s v="Anchor bolt S-18"/>
    <x v="2"/>
    <x v="2"/>
    <x v="0"/>
    <s v="2026-07"/>
    <n v="120.39"/>
    <n v="120.39"/>
    <n v="120.72619"/>
    <n v="169.75"/>
    <n v="32"/>
    <n v="30"/>
    <n v="29"/>
    <n v="63"/>
    <n v="7605.75"/>
    <n v="9"/>
    <n v="54"/>
    <n v="10.48"/>
    <n v="7"/>
    <n v="32"/>
    <n v="5432"/>
    <n v="0"/>
    <x v="0"/>
    <s v="OK"/>
  </r>
  <r>
    <s v="IT-10018"/>
    <s v="Anchor bolt S-18"/>
    <x v="2"/>
    <x v="2"/>
    <x v="0"/>
    <s v="2026-08"/>
    <n v="120.89"/>
    <n v="120.89"/>
    <n v="120.726364"/>
    <n v="169.75"/>
    <n v="32"/>
    <m/>
    <n v="0"/>
    <n v="22"/>
    <n v="2655.98"/>
    <n v="2"/>
    <n v="20"/>
    <n v="3.25"/>
    <n v="0"/>
    <n v="41"/>
    <n v="6959.75"/>
    <n v="0"/>
    <x v="0"/>
    <s v="OK"/>
  </r>
  <r>
    <s v="IT-10019"/>
    <s v="Filter cartridge M-19"/>
    <x v="1"/>
    <x v="1"/>
    <x v="0"/>
    <s v="2024-09"/>
    <n v="232.07"/>
    <n v="251.25"/>
    <n v="250.357833"/>
    <n v="335.95"/>
    <n v="58"/>
    <n v="53"/>
    <n v="35"/>
    <n v="60"/>
    <n v="15021.47"/>
    <n v="3"/>
    <n v="57"/>
    <n v="16.09"/>
    <n v="16"/>
    <n v="12"/>
    <n v="4031.4"/>
    <n v="0"/>
    <x v="0"/>
    <s v="OK"/>
  </r>
  <r>
    <s v="IT-10019"/>
    <s v="Filter cartridge M-19"/>
    <x v="1"/>
    <x v="1"/>
    <x v="0"/>
    <s v="2024-10"/>
    <n v="232.32"/>
    <n v="251.52"/>
    <n v="250.59032300000001"/>
    <n v="335.95"/>
    <n v="58"/>
    <n v="52"/>
    <n v="15"/>
    <n v="62"/>
    <n v="15536.6"/>
    <n v="1"/>
    <n v="61"/>
    <n v="16.63"/>
    <n v="2"/>
    <n v="13"/>
    <n v="4367.3500000000004"/>
    <n v="0"/>
    <x v="0"/>
    <s v="OK"/>
  </r>
  <r>
    <s v="IT-10019"/>
    <s v="Filter cartridge M-19"/>
    <x v="1"/>
    <x v="1"/>
    <x v="0"/>
    <s v="2024-11"/>
    <n v="227.79"/>
    <n v="246.61"/>
    <n v="249.815"/>
    <n v="335.95"/>
    <n v="58"/>
    <n v="58"/>
    <n v="15"/>
    <n v="66"/>
    <n v="16487.79"/>
    <n v="1"/>
    <n v="65"/>
    <n v="23.83"/>
    <n v="4"/>
    <n v="11"/>
    <n v="3695.45"/>
    <n v="0"/>
    <x v="0"/>
    <s v="OK"/>
  </r>
  <r>
    <s v="IT-10019"/>
    <s v="Filter cartridge M-19"/>
    <x v="1"/>
    <x v="1"/>
    <x v="0"/>
    <s v="2024-12"/>
    <n v="232.07"/>
    <n v="251.25"/>
    <n v="249.815"/>
    <n v="335.95"/>
    <n v="58"/>
    <m/>
    <n v="0"/>
    <n v="52"/>
    <n v="12990.38"/>
    <n v="5"/>
    <n v="47"/>
    <n v="17.98"/>
    <n v="11"/>
    <n v="14"/>
    <n v="4703.3"/>
    <n v="0"/>
    <x v="0"/>
    <s v="OK"/>
  </r>
  <r>
    <s v="IT-10019"/>
    <s v="Filter cartridge M-19"/>
    <x v="1"/>
    <x v="1"/>
    <x v="0"/>
    <s v="2025-01"/>
    <n v="242.21"/>
    <n v="262.22000000000003"/>
    <n v="253.38358500000001"/>
    <n v="335.95"/>
    <n v="58"/>
    <n v="58"/>
    <n v="21"/>
    <n v="53"/>
    <n v="13429.33"/>
    <n v="4"/>
    <n v="49"/>
    <n v="15.48"/>
    <n v="2"/>
    <n v="20"/>
    <n v="6719"/>
    <n v="0"/>
    <x v="0"/>
    <s v="OK"/>
  </r>
  <r>
    <s v="IT-10019"/>
    <s v="Filter cartridge M-19"/>
    <x v="1"/>
    <x v="1"/>
    <x v="0"/>
    <s v="2025-02"/>
    <n v="238.68"/>
    <n v="258.39999999999998"/>
    <n v="254.49017499999999"/>
    <n v="352.84"/>
    <n v="58"/>
    <n v="53"/>
    <n v="15"/>
    <n v="57"/>
    <n v="14505.94"/>
    <n v="4"/>
    <n v="53"/>
    <n v="16.29"/>
    <n v="0"/>
    <n v="11"/>
    <n v="3881.24"/>
    <n v="0"/>
    <x v="0"/>
    <s v="OK"/>
  </r>
  <r>
    <s v="IT-10019"/>
    <s v="Filter cartridge M-19"/>
    <x v="1"/>
    <x v="1"/>
    <x v="0"/>
    <s v="2025-03"/>
    <n v="234.36"/>
    <n v="253.72"/>
    <n v="254.197237"/>
    <n v="352.84"/>
    <n v="58"/>
    <n v="50"/>
    <n v="35"/>
    <n v="76"/>
    <n v="19318.990000000002"/>
    <n v="5"/>
    <n v="71"/>
    <n v="20.79"/>
    <n v="0"/>
    <n v="16"/>
    <n v="5645.44"/>
    <n v="0"/>
    <x v="0"/>
    <s v="OK"/>
  </r>
  <r>
    <s v="IT-10019"/>
    <s v="Filter cartridge M-19"/>
    <x v="1"/>
    <x v="1"/>
    <x v="0"/>
    <s v="2025-04"/>
    <n v="242.29"/>
    <n v="262.31"/>
    <n v="254.19716399999999"/>
    <n v="352.84"/>
    <n v="58"/>
    <m/>
    <n v="0"/>
    <n v="67"/>
    <n v="17031.21"/>
    <n v="1"/>
    <n v="66"/>
    <n v="23.66"/>
    <n v="0"/>
    <n v="9"/>
    <n v="3175.56"/>
    <n v="0"/>
    <x v="0"/>
    <s v="OK"/>
  </r>
  <r>
    <s v="IT-10019"/>
    <s v="Filter cartridge M-19"/>
    <x v="1"/>
    <x v="1"/>
    <x v="0"/>
    <s v="2025-05"/>
    <n v="239.58"/>
    <n v="259.38"/>
    <n v="254.19711100000001"/>
    <n v="352.84"/>
    <n v="58"/>
    <m/>
    <n v="0"/>
    <n v="45"/>
    <n v="11438.87"/>
    <n v="3"/>
    <n v="42"/>
    <n v="12.58"/>
    <n v="4"/>
    <n v="22"/>
    <n v="7762.48"/>
    <n v="0"/>
    <x v="0"/>
    <s v="OK"/>
  </r>
  <r>
    <s v="IT-10019"/>
    <s v="Filter cartridge M-19"/>
    <x v="1"/>
    <x v="1"/>
    <x v="0"/>
    <s v="2025-06"/>
    <n v="237.6"/>
    <n v="257.23"/>
    <n v="254.196957"/>
    <n v="352.84"/>
    <n v="58"/>
    <m/>
    <n v="0"/>
    <n v="23"/>
    <n v="5846.53"/>
    <n v="3"/>
    <n v="20"/>
    <n v="5.64"/>
    <n v="0"/>
    <n v="22"/>
    <n v="7762.48"/>
    <n v="0"/>
    <x v="0"/>
    <s v="OK"/>
  </r>
  <r>
    <s v="IT-10019"/>
    <s v="Filter cartridge M-19"/>
    <x v="1"/>
    <x v="1"/>
    <x v="0"/>
    <s v="2025-07"/>
    <n v="240.14"/>
    <n v="259.98"/>
    <n v="254.196957"/>
    <n v="352.84"/>
    <n v="58"/>
    <m/>
    <n v="0"/>
    <n v="0"/>
    <n v="0"/>
    <n v="0"/>
    <n v="0"/>
    <n v="0"/>
    <n v="0"/>
    <n v="23"/>
    <n v="8115.32"/>
    <n v="4"/>
    <x v="1"/>
    <s v="OK"/>
  </r>
  <r>
    <s v="IT-10019"/>
    <s v="Filter cartridge M-19"/>
    <x v="1"/>
    <x v="1"/>
    <x v="0"/>
    <s v="2025-08"/>
    <n v="242.58"/>
    <n v="262.62"/>
    <n v="262.62"/>
    <n v="352.84"/>
    <n v="58"/>
    <n v="82"/>
    <n v="33"/>
    <n v="22"/>
    <n v="5777.64"/>
    <n v="1"/>
    <n v="21"/>
    <n v="5.16"/>
    <n v="16"/>
    <n v="11"/>
    <n v="3881.24"/>
    <n v="0"/>
    <x v="0"/>
    <s v="OK"/>
  </r>
  <r>
    <s v="IT-10019"/>
    <s v="Filter cartridge M-19"/>
    <x v="1"/>
    <x v="1"/>
    <x v="0"/>
    <s v="2025-09"/>
    <n v="238.56"/>
    <n v="258.27"/>
    <n v="260.350345"/>
    <n v="352.84"/>
    <n v="58"/>
    <n v="50"/>
    <n v="24"/>
    <n v="29"/>
    <n v="7550.16"/>
    <n v="4"/>
    <n v="25"/>
    <n v="7.47"/>
    <n v="4"/>
    <n v="17"/>
    <n v="5998.28"/>
    <n v="0"/>
    <x v="0"/>
    <s v="OK"/>
  </r>
  <r>
    <s v="IT-10019"/>
    <s v="Filter cartridge M-19"/>
    <x v="1"/>
    <x v="1"/>
    <x v="0"/>
    <s v="2025-10"/>
    <n v="237.25"/>
    <n v="256.85000000000002"/>
    <n v="258.22180300000002"/>
    <n v="352.84"/>
    <n v="58"/>
    <n v="103"/>
    <n v="45"/>
    <n v="61"/>
    <n v="15751.53"/>
    <n v="5"/>
    <n v="56"/>
    <n v="19.55"/>
    <n v="8"/>
    <n v="13"/>
    <n v="4586.92"/>
    <n v="0"/>
    <x v="0"/>
    <s v="OK"/>
  </r>
  <r>
    <s v="IT-10019"/>
    <s v="Filter cartridge M-19"/>
    <x v="1"/>
    <x v="1"/>
    <x v="0"/>
    <s v="2025-11"/>
    <n v="238.66"/>
    <n v="258.38"/>
    <n v="258.22166700000002"/>
    <n v="352.84"/>
    <n v="58"/>
    <m/>
    <n v="0"/>
    <n v="30"/>
    <n v="7746.65"/>
    <n v="5"/>
    <n v="25"/>
    <n v="6.39"/>
    <n v="6"/>
    <n v="31"/>
    <n v="10938.04"/>
    <n v="0"/>
    <x v="0"/>
    <s v="OK"/>
  </r>
  <r>
    <s v="IT-10019"/>
    <s v="Filter cartridge M-19"/>
    <x v="1"/>
    <x v="1"/>
    <x v="0"/>
    <s v="2025-12"/>
    <n v="235.01"/>
    <n v="254.43"/>
    <n v="256.42552599999999"/>
    <n v="352.84"/>
    <n v="58"/>
    <n v="52"/>
    <n v="27"/>
    <n v="38"/>
    <n v="9744.17"/>
    <n v="3"/>
    <n v="35"/>
    <n v="7.93"/>
    <n v="4"/>
    <n v="19"/>
    <n v="6703.96"/>
    <n v="0"/>
    <x v="0"/>
    <s v="OK"/>
  </r>
  <r>
    <s v="IT-10019"/>
    <s v="Filter cartridge M-19"/>
    <x v="1"/>
    <x v="1"/>
    <x v="0"/>
    <s v="2026-01"/>
    <n v="246.82"/>
    <n v="267.20999999999998"/>
    <n v="261.27063800000002"/>
    <n v="352.84"/>
    <n v="58"/>
    <n v="58"/>
    <n v="31"/>
    <n v="47"/>
    <n v="12279.72"/>
    <n v="4"/>
    <n v="43"/>
    <n v="8.58"/>
    <n v="5"/>
    <n v="22"/>
    <n v="7762.48"/>
    <n v="0"/>
    <x v="0"/>
    <s v="OK"/>
  </r>
  <r>
    <s v="IT-10019"/>
    <s v="Filter cartridge M-19"/>
    <x v="1"/>
    <x v="1"/>
    <x v="0"/>
    <s v="2026-02"/>
    <n v="251.04"/>
    <n v="271.77999999999997"/>
    <n v="265.10508800000002"/>
    <n v="370.58"/>
    <n v="58"/>
    <n v="55"/>
    <n v="27"/>
    <n v="57"/>
    <n v="15110.99"/>
    <n v="5"/>
    <n v="52"/>
    <n v="12.64"/>
    <n v="1"/>
    <n v="17"/>
    <n v="6299.86"/>
    <n v="0"/>
    <x v="0"/>
    <s v="OK"/>
  </r>
  <r>
    <s v="IT-10019"/>
    <s v="Filter cartridge M-19"/>
    <x v="1"/>
    <x v="1"/>
    <x v="0"/>
    <s v="2026-03"/>
    <n v="248.09"/>
    <n v="268.58999999999997"/>
    <n v="265.83117600000003"/>
    <n v="370.58"/>
    <n v="58"/>
    <n v="55"/>
    <n v="15"/>
    <n v="51"/>
    <n v="13557.39"/>
    <n v="4"/>
    <n v="47"/>
    <n v="10.93"/>
    <n v="0"/>
    <n v="21"/>
    <n v="7782.18"/>
    <n v="0"/>
    <x v="0"/>
    <s v="OK"/>
  </r>
  <r>
    <s v="IT-10019"/>
    <s v="Filter cartridge M-19"/>
    <x v="1"/>
    <x v="1"/>
    <x v="0"/>
    <s v="2026-04"/>
    <n v="244.53"/>
    <n v="264.74"/>
    <n v="265.83125000000001"/>
    <n v="370.58"/>
    <n v="58"/>
    <m/>
    <n v="0"/>
    <n v="32"/>
    <n v="8506.6"/>
    <n v="3"/>
    <n v="29"/>
    <n v="7.14"/>
    <n v="2"/>
    <n v="19"/>
    <n v="7041.02"/>
    <n v="0"/>
    <x v="0"/>
    <s v="OK"/>
  </r>
  <r>
    <s v="IT-10019"/>
    <s v="Filter cartridge M-19"/>
    <x v="1"/>
    <x v="1"/>
    <x v="0"/>
    <s v="2026-05"/>
    <n v="249.95"/>
    <n v="270.60000000000002"/>
    <n v="267.35305599999998"/>
    <n v="370.58"/>
    <n v="58"/>
    <n v="76"/>
    <n v="15"/>
    <n v="36"/>
    <n v="9624.7099999999991"/>
    <n v="4"/>
    <n v="32"/>
    <n v="9.2799999999999994"/>
    <n v="10"/>
    <n v="11"/>
    <n v="4076.38"/>
    <n v="0"/>
    <x v="0"/>
    <s v="OK"/>
  </r>
  <r>
    <s v="IT-10019"/>
    <s v="Filter cartridge M-19"/>
    <x v="1"/>
    <x v="1"/>
    <x v="0"/>
    <s v="2026-06"/>
    <n v="244.37"/>
    <n v="264.56"/>
    <n v="265.90062499999999"/>
    <n v="370.58"/>
    <n v="58"/>
    <n v="58"/>
    <n v="39"/>
    <n v="64"/>
    <n v="17017.64"/>
    <n v="3"/>
    <n v="61"/>
    <n v="20.29"/>
    <n v="9"/>
    <n v="11"/>
    <n v="4076.38"/>
    <n v="0"/>
    <x v="0"/>
    <s v="OK"/>
  </r>
  <r>
    <s v="IT-10019"/>
    <s v="Filter cartridge M-19"/>
    <x v="1"/>
    <x v="1"/>
    <x v="0"/>
    <s v="2026-07"/>
    <n v="250.42"/>
    <n v="271.11"/>
    <n v="266.88966699999997"/>
    <n v="370.58"/>
    <n v="58"/>
    <n v="55"/>
    <n v="15"/>
    <n v="60"/>
    <n v="16013.38"/>
    <n v="4"/>
    <n v="56"/>
    <n v="19.23"/>
    <n v="5"/>
    <n v="19"/>
    <n v="7041.02"/>
    <n v="0"/>
    <x v="0"/>
    <s v="OK"/>
  </r>
  <r>
    <s v="IT-10019"/>
    <s v="Filter cartridge M-19"/>
    <x v="1"/>
    <x v="1"/>
    <x v="0"/>
    <s v="2026-08"/>
    <n v="244.96"/>
    <n v="265.2"/>
    <n v="266.55166700000001"/>
    <n v="370.58"/>
    <n v="58"/>
    <n v="57"/>
    <n v="15"/>
    <n v="54"/>
    <n v="14393.79"/>
    <n v="5"/>
    <n v="49"/>
    <n v="13.92"/>
    <n v="0"/>
    <n v="21"/>
    <n v="7782.18"/>
    <n v="0"/>
    <x v="0"/>
    <s v="OK"/>
  </r>
  <r>
    <s v="IT-10020"/>
    <s v="Filter cartridge 20-20"/>
    <x v="1"/>
    <x v="1"/>
    <x v="0"/>
    <s v="2024-09"/>
    <n v="329.88"/>
    <n v="329.88"/>
    <n v="328.38656700000001"/>
    <n v="464.25"/>
    <n v="39"/>
    <n v="34"/>
    <n v="37"/>
    <n v="67"/>
    <n v="22001.9"/>
    <n v="7"/>
    <n v="60"/>
    <n v="9.3699999999999992"/>
    <n v="7"/>
    <n v="37"/>
    <n v="17177.25"/>
    <n v="0"/>
    <x v="0"/>
    <s v="OK"/>
  </r>
  <r>
    <s v="IT-10020"/>
    <s v="Filter cartridge 20-20"/>
    <x v="1"/>
    <x v="1"/>
    <x v="0"/>
    <s v="2024-10"/>
    <n v="324.20999999999998"/>
    <n v="324.20999999999998"/>
    <n v="326.20875000000001"/>
    <n v="464.25"/>
    <n v="39"/>
    <n v="47"/>
    <n v="73"/>
    <n v="104"/>
    <n v="33925.71"/>
    <n v="4"/>
    <n v="100"/>
    <n v="14.24"/>
    <n v="2"/>
    <n v="36"/>
    <n v="16713"/>
    <n v="0"/>
    <x v="0"/>
    <s v="OK"/>
  </r>
  <r>
    <s v="IT-10020"/>
    <s v="Filter cartridge 20-20"/>
    <x v="1"/>
    <x v="1"/>
    <x v="0"/>
    <s v="2024-11"/>
    <n v="329.64"/>
    <n v="329.64"/>
    <n v="326.690854"/>
    <n v="464.25"/>
    <n v="39"/>
    <n v="38"/>
    <n v="17"/>
    <n v="82"/>
    <n v="26788.65"/>
    <n v="3"/>
    <n v="79"/>
    <n v="9.52"/>
    <n v="4"/>
    <n v="39"/>
    <n v="18105.75"/>
    <n v="0"/>
    <x v="0"/>
    <s v="OK"/>
  </r>
  <r>
    <s v="IT-10020"/>
    <s v="Filter cartridge 20-20"/>
    <x v="1"/>
    <x v="1"/>
    <x v="0"/>
    <s v="2024-12"/>
    <n v="329.48"/>
    <n v="329.48"/>
    <n v="327.437952"/>
    <n v="464.25"/>
    <n v="39"/>
    <n v="38"/>
    <n v="30"/>
    <n v="83"/>
    <n v="27177.35"/>
    <n v="7"/>
    <n v="76"/>
    <n v="10.49"/>
    <n v="4"/>
    <n v="29"/>
    <n v="13463.25"/>
    <n v="0"/>
    <x v="0"/>
    <s v="OK"/>
  </r>
  <r>
    <s v="IT-10020"/>
    <s v="Filter cartridge 20-20"/>
    <x v="1"/>
    <x v="1"/>
    <x v="0"/>
    <s v="2025-01"/>
    <n v="335.76"/>
    <n v="335.76"/>
    <n v="329.53714300000001"/>
    <n v="464.25"/>
    <n v="39"/>
    <n v="34"/>
    <n v="28"/>
    <n v="77"/>
    <n v="25374.36"/>
    <n v="9"/>
    <n v="68"/>
    <n v="9.92"/>
    <n v="2"/>
    <n v="34"/>
    <n v="15784.5"/>
    <n v="0"/>
    <x v="0"/>
    <s v="OK"/>
  </r>
  <r>
    <s v="IT-10020"/>
    <s v="Filter cartridge 20-20"/>
    <x v="1"/>
    <x v="1"/>
    <x v="0"/>
    <s v="2025-02"/>
    <n v="345.99"/>
    <n v="345.99"/>
    <n v="334.03835299999997"/>
    <n v="491.83"/>
    <n v="39"/>
    <n v="48"/>
    <n v="29"/>
    <n v="85"/>
    <n v="28393.26"/>
    <n v="5"/>
    <n v="80"/>
    <n v="13.01"/>
    <n v="2"/>
    <n v="21"/>
    <n v="10328.43"/>
    <n v="0"/>
    <x v="0"/>
    <s v="OK"/>
  </r>
  <r>
    <s v="IT-10020"/>
    <s v="Filter cartridge 20-20"/>
    <x v="1"/>
    <x v="1"/>
    <x v="0"/>
    <s v="2025-03"/>
    <n v="346.92"/>
    <n v="346.92"/>
    <n v="337.48090000000002"/>
    <n v="491.83"/>
    <n v="39"/>
    <n v="44"/>
    <n v="31"/>
    <n v="100"/>
    <n v="33748.089999999997"/>
    <n v="2"/>
    <n v="98"/>
    <n v="18.11"/>
    <n v="11"/>
    <n v="16"/>
    <n v="7869.28"/>
    <n v="0"/>
    <x v="0"/>
    <s v="OK"/>
  </r>
  <r>
    <s v="IT-10020"/>
    <s v="Filter cartridge 20-20"/>
    <x v="1"/>
    <x v="1"/>
    <x v="0"/>
    <s v="2025-04"/>
    <n v="337.09"/>
    <n v="337.09"/>
    <n v="337.48081999999999"/>
    <n v="491.83"/>
    <n v="39"/>
    <m/>
    <n v="0"/>
    <n v="61"/>
    <n v="20586.330000000002"/>
    <n v="9"/>
    <n v="52"/>
    <n v="10.199999999999999"/>
    <n v="3"/>
    <n v="39"/>
    <n v="19181.37"/>
    <n v="0"/>
    <x v="0"/>
    <s v="OK"/>
  </r>
  <r>
    <s v="IT-10020"/>
    <s v="Filter cartridge 20-20"/>
    <x v="1"/>
    <x v="1"/>
    <x v="0"/>
    <s v="2025-05"/>
    <n v="346.29"/>
    <n v="346.29"/>
    <n v="340.512"/>
    <n v="491.83"/>
    <n v="39"/>
    <n v="38"/>
    <n v="32"/>
    <n v="60"/>
    <n v="20430.72"/>
    <n v="8"/>
    <n v="52"/>
    <n v="8.9600000000000009"/>
    <n v="6"/>
    <n v="33"/>
    <n v="16230.39"/>
    <n v="0"/>
    <x v="0"/>
    <s v="OK"/>
  </r>
  <r>
    <s v="IT-10020"/>
    <s v="Filter cartridge 20-20"/>
    <x v="1"/>
    <x v="1"/>
    <x v="0"/>
    <s v="2025-06"/>
    <n v="345.59"/>
    <n v="345.59"/>
    <n v="340.51214299999998"/>
    <n v="491.83"/>
    <n v="39"/>
    <m/>
    <n v="0"/>
    <n v="28"/>
    <n v="9534.34"/>
    <n v="5"/>
    <n v="23"/>
    <n v="3.5"/>
    <n v="7"/>
    <n v="32"/>
    <n v="15738.56"/>
    <n v="0"/>
    <x v="0"/>
    <s v="OK"/>
  </r>
  <r>
    <s v="IT-10020"/>
    <s v="Filter cartridge 20-20"/>
    <x v="1"/>
    <x v="1"/>
    <x v="0"/>
    <s v="2025-07"/>
    <n v="345.95"/>
    <n v="345.95"/>
    <n v="344.68114600000001"/>
    <n v="491.83"/>
    <n v="39"/>
    <n v="43"/>
    <n v="92"/>
    <n v="96"/>
    <n v="33089.39"/>
    <n v="7"/>
    <n v="89"/>
    <n v="14.18"/>
    <n v="4"/>
    <n v="24"/>
    <n v="11803.92"/>
    <n v="0"/>
    <x v="0"/>
    <s v="OK"/>
  </r>
  <r>
    <s v="IT-10020"/>
    <s v="Filter cartridge 20-20"/>
    <x v="1"/>
    <x v="1"/>
    <x v="0"/>
    <s v="2025-08"/>
    <n v="338.63"/>
    <n v="338.63"/>
    <n v="344.68116700000002"/>
    <n v="491.83"/>
    <n v="39"/>
    <m/>
    <n v="0"/>
    <n v="60"/>
    <n v="20680.87"/>
    <n v="4"/>
    <n v="56"/>
    <n v="8.57"/>
    <n v="2"/>
    <n v="36"/>
    <n v="17705.88"/>
    <n v="0"/>
    <x v="0"/>
    <s v="OK"/>
  </r>
  <r>
    <s v="IT-10020"/>
    <s v="Filter cartridge 20-20"/>
    <x v="1"/>
    <x v="1"/>
    <x v="0"/>
    <s v="2025-09"/>
    <n v="339.18"/>
    <n v="339.18"/>
    <n v="344.68128999999999"/>
    <n v="491.83"/>
    <n v="39"/>
    <m/>
    <n v="0"/>
    <n v="31"/>
    <n v="10685.12"/>
    <n v="9"/>
    <n v="22"/>
    <n v="4.58"/>
    <n v="1"/>
    <n v="29"/>
    <n v="14263.07"/>
    <n v="0"/>
    <x v="0"/>
    <s v="OK"/>
  </r>
  <r>
    <s v="IT-10020"/>
    <s v="Filter cartridge 20-20"/>
    <x v="1"/>
    <x v="1"/>
    <x v="0"/>
    <s v="2025-10"/>
    <n v="341.04"/>
    <n v="341.04"/>
    <n v="341.96523400000001"/>
    <n v="491.83"/>
    <n v="39"/>
    <n v="34"/>
    <n v="91"/>
    <n v="107"/>
    <n v="36590.28"/>
    <n v="6"/>
    <n v="101"/>
    <n v="17.579999999999998"/>
    <n v="10"/>
    <n v="15"/>
    <n v="7377.45"/>
    <n v="0"/>
    <x v="0"/>
    <s v="OK"/>
  </r>
  <r>
    <s v="IT-10020"/>
    <s v="Filter cartridge 20-20"/>
    <x v="1"/>
    <x v="1"/>
    <x v="0"/>
    <s v="2025-11"/>
    <n v="337.5"/>
    <n v="337.5"/>
    <n v="341.96529399999997"/>
    <n v="491.83"/>
    <n v="39"/>
    <m/>
    <n v="0"/>
    <n v="68"/>
    <n v="23253.64"/>
    <n v="2"/>
    <n v="66"/>
    <n v="10.65"/>
    <n v="4"/>
    <n v="39"/>
    <n v="19181.37"/>
    <n v="0"/>
    <x v="0"/>
    <s v="OK"/>
  </r>
  <r>
    <s v="IT-10020"/>
    <s v="Filter cartridge 20-20"/>
    <x v="1"/>
    <x v="1"/>
    <x v="0"/>
    <s v="2025-12"/>
    <n v="346.98"/>
    <n v="346.98"/>
    <n v="343.273393"/>
    <n v="491.83"/>
    <n v="39"/>
    <n v="49"/>
    <n v="24"/>
    <n v="56"/>
    <n v="19223.310000000001"/>
    <n v="6"/>
    <n v="50"/>
    <n v="8.18"/>
    <n v="7"/>
    <n v="36"/>
    <n v="17705.88"/>
    <n v="0"/>
    <x v="0"/>
    <s v="OK"/>
  </r>
  <r>
    <s v="IT-10020"/>
    <s v="Filter cartridge 20-20"/>
    <x v="1"/>
    <x v="1"/>
    <x v="0"/>
    <s v="2026-01"/>
    <n v="356.75"/>
    <n v="356.75"/>
    <n v="350.71249999999998"/>
    <n v="491.83"/>
    <n v="39"/>
    <n v="52"/>
    <n v="69"/>
    <n v="88"/>
    <n v="30862.7"/>
    <n v="2"/>
    <n v="86"/>
    <n v="10.33"/>
    <n v="0"/>
    <n v="37"/>
    <n v="18197.71"/>
    <n v="0"/>
    <x v="0"/>
    <s v="OK"/>
  </r>
  <r>
    <s v="IT-10020"/>
    <s v="Filter cartridge 20-20"/>
    <x v="1"/>
    <x v="1"/>
    <x v="0"/>
    <s v="2026-02"/>
    <n v="348.2"/>
    <n v="348.2"/>
    <n v="349.67401899999999"/>
    <n v="521.04999999999995"/>
    <n v="39"/>
    <n v="39"/>
    <n v="62"/>
    <n v="107"/>
    <n v="37415.120000000003"/>
    <n v="3"/>
    <n v="104"/>
    <n v="11.86"/>
    <n v="8"/>
    <n v="43"/>
    <n v="22405.15"/>
    <n v="0"/>
    <x v="0"/>
    <s v="OK"/>
  </r>
  <r>
    <s v="IT-10020"/>
    <s v="Filter cartridge 20-20"/>
    <x v="1"/>
    <x v="1"/>
    <x v="0"/>
    <s v="2026-03"/>
    <n v="354.32"/>
    <n v="354.32"/>
    <n v="349.67403200000001"/>
    <n v="521.04999999999995"/>
    <n v="39"/>
    <m/>
    <n v="0"/>
    <n v="62"/>
    <n v="21679.79"/>
    <n v="9"/>
    <n v="53"/>
    <n v="6.38"/>
    <n v="0"/>
    <n v="45"/>
    <n v="23447.25"/>
    <n v="0"/>
    <x v="0"/>
    <s v="OK"/>
  </r>
  <r>
    <s v="IT-10020"/>
    <s v="Filter cartridge 20-20"/>
    <x v="1"/>
    <x v="1"/>
    <x v="0"/>
    <s v="2026-04"/>
    <n v="353.78"/>
    <n v="353.78"/>
    <n v="349.67399999999998"/>
    <n v="521.04999999999995"/>
    <n v="39"/>
    <m/>
    <n v="0"/>
    <n v="35"/>
    <n v="12238.59"/>
    <n v="7"/>
    <n v="28"/>
    <n v="3.87"/>
    <n v="7"/>
    <n v="27"/>
    <n v="14068.35"/>
    <n v="0"/>
    <x v="0"/>
    <s v="OK"/>
  </r>
  <r>
    <s v="IT-10020"/>
    <s v="Filter cartridge 20-20"/>
    <x v="1"/>
    <x v="1"/>
    <x v="0"/>
    <s v="2026-05"/>
    <n v="347.83"/>
    <n v="347.83"/>
    <n v="348.43318199999999"/>
    <n v="521.04999999999995"/>
    <n v="39"/>
    <n v="37"/>
    <n v="72"/>
    <n v="66"/>
    <n v="22996.59"/>
    <n v="6"/>
    <n v="60"/>
    <n v="7.68"/>
    <n v="6"/>
    <n v="41"/>
    <n v="21363.05"/>
    <n v="0"/>
    <x v="0"/>
    <s v="OK"/>
  </r>
  <r>
    <s v="IT-10020"/>
    <s v="Filter cartridge 20-20"/>
    <x v="1"/>
    <x v="1"/>
    <x v="0"/>
    <s v="2026-06"/>
    <n v="351.82"/>
    <n v="351.82"/>
    <n v="348.43305600000002"/>
    <n v="521.04999999999995"/>
    <n v="39"/>
    <m/>
    <n v="0"/>
    <n v="36"/>
    <n v="12543.59"/>
    <n v="5"/>
    <n v="31"/>
    <n v="4.78"/>
    <n v="0"/>
    <n v="30"/>
    <n v="15631.5"/>
    <n v="0"/>
    <x v="0"/>
    <s v="OK"/>
  </r>
  <r>
    <s v="IT-10020"/>
    <s v="Filter cartridge 20-20"/>
    <x v="1"/>
    <x v="1"/>
    <x v="0"/>
    <s v="2026-07"/>
    <n v="346.64"/>
    <n v="346.64"/>
    <n v="347.56217400000003"/>
    <n v="521.04999999999995"/>
    <n v="39"/>
    <n v="39"/>
    <n v="34"/>
    <n v="23"/>
    <n v="7993.93"/>
    <n v="8"/>
    <n v="15"/>
    <n v="2.56"/>
    <n v="0"/>
    <n v="47"/>
    <n v="24489.35"/>
    <n v="0"/>
    <x v="0"/>
    <s v="OK"/>
  </r>
  <r>
    <s v="IT-10020"/>
    <s v="Filter cartridge 20-20"/>
    <x v="1"/>
    <x v="1"/>
    <x v="0"/>
    <s v="2026-08"/>
    <n v="352.11"/>
    <n v="352.11"/>
    <n v="350.94782600000002"/>
    <n v="521.04999999999995"/>
    <n v="39"/>
    <n v="33"/>
    <n v="67"/>
    <n v="46"/>
    <n v="16143.6"/>
    <n v="4"/>
    <n v="42"/>
    <n v="5"/>
    <n v="3"/>
    <n v="44"/>
    <n v="22926.2"/>
    <n v="0"/>
    <x v="0"/>
    <s v="OK"/>
  </r>
  <r>
    <s v="IT-10021"/>
    <s v="Filter cartridge L-21"/>
    <x v="1"/>
    <x v="1"/>
    <x v="0"/>
    <s v="2024-09"/>
    <n v="83.03"/>
    <n v="83.03"/>
    <n v="83.269901000000004"/>
    <n v="113.17"/>
    <n v="21"/>
    <n v="20"/>
    <n v="27"/>
    <n v="101"/>
    <n v="8410.26"/>
    <n v="7"/>
    <n v="94"/>
    <n v="11.35"/>
    <n v="2"/>
    <n v="53"/>
    <n v="5998.01"/>
    <n v="0"/>
    <x v="0"/>
    <s v="OK"/>
  </r>
  <r>
    <s v="IT-10021"/>
    <s v="Filter cartridge L-21"/>
    <x v="1"/>
    <x v="1"/>
    <x v="0"/>
    <s v="2024-10"/>
    <n v="82.21"/>
    <n v="82.21"/>
    <n v="82.963838999999993"/>
    <n v="113.17"/>
    <n v="21"/>
    <n v="18"/>
    <n v="41"/>
    <n v="112"/>
    <n v="9291.9500000000007"/>
    <n v="8"/>
    <n v="104"/>
    <n v="12.37"/>
    <n v="6"/>
    <n v="30"/>
    <n v="3395.1"/>
    <n v="0"/>
    <x v="0"/>
    <s v="OK"/>
  </r>
  <r>
    <s v="IT-10021"/>
    <s v="Filter cartridge L-21"/>
    <x v="1"/>
    <x v="1"/>
    <x v="0"/>
    <s v="2024-11"/>
    <n v="81.69"/>
    <n v="81.69"/>
    <n v="82.554642999999999"/>
    <n v="113.17"/>
    <n v="21"/>
    <n v="18"/>
    <n v="53"/>
    <n v="140"/>
    <n v="11557.65"/>
    <n v="3"/>
    <n v="137"/>
    <n v="16.850000000000001"/>
    <n v="3"/>
    <n v="25"/>
    <n v="2829.25"/>
    <n v="0"/>
    <x v="0"/>
    <s v="OK"/>
  </r>
  <r>
    <s v="IT-10021"/>
    <s v="Filter cartridge L-21"/>
    <x v="1"/>
    <x v="1"/>
    <x v="0"/>
    <s v="2024-12"/>
    <n v="84.58"/>
    <n v="84.58"/>
    <n v="82.807796999999994"/>
    <n v="113.17"/>
    <n v="21"/>
    <n v="19"/>
    <n v="20"/>
    <n v="118"/>
    <n v="9771.32"/>
    <n v="9"/>
    <n v="109"/>
    <n v="15.99"/>
    <n v="5"/>
    <n v="42"/>
    <n v="4753.1400000000003"/>
    <n v="0"/>
    <x v="0"/>
    <s v="OK"/>
  </r>
  <r>
    <s v="IT-10021"/>
    <s v="Filter cartridge L-21"/>
    <x v="1"/>
    <x v="1"/>
    <x v="0"/>
    <s v="2025-01"/>
    <n v="86.67"/>
    <n v="86.67"/>
    <n v="83.691270000000003"/>
    <n v="113.17"/>
    <n v="21"/>
    <n v="20"/>
    <n v="35"/>
    <n v="126"/>
    <n v="10545.1"/>
    <n v="5"/>
    <n v="121"/>
    <n v="17.62"/>
    <n v="8"/>
    <n v="27"/>
    <n v="3055.59"/>
    <n v="0"/>
    <x v="0"/>
    <s v="OK"/>
  </r>
  <r>
    <s v="IT-10021"/>
    <s v="Filter cartridge L-21"/>
    <x v="1"/>
    <x v="1"/>
    <x v="0"/>
    <s v="2025-02"/>
    <n v="87.53"/>
    <n v="87.53"/>
    <n v="84.409474000000003"/>
    <n v="116.86"/>
    <n v="21"/>
    <n v="18"/>
    <n v="29"/>
    <n v="133"/>
    <n v="11226.46"/>
    <n v="10"/>
    <n v="123"/>
    <n v="18.79"/>
    <n v="6"/>
    <n v="22"/>
    <n v="2570.92"/>
    <n v="0"/>
    <x v="0"/>
    <s v="OK"/>
  </r>
  <r>
    <s v="IT-10021"/>
    <s v="Filter cartridge L-21"/>
    <x v="1"/>
    <x v="1"/>
    <x v="0"/>
    <s v="2025-03"/>
    <n v="87.38"/>
    <n v="87.38"/>
    <n v="84.409468000000004"/>
    <n v="116.86"/>
    <n v="21"/>
    <m/>
    <n v="0"/>
    <n v="94"/>
    <n v="7934.49"/>
    <n v="5"/>
    <n v="89"/>
    <n v="13.73"/>
    <n v="5"/>
    <n v="39"/>
    <n v="4557.54"/>
    <n v="0"/>
    <x v="0"/>
    <s v="OK"/>
  </r>
  <r>
    <s v="IT-10021"/>
    <s v="Filter cartridge L-21"/>
    <x v="1"/>
    <x v="1"/>
    <x v="0"/>
    <s v="2025-04"/>
    <n v="86.24"/>
    <n v="86.24"/>
    <n v="85.157787999999996"/>
    <n v="116.86"/>
    <n v="21"/>
    <n v="21"/>
    <n v="65"/>
    <n v="104"/>
    <n v="8856.41"/>
    <n v="10"/>
    <n v="94"/>
    <n v="11.4"/>
    <n v="1"/>
    <n v="55"/>
    <n v="6427.3"/>
    <n v="0"/>
    <x v="0"/>
    <s v="OK"/>
  </r>
  <r>
    <s v="IT-10021"/>
    <s v="Filter cartridge L-21"/>
    <x v="1"/>
    <x v="1"/>
    <x v="0"/>
    <s v="2025-05"/>
    <n v="86.77"/>
    <n v="86.77"/>
    <n v="85.157777999999993"/>
    <n v="116.86"/>
    <n v="21"/>
    <m/>
    <n v="0"/>
    <n v="81"/>
    <n v="6897.78"/>
    <n v="8"/>
    <n v="73"/>
    <n v="9.1"/>
    <n v="2"/>
    <n v="23"/>
    <n v="2687.78"/>
    <n v="0"/>
    <x v="0"/>
    <s v="OK"/>
  </r>
  <r>
    <s v="IT-10021"/>
    <s v="Filter cartridge L-21"/>
    <x v="1"/>
    <x v="1"/>
    <x v="0"/>
    <s v="2025-06"/>
    <n v="87.68"/>
    <n v="87.68"/>
    <n v="85.676980999999998"/>
    <n v="116.86"/>
    <n v="21"/>
    <n v="19"/>
    <n v="21"/>
    <n v="53"/>
    <n v="4540.88"/>
    <n v="13"/>
    <n v="40"/>
    <n v="5.43"/>
    <n v="6"/>
    <n v="49"/>
    <n v="5726.14"/>
    <n v="0"/>
    <x v="0"/>
    <s v="OK"/>
  </r>
  <r>
    <s v="IT-10021"/>
    <s v="Filter cartridge L-21"/>
    <x v="1"/>
    <x v="1"/>
    <x v="0"/>
    <s v="2025-07"/>
    <n v="86.43"/>
    <n v="86.43"/>
    <n v="86.118200000000002"/>
    <n v="116.86"/>
    <n v="21"/>
    <n v="19"/>
    <n v="75"/>
    <n v="100"/>
    <n v="8611.82"/>
    <n v="7"/>
    <n v="93"/>
    <n v="13.14"/>
    <n v="8"/>
    <n v="28"/>
    <n v="3272.08"/>
    <n v="0"/>
    <x v="0"/>
    <s v="OK"/>
  </r>
  <r>
    <s v="IT-10021"/>
    <s v="Filter cartridge L-21"/>
    <x v="1"/>
    <x v="1"/>
    <x v="0"/>
    <s v="2025-08"/>
    <n v="84.56"/>
    <n v="84.56"/>
    <n v="85.816666999999995"/>
    <n v="116.86"/>
    <n v="21"/>
    <n v="19"/>
    <n v="24"/>
    <n v="81"/>
    <n v="6951.15"/>
    <n v="10"/>
    <n v="71"/>
    <n v="8.8699999999999992"/>
    <n v="4"/>
    <n v="43"/>
    <n v="5024.9799999999996"/>
    <n v="0"/>
    <x v="0"/>
    <s v="OK"/>
  </r>
  <r>
    <s v="IT-10021"/>
    <s v="Filter cartridge L-21"/>
    <x v="1"/>
    <x v="1"/>
    <x v="0"/>
    <s v="2025-09"/>
    <n v="87.4"/>
    <n v="87.4"/>
    <n v="86.456999999999994"/>
    <n v="116.86"/>
    <n v="21"/>
    <n v="19"/>
    <n v="55"/>
    <n v="80"/>
    <n v="6916.56"/>
    <n v="8"/>
    <n v="72"/>
    <n v="8.2799999999999994"/>
    <n v="0"/>
    <n v="56"/>
    <n v="6544.16"/>
    <n v="0"/>
    <x v="0"/>
    <s v="OK"/>
  </r>
  <r>
    <s v="IT-10021"/>
    <s v="Filter cartridge L-21"/>
    <x v="1"/>
    <x v="1"/>
    <x v="0"/>
    <s v="2025-10"/>
    <n v="87.01"/>
    <n v="87.01"/>
    <n v="86.745080999999999"/>
    <n v="116.86"/>
    <n v="21"/>
    <n v="24"/>
    <n v="87"/>
    <n v="124"/>
    <n v="10756.39"/>
    <n v="13"/>
    <n v="111"/>
    <n v="11.48"/>
    <n v="2"/>
    <n v="43"/>
    <n v="5024.9799999999996"/>
    <n v="0"/>
    <x v="0"/>
    <s v="OK"/>
  </r>
  <r>
    <s v="IT-10021"/>
    <s v="Filter cartridge L-21"/>
    <x v="1"/>
    <x v="1"/>
    <x v="0"/>
    <s v="2025-11"/>
    <n v="86.67"/>
    <n v="86.67"/>
    <n v="86.745087999999996"/>
    <n v="116.86"/>
    <n v="21"/>
    <m/>
    <n v="0"/>
    <n v="114"/>
    <n v="9888.94"/>
    <n v="9"/>
    <n v="105"/>
    <n v="13.6"/>
    <n v="3"/>
    <n v="10"/>
    <n v="1168.5999999999999"/>
    <n v="0"/>
    <x v="0"/>
    <s v="OK"/>
  </r>
  <r>
    <s v="IT-10021"/>
    <s v="Filter cartridge L-21"/>
    <x v="1"/>
    <x v="1"/>
    <x v="0"/>
    <s v="2025-12"/>
    <n v="85.27"/>
    <n v="85.27"/>
    <n v="86.462660999999997"/>
    <n v="116.86"/>
    <n v="21"/>
    <n v="29"/>
    <n v="27"/>
    <n v="109"/>
    <n v="9424.43"/>
    <n v="4"/>
    <n v="105"/>
    <n v="16.850000000000001"/>
    <n v="7"/>
    <n v="32"/>
    <n v="3739.52"/>
    <n v="0"/>
    <x v="0"/>
    <s v="OK"/>
  </r>
  <r>
    <s v="IT-10021"/>
    <s v="Filter cartridge L-21"/>
    <x v="1"/>
    <x v="1"/>
    <x v="0"/>
    <s v="2026-01"/>
    <n v="89.98"/>
    <n v="89.98"/>
    <n v="86.462609"/>
    <n v="116.86"/>
    <n v="21"/>
    <m/>
    <n v="0"/>
    <n v="69"/>
    <n v="5965.92"/>
    <n v="10"/>
    <n v="59"/>
    <n v="11.06"/>
    <n v="2"/>
    <n v="40"/>
    <n v="4674.3999999999996"/>
    <n v="0"/>
    <x v="0"/>
    <s v="OK"/>
  </r>
  <r>
    <s v="IT-10021"/>
    <s v="Filter cartridge L-21"/>
    <x v="1"/>
    <x v="1"/>
    <x v="0"/>
    <s v="2026-02"/>
    <n v="87.79"/>
    <n v="87.79"/>
    <n v="87.175326999999996"/>
    <n v="120.67"/>
    <n v="21"/>
    <n v="34"/>
    <n v="80"/>
    <n v="107"/>
    <n v="9327.76"/>
    <n v="12"/>
    <n v="95"/>
    <n v="12.07"/>
    <n v="2"/>
    <n v="42"/>
    <n v="5068.1400000000003"/>
    <n v="0"/>
    <x v="0"/>
    <s v="OK"/>
  </r>
  <r>
    <s v="IT-10021"/>
    <s v="Filter cartridge L-21"/>
    <x v="1"/>
    <x v="1"/>
    <x v="0"/>
    <s v="2026-03"/>
    <n v="90.92"/>
    <n v="90.92"/>
    <n v="88.590467000000004"/>
    <n v="120.67"/>
    <n v="21"/>
    <n v="20"/>
    <n v="65"/>
    <n v="107"/>
    <n v="9479.18"/>
    <n v="7"/>
    <n v="100"/>
    <n v="9.36"/>
    <n v="5"/>
    <n v="65"/>
    <n v="7843.55"/>
    <n v="0"/>
    <x v="0"/>
    <s v="OK"/>
  </r>
  <r>
    <s v="IT-10021"/>
    <s v="Filter cartridge L-21"/>
    <x v="1"/>
    <x v="1"/>
    <x v="0"/>
    <s v="2026-04"/>
    <n v="89.51"/>
    <n v="89.51"/>
    <n v="88.590405000000004"/>
    <n v="120.67"/>
    <n v="21"/>
    <m/>
    <n v="0"/>
    <n v="74"/>
    <n v="6555.69"/>
    <n v="4"/>
    <n v="70"/>
    <n v="6.72"/>
    <n v="8"/>
    <n v="33"/>
    <n v="3982.11"/>
    <n v="0"/>
    <x v="0"/>
    <s v="OK"/>
  </r>
  <r>
    <s v="IT-10021"/>
    <s v="Filter cartridge L-21"/>
    <x v="1"/>
    <x v="1"/>
    <x v="0"/>
    <s v="2026-05"/>
    <n v="88.88"/>
    <n v="88.88"/>
    <n v="88.692059"/>
    <n v="120.67"/>
    <n v="21"/>
    <n v="19"/>
    <n v="40"/>
    <n v="102"/>
    <n v="9046.59"/>
    <n v="10"/>
    <n v="92"/>
    <n v="12.19"/>
    <n v="24"/>
    <n v="12"/>
    <n v="1448.04"/>
    <n v="0"/>
    <x v="0"/>
    <s v="OK"/>
  </r>
  <r>
    <s v="IT-10021"/>
    <s v="Filter cartridge L-21"/>
    <x v="1"/>
    <x v="1"/>
    <x v="0"/>
    <s v="2026-06"/>
    <n v="89.4"/>
    <n v="89.4"/>
    <n v="88.848787999999999"/>
    <n v="120.67"/>
    <n v="21"/>
    <n v="27"/>
    <n v="29"/>
    <n v="99"/>
    <n v="8796.0300000000007"/>
    <n v="5"/>
    <n v="94"/>
    <n v="16.71"/>
    <n v="0"/>
    <n v="32"/>
    <n v="3861.44"/>
    <n v="0"/>
    <x v="0"/>
    <s v="OK"/>
  </r>
  <r>
    <s v="IT-10021"/>
    <s v="Filter cartridge L-21"/>
    <x v="1"/>
    <x v="1"/>
    <x v="0"/>
    <s v="2026-07"/>
    <n v="89.82"/>
    <n v="89.82"/>
    <n v="89.012045000000001"/>
    <n v="120.67"/>
    <n v="21"/>
    <n v="19"/>
    <n v="20"/>
    <n v="44"/>
    <n v="3916.53"/>
    <n v="4"/>
    <n v="40"/>
    <n v="4.8600000000000003"/>
    <n v="3"/>
    <n v="75"/>
    <n v="9050.25"/>
    <n v="0"/>
    <x v="0"/>
    <s v="OK"/>
  </r>
  <r>
    <s v="IT-10021"/>
    <s v="Filter cartridge L-21"/>
    <x v="1"/>
    <x v="1"/>
    <x v="0"/>
    <s v="2026-08"/>
    <n v="89.76"/>
    <n v="89.76"/>
    <n v="89.584969999999998"/>
    <n v="120.67"/>
    <n v="21"/>
    <n v="25"/>
    <n v="144"/>
    <n v="167"/>
    <n v="14960.69"/>
    <n v="5"/>
    <n v="162"/>
    <n v="17.149999999999999"/>
    <n v="7"/>
    <n v="21"/>
    <n v="2534.0700000000002"/>
    <n v="0"/>
    <x v="0"/>
    <s v="OK"/>
  </r>
  <r>
    <s v="IT-10022"/>
    <s v="Bolt assortment S-22"/>
    <x v="2"/>
    <x v="2"/>
    <x v="1"/>
    <s v="2024-09"/>
    <n v="33.31"/>
    <n v="33.31"/>
    <n v="33.124737000000003"/>
    <n v="47.59"/>
    <n v="14"/>
    <n v="14"/>
    <n v="25"/>
    <n v="19"/>
    <n v="629.37"/>
    <n v="6"/>
    <n v="13"/>
    <n v="3.24"/>
    <n v="3"/>
    <n v="30"/>
    <n v="1427.7"/>
    <n v="0"/>
    <x v="0"/>
    <s v="OK"/>
  </r>
  <r>
    <s v="IT-10022"/>
    <s v="Bolt assortment S-22"/>
    <x v="2"/>
    <x v="2"/>
    <x v="1"/>
    <s v="2024-10"/>
    <n v="32.82"/>
    <n v="32.82"/>
    <n v="32.901600000000002"/>
    <n v="47.59"/>
    <n v="14"/>
    <n v="13"/>
    <n v="52"/>
    <n v="50"/>
    <n v="1645.08"/>
    <n v="4"/>
    <n v="46"/>
    <n v="8.5299999999999994"/>
    <n v="2"/>
    <n v="21"/>
    <n v="999.39"/>
    <n v="0"/>
    <x v="0"/>
    <s v="OK"/>
  </r>
  <r>
    <s v="IT-10022"/>
    <s v="Bolt assortment S-22"/>
    <x v="2"/>
    <x v="2"/>
    <x v="1"/>
    <s v="2024-11"/>
    <n v="32.42"/>
    <n v="32.42"/>
    <n v="32.763939000000001"/>
    <n v="47.59"/>
    <n v="14"/>
    <n v="13"/>
    <n v="20"/>
    <n v="66"/>
    <n v="2162.42"/>
    <n v="6"/>
    <n v="60"/>
    <n v="15.6"/>
    <n v="2"/>
    <n v="4"/>
    <n v="190.36"/>
    <n v="0"/>
    <x v="0"/>
    <s v="OK"/>
  </r>
  <r>
    <s v="IT-10022"/>
    <s v="Bolt assortment S-22"/>
    <x v="2"/>
    <x v="2"/>
    <x v="1"/>
    <s v="2024-12"/>
    <n v="32.96"/>
    <n v="32.96"/>
    <n v="32.764091000000001"/>
    <n v="47.59"/>
    <n v="14"/>
    <m/>
    <n v="0"/>
    <n v="22"/>
    <n v="720.81"/>
    <n v="6"/>
    <n v="16"/>
    <n v="4.1900000000000004"/>
    <n v="2"/>
    <n v="44"/>
    <n v="2093.96"/>
    <n v="0"/>
    <x v="0"/>
    <s v="OK"/>
  </r>
  <r>
    <s v="IT-10022"/>
    <s v="Bolt assortment S-22"/>
    <x v="2"/>
    <x v="2"/>
    <x v="1"/>
    <s v="2025-01"/>
    <n v="34.22"/>
    <n v="34.22"/>
    <n v="33.809375000000003"/>
    <n v="47.59"/>
    <n v="14"/>
    <n v="13"/>
    <n v="56"/>
    <n v="48"/>
    <n v="1622.85"/>
    <n v="3"/>
    <n v="45"/>
    <n v="8.09"/>
    <n v="4"/>
    <n v="30"/>
    <n v="1427.7"/>
    <n v="0"/>
    <x v="0"/>
    <s v="OK"/>
  </r>
  <r>
    <s v="IT-10022"/>
    <s v="Bolt assortment S-22"/>
    <x v="2"/>
    <x v="2"/>
    <x v="1"/>
    <s v="2025-02"/>
    <n v="33.71"/>
    <n v="33.71"/>
    <n v="33.78"/>
    <n v="49.9"/>
    <n v="14"/>
    <n v="14"/>
    <n v="20"/>
    <n v="27"/>
    <n v="912.06"/>
    <n v="7"/>
    <n v="20"/>
    <n v="3.02"/>
    <n v="5"/>
    <n v="41"/>
    <n v="2045.9"/>
    <n v="0"/>
    <x v="0"/>
    <s v="OK"/>
  </r>
  <r>
    <s v="IT-10022"/>
    <s v="Bolt assortment S-22"/>
    <x v="2"/>
    <x v="2"/>
    <x v="1"/>
    <s v="2025-03"/>
    <n v="34.1"/>
    <n v="34.1"/>
    <n v="33.979999999999997"/>
    <n v="49.9"/>
    <n v="14"/>
    <n v="23"/>
    <n v="45"/>
    <n v="45"/>
    <n v="1529.1"/>
    <n v="3"/>
    <n v="42"/>
    <n v="5.9"/>
    <n v="8"/>
    <n v="27"/>
    <n v="1347.3"/>
    <n v="0"/>
    <x v="0"/>
    <s v="OK"/>
  </r>
  <r>
    <s v="IT-10022"/>
    <s v="Bolt assortment S-22"/>
    <x v="2"/>
    <x v="2"/>
    <x v="1"/>
    <s v="2025-04"/>
    <n v="34.130000000000003"/>
    <n v="34.130000000000003"/>
    <n v="34.026046999999998"/>
    <n v="49.9"/>
    <n v="14"/>
    <n v="14"/>
    <n v="20"/>
    <n v="43"/>
    <n v="1463.12"/>
    <n v="8"/>
    <n v="35"/>
    <n v="6.07"/>
    <n v="2"/>
    <n v="22"/>
    <n v="1097.8"/>
    <n v="0"/>
    <x v="0"/>
    <s v="OK"/>
  </r>
  <r>
    <s v="IT-10022"/>
    <s v="Bolt assortment S-22"/>
    <x v="2"/>
    <x v="2"/>
    <x v="1"/>
    <s v="2025-05"/>
    <n v="34.159999999999997"/>
    <n v="34.159999999999997"/>
    <n v="34.078833000000003"/>
    <n v="49.9"/>
    <n v="14"/>
    <n v="13"/>
    <n v="28"/>
    <n v="60"/>
    <n v="2044.73"/>
    <n v="6"/>
    <n v="54"/>
    <n v="13.14"/>
    <n v="1"/>
    <n v="11"/>
    <n v="548.9"/>
    <n v="0"/>
    <x v="0"/>
    <s v="OK"/>
  </r>
  <r>
    <s v="IT-10022"/>
    <s v="Bolt assortment S-22"/>
    <x v="2"/>
    <x v="2"/>
    <x v="1"/>
    <s v="2025-06"/>
    <n v="33.32"/>
    <n v="33.32"/>
    <n v="34.078749999999999"/>
    <n v="49.9"/>
    <n v="14"/>
    <m/>
    <n v="0"/>
    <n v="32"/>
    <n v="1090.52"/>
    <n v="6"/>
    <n v="26"/>
    <n v="6.82"/>
    <n v="14"/>
    <n v="28"/>
    <n v="1397.2"/>
    <n v="0"/>
    <x v="0"/>
    <s v="OK"/>
  </r>
  <r>
    <s v="IT-10022"/>
    <s v="Bolt assortment S-22"/>
    <x v="2"/>
    <x v="2"/>
    <x v="1"/>
    <s v="2025-07"/>
    <n v="33.94"/>
    <n v="33.94"/>
    <n v="34.025517000000001"/>
    <n v="49.9"/>
    <n v="14"/>
    <n v="13"/>
    <n v="20"/>
    <n v="29"/>
    <n v="986.74"/>
    <n v="2"/>
    <n v="27"/>
    <n v="6.15"/>
    <n v="15"/>
    <n v="23"/>
    <n v="1147.7"/>
    <n v="0"/>
    <x v="0"/>
    <s v="OK"/>
  </r>
  <r>
    <s v="IT-10022"/>
    <s v="Bolt assortment S-22"/>
    <x v="2"/>
    <x v="2"/>
    <x v="1"/>
    <s v="2025-08"/>
    <n v="34.22"/>
    <n v="34.22"/>
    <n v="34.134509999999999"/>
    <n v="49.9"/>
    <n v="14"/>
    <n v="13"/>
    <n v="37"/>
    <n v="51"/>
    <n v="1740.86"/>
    <n v="2"/>
    <n v="49"/>
    <n v="10.16"/>
    <n v="4"/>
    <n v="15"/>
    <n v="748.5"/>
    <n v="0"/>
    <x v="0"/>
    <s v="OK"/>
  </r>
  <r>
    <s v="IT-10022"/>
    <s v="Bolt assortment S-22"/>
    <x v="2"/>
    <x v="2"/>
    <x v="1"/>
    <s v="2025-09"/>
    <n v="33.659999999999997"/>
    <n v="33.659999999999997"/>
    <n v="34.134348000000003"/>
    <n v="49.9"/>
    <n v="14"/>
    <m/>
    <n v="0"/>
    <n v="23"/>
    <n v="785.09"/>
    <n v="8"/>
    <n v="15"/>
    <n v="4.58"/>
    <n v="0"/>
    <n v="28"/>
    <n v="1397.2"/>
    <n v="0"/>
    <x v="0"/>
    <s v="OK"/>
  </r>
  <r>
    <s v="IT-10022"/>
    <s v="Bolt assortment S-22"/>
    <x v="2"/>
    <x v="2"/>
    <x v="1"/>
    <s v="2025-10"/>
    <n v="33.369999999999997"/>
    <n v="33.369999999999997"/>
    <n v="33.648918999999999"/>
    <n v="49.9"/>
    <n v="14"/>
    <n v="13"/>
    <n v="40"/>
    <n v="37"/>
    <n v="1245.01"/>
    <n v="2"/>
    <n v="35"/>
    <n v="7.05"/>
    <n v="0"/>
    <n v="26"/>
    <n v="1297.4000000000001"/>
    <n v="0"/>
    <x v="0"/>
    <s v="OK"/>
  </r>
  <r>
    <s v="IT-10022"/>
    <s v="Bolt assortment S-22"/>
    <x v="2"/>
    <x v="2"/>
    <x v="1"/>
    <s v="2025-11"/>
    <n v="34.119999999999997"/>
    <n v="34.119999999999997"/>
    <n v="33.814211"/>
    <n v="49.9"/>
    <n v="14"/>
    <n v="12"/>
    <n v="20"/>
    <n v="19"/>
    <n v="642.47"/>
    <n v="6"/>
    <n v="13"/>
    <n v="2.68"/>
    <n v="5"/>
    <n v="38"/>
    <n v="1896.2"/>
    <n v="0"/>
    <x v="0"/>
    <s v="OK"/>
  </r>
  <r>
    <s v="IT-10022"/>
    <s v="Bolt assortment S-22"/>
    <x v="2"/>
    <x v="2"/>
    <x v="1"/>
    <s v="2025-12"/>
    <n v="34.659999999999997"/>
    <n v="34.659999999999997"/>
    <n v="34.367930999999999"/>
    <n v="49.9"/>
    <n v="14"/>
    <n v="17"/>
    <n v="36"/>
    <n v="29"/>
    <n v="996.67"/>
    <n v="4"/>
    <n v="25"/>
    <n v="4.2300000000000004"/>
    <n v="1"/>
    <n v="26"/>
    <n v="1297.4000000000001"/>
    <n v="0"/>
    <x v="0"/>
    <s v="OK"/>
  </r>
  <r>
    <s v="IT-10022"/>
    <s v="Bolt assortment S-22"/>
    <x v="2"/>
    <x v="2"/>
    <x v="1"/>
    <s v="2026-01"/>
    <n v="34.880000000000003"/>
    <n v="34.880000000000003"/>
    <n v="34.694394000000003"/>
    <n v="49.9"/>
    <n v="14"/>
    <n v="13"/>
    <n v="51"/>
    <n v="66"/>
    <n v="2289.83"/>
    <n v="5"/>
    <n v="61"/>
    <n v="11.12"/>
    <n v="3"/>
    <n v="14"/>
    <n v="698.6"/>
    <n v="0"/>
    <x v="0"/>
    <s v="OK"/>
  </r>
  <r>
    <s v="IT-10022"/>
    <s v="Bolt assortment S-22"/>
    <x v="2"/>
    <x v="2"/>
    <x v="1"/>
    <s v="2026-02"/>
    <n v="34.270000000000003"/>
    <n v="34.270000000000003"/>
    <n v="34.595652000000001"/>
    <n v="52.33"/>
    <n v="14"/>
    <n v="13"/>
    <n v="20"/>
    <n v="69"/>
    <n v="2387.1"/>
    <n v="3"/>
    <n v="66"/>
    <n v="15.56"/>
    <n v="8"/>
    <n v="17"/>
    <n v="889.61"/>
    <n v="0"/>
    <x v="0"/>
    <s v="OK"/>
  </r>
  <r>
    <s v="IT-10022"/>
    <s v="Bolt assortment S-22"/>
    <x v="2"/>
    <x v="2"/>
    <x v="1"/>
    <s v="2026-03"/>
    <n v="33.9"/>
    <n v="33.9"/>
    <n v="34.595641000000001"/>
    <n v="52.33"/>
    <n v="14"/>
    <m/>
    <n v="0"/>
    <n v="39"/>
    <n v="1349.23"/>
    <n v="2"/>
    <n v="37"/>
    <n v="8.2200000000000006"/>
    <n v="14"/>
    <n v="30"/>
    <n v="1569.9"/>
    <n v="0"/>
    <x v="0"/>
    <s v="OK"/>
  </r>
  <r>
    <s v="IT-10022"/>
    <s v="Bolt assortment S-22"/>
    <x v="2"/>
    <x v="2"/>
    <x v="1"/>
    <s v="2026-04"/>
    <n v="34.36"/>
    <n v="34.36"/>
    <n v="34.472143000000003"/>
    <n v="52.33"/>
    <n v="14"/>
    <n v="12"/>
    <n v="43"/>
    <n v="70"/>
    <n v="2413.0500000000002"/>
    <n v="6"/>
    <n v="64"/>
    <n v="15.08"/>
    <n v="20"/>
    <n v="12"/>
    <n v="627.96"/>
    <n v="0"/>
    <x v="0"/>
    <s v="OK"/>
  </r>
  <r>
    <s v="IT-10022"/>
    <s v="Bolt assortment S-22"/>
    <x v="2"/>
    <x v="2"/>
    <x v="1"/>
    <s v="2026-05"/>
    <n v="35.21"/>
    <n v="35.21"/>
    <n v="34.636056000000004"/>
    <n v="52.33"/>
    <n v="14"/>
    <n v="25"/>
    <n v="20"/>
    <n v="71"/>
    <n v="2459.16"/>
    <n v="2"/>
    <n v="69"/>
    <n v="15.3"/>
    <n v="1"/>
    <n v="19"/>
    <n v="994.27"/>
    <n v="0"/>
    <x v="0"/>
    <s v="OK"/>
  </r>
  <r>
    <s v="IT-10022"/>
    <s v="Bolt assortment S-22"/>
    <x v="2"/>
    <x v="2"/>
    <x v="1"/>
    <s v="2026-06"/>
    <n v="34.32"/>
    <n v="34.32"/>
    <n v="34.636046999999998"/>
    <n v="52.33"/>
    <n v="14"/>
    <m/>
    <n v="0"/>
    <n v="43"/>
    <n v="1489.35"/>
    <n v="6"/>
    <n v="37"/>
    <n v="9.4700000000000006"/>
    <n v="3"/>
    <n v="28"/>
    <n v="1465.24"/>
    <n v="0"/>
    <x v="0"/>
    <s v="OK"/>
  </r>
  <r>
    <s v="IT-10022"/>
    <s v="Bolt assortment S-22"/>
    <x v="2"/>
    <x v="2"/>
    <x v="1"/>
    <s v="2026-07"/>
    <n v="33.92"/>
    <n v="33.92"/>
    <n v="34.325111"/>
    <n v="52.33"/>
    <n v="14"/>
    <n v="12"/>
    <n v="33"/>
    <n v="45"/>
    <n v="1544.63"/>
    <n v="6"/>
    <n v="39"/>
    <n v="7.58"/>
    <n v="11"/>
    <n v="31"/>
    <n v="1622.23"/>
    <n v="0"/>
    <x v="0"/>
    <s v="OK"/>
  </r>
  <r>
    <s v="IT-10022"/>
    <s v="Bolt assortment S-22"/>
    <x v="2"/>
    <x v="2"/>
    <x v="1"/>
    <s v="2026-08"/>
    <n v="35.06"/>
    <n v="35.06"/>
    <n v="34.551316"/>
    <n v="52.33"/>
    <n v="14"/>
    <n v="12"/>
    <n v="20"/>
    <n v="38"/>
    <n v="1312.95"/>
    <n v="2"/>
    <n v="36"/>
    <n v="5.81"/>
    <n v="0"/>
    <n v="27"/>
    <n v="1412.91"/>
    <n v="0"/>
    <x v="0"/>
    <s v="OK"/>
  </r>
  <r>
    <s v="IT-10023"/>
    <s v="Sensor unit L-23"/>
    <x v="3"/>
    <x v="3"/>
    <x v="0"/>
    <s v="2024-09"/>
    <n v="4.41"/>
    <n v="4.41"/>
    <n v="4.29"/>
    <n v="5.89"/>
    <n v="59"/>
    <m/>
    <n v="0"/>
    <n v="655"/>
    <n v="2809.95"/>
    <n v="186"/>
    <n v="469"/>
    <n v="4.96"/>
    <n v="1"/>
    <n v="1027"/>
    <n v="6049.03"/>
    <n v="0"/>
    <x v="0"/>
    <s v="OK"/>
  </r>
  <r>
    <s v="IT-10023"/>
    <s v="Sensor unit L-23"/>
    <x v="3"/>
    <x v="3"/>
    <x v="0"/>
    <s v="2024-10"/>
    <n v="4.24"/>
    <n v="4.24"/>
    <n v="4.2682250000000002"/>
    <n v="5.89"/>
    <n v="59"/>
    <n v="54"/>
    <n v="505"/>
    <n v="648"/>
    <n v="2765.81"/>
    <n v="47"/>
    <n v="601"/>
    <n v="4.08"/>
    <n v="1"/>
    <n v="512"/>
    <n v="3015.68"/>
    <n v="0"/>
    <x v="0"/>
    <s v="OK"/>
  </r>
  <r>
    <s v="IT-10023"/>
    <s v="Sensor unit L-23"/>
    <x v="3"/>
    <x v="3"/>
    <x v="0"/>
    <s v="2024-11"/>
    <n v="4.42"/>
    <n v="4.42"/>
    <n v="4.3748699999999996"/>
    <n v="5.89"/>
    <n v="59"/>
    <n v="59"/>
    <n v="1531"/>
    <n v="885"/>
    <n v="3871.76"/>
    <n v="117"/>
    <n v="768"/>
    <n v="4.0599999999999996"/>
    <n v="0"/>
    <n v="1294"/>
    <n v="7621.66"/>
    <n v="0"/>
    <x v="0"/>
    <s v="OK"/>
  </r>
  <r>
    <s v="IT-10023"/>
    <s v="Sensor unit L-23"/>
    <x v="3"/>
    <x v="3"/>
    <x v="0"/>
    <s v="2024-12"/>
    <n v="4.3099999999999996"/>
    <n v="4.3099999999999996"/>
    <n v="4.3593630000000001"/>
    <n v="5.89"/>
    <n v="59"/>
    <n v="56"/>
    <n v="278"/>
    <n v="487"/>
    <n v="2123.0100000000002"/>
    <n v="70"/>
    <n v="417"/>
    <n v="2.58"/>
    <n v="3"/>
    <n v="676"/>
    <n v="3981.64"/>
    <n v="0"/>
    <x v="0"/>
    <s v="OK"/>
  </r>
  <r>
    <s v="IT-10023"/>
    <s v="Sensor unit L-23"/>
    <x v="3"/>
    <x v="3"/>
    <x v="0"/>
    <s v="2025-01"/>
    <n v="4.3899999999999997"/>
    <n v="4.3899999999999997"/>
    <n v="4.3793959999999998"/>
    <n v="5.89"/>
    <n v="59"/>
    <n v="51"/>
    <n v="921"/>
    <n v="563"/>
    <n v="2465.6"/>
    <n v="233"/>
    <n v="330"/>
    <n v="2.63"/>
    <n v="1"/>
    <n v="845"/>
    <n v="4977.05"/>
    <n v="0"/>
    <x v="0"/>
    <s v="OK"/>
  </r>
  <r>
    <s v="IT-10023"/>
    <s v="Sensor unit L-23"/>
    <x v="3"/>
    <x v="3"/>
    <x v="0"/>
    <s v="2025-02"/>
    <n v="4.34"/>
    <n v="4.34"/>
    <n v="4.3793959999999998"/>
    <n v="6.07"/>
    <n v="59"/>
    <m/>
    <n v="0"/>
    <n v="0"/>
    <n v="0"/>
    <n v="0"/>
    <n v="0"/>
    <n v="0"/>
    <n v="1"/>
    <n v="563"/>
    <n v="3417.41"/>
    <n v="231"/>
    <x v="1"/>
    <s v="OK"/>
  </r>
  <r>
    <s v="IT-10023"/>
    <s v="Sensor unit L-23"/>
    <x v="3"/>
    <x v="3"/>
    <x v="0"/>
    <s v="2025-03"/>
    <n v="4.58"/>
    <n v="4.58"/>
    <n v="4.58"/>
    <n v="6.07"/>
    <n v="59"/>
    <n v="80"/>
    <n v="2128"/>
    <n v="1515"/>
    <n v="6938.7"/>
    <n v="210"/>
    <n v="1305"/>
    <n v="9.64"/>
    <n v="4"/>
    <n v="613"/>
    <n v="3720.91"/>
    <n v="0"/>
    <x v="0"/>
    <s v="OK"/>
  </r>
  <r>
    <s v="IT-10023"/>
    <s v="Sensor unit L-23"/>
    <x v="3"/>
    <x v="3"/>
    <x v="0"/>
    <s v="2025-04"/>
    <n v="4.53"/>
    <n v="4.53"/>
    <n v="4.58"/>
    <n v="6.07"/>
    <n v="59"/>
    <m/>
    <n v="0"/>
    <n v="1243"/>
    <n v="5692.94"/>
    <n v="70"/>
    <n v="1173"/>
    <n v="10.91"/>
    <n v="0"/>
    <n v="272"/>
    <n v="1651.04"/>
    <n v="0"/>
    <x v="0"/>
    <s v="OK"/>
  </r>
  <r>
    <s v="IT-10023"/>
    <s v="Sensor unit L-23"/>
    <x v="3"/>
    <x v="3"/>
    <x v="0"/>
    <s v="2025-05"/>
    <n v="4.5999999999999996"/>
    <n v="4.5999999999999996"/>
    <n v="4.5917940000000002"/>
    <n v="6.07"/>
    <n v="59"/>
    <n v="91"/>
    <n v="1787"/>
    <n v="2034"/>
    <n v="9339.7099999999991"/>
    <n v="210"/>
    <n v="1824"/>
    <n v="14.21"/>
    <n v="1"/>
    <n v="996"/>
    <n v="6045.72"/>
    <n v="0"/>
    <x v="0"/>
    <s v="OK"/>
  </r>
  <r>
    <s v="IT-10023"/>
    <s v="Sensor unit L-23"/>
    <x v="3"/>
    <x v="3"/>
    <x v="0"/>
    <s v="2025-06"/>
    <n v="4.66"/>
    <n v="4.66"/>
    <n v="4.5917969999999997"/>
    <n v="6.07"/>
    <n v="59"/>
    <m/>
    <n v="0"/>
    <n v="1681"/>
    <n v="7718.81"/>
    <n v="140"/>
    <n v="1541"/>
    <n v="13.48"/>
    <n v="0"/>
    <n v="353"/>
    <n v="2142.71"/>
    <n v="0"/>
    <x v="0"/>
    <s v="OK"/>
  </r>
  <r>
    <s v="IT-10023"/>
    <s v="Sensor unit L-23"/>
    <x v="3"/>
    <x v="3"/>
    <x v="0"/>
    <s v="2025-07"/>
    <n v="4.6100000000000003"/>
    <n v="4.6100000000000003"/>
    <n v="4.5980480000000004"/>
    <n v="6.07"/>
    <n v="59"/>
    <n v="51"/>
    <n v="879"/>
    <n v="2188"/>
    <n v="10060.530000000001"/>
    <n v="186"/>
    <n v="2002"/>
    <n v="16.71"/>
    <n v="4"/>
    <n v="372"/>
    <n v="2258.04"/>
    <n v="0"/>
    <x v="0"/>
    <s v="OK"/>
  </r>
  <r>
    <s v="IT-10023"/>
    <s v="Sensor unit L-23"/>
    <x v="3"/>
    <x v="3"/>
    <x v="0"/>
    <s v="2025-08"/>
    <n v="4.57"/>
    <n v="4.57"/>
    <n v="4.5980499999999997"/>
    <n v="6.07"/>
    <n v="59"/>
    <m/>
    <n v="0"/>
    <n v="1795"/>
    <n v="8253.5"/>
    <n v="70"/>
    <n v="1725"/>
    <n v="21.1"/>
    <n v="3"/>
    <n v="393"/>
    <n v="2385.5100000000002"/>
    <n v="0"/>
    <x v="0"/>
    <s v="OK"/>
  </r>
  <r>
    <s v="IT-10023"/>
    <s v="Sensor unit L-23"/>
    <x v="3"/>
    <x v="3"/>
    <x v="0"/>
    <s v="2025-09"/>
    <n v="4.54"/>
    <n v="4.54"/>
    <n v="4.5872960000000003"/>
    <n v="6.07"/>
    <n v="59"/>
    <n v="57"/>
    <n v="408"/>
    <n v="1235"/>
    <n v="5665.31"/>
    <n v="210"/>
    <n v="1025"/>
    <n v="9.3699999999999992"/>
    <n v="0"/>
    <n v="968"/>
    <n v="5875.76"/>
    <n v="0"/>
    <x v="0"/>
    <s v="OK"/>
  </r>
  <r>
    <s v="IT-10023"/>
    <s v="Sensor unit L-23"/>
    <x v="3"/>
    <x v="3"/>
    <x v="0"/>
    <s v="2025-10"/>
    <n v="4.68"/>
    <n v="4.68"/>
    <n v="4.6277200000000001"/>
    <n v="6.07"/>
    <n v="59"/>
    <n v="50"/>
    <n v="955"/>
    <n v="1386"/>
    <n v="6414.02"/>
    <n v="117"/>
    <n v="1269"/>
    <n v="8.41"/>
    <n v="1"/>
    <n v="804"/>
    <n v="4880.28"/>
    <n v="0"/>
    <x v="0"/>
    <s v="OK"/>
  </r>
  <r>
    <s v="IT-10023"/>
    <s v="Sensor unit L-23"/>
    <x v="3"/>
    <x v="3"/>
    <x v="0"/>
    <s v="2025-11"/>
    <n v="4.6500000000000004"/>
    <n v="4.6500000000000004"/>
    <n v="4.6277179999999998"/>
    <n v="6.07"/>
    <n v="59"/>
    <m/>
    <n v="0"/>
    <n v="745"/>
    <n v="3447.65"/>
    <n v="210"/>
    <n v="535"/>
    <n v="4.01"/>
    <n v="1"/>
    <n v="641"/>
    <n v="3890.87"/>
    <n v="0"/>
    <x v="0"/>
    <s v="OK"/>
  </r>
  <r>
    <s v="IT-10023"/>
    <s v="Sensor unit L-23"/>
    <x v="3"/>
    <x v="3"/>
    <x v="0"/>
    <s v="2025-12"/>
    <n v="4.6399999999999997"/>
    <n v="4.6399999999999997"/>
    <n v="4.6357049999999997"/>
    <n v="6.07"/>
    <n v="59"/>
    <n v="76"/>
    <n v="1385"/>
    <n v="1695"/>
    <n v="7857.52"/>
    <n v="186"/>
    <n v="1509"/>
    <n v="11.85"/>
    <n v="1"/>
    <n v="435"/>
    <n v="2640.45"/>
    <n v="0"/>
    <x v="0"/>
    <s v="OK"/>
  </r>
  <r>
    <s v="IT-10023"/>
    <s v="Sensor unit L-23"/>
    <x v="3"/>
    <x v="3"/>
    <x v="0"/>
    <s v="2026-01"/>
    <n v="4.57"/>
    <n v="4.57"/>
    <n v="4.6174910000000002"/>
    <n v="6.07"/>
    <n v="59"/>
    <n v="58"/>
    <n v="650"/>
    <n v="1447"/>
    <n v="6681.51"/>
    <n v="117"/>
    <n v="1330"/>
    <n v="9.6300000000000008"/>
    <n v="1"/>
    <n v="898"/>
    <n v="5450.86"/>
    <n v="0"/>
    <x v="0"/>
    <s v="OK"/>
  </r>
  <r>
    <s v="IT-10023"/>
    <s v="Sensor unit L-23"/>
    <x v="3"/>
    <x v="3"/>
    <x v="0"/>
    <s v="2026-02"/>
    <n v="4.5999999999999996"/>
    <n v="4.5999999999999996"/>
    <n v="4.6159400000000002"/>
    <n v="6.26"/>
    <n v="59"/>
    <n v="57"/>
    <n v="141"/>
    <n v="803"/>
    <n v="3706.6"/>
    <n v="70"/>
    <n v="733"/>
    <n v="4.87"/>
    <n v="0"/>
    <n v="785"/>
    <n v="4914.1000000000004"/>
    <n v="0"/>
    <x v="0"/>
    <s v="OK"/>
  </r>
  <r>
    <s v="IT-10023"/>
    <s v="Sensor unit L-23"/>
    <x v="3"/>
    <x v="3"/>
    <x v="0"/>
    <s v="2026-03"/>
    <n v="4.79"/>
    <n v="4.79"/>
    <n v="4.6159319999999999"/>
    <n v="6.26"/>
    <n v="59"/>
    <m/>
    <n v="0"/>
    <n v="295"/>
    <n v="1361.7"/>
    <n v="140"/>
    <n v="155"/>
    <n v="1.73"/>
    <n v="0"/>
    <n v="508"/>
    <n v="3180.08"/>
    <n v="0"/>
    <x v="0"/>
    <s v="OK"/>
  </r>
  <r>
    <s v="IT-10023"/>
    <s v="Sensor unit L-23"/>
    <x v="3"/>
    <x v="3"/>
    <x v="0"/>
    <s v="2026-04"/>
    <n v="4.78"/>
    <n v="4.78"/>
    <n v="4.7587380000000001"/>
    <n v="6.26"/>
    <n v="59"/>
    <n v="54"/>
    <n v="1981"/>
    <n v="1434"/>
    <n v="6824.03"/>
    <n v="70"/>
    <n v="1364"/>
    <n v="8.5399999999999991"/>
    <n v="3"/>
    <n v="842"/>
    <n v="5270.92"/>
    <n v="0"/>
    <x v="0"/>
    <s v="OK"/>
  </r>
  <r>
    <s v="IT-10023"/>
    <s v="Sensor unit L-23"/>
    <x v="3"/>
    <x v="3"/>
    <x v="0"/>
    <s v="2026-05"/>
    <n v="4.79"/>
    <n v="4.79"/>
    <n v="4.7660150000000003"/>
    <n v="6.26"/>
    <n v="59"/>
    <n v="51"/>
    <n v="435"/>
    <n v="1049"/>
    <n v="4999.55"/>
    <n v="93"/>
    <n v="956"/>
    <n v="6.35"/>
    <n v="0"/>
    <n v="820"/>
    <n v="5133.2"/>
    <n v="0"/>
    <x v="0"/>
    <s v="OK"/>
  </r>
  <r>
    <s v="IT-10023"/>
    <s v="Sensor unit L-23"/>
    <x v="3"/>
    <x v="3"/>
    <x v="0"/>
    <s v="2026-06"/>
    <n v="4.8499999999999996"/>
    <n v="4.8499999999999996"/>
    <n v="4.7660090000000004"/>
    <n v="6.26"/>
    <n v="59"/>
    <m/>
    <n v="0"/>
    <n v="456"/>
    <n v="2173.3000000000002"/>
    <n v="117"/>
    <n v="339"/>
    <n v="2.63"/>
    <n v="0"/>
    <n v="593"/>
    <n v="3712.18"/>
    <n v="0"/>
    <x v="0"/>
    <s v="OK"/>
  </r>
  <r>
    <s v="IT-10023"/>
    <s v="Sensor unit L-23"/>
    <x v="3"/>
    <x v="3"/>
    <x v="0"/>
    <s v="2026-07"/>
    <n v="4.82"/>
    <n v="4.82"/>
    <n v="4.7844220000000002"/>
    <n v="6.26"/>
    <n v="59"/>
    <n v="57"/>
    <n v="236"/>
    <n v="0"/>
    <n v="0"/>
    <n v="0"/>
    <n v="0"/>
    <n v="0"/>
    <n v="1"/>
    <n v="692"/>
    <n v="4331.92"/>
    <n v="445"/>
    <x v="1"/>
    <s v="OK"/>
  </r>
  <r>
    <s v="IT-10023"/>
    <s v="Sensor unit L-23"/>
    <x v="3"/>
    <x v="3"/>
    <x v="0"/>
    <s v="2026-08"/>
    <n v="4.9000000000000004"/>
    <n v="4.9000000000000004"/>
    <n v="4.9000000000000004"/>
    <n v="6.26"/>
    <n v="59"/>
    <n v="53"/>
    <n v="1508"/>
    <n v="1069"/>
    <n v="5238.1000000000004"/>
    <n v="233"/>
    <n v="836"/>
    <n v="8.15"/>
    <n v="3"/>
    <n v="439"/>
    <n v="2748.14"/>
    <n v="0"/>
    <x v="0"/>
    <s v="OK"/>
  </r>
  <r>
    <s v="IT-10024"/>
    <s v="Control switch S-24"/>
    <x v="3"/>
    <x v="3"/>
    <x v="1"/>
    <s v="2024-09"/>
    <n v="165.74"/>
    <n v="176.65"/>
    <n v="174.028987"/>
    <n v="233.69"/>
    <n v="49"/>
    <n v="46"/>
    <n v="22"/>
    <n v="79"/>
    <n v="13748.29"/>
    <n v="5"/>
    <n v="74"/>
    <n v="15.05"/>
    <n v="0"/>
    <n v="26"/>
    <n v="6075.94"/>
    <n v="0"/>
    <x v="0"/>
    <s v="OK"/>
  </r>
  <r>
    <s v="IT-10024"/>
    <s v="Control switch S-24"/>
    <x v="3"/>
    <x v="3"/>
    <x v="1"/>
    <s v="2024-10"/>
    <n v="166.68"/>
    <n v="177.65"/>
    <n v="174.028909"/>
    <n v="233.69"/>
    <n v="49"/>
    <m/>
    <n v="0"/>
    <n v="55"/>
    <n v="9571.59"/>
    <n v="7"/>
    <n v="48"/>
    <n v="11.12"/>
    <n v="5"/>
    <n v="24"/>
    <n v="5608.56"/>
    <n v="0"/>
    <x v="0"/>
    <s v="OK"/>
  </r>
  <r>
    <s v="IT-10024"/>
    <s v="Control switch S-24"/>
    <x v="3"/>
    <x v="3"/>
    <x v="1"/>
    <s v="2024-11"/>
    <n v="163.69"/>
    <n v="174.46"/>
    <n v="174.18100000000001"/>
    <n v="233.69"/>
    <n v="49"/>
    <n v="43"/>
    <n v="30"/>
    <n v="50"/>
    <n v="8709.0499999999993"/>
    <n v="9"/>
    <n v="41"/>
    <n v="7.65"/>
    <n v="0"/>
    <n v="35"/>
    <n v="8179.15"/>
    <n v="0"/>
    <x v="0"/>
    <s v="OK"/>
  </r>
  <r>
    <s v="IT-10024"/>
    <s v="Control switch S-24"/>
    <x v="3"/>
    <x v="3"/>
    <x v="1"/>
    <s v="2024-12"/>
    <n v="165.09"/>
    <n v="175.96"/>
    <n v="174.18087"/>
    <n v="233.69"/>
    <n v="49"/>
    <m/>
    <n v="0"/>
    <n v="23"/>
    <n v="4006.16"/>
    <n v="7"/>
    <n v="16"/>
    <n v="3.51"/>
    <n v="4"/>
    <n v="27"/>
    <n v="6309.63"/>
    <n v="0"/>
    <x v="0"/>
    <s v="OK"/>
  </r>
  <r>
    <s v="IT-10024"/>
    <s v="Control switch S-24"/>
    <x v="3"/>
    <x v="3"/>
    <x v="1"/>
    <s v="2025-01"/>
    <n v="164.45"/>
    <n v="175.27"/>
    <n v="174.83812499999999"/>
    <n v="233.69"/>
    <n v="49"/>
    <n v="83"/>
    <n v="35"/>
    <n v="48"/>
    <n v="8392.23"/>
    <n v="5"/>
    <n v="43"/>
    <n v="8.76"/>
    <n v="1"/>
    <n v="10"/>
    <n v="2336.9"/>
    <n v="0"/>
    <x v="0"/>
    <s v="OK"/>
  </r>
  <r>
    <s v="IT-10024"/>
    <s v="Control switch S-24"/>
    <x v="3"/>
    <x v="3"/>
    <x v="1"/>
    <s v="2025-02"/>
    <n v="166.83"/>
    <n v="177.81"/>
    <n v="176.52492799999999"/>
    <n v="240.13"/>
    <n v="49"/>
    <n v="48"/>
    <n v="63"/>
    <n v="69"/>
    <n v="12180.22"/>
    <n v="2"/>
    <n v="67"/>
    <n v="11.23"/>
    <n v="4"/>
    <n v="42"/>
    <n v="10085.459999999999"/>
    <n v="0"/>
    <x v="0"/>
    <s v="OK"/>
  </r>
  <r>
    <s v="IT-10024"/>
    <s v="Control switch S-24"/>
    <x v="3"/>
    <x v="3"/>
    <x v="1"/>
    <s v="2025-03"/>
    <n v="176.65"/>
    <n v="188.28"/>
    <n v="179.26777799999999"/>
    <n v="240.13"/>
    <n v="49"/>
    <n v="45"/>
    <n v="21"/>
    <n v="63"/>
    <n v="11293.87"/>
    <n v="5"/>
    <n v="58"/>
    <n v="10.25"/>
    <n v="2"/>
    <n v="27"/>
    <n v="6483.51"/>
    <n v="0"/>
    <x v="0"/>
    <s v="OK"/>
  </r>
  <r>
    <s v="IT-10024"/>
    <s v="Control switch S-24"/>
    <x v="3"/>
    <x v="3"/>
    <x v="1"/>
    <s v="2025-04"/>
    <n v="173.96"/>
    <n v="185.41"/>
    <n v="179.26766699999999"/>
    <n v="240.13"/>
    <n v="49"/>
    <m/>
    <n v="0"/>
    <n v="30"/>
    <n v="5378.03"/>
    <n v="6"/>
    <n v="24"/>
    <n v="3.74"/>
    <n v="5"/>
    <n v="33"/>
    <n v="7924.29"/>
    <n v="0"/>
    <x v="0"/>
    <s v="OK"/>
  </r>
  <r>
    <s v="IT-10024"/>
    <s v="Control switch S-24"/>
    <x v="3"/>
    <x v="3"/>
    <x v="1"/>
    <s v="2025-05"/>
    <n v="172.37"/>
    <n v="183.72"/>
    <n v="182.29896600000001"/>
    <n v="240.13"/>
    <n v="49"/>
    <n v="47"/>
    <n v="64"/>
    <n v="58"/>
    <n v="10573.34"/>
    <n v="5"/>
    <n v="53"/>
    <n v="7.94"/>
    <n v="1"/>
    <n v="36"/>
    <n v="8644.68"/>
    <n v="0"/>
    <x v="0"/>
    <s v="OK"/>
  </r>
  <r>
    <s v="IT-10024"/>
    <s v="Control switch S-24"/>
    <x v="3"/>
    <x v="3"/>
    <x v="1"/>
    <s v="2025-06"/>
    <n v="175.71"/>
    <n v="187.28"/>
    <n v="183.88124999999999"/>
    <n v="240.13"/>
    <n v="49"/>
    <n v="45"/>
    <n v="27"/>
    <n v="48"/>
    <n v="8826.2999999999993"/>
    <n v="8"/>
    <n v="40"/>
    <n v="5.89"/>
    <n v="4"/>
    <n v="37"/>
    <n v="8884.81"/>
    <n v="0"/>
    <x v="0"/>
    <s v="OK"/>
  </r>
  <r>
    <s v="IT-10024"/>
    <s v="Control switch S-24"/>
    <x v="3"/>
    <x v="3"/>
    <x v="1"/>
    <s v="2025-07"/>
    <n v="172.37"/>
    <n v="183.72"/>
    <n v="183.776489"/>
    <n v="240.13"/>
    <n v="49"/>
    <n v="45"/>
    <n v="89"/>
    <n v="131"/>
    <n v="24074.720000000001"/>
    <n v="5"/>
    <n v="126"/>
    <n v="21.79"/>
    <n v="11"/>
    <n v="6"/>
    <n v="1440.78"/>
    <n v="0"/>
    <x v="0"/>
    <s v="OK"/>
  </r>
  <r>
    <s v="IT-10024"/>
    <s v="Control switch S-24"/>
    <x v="3"/>
    <x v="3"/>
    <x v="1"/>
    <s v="2025-08"/>
    <n v="172.19"/>
    <n v="183.52"/>
    <n v="183.776522"/>
    <n v="240.13"/>
    <n v="49"/>
    <m/>
    <n v="0"/>
    <n v="92"/>
    <n v="16907.439999999999"/>
    <n v="5"/>
    <n v="87"/>
    <n v="14.75"/>
    <n v="1"/>
    <n v="39"/>
    <n v="9365.07"/>
    <n v="0"/>
    <x v="0"/>
    <s v="OK"/>
  </r>
  <r>
    <s v="IT-10024"/>
    <s v="Control switch S-24"/>
    <x v="3"/>
    <x v="3"/>
    <x v="1"/>
    <s v="2025-09"/>
    <n v="175.13"/>
    <n v="186.66"/>
    <n v="183.77656300000001"/>
    <n v="240.13"/>
    <n v="49"/>
    <m/>
    <n v="0"/>
    <n v="64"/>
    <n v="11761.7"/>
    <n v="7"/>
    <n v="57"/>
    <n v="11.52"/>
    <n v="11"/>
    <n v="28"/>
    <n v="6723.64"/>
    <n v="0"/>
    <x v="0"/>
    <s v="OK"/>
  </r>
  <r>
    <s v="IT-10024"/>
    <s v="Control switch S-24"/>
    <x v="3"/>
    <x v="3"/>
    <x v="1"/>
    <s v="2025-10"/>
    <n v="173.34"/>
    <n v="184.75"/>
    <n v="184.217477"/>
    <n v="240.13"/>
    <n v="49"/>
    <n v="42"/>
    <n v="53"/>
    <n v="111"/>
    <n v="20448.14"/>
    <n v="4"/>
    <n v="107"/>
    <n v="19.98"/>
    <n v="2"/>
    <n v="6"/>
    <n v="1440.78"/>
    <n v="0"/>
    <x v="0"/>
    <s v="OK"/>
  </r>
  <r>
    <s v="IT-10024"/>
    <s v="Control switch S-24"/>
    <x v="3"/>
    <x v="3"/>
    <x v="1"/>
    <s v="2025-11"/>
    <n v="176.71"/>
    <n v="188.34"/>
    <n v="185.16219000000001"/>
    <n v="240.13"/>
    <n v="49"/>
    <n v="45"/>
    <n v="33"/>
    <n v="137"/>
    <n v="25367.22"/>
    <n v="7"/>
    <n v="130"/>
    <n v="43.44"/>
    <n v="3"/>
    <n v="7"/>
    <n v="1680.91"/>
    <n v="0"/>
    <x v="0"/>
    <s v="OK"/>
  </r>
  <r>
    <s v="IT-10024"/>
    <s v="Control switch S-24"/>
    <x v="3"/>
    <x v="3"/>
    <x v="1"/>
    <s v="2025-12"/>
    <n v="174.76"/>
    <n v="186.26"/>
    <n v="185.162193"/>
    <n v="240.13"/>
    <n v="49"/>
    <m/>
    <n v="0"/>
    <n v="114"/>
    <n v="21108.49"/>
    <n v="3"/>
    <n v="111"/>
    <n v="41.62"/>
    <n v="0"/>
    <n v="23"/>
    <n v="5522.99"/>
    <n v="0"/>
    <x v="0"/>
    <s v="OK"/>
  </r>
  <r>
    <s v="IT-10024"/>
    <s v="Control switch S-24"/>
    <x v="3"/>
    <x v="3"/>
    <x v="1"/>
    <s v="2026-01"/>
    <n v="176.54"/>
    <n v="188.16"/>
    <n v="185.40393299999999"/>
    <n v="240.13"/>
    <n v="49"/>
    <n v="43"/>
    <n v="10"/>
    <n v="89"/>
    <n v="16500.95"/>
    <n v="4"/>
    <n v="85"/>
    <n v="18"/>
    <n v="2"/>
    <n v="35"/>
    <n v="8404.5499999999993"/>
    <n v="0"/>
    <x v="0"/>
    <s v="OK"/>
  </r>
  <r>
    <s v="IT-10024"/>
    <s v="Control switch S-24"/>
    <x v="3"/>
    <x v="3"/>
    <x v="1"/>
    <s v="2026-02"/>
    <n v="174.87"/>
    <n v="186.38"/>
    <n v="185.403966"/>
    <n v="246.75"/>
    <n v="49"/>
    <m/>
    <n v="0"/>
    <n v="58"/>
    <n v="10753.43"/>
    <n v="3"/>
    <n v="55"/>
    <n v="8.3800000000000008"/>
    <n v="3"/>
    <n v="31"/>
    <n v="7649.25"/>
    <n v="0"/>
    <x v="0"/>
    <s v="OK"/>
  </r>
  <r>
    <s v="IT-10024"/>
    <s v="Control switch S-24"/>
    <x v="3"/>
    <x v="3"/>
    <x v="1"/>
    <s v="2026-03"/>
    <n v="181.5"/>
    <n v="193.45"/>
    <n v="187.467097"/>
    <n v="246.75"/>
    <n v="49"/>
    <n v="43"/>
    <n v="20"/>
    <n v="31"/>
    <n v="5811.48"/>
    <n v="3"/>
    <n v="28"/>
    <n v="3.53"/>
    <n v="4"/>
    <n v="47"/>
    <n v="11597.25"/>
    <n v="0"/>
    <x v="0"/>
    <s v="OK"/>
  </r>
  <r>
    <s v="IT-10024"/>
    <s v="Control switch S-24"/>
    <x v="3"/>
    <x v="3"/>
    <x v="1"/>
    <s v="2026-04"/>
    <n v="187.08"/>
    <n v="199.39"/>
    <n v="196.119111"/>
    <n v="246.75"/>
    <n v="49"/>
    <n v="42"/>
    <n v="82"/>
    <n v="90"/>
    <n v="17650.72"/>
    <n v="5"/>
    <n v="85"/>
    <n v="11.33"/>
    <n v="5"/>
    <n v="23"/>
    <n v="5675.25"/>
    <n v="0"/>
    <x v="0"/>
    <s v="OK"/>
  </r>
  <r>
    <s v="IT-10024"/>
    <s v="Control switch S-24"/>
    <x v="3"/>
    <x v="3"/>
    <x v="1"/>
    <s v="2026-05"/>
    <n v="184.62"/>
    <n v="196.77"/>
    <n v="196.119032"/>
    <n v="246.75"/>
    <n v="49"/>
    <m/>
    <n v="0"/>
    <n v="62"/>
    <n v="12159.38"/>
    <n v="5"/>
    <n v="57"/>
    <n v="8.31"/>
    <n v="10"/>
    <n v="28"/>
    <n v="6909"/>
    <n v="0"/>
    <x v="0"/>
    <s v="OK"/>
  </r>
  <r>
    <s v="IT-10024"/>
    <s v="Control switch S-24"/>
    <x v="3"/>
    <x v="3"/>
    <x v="1"/>
    <s v="2026-06"/>
    <n v="181.95"/>
    <n v="193.93"/>
    <n v="196.118889"/>
    <n v="246.75"/>
    <n v="49"/>
    <m/>
    <n v="0"/>
    <n v="18"/>
    <n v="3530.14"/>
    <n v="4"/>
    <n v="14"/>
    <n v="2.46"/>
    <n v="5"/>
    <n v="44"/>
    <n v="10857"/>
    <n v="0"/>
    <x v="0"/>
    <s v="OK"/>
  </r>
  <r>
    <s v="IT-10024"/>
    <s v="Control switch S-24"/>
    <x v="3"/>
    <x v="3"/>
    <x v="1"/>
    <s v="2026-07"/>
    <n v="186.01"/>
    <n v="198.25"/>
    <n v="197.89805999999999"/>
    <n v="246.75"/>
    <n v="49"/>
    <n v="46"/>
    <n v="91"/>
    <n v="67"/>
    <n v="13259.17"/>
    <n v="4"/>
    <n v="63"/>
    <n v="7.72"/>
    <n v="7"/>
    <n v="42"/>
    <n v="10363.5"/>
    <n v="0"/>
    <x v="0"/>
    <s v="OK"/>
  </r>
  <r>
    <s v="IT-10024"/>
    <s v="Control switch S-24"/>
    <x v="3"/>
    <x v="3"/>
    <x v="1"/>
    <s v="2026-08"/>
    <n v="184.56"/>
    <n v="196.71"/>
    <n v="197.897955"/>
    <n v="246.75"/>
    <n v="49"/>
    <m/>
    <n v="0"/>
    <n v="44"/>
    <n v="8707.51"/>
    <n v="6"/>
    <n v="38"/>
    <n v="5.31"/>
    <n v="5"/>
    <n v="23"/>
    <n v="5675.25"/>
    <n v="0"/>
    <x v="0"/>
    <s v="OK"/>
  </r>
  <r>
    <s v="IT-10025"/>
    <s v="Coupling 10-25"/>
    <x v="4"/>
    <x v="4"/>
    <x v="1"/>
    <s v="2024-09"/>
    <n v="222.21"/>
    <n v="222.21"/>
    <n v="218.35"/>
    <n v="320.12"/>
    <n v="14"/>
    <m/>
    <n v="0"/>
    <n v="31"/>
    <n v="6768.85"/>
    <n v="12"/>
    <n v="19"/>
    <n v="3.11"/>
    <n v="2"/>
    <n v="36"/>
    <n v="11524.32"/>
    <n v="0"/>
    <x v="0"/>
    <s v="OK"/>
  </r>
  <r>
    <s v="IT-10025"/>
    <s v="Coupling 10-25"/>
    <x v="4"/>
    <x v="4"/>
    <x v="1"/>
    <s v="2024-10"/>
    <n v="233.98"/>
    <n v="233.98"/>
    <n v="225.767674"/>
    <n v="320.12"/>
    <n v="14"/>
    <n v="13"/>
    <n v="28"/>
    <n v="43"/>
    <n v="9708.01"/>
    <n v="5"/>
    <n v="38"/>
    <n v="5.65"/>
    <n v="8"/>
    <n v="16"/>
    <n v="5121.92"/>
    <n v="0"/>
    <x v="0"/>
    <s v="OK"/>
  </r>
  <r>
    <s v="IT-10025"/>
    <s v="Coupling 10-25"/>
    <x v="4"/>
    <x v="4"/>
    <x v="1"/>
    <s v="2024-11"/>
    <n v="234.51"/>
    <n v="234.51"/>
    <n v="226.83846199999999"/>
    <n v="320.12"/>
    <n v="14"/>
    <n v="13"/>
    <n v="6"/>
    <n v="13"/>
    <n v="2948.9"/>
    <n v="9"/>
    <n v="4"/>
    <n v="1.92"/>
    <n v="0"/>
    <n v="36"/>
    <n v="11524.32"/>
    <n v="0"/>
    <x v="0"/>
    <s v="OK"/>
  </r>
  <r>
    <s v="IT-10025"/>
    <s v="Coupling 10-25"/>
    <x v="4"/>
    <x v="4"/>
    <x v="1"/>
    <s v="2024-12"/>
    <n v="234.68"/>
    <n v="234.68"/>
    <n v="233.451731"/>
    <n v="320.12"/>
    <n v="14"/>
    <n v="20"/>
    <n v="70"/>
    <n v="52"/>
    <n v="12139.49"/>
    <n v="4"/>
    <n v="48"/>
    <n v="8.23"/>
    <n v="4"/>
    <n v="31"/>
    <n v="9923.7199999999993"/>
    <n v="0"/>
    <x v="0"/>
    <s v="OK"/>
  </r>
  <r>
    <s v="IT-10025"/>
    <s v="Coupling 10-25"/>
    <x v="4"/>
    <x v="4"/>
    <x v="1"/>
    <s v="2025-01"/>
    <n v="231.02"/>
    <n v="231.02"/>
    <n v="233.238125"/>
    <n v="320.12"/>
    <n v="14"/>
    <n v="14"/>
    <n v="5"/>
    <n v="16"/>
    <n v="3731.81"/>
    <n v="5"/>
    <n v="11"/>
    <n v="1.95"/>
    <n v="5"/>
    <n v="41"/>
    <n v="13124.92"/>
    <n v="0"/>
    <x v="0"/>
    <s v="OK"/>
  </r>
  <r>
    <s v="IT-10025"/>
    <s v="Coupling 10-25"/>
    <x v="4"/>
    <x v="4"/>
    <x v="1"/>
    <s v="2025-02"/>
    <n v="233.45"/>
    <n v="233.45"/>
    <n v="233.40589700000001"/>
    <n v="335.13"/>
    <n v="14"/>
    <n v="19"/>
    <n v="61"/>
    <n v="39"/>
    <n v="9102.83"/>
    <n v="7"/>
    <n v="32"/>
    <n v="4.5599999999999996"/>
    <n v="0"/>
    <n v="38"/>
    <n v="12734.94"/>
    <n v="0"/>
    <x v="0"/>
    <s v="OK"/>
  </r>
  <r>
    <s v="IT-10025"/>
    <s v="Coupling 10-25"/>
    <x v="4"/>
    <x v="4"/>
    <x v="1"/>
    <s v="2025-03"/>
    <n v="233.76"/>
    <n v="233.76"/>
    <n v="233.60984099999999"/>
    <n v="335.13"/>
    <n v="14"/>
    <n v="13"/>
    <n v="53"/>
    <n v="63"/>
    <n v="14717.42"/>
    <n v="4"/>
    <n v="59"/>
    <n v="7.5"/>
    <n v="4"/>
    <n v="29"/>
    <n v="9718.77"/>
    <n v="0"/>
    <x v="0"/>
    <s v="OK"/>
  </r>
  <r>
    <s v="IT-10025"/>
    <s v="Coupling 10-25"/>
    <x v="4"/>
    <x v="4"/>
    <x v="1"/>
    <s v="2025-04"/>
    <n v="237.53"/>
    <n v="237.53"/>
    <n v="233.61"/>
    <n v="335.13"/>
    <n v="14"/>
    <m/>
    <n v="0"/>
    <n v="25"/>
    <n v="5840.25"/>
    <n v="3"/>
    <n v="22"/>
    <n v="3.03"/>
    <n v="9"/>
    <n v="38"/>
    <n v="12734.94"/>
    <n v="0"/>
    <x v="0"/>
    <s v="OK"/>
  </r>
  <r>
    <s v="IT-10025"/>
    <s v="Coupling 10-25"/>
    <x v="4"/>
    <x v="4"/>
    <x v="1"/>
    <s v="2025-05"/>
    <n v="232.73"/>
    <n v="232.73"/>
    <n v="232.95222200000001"/>
    <n v="335.13"/>
    <n v="14"/>
    <n v="13"/>
    <n v="74"/>
    <n v="63"/>
    <n v="14675.99"/>
    <n v="4"/>
    <n v="59"/>
    <n v="8.0399999999999991"/>
    <n v="1"/>
    <n v="36"/>
    <n v="12064.68"/>
    <n v="0"/>
    <x v="0"/>
    <s v="OK"/>
  </r>
  <r>
    <s v="IT-10025"/>
    <s v="Coupling 10-25"/>
    <x v="4"/>
    <x v="4"/>
    <x v="1"/>
    <s v="2025-06"/>
    <n v="232.5"/>
    <n v="232.5"/>
    <n v="232.823667"/>
    <n v="335.13"/>
    <n v="14"/>
    <n v="13"/>
    <n v="25"/>
    <n v="60"/>
    <n v="13969.42"/>
    <n v="5"/>
    <n v="55"/>
    <n v="7.65"/>
    <n v="4"/>
    <n v="28"/>
    <n v="9383.64"/>
    <n v="0"/>
    <x v="0"/>
    <s v="OK"/>
  </r>
  <r>
    <s v="IT-10025"/>
    <s v="Coupling 10-25"/>
    <x v="4"/>
    <x v="4"/>
    <x v="1"/>
    <s v="2025-07"/>
    <n v="234.76"/>
    <n v="234.76"/>
    <n v="233.07612900000001"/>
    <n v="335.13"/>
    <n v="14"/>
    <n v="13"/>
    <n v="9"/>
    <n v="31"/>
    <n v="7225.36"/>
    <n v="10"/>
    <n v="21"/>
    <n v="3.99"/>
    <n v="5"/>
    <n v="38"/>
    <n v="12734.94"/>
    <n v="0"/>
    <x v="0"/>
    <s v="OK"/>
  </r>
  <r>
    <s v="IT-10025"/>
    <s v="Coupling 10-25"/>
    <x v="4"/>
    <x v="4"/>
    <x v="1"/>
    <s v="2025-08"/>
    <n v="230.42"/>
    <n v="230.42"/>
    <n v="232.29166699999999"/>
    <n v="335.13"/>
    <n v="14"/>
    <n v="12"/>
    <n v="13"/>
    <n v="12"/>
    <n v="2787.5"/>
    <n v="7"/>
    <n v="5"/>
    <n v="1.61"/>
    <n v="9"/>
    <n v="32"/>
    <n v="10724.16"/>
    <n v="0"/>
    <x v="0"/>
    <s v="OK"/>
  </r>
  <r>
    <s v="IT-10025"/>
    <s v="Coupling 10-25"/>
    <x v="4"/>
    <x v="4"/>
    <x v="1"/>
    <s v="2025-09"/>
    <n v="230.73"/>
    <n v="230.73"/>
    <n v="230.990217"/>
    <n v="335.13"/>
    <n v="14"/>
    <n v="13"/>
    <n v="60"/>
    <n v="46"/>
    <n v="10625.55"/>
    <n v="4"/>
    <n v="42"/>
    <n v="6.3"/>
    <n v="5"/>
    <n v="26"/>
    <n v="8713.3799999999992"/>
    <n v="0"/>
    <x v="0"/>
    <s v="OK"/>
  </r>
  <r>
    <s v="IT-10025"/>
    <s v="Coupling 10-25"/>
    <x v="4"/>
    <x v="4"/>
    <x v="1"/>
    <s v="2025-10"/>
    <n v="244.47"/>
    <n v="244.47"/>
    <n v="235.611818"/>
    <n v="335.13"/>
    <n v="14"/>
    <n v="23"/>
    <n v="24"/>
    <n v="22"/>
    <n v="5183.46"/>
    <n v="3"/>
    <n v="19"/>
    <n v="2.73"/>
    <n v="5"/>
    <n v="48"/>
    <n v="16086.24"/>
    <n v="0"/>
    <x v="0"/>
    <s v="OK"/>
  </r>
  <r>
    <s v="IT-10025"/>
    <s v="Coupling 10-25"/>
    <x v="4"/>
    <x v="4"/>
    <x v="1"/>
    <s v="2025-11"/>
    <n v="245.07"/>
    <n v="245.07"/>
    <n v="243.17824999999999"/>
    <n v="335.13"/>
    <n v="14"/>
    <n v="12"/>
    <n v="88"/>
    <n v="40"/>
    <n v="9727.1299999999992"/>
    <n v="3"/>
    <n v="37"/>
    <n v="3.61"/>
    <n v="2"/>
    <n v="70"/>
    <n v="23459.1"/>
    <n v="0"/>
    <x v="0"/>
    <s v="OK"/>
  </r>
  <r>
    <s v="IT-10025"/>
    <s v="Coupling 10-25"/>
    <x v="4"/>
    <x v="4"/>
    <x v="1"/>
    <s v="2025-12"/>
    <n v="247.24"/>
    <n v="247.24"/>
    <n v="245.23425499999999"/>
    <n v="335.13"/>
    <n v="14"/>
    <n v="12"/>
    <n v="41"/>
    <n v="47"/>
    <n v="11526.01"/>
    <n v="9"/>
    <n v="38"/>
    <n v="4.0599999999999996"/>
    <n v="1"/>
    <n v="34"/>
    <n v="11394.42"/>
    <n v="0"/>
    <x v="0"/>
    <s v="OK"/>
  </r>
  <r>
    <s v="IT-10025"/>
    <s v="Coupling 10-25"/>
    <x v="4"/>
    <x v="4"/>
    <x v="1"/>
    <s v="2026-01"/>
    <n v="251.2"/>
    <n v="251.2"/>
    <n v="246.95133300000001"/>
    <n v="335.13"/>
    <n v="14"/>
    <n v="13"/>
    <n v="19"/>
    <n v="15"/>
    <n v="3704.27"/>
    <n v="8"/>
    <n v="7"/>
    <n v="1.27"/>
    <n v="4"/>
    <n v="51"/>
    <n v="17091.63"/>
    <n v="0"/>
    <x v="0"/>
    <s v="OK"/>
  </r>
  <r>
    <s v="IT-10025"/>
    <s v="Coupling 10-25"/>
    <x v="4"/>
    <x v="4"/>
    <x v="1"/>
    <s v="2026-02"/>
    <n v="245.88"/>
    <n v="245.88"/>
    <n v="246.245227"/>
    <n v="350.85"/>
    <n v="14"/>
    <n v="20"/>
    <n v="29"/>
    <n v="0"/>
    <n v="0"/>
    <n v="0"/>
    <n v="0"/>
    <n v="0"/>
    <n v="7"/>
    <n v="44"/>
    <n v="15437.4"/>
    <n v="15"/>
    <x v="1"/>
    <s v="OK"/>
  </r>
  <r>
    <s v="IT-10025"/>
    <s v="Coupling 10-25"/>
    <x v="4"/>
    <x v="4"/>
    <x v="1"/>
    <s v="2026-03"/>
    <n v="248.29"/>
    <n v="248.29"/>
    <n v="248.29"/>
    <n v="350.85"/>
    <n v="14"/>
    <n v="19"/>
    <n v="55"/>
    <n v="37"/>
    <n v="9186.73"/>
    <n v="4"/>
    <n v="33"/>
    <n v="4.21"/>
    <n v="1"/>
    <n v="18"/>
    <n v="6315.3"/>
    <n v="0"/>
    <x v="0"/>
    <s v="OK"/>
  </r>
  <r>
    <s v="IT-10025"/>
    <s v="Coupling 10-25"/>
    <x v="4"/>
    <x v="4"/>
    <x v="1"/>
    <s v="2026-04"/>
    <n v="248.19"/>
    <n v="248.19"/>
    <n v="248.270455"/>
    <n v="350.85"/>
    <n v="14"/>
    <n v="12"/>
    <n v="9"/>
    <n v="22"/>
    <n v="5461.95"/>
    <n v="10"/>
    <n v="12"/>
    <n v="3.25"/>
    <n v="9"/>
    <n v="24"/>
    <n v="8420.4"/>
    <n v="0"/>
    <x v="0"/>
    <s v="OK"/>
  </r>
  <r>
    <s v="IT-10025"/>
    <s v="Coupling 10-25"/>
    <x v="4"/>
    <x v="4"/>
    <x v="1"/>
    <s v="2026-05"/>
    <n v="245.19"/>
    <n v="245.19"/>
    <n v="246.13124999999999"/>
    <n v="350.85"/>
    <n v="14"/>
    <n v="16"/>
    <n v="50"/>
    <n v="24"/>
    <n v="5907.15"/>
    <n v="9"/>
    <n v="15"/>
    <n v="3.5"/>
    <n v="9"/>
    <n v="48"/>
    <n v="16840.8"/>
    <n v="0"/>
    <x v="0"/>
    <s v="OK"/>
  </r>
  <r>
    <s v="IT-10025"/>
    <s v="Coupling 10-25"/>
    <x v="4"/>
    <x v="4"/>
    <x v="1"/>
    <s v="2026-06"/>
    <n v="249.44"/>
    <n v="249.44"/>
    <n v="248.59525400000001"/>
    <n v="350.85"/>
    <n v="14"/>
    <n v="13"/>
    <n v="70"/>
    <n v="59"/>
    <n v="14667.12"/>
    <n v="4"/>
    <n v="55"/>
    <n v="7.17"/>
    <n v="10"/>
    <n v="35"/>
    <n v="12279.75"/>
    <n v="0"/>
    <x v="0"/>
    <s v="OK"/>
  </r>
  <r>
    <s v="IT-10025"/>
    <s v="Coupling 10-25"/>
    <x v="4"/>
    <x v="4"/>
    <x v="1"/>
    <s v="2026-07"/>
    <n v="250.55"/>
    <n v="250.55"/>
    <n v="248.59520000000001"/>
    <n v="350.85"/>
    <n v="14"/>
    <m/>
    <n v="0"/>
    <n v="25"/>
    <n v="6214.88"/>
    <n v="10"/>
    <n v="15"/>
    <n v="2.81"/>
    <n v="6"/>
    <n v="34"/>
    <n v="11928.9"/>
    <n v="0"/>
    <x v="0"/>
    <s v="OK"/>
  </r>
  <r>
    <s v="IT-10025"/>
    <s v="Coupling 10-25"/>
    <x v="4"/>
    <x v="4"/>
    <x v="1"/>
    <s v="2026-08"/>
    <n v="250.26"/>
    <n v="250.26"/>
    <n v="249.68184199999999"/>
    <n v="350.85"/>
    <n v="14"/>
    <n v="13"/>
    <n v="47"/>
    <n v="38"/>
    <n v="9487.91"/>
    <n v="7"/>
    <n v="31"/>
    <n v="4.8499999999999996"/>
    <n v="8"/>
    <n v="34"/>
    <n v="11928.9"/>
    <n v="0"/>
    <x v="0"/>
    <s v="OK"/>
  </r>
  <r>
    <s v="IT-10026"/>
    <s v="Pressure valve 20-26"/>
    <x v="1"/>
    <x v="1"/>
    <x v="0"/>
    <s v="2024-09"/>
    <n v="41.73"/>
    <n v="41.73"/>
    <n v="41.674498"/>
    <n v="59.46"/>
    <n v="16"/>
    <m/>
    <n v="0"/>
    <n v="598"/>
    <n v="24921.35"/>
    <n v="36"/>
    <n v="562"/>
    <n v="9.35"/>
    <n v="0"/>
    <n v="278"/>
    <n v="16529.88"/>
    <n v="0"/>
    <x v="0"/>
    <s v="OK"/>
  </r>
  <r>
    <s v="IT-10026"/>
    <s v="Pressure valve 20-26"/>
    <x v="1"/>
    <x v="1"/>
    <x v="0"/>
    <s v="2024-10"/>
    <n v="41.12"/>
    <n v="41.12"/>
    <n v="41.512875000000001"/>
    <n v="59.46"/>
    <n v="16"/>
    <n v="16"/>
    <n v="246"/>
    <n v="480"/>
    <n v="19926.18"/>
    <n v="27"/>
    <n v="453"/>
    <n v="8.19"/>
    <n v="0"/>
    <n v="364"/>
    <n v="21643.439999999999"/>
    <n v="0"/>
    <x v="0"/>
    <s v="OK"/>
  </r>
  <r>
    <s v="IT-10026"/>
    <s v="Pressure valve 20-26"/>
    <x v="1"/>
    <x v="1"/>
    <x v="0"/>
    <s v="2024-11"/>
    <n v="41.17"/>
    <n v="41.17"/>
    <n v="41.352260000000001"/>
    <n v="59.46"/>
    <n v="16"/>
    <n v="22"/>
    <n v="423"/>
    <n v="677"/>
    <n v="27995.48"/>
    <n v="80"/>
    <n v="597"/>
    <n v="10.14"/>
    <n v="0"/>
    <n v="226"/>
    <n v="13437.96"/>
    <n v="0"/>
    <x v="0"/>
    <s v="OK"/>
  </r>
  <r>
    <s v="IT-10026"/>
    <s v="Pressure valve 20-26"/>
    <x v="1"/>
    <x v="1"/>
    <x v="0"/>
    <s v="2024-12"/>
    <n v="41.37"/>
    <n v="41.37"/>
    <n v="41.358412999999999"/>
    <n v="59.46"/>
    <n v="16"/>
    <n v="22"/>
    <n v="359"/>
    <n v="731"/>
    <n v="30233"/>
    <n v="89"/>
    <n v="642"/>
    <n v="10.73"/>
    <n v="0"/>
    <n v="305"/>
    <n v="18135.3"/>
    <n v="0"/>
    <x v="0"/>
    <s v="OK"/>
  </r>
  <r>
    <s v="IT-10026"/>
    <s v="Pressure valve 20-26"/>
    <x v="1"/>
    <x v="1"/>
    <x v="0"/>
    <s v="2025-01"/>
    <n v="43"/>
    <n v="43"/>
    <n v="41.697066"/>
    <n v="59.46"/>
    <n v="16"/>
    <n v="15"/>
    <n v="190"/>
    <n v="542"/>
    <n v="22599.81"/>
    <n v="44"/>
    <n v="498"/>
    <n v="7.83"/>
    <n v="0"/>
    <n v="379"/>
    <n v="22535.34"/>
    <n v="0"/>
    <x v="0"/>
    <s v="OK"/>
  </r>
  <r>
    <s v="IT-10026"/>
    <s v="Pressure valve 20-26"/>
    <x v="1"/>
    <x v="1"/>
    <x v="0"/>
    <s v="2025-02"/>
    <n v="42.97"/>
    <n v="42.97"/>
    <n v="41.888598000000002"/>
    <n v="62.53"/>
    <n v="16"/>
    <n v="15"/>
    <n v="96"/>
    <n v="164"/>
    <n v="6869.73"/>
    <n v="53"/>
    <n v="111"/>
    <n v="1.82"/>
    <n v="0"/>
    <n v="474"/>
    <n v="29639.22"/>
    <n v="0"/>
    <x v="0"/>
    <s v="OK"/>
  </r>
  <r>
    <s v="IT-10026"/>
    <s v="Pressure valve 20-26"/>
    <x v="1"/>
    <x v="1"/>
    <x v="0"/>
    <s v="2025-03"/>
    <n v="43.78"/>
    <n v="43.78"/>
    <n v="43.398941999999998"/>
    <n v="62.53"/>
    <n v="16"/>
    <n v="15"/>
    <n v="650"/>
    <n v="463"/>
    <n v="20093.71"/>
    <n v="89"/>
    <n v="374"/>
    <n v="4.9400000000000004"/>
    <n v="2"/>
    <n v="351"/>
    <n v="21948.03"/>
    <n v="0"/>
    <x v="0"/>
    <s v="OK"/>
  </r>
  <r>
    <s v="IT-10026"/>
    <s v="Pressure valve 20-26"/>
    <x v="1"/>
    <x v="1"/>
    <x v="0"/>
    <s v="2025-04"/>
    <n v="42.7"/>
    <n v="42.7"/>
    <n v="43.056005999999996"/>
    <n v="62.53"/>
    <n v="16"/>
    <n v="16"/>
    <n v="446"/>
    <n v="666"/>
    <n v="28675.3"/>
    <n v="71"/>
    <n v="595"/>
    <n v="7.93"/>
    <n v="0"/>
    <n v="243"/>
    <n v="15194.79"/>
    <n v="0"/>
    <x v="0"/>
    <s v="OK"/>
  </r>
  <r>
    <s v="IT-10026"/>
    <s v="Pressure valve 20-26"/>
    <x v="1"/>
    <x v="1"/>
    <x v="0"/>
    <s v="2025-05"/>
    <n v="43.66"/>
    <n v="43.66"/>
    <n v="43.219411999999998"/>
    <n v="62.53"/>
    <n v="16"/>
    <n v="14"/>
    <n v="247"/>
    <n v="697"/>
    <n v="30123.93"/>
    <n v="18"/>
    <n v="679"/>
    <n v="11.31"/>
    <n v="1"/>
    <n v="216"/>
    <n v="13506.48"/>
    <n v="0"/>
    <x v="0"/>
    <s v="OK"/>
  </r>
  <r>
    <s v="IT-10026"/>
    <s v="Pressure valve 20-26"/>
    <x v="1"/>
    <x v="1"/>
    <x v="0"/>
    <s v="2025-06"/>
    <n v="43.41"/>
    <n v="43.41"/>
    <n v="43.253895"/>
    <n v="62.53"/>
    <n v="16"/>
    <n v="28"/>
    <n v="154"/>
    <n v="665"/>
    <n v="28763.84"/>
    <n v="36"/>
    <n v="629"/>
    <n v="13.4"/>
    <n v="1"/>
    <n v="186"/>
    <n v="11630.58"/>
    <n v="0"/>
    <x v="0"/>
    <s v="OK"/>
  </r>
  <r>
    <s v="IT-10026"/>
    <s v="Pressure valve 20-26"/>
    <x v="1"/>
    <x v="1"/>
    <x v="0"/>
    <s v="2025-07"/>
    <n v="44.03"/>
    <n v="44.03"/>
    <n v="43.511823999999997"/>
    <n v="62.53"/>
    <n v="16"/>
    <n v="16"/>
    <n v="331"/>
    <n v="658"/>
    <n v="28630.78"/>
    <n v="89"/>
    <n v="569"/>
    <n v="11.69"/>
    <n v="0"/>
    <n v="338"/>
    <n v="21135.14"/>
    <n v="0"/>
    <x v="0"/>
    <s v="OK"/>
  </r>
  <r>
    <s v="IT-10026"/>
    <s v="Pressure valve 20-26"/>
    <x v="1"/>
    <x v="1"/>
    <x v="0"/>
    <s v="2025-08"/>
    <n v="42.86"/>
    <n v="42.86"/>
    <n v="43.316761"/>
    <n v="62.53"/>
    <n v="16"/>
    <n v="23"/>
    <n v="281"/>
    <n v="710"/>
    <n v="30754.9"/>
    <n v="89"/>
    <n v="621"/>
    <n v="12.39"/>
    <n v="2"/>
    <n v="229"/>
    <n v="14319.37"/>
    <n v="0"/>
    <x v="0"/>
    <s v="OK"/>
  </r>
  <r>
    <s v="IT-10026"/>
    <s v="Pressure valve 20-26"/>
    <x v="1"/>
    <x v="1"/>
    <x v="0"/>
    <s v="2025-09"/>
    <n v="43.51"/>
    <n v="43.51"/>
    <n v="43.386285000000001"/>
    <n v="62.53"/>
    <n v="16"/>
    <n v="15"/>
    <n v="399"/>
    <n v="926"/>
    <n v="40175.699999999997"/>
    <n v="62"/>
    <n v="864"/>
    <n v="16.23"/>
    <n v="0"/>
    <n v="183"/>
    <n v="11442.99"/>
    <n v="0"/>
    <x v="0"/>
    <s v="OK"/>
  </r>
  <r>
    <s v="IT-10026"/>
    <s v="Pressure valve 20-26"/>
    <x v="1"/>
    <x v="1"/>
    <x v="0"/>
    <s v="2025-10"/>
    <n v="44.08"/>
    <n v="44.08"/>
    <n v="43.409452999999999"/>
    <n v="62.53"/>
    <n v="16"/>
    <n v="15"/>
    <n v="32"/>
    <n v="749"/>
    <n v="32513.68"/>
    <n v="71"/>
    <n v="678"/>
    <n v="15.85"/>
    <n v="3"/>
    <n v="209"/>
    <n v="13068.77"/>
    <n v="0"/>
    <x v="0"/>
    <s v="OK"/>
  </r>
  <r>
    <s v="IT-10026"/>
    <s v="Pressure valve 20-26"/>
    <x v="1"/>
    <x v="1"/>
    <x v="0"/>
    <s v="2025-11"/>
    <n v="43.24"/>
    <n v="43.24"/>
    <n v="43.394024000000002"/>
    <n v="62.53"/>
    <n v="16"/>
    <n v="14"/>
    <n v="75"/>
    <n v="574"/>
    <n v="24908.17"/>
    <n v="36"/>
    <n v="538"/>
    <n v="11.62"/>
    <n v="2"/>
    <n v="250"/>
    <n v="15632.5"/>
    <n v="0"/>
    <x v="0"/>
    <s v="OK"/>
  </r>
  <r>
    <s v="IT-10026"/>
    <s v="Pressure valve 20-26"/>
    <x v="1"/>
    <x v="1"/>
    <x v="0"/>
    <s v="2025-12"/>
    <n v="42.96"/>
    <n v="42.96"/>
    <n v="43.155085"/>
    <n v="62.53"/>
    <n v="16"/>
    <n v="27"/>
    <n v="703"/>
    <n v="942"/>
    <n v="40652.089999999997"/>
    <n v="80"/>
    <n v="862"/>
    <n v="15.59"/>
    <n v="2"/>
    <n v="335"/>
    <n v="20947.55"/>
    <n v="0"/>
    <x v="0"/>
    <s v="OK"/>
  </r>
  <r>
    <s v="IT-10026"/>
    <s v="Pressure valve 20-26"/>
    <x v="1"/>
    <x v="1"/>
    <x v="0"/>
    <s v="2026-01"/>
    <n v="45.06"/>
    <n v="45.06"/>
    <n v="43.155078000000003"/>
    <n v="62.53"/>
    <n v="16"/>
    <m/>
    <n v="0"/>
    <n v="703"/>
    <n v="30338.02"/>
    <n v="80"/>
    <n v="623"/>
    <n v="11.21"/>
    <n v="1"/>
    <n v="239"/>
    <n v="14944.67"/>
    <n v="0"/>
    <x v="0"/>
    <s v="OK"/>
  </r>
  <r>
    <s v="IT-10026"/>
    <s v="Pressure valve 20-26"/>
    <x v="1"/>
    <x v="1"/>
    <x v="0"/>
    <s v="2026-02"/>
    <n v="44.7"/>
    <n v="44.7"/>
    <n v="43.155071999999997"/>
    <n v="65.75"/>
    <n v="16"/>
    <m/>
    <n v="0"/>
    <n v="483"/>
    <n v="20843.900000000001"/>
    <n v="80"/>
    <n v="403"/>
    <n v="7.82"/>
    <n v="0"/>
    <n v="220"/>
    <n v="14465"/>
    <n v="0"/>
    <x v="0"/>
    <s v="OK"/>
  </r>
  <r>
    <s v="IT-10026"/>
    <s v="Pressure valve 20-26"/>
    <x v="1"/>
    <x v="1"/>
    <x v="0"/>
    <s v="2026-03"/>
    <n v="44.6"/>
    <n v="44.6"/>
    <n v="43.759149000000001"/>
    <n v="65.75"/>
    <n v="16"/>
    <n v="14"/>
    <n v="347"/>
    <n v="517"/>
    <n v="22623.48"/>
    <n v="89"/>
    <n v="428"/>
    <n v="8.61"/>
    <n v="0"/>
    <n v="313"/>
    <n v="20579.75"/>
    <n v="0"/>
    <x v="0"/>
    <s v="OK"/>
  </r>
  <r>
    <s v="IT-10026"/>
    <s v="Pressure valve 20-26"/>
    <x v="1"/>
    <x v="1"/>
    <x v="0"/>
    <s v="2026-04"/>
    <n v="44.29"/>
    <n v="44.29"/>
    <n v="43.824824999999997"/>
    <n v="65.75"/>
    <n v="16"/>
    <n v="15"/>
    <n v="73"/>
    <n v="458"/>
    <n v="20071.77"/>
    <n v="80"/>
    <n v="378"/>
    <n v="8.76"/>
    <n v="0"/>
    <n v="132"/>
    <n v="8679"/>
    <n v="0"/>
    <x v="0"/>
    <s v="OK"/>
  </r>
  <r>
    <s v="IT-10026"/>
    <s v="Pressure valve 20-26"/>
    <x v="1"/>
    <x v="1"/>
    <x v="0"/>
    <s v="2026-05"/>
    <n v="44.24"/>
    <n v="44.24"/>
    <n v="43.999606"/>
    <n v="65.75"/>
    <n v="16"/>
    <n v="15"/>
    <n v="333"/>
    <n v="584"/>
    <n v="25695.77"/>
    <n v="80"/>
    <n v="504"/>
    <n v="11.77"/>
    <n v="0"/>
    <n v="207"/>
    <n v="13610.25"/>
    <n v="0"/>
    <x v="0"/>
    <s v="OK"/>
  </r>
  <r>
    <s v="IT-10026"/>
    <s v="Pressure valve 20-26"/>
    <x v="1"/>
    <x v="1"/>
    <x v="0"/>
    <s v="2026-06"/>
    <n v="45.59"/>
    <n v="45.59"/>
    <n v="44.511274"/>
    <n v="65.75"/>
    <n v="16"/>
    <n v="16"/>
    <n v="277"/>
    <n v="471"/>
    <n v="20964.810000000001"/>
    <n v="71"/>
    <n v="400"/>
    <n v="8.4"/>
    <n v="0"/>
    <n v="390"/>
    <n v="25642.5"/>
    <n v="0"/>
    <x v="0"/>
    <s v="OK"/>
  </r>
  <r>
    <s v="IT-10026"/>
    <s v="Pressure valve 20-26"/>
    <x v="1"/>
    <x v="1"/>
    <x v="0"/>
    <s v="2026-07"/>
    <n v="44.47"/>
    <n v="44.47"/>
    <n v="44.490478000000003"/>
    <n v="65.75"/>
    <n v="16"/>
    <n v="14"/>
    <n v="478"/>
    <n v="565"/>
    <n v="25137.119999999999"/>
    <n v="44"/>
    <n v="521"/>
    <n v="7.57"/>
    <n v="2"/>
    <n v="384"/>
    <n v="25248"/>
    <n v="0"/>
    <x v="0"/>
    <s v="OK"/>
  </r>
  <r>
    <s v="IT-10026"/>
    <s v="Pressure valve 20-26"/>
    <x v="1"/>
    <x v="1"/>
    <x v="0"/>
    <s v="2026-08"/>
    <n v="45.83"/>
    <n v="45.83"/>
    <n v="45.017083"/>
    <n v="65.75"/>
    <n v="16"/>
    <n v="18"/>
    <n v="366"/>
    <n v="576"/>
    <n v="25929.84"/>
    <n v="89"/>
    <n v="487"/>
    <n v="6.71"/>
    <n v="2"/>
    <n v="355"/>
    <n v="23341.25"/>
    <n v="0"/>
    <x v="0"/>
    <s v="OK"/>
  </r>
  <r>
    <s v="IT-10027"/>
    <s v="Pressure valve B-27"/>
    <x v="1"/>
    <x v="1"/>
    <x v="1"/>
    <s v="2024-09"/>
    <n v="62.14"/>
    <n v="68.260000000000005"/>
    <n v="66.965439000000003"/>
    <n v="93.99"/>
    <n v="32"/>
    <m/>
    <n v="0"/>
    <n v="57"/>
    <n v="3817.03"/>
    <n v="3"/>
    <n v="54"/>
    <n v="6.81"/>
    <n v="3"/>
    <n v="26"/>
    <n v="2443.7399999999998"/>
    <n v="0"/>
    <x v="0"/>
    <s v="OK"/>
  </r>
  <r>
    <s v="IT-10027"/>
    <s v="Pressure valve B-27"/>
    <x v="1"/>
    <x v="1"/>
    <x v="1"/>
    <s v="2024-10"/>
    <n v="61.56"/>
    <n v="67.62"/>
    <n v="67.335205000000002"/>
    <n v="93.99"/>
    <n v="32"/>
    <n v="30"/>
    <n v="74"/>
    <n v="73"/>
    <n v="4915.47"/>
    <n v="13"/>
    <n v="60"/>
    <n v="6.95"/>
    <n v="1"/>
    <n v="58"/>
    <n v="5451.42"/>
    <n v="0"/>
    <x v="0"/>
    <s v="OK"/>
  </r>
  <r>
    <s v="IT-10027"/>
    <s v="Pressure valve B-27"/>
    <x v="1"/>
    <x v="1"/>
    <x v="1"/>
    <s v="2024-11"/>
    <n v="62.09"/>
    <n v="68.209999999999994"/>
    <n v="67.682254999999998"/>
    <n v="93.99"/>
    <n v="32"/>
    <n v="29"/>
    <n v="48"/>
    <n v="102"/>
    <n v="6903.59"/>
    <n v="8"/>
    <n v="94"/>
    <n v="12.87"/>
    <n v="2"/>
    <n v="19"/>
    <n v="1785.81"/>
    <n v="0"/>
    <x v="0"/>
    <s v="OK"/>
  </r>
  <r>
    <s v="IT-10027"/>
    <s v="Pressure valve B-27"/>
    <x v="1"/>
    <x v="1"/>
    <x v="1"/>
    <s v="2024-12"/>
    <n v="61.83"/>
    <n v="67.92"/>
    <n v="67.682308000000006"/>
    <n v="93.99"/>
    <n v="32"/>
    <m/>
    <n v="0"/>
    <n v="65"/>
    <n v="4399.3500000000004"/>
    <n v="11"/>
    <n v="54"/>
    <n v="7.49"/>
    <n v="3"/>
    <n v="37"/>
    <n v="3477.63"/>
    <n v="0"/>
    <x v="0"/>
    <s v="OK"/>
  </r>
  <r>
    <s v="IT-10027"/>
    <s v="Pressure valve B-27"/>
    <x v="1"/>
    <x v="1"/>
    <x v="1"/>
    <s v="2025-01"/>
    <n v="64.53"/>
    <n v="70.89"/>
    <n v="67.682105000000007"/>
    <n v="93.99"/>
    <n v="32"/>
    <m/>
    <n v="0"/>
    <n v="19"/>
    <n v="1285.96"/>
    <n v="10"/>
    <n v="9"/>
    <n v="2.4500000000000002"/>
    <n v="0"/>
    <n v="46"/>
    <n v="4323.54"/>
    <n v="0"/>
    <x v="0"/>
    <s v="OK"/>
  </r>
  <r>
    <s v="IT-10027"/>
    <s v="Pressure valve B-27"/>
    <x v="1"/>
    <x v="1"/>
    <x v="1"/>
    <s v="2025-02"/>
    <n v="64.510000000000005"/>
    <n v="70.86"/>
    <n v="70.189231000000007"/>
    <n v="98.96"/>
    <n v="32"/>
    <n v="39"/>
    <n v="71"/>
    <n v="39"/>
    <n v="2737.38"/>
    <n v="15"/>
    <n v="24"/>
    <n v="3.74"/>
    <n v="5"/>
    <n v="51"/>
    <n v="5046.96"/>
    <n v="0"/>
    <x v="0"/>
    <s v="OK"/>
  </r>
  <r>
    <s v="IT-10027"/>
    <s v="Pressure valve B-27"/>
    <x v="1"/>
    <x v="1"/>
    <x v="1"/>
    <s v="2025-03"/>
    <n v="63.19"/>
    <n v="69.41"/>
    <n v="69.672033999999996"/>
    <n v="98.96"/>
    <n v="32"/>
    <n v="37"/>
    <n v="77"/>
    <n v="59"/>
    <n v="4110.6499999999996"/>
    <n v="10"/>
    <n v="49"/>
    <n v="4.93"/>
    <n v="0"/>
    <n v="57"/>
    <n v="5640.72"/>
    <n v="0"/>
    <x v="0"/>
    <s v="OK"/>
  </r>
  <r>
    <s v="IT-10027"/>
    <s v="Pressure valve B-27"/>
    <x v="1"/>
    <x v="1"/>
    <x v="1"/>
    <s v="2025-04"/>
    <n v="63.68"/>
    <n v="69.95"/>
    <n v="69.671923000000007"/>
    <n v="98.96"/>
    <n v="32"/>
    <m/>
    <n v="0"/>
    <n v="26"/>
    <n v="1811.47"/>
    <n v="13"/>
    <n v="13"/>
    <n v="2.34"/>
    <n v="2"/>
    <n v="33"/>
    <n v="3265.68"/>
    <n v="0"/>
    <x v="0"/>
    <s v="OK"/>
  </r>
  <r>
    <s v="IT-10027"/>
    <s v="Pressure valve B-27"/>
    <x v="1"/>
    <x v="1"/>
    <x v="1"/>
    <s v="2025-05"/>
    <n v="64.16"/>
    <n v="70.48"/>
    <n v="70.322000000000003"/>
    <n v="98.96"/>
    <n v="32"/>
    <n v="32"/>
    <n v="107"/>
    <n v="110"/>
    <n v="7735.42"/>
    <n v="3"/>
    <n v="107"/>
    <n v="12.79"/>
    <n v="1"/>
    <n v="23"/>
    <n v="2276.08"/>
    <n v="0"/>
    <x v="0"/>
    <s v="OK"/>
  </r>
  <r>
    <s v="IT-10027"/>
    <s v="Pressure valve B-27"/>
    <x v="1"/>
    <x v="1"/>
    <x v="1"/>
    <s v="2025-06"/>
    <n v="63.34"/>
    <n v="69.58"/>
    <n v="70.322023999999999"/>
    <n v="98.96"/>
    <n v="32"/>
    <m/>
    <n v="0"/>
    <n v="84"/>
    <n v="5907.05"/>
    <n v="5"/>
    <n v="79"/>
    <n v="13.32"/>
    <n v="2"/>
    <n v="26"/>
    <n v="2572.96"/>
    <n v="0"/>
    <x v="0"/>
    <s v="OK"/>
  </r>
  <r>
    <s v="IT-10027"/>
    <s v="Pressure valve B-27"/>
    <x v="1"/>
    <x v="1"/>
    <x v="1"/>
    <s v="2025-07"/>
    <n v="63.3"/>
    <n v="69.540000000000006"/>
    <n v="70.037647000000007"/>
    <n v="98.96"/>
    <n v="32"/>
    <n v="30"/>
    <n v="48"/>
    <n v="102"/>
    <n v="7143.84"/>
    <n v="10"/>
    <n v="92"/>
    <n v="16.97"/>
    <n v="13"/>
    <n v="30"/>
    <n v="2968.8"/>
    <n v="0"/>
    <x v="0"/>
    <s v="OK"/>
  </r>
  <r>
    <s v="IT-10027"/>
    <s v="Pressure valve B-27"/>
    <x v="1"/>
    <x v="1"/>
    <x v="1"/>
    <s v="2025-08"/>
    <n v="62.87"/>
    <n v="69.06"/>
    <n v="70.037825999999995"/>
    <n v="98.96"/>
    <n v="32"/>
    <m/>
    <n v="0"/>
    <n v="23"/>
    <n v="1610.87"/>
    <n v="11"/>
    <n v="12"/>
    <n v="2.2400000000000002"/>
    <n v="2"/>
    <n v="79"/>
    <n v="7817.84"/>
    <n v="0"/>
    <x v="0"/>
    <s v="OK"/>
  </r>
  <r>
    <s v="IT-10027"/>
    <s v="Pressure valve B-27"/>
    <x v="1"/>
    <x v="1"/>
    <x v="1"/>
    <s v="2025-09"/>
    <n v="64.819999999999993"/>
    <n v="71.2"/>
    <n v="70.037825999999995"/>
    <n v="98.96"/>
    <n v="32"/>
    <m/>
    <n v="0"/>
    <n v="0"/>
    <n v="0"/>
    <n v="0"/>
    <n v="0"/>
    <n v="0"/>
    <n v="6"/>
    <n v="23"/>
    <n v="2276.08"/>
    <n v="19"/>
    <x v="1"/>
    <s v="OK"/>
  </r>
  <r>
    <s v="IT-10027"/>
    <s v="Pressure valve B-27"/>
    <x v="1"/>
    <x v="1"/>
    <x v="1"/>
    <s v="2025-10"/>
    <n v="65"/>
    <n v="71.400000000000006"/>
    <n v="71.400000000000006"/>
    <n v="98.96"/>
    <n v="32"/>
    <n v="29"/>
    <n v="106"/>
    <n v="6"/>
    <n v="428.4"/>
    <n v="6"/>
    <n v="0"/>
    <n v="0.39"/>
    <n v="5"/>
    <n v="100"/>
    <n v="9896"/>
    <n v="0"/>
    <x v="0"/>
    <s v="OK"/>
  </r>
  <r>
    <s v="IT-10027"/>
    <s v="Pressure valve B-27"/>
    <x v="1"/>
    <x v="1"/>
    <x v="1"/>
    <s v="2025-11"/>
    <n v="63.42"/>
    <n v="69.67"/>
    <n v="71.400000000000006"/>
    <n v="98.96"/>
    <n v="32"/>
    <m/>
    <n v="0"/>
    <n v="0"/>
    <n v="0"/>
    <n v="0"/>
    <n v="0"/>
    <n v="0"/>
    <n v="5"/>
    <n v="6"/>
    <n v="593.76"/>
    <n v="53"/>
    <x v="1"/>
    <s v="OK"/>
  </r>
  <r>
    <s v="IT-10027"/>
    <s v="Pressure valve B-27"/>
    <x v="1"/>
    <x v="1"/>
    <x v="1"/>
    <s v="2025-12"/>
    <n v="64.67"/>
    <n v="71.040000000000006"/>
    <n v="71.040000000000006"/>
    <n v="98.96"/>
    <n v="32"/>
    <n v="43"/>
    <n v="78"/>
    <n v="42"/>
    <n v="2983.68"/>
    <n v="16"/>
    <n v="26"/>
    <n v="3.89"/>
    <n v="0"/>
    <n v="36"/>
    <n v="3562.56"/>
    <n v="0"/>
    <x v="0"/>
    <s v="OK"/>
  </r>
  <r>
    <s v="IT-10027"/>
    <s v="Pressure valve B-27"/>
    <x v="1"/>
    <x v="1"/>
    <x v="1"/>
    <s v="2026-01"/>
    <n v="67.510000000000005"/>
    <n v="74.16"/>
    <n v="72.703939000000005"/>
    <n v="98.96"/>
    <n v="32"/>
    <n v="52"/>
    <n v="48"/>
    <n v="33"/>
    <n v="2399.23"/>
    <n v="6"/>
    <n v="27"/>
    <n v="4.38"/>
    <n v="2"/>
    <n v="57"/>
    <n v="5640.72"/>
    <n v="0"/>
    <x v="0"/>
    <s v="OK"/>
  </r>
  <r>
    <s v="IT-10027"/>
    <s v="Pressure valve B-27"/>
    <x v="1"/>
    <x v="1"/>
    <x v="1"/>
    <s v="2026-02"/>
    <n v="65.62"/>
    <n v="72.08"/>
    <n v="72.334118000000004"/>
    <n v="104.2"/>
    <n v="32"/>
    <n v="28"/>
    <n v="48"/>
    <n v="51"/>
    <n v="3689.04"/>
    <n v="3"/>
    <n v="48"/>
    <n v="5.33"/>
    <n v="2"/>
    <n v="30"/>
    <n v="3126"/>
    <n v="0"/>
    <x v="0"/>
    <s v="OK"/>
  </r>
  <r>
    <s v="IT-10027"/>
    <s v="Pressure valve B-27"/>
    <x v="1"/>
    <x v="1"/>
    <x v="1"/>
    <s v="2026-03"/>
    <n v="67.459999999999994"/>
    <n v="74.099999999999994"/>
    <n v="73.361859999999993"/>
    <n v="104.2"/>
    <n v="32"/>
    <n v="31"/>
    <n v="71"/>
    <n v="86"/>
    <n v="6309.12"/>
    <n v="5"/>
    <n v="81"/>
    <n v="8.99"/>
    <n v="2"/>
    <n v="36"/>
    <n v="3751.2"/>
    <n v="0"/>
    <x v="0"/>
    <s v="OK"/>
  </r>
  <r>
    <s v="IT-10027"/>
    <s v="Pressure valve B-27"/>
    <x v="1"/>
    <x v="1"/>
    <x v="1"/>
    <s v="2026-04"/>
    <n v="65.959999999999994"/>
    <n v="72.459999999999994"/>
    <n v="73.361999999999995"/>
    <n v="104.2"/>
    <n v="32"/>
    <m/>
    <n v="0"/>
    <n v="30"/>
    <n v="2200.86"/>
    <n v="5"/>
    <n v="25"/>
    <n v="3.13"/>
    <n v="3"/>
    <n v="56"/>
    <n v="5835.2"/>
    <n v="0"/>
    <x v="0"/>
    <s v="OK"/>
  </r>
  <r>
    <s v="IT-10027"/>
    <s v="Pressure valve B-27"/>
    <x v="1"/>
    <x v="1"/>
    <x v="1"/>
    <s v="2026-05"/>
    <n v="65.33"/>
    <n v="71.77"/>
    <n v="72.382390999999998"/>
    <n v="104.2"/>
    <n v="32"/>
    <n v="31"/>
    <n v="48"/>
    <n v="46"/>
    <n v="3329.59"/>
    <n v="3"/>
    <n v="43"/>
    <n v="4.88"/>
    <n v="0"/>
    <n v="32"/>
    <n v="3334.4"/>
    <n v="0"/>
    <x v="0"/>
    <s v="OK"/>
  </r>
  <r>
    <s v="IT-10027"/>
    <s v="Pressure valve B-27"/>
    <x v="1"/>
    <x v="1"/>
    <x v="1"/>
    <s v="2026-06"/>
    <n v="67.34"/>
    <n v="73.97"/>
    <n v="73.193124999999995"/>
    <n v="104.2"/>
    <n v="32"/>
    <n v="32"/>
    <n v="48"/>
    <n v="64"/>
    <n v="4684.3599999999997"/>
    <n v="16"/>
    <n v="48"/>
    <n v="7.05"/>
    <n v="12"/>
    <n v="30"/>
    <n v="3126"/>
    <n v="0"/>
    <x v="0"/>
    <s v="OK"/>
  </r>
  <r>
    <s v="IT-10027"/>
    <s v="Pressure valve B-27"/>
    <x v="1"/>
    <x v="1"/>
    <x v="1"/>
    <s v="2026-07"/>
    <n v="67.400000000000006"/>
    <n v="74.040000000000006"/>
    <n v="73.733813999999995"/>
    <n v="104.2"/>
    <n v="32"/>
    <n v="29"/>
    <n v="113"/>
    <n v="118"/>
    <n v="8700.59"/>
    <n v="8"/>
    <n v="110"/>
    <n v="12.82"/>
    <n v="5"/>
    <n v="59"/>
    <n v="6147.8"/>
    <n v="0"/>
    <x v="0"/>
    <s v="OK"/>
  </r>
  <r>
    <s v="IT-10027"/>
    <s v="Pressure valve B-27"/>
    <x v="1"/>
    <x v="1"/>
    <x v="1"/>
    <s v="2026-08"/>
    <n v="67.17"/>
    <n v="73.790000000000006"/>
    <n v="73.733793000000006"/>
    <n v="104.2"/>
    <n v="32"/>
    <m/>
    <n v="0"/>
    <n v="29"/>
    <n v="2138.2800000000002"/>
    <n v="16"/>
    <n v="13"/>
    <n v="2.14"/>
    <n v="1"/>
    <n v="89"/>
    <n v="9273.7999999999993"/>
    <n v="0"/>
    <x v="0"/>
    <s v="OK"/>
  </r>
  <r>
    <s v="IT-10028"/>
    <s v="Hex nut pack L-28"/>
    <x v="2"/>
    <x v="2"/>
    <x v="0"/>
    <s v="2024-09"/>
    <n v="182.27"/>
    <n v="182.27"/>
    <n v="181.56045499999999"/>
    <n v="245.9"/>
    <n v="30"/>
    <n v="48"/>
    <n v="27"/>
    <n v="22"/>
    <n v="3994.33"/>
    <n v="4"/>
    <n v="18"/>
    <n v="3.29"/>
    <n v="0"/>
    <n v="32"/>
    <n v="7868.8"/>
    <n v="0"/>
    <x v="0"/>
    <s v="OK"/>
  </r>
  <r>
    <s v="IT-10028"/>
    <s v="Hex nut pack L-28"/>
    <x v="2"/>
    <x v="2"/>
    <x v="0"/>
    <s v="2024-10"/>
    <n v="184.26"/>
    <n v="184.26"/>
    <n v="183.50830199999999"/>
    <n v="245.9"/>
    <n v="30"/>
    <n v="27"/>
    <n v="57"/>
    <n v="53"/>
    <n v="9725.94"/>
    <n v="4"/>
    <n v="49"/>
    <n v="8.19"/>
    <n v="5"/>
    <n v="26"/>
    <n v="6393.4"/>
    <n v="0"/>
    <x v="0"/>
    <s v="OK"/>
  </r>
  <r>
    <s v="IT-10028"/>
    <s v="Hex nut pack L-28"/>
    <x v="2"/>
    <x v="2"/>
    <x v="0"/>
    <s v="2024-11"/>
    <n v="180.75"/>
    <n v="180.75"/>
    <n v="183.50749999999999"/>
    <n v="245.9"/>
    <n v="30"/>
    <m/>
    <n v="0"/>
    <n v="4"/>
    <n v="734.03"/>
    <n v="3"/>
    <n v="1"/>
    <n v="0.49"/>
    <n v="0"/>
    <n v="49"/>
    <n v="12049.1"/>
    <n v="0"/>
    <x v="0"/>
    <s v="OK"/>
  </r>
  <r>
    <s v="IT-10028"/>
    <s v="Hex nut pack L-28"/>
    <x v="2"/>
    <x v="2"/>
    <x v="0"/>
    <s v="2024-12"/>
    <n v="187.09"/>
    <n v="187.09"/>
    <n v="183.50749999999999"/>
    <n v="245.9"/>
    <n v="30"/>
    <m/>
    <n v="0"/>
    <n v="0"/>
    <n v="0"/>
    <n v="0"/>
    <n v="0"/>
    <n v="0"/>
    <n v="6"/>
    <n v="4"/>
    <n v="983.6"/>
    <n v="31"/>
    <x v="1"/>
    <s v="OK"/>
  </r>
  <r>
    <s v="IT-10028"/>
    <s v="Hex nut pack L-28"/>
    <x v="2"/>
    <x v="2"/>
    <x v="0"/>
    <s v="2025-01"/>
    <n v="188.86"/>
    <n v="188.86"/>
    <n v="188.86"/>
    <n v="245.9"/>
    <n v="30"/>
    <n v="29"/>
    <n v="91"/>
    <n v="61"/>
    <n v="11520.46"/>
    <n v="4"/>
    <n v="57"/>
    <n v="9.66"/>
    <n v="1"/>
    <n v="30"/>
    <n v="7377"/>
    <n v="0"/>
    <x v="0"/>
    <s v="OK"/>
  </r>
  <r>
    <s v="IT-10028"/>
    <s v="Hex nut pack L-28"/>
    <x v="2"/>
    <x v="2"/>
    <x v="0"/>
    <s v="2025-02"/>
    <n v="185.57"/>
    <n v="185.57"/>
    <n v="188.86"/>
    <n v="253.56"/>
    <n v="30"/>
    <m/>
    <n v="0"/>
    <n v="48"/>
    <n v="9065.2800000000007"/>
    <n v="5"/>
    <n v="43"/>
    <n v="13.13"/>
    <n v="3"/>
    <n v="13"/>
    <n v="3296.28"/>
    <n v="0"/>
    <x v="0"/>
    <s v="OK"/>
  </r>
  <r>
    <s v="IT-10028"/>
    <s v="Hex nut pack L-28"/>
    <x v="2"/>
    <x v="2"/>
    <x v="0"/>
    <s v="2025-03"/>
    <n v="183.68"/>
    <n v="183.68"/>
    <n v="186.44263900000001"/>
    <n v="253.56"/>
    <n v="30"/>
    <n v="36"/>
    <n v="42"/>
    <n v="72"/>
    <n v="13423.87"/>
    <n v="7"/>
    <n v="65"/>
    <n v="15.18"/>
    <n v="7"/>
    <n v="18"/>
    <n v="4564.08"/>
    <n v="0"/>
    <x v="0"/>
    <s v="OK"/>
  </r>
  <r>
    <s v="IT-10028"/>
    <s v="Hex nut pack L-28"/>
    <x v="2"/>
    <x v="2"/>
    <x v="0"/>
    <s v="2025-04"/>
    <n v="188.56"/>
    <n v="188.56"/>
    <n v="186.44274999999999"/>
    <n v="253.56"/>
    <n v="30"/>
    <m/>
    <n v="0"/>
    <n v="40"/>
    <n v="7457.71"/>
    <n v="5"/>
    <n v="35"/>
    <n v="8.07"/>
    <n v="7"/>
    <n v="32"/>
    <n v="8113.92"/>
    <n v="0"/>
    <x v="0"/>
    <s v="OK"/>
  </r>
  <r>
    <s v="IT-10028"/>
    <s v="Hex nut pack L-28"/>
    <x v="2"/>
    <x v="2"/>
    <x v="0"/>
    <s v="2025-05"/>
    <n v="186.36"/>
    <n v="186.36"/>
    <n v="186.4425"/>
    <n v="253.56"/>
    <n v="30"/>
    <m/>
    <n v="0"/>
    <n v="12"/>
    <n v="2237.31"/>
    <n v="3"/>
    <n v="9"/>
    <n v="2.02"/>
    <n v="2"/>
    <n v="28"/>
    <n v="7099.68"/>
    <n v="0"/>
    <x v="0"/>
    <s v="OK"/>
  </r>
  <r>
    <s v="IT-10028"/>
    <s v="Hex nut pack L-28"/>
    <x v="2"/>
    <x v="2"/>
    <x v="0"/>
    <s v="2025-06"/>
    <n v="187.53"/>
    <n v="187.53"/>
    <n v="187.39125000000001"/>
    <n v="253.56"/>
    <n v="30"/>
    <n v="26"/>
    <n v="82"/>
    <n v="48"/>
    <n v="8994.7800000000007"/>
    <n v="5"/>
    <n v="43"/>
    <n v="5.89"/>
    <n v="4"/>
    <n v="46"/>
    <n v="11663.76"/>
    <n v="0"/>
    <x v="0"/>
    <s v="OK"/>
  </r>
  <r>
    <s v="IT-10028"/>
    <s v="Hex nut pack L-28"/>
    <x v="2"/>
    <x v="2"/>
    <x v="0"/>
    <s v="2025-07"/>
    <n v="188.6"/>
    <n v="188.6"/>
    <n v="187.391111"/>
    <n v="253.56"/>
    <n v="30"/>
    <m/>
    <n v="0"/>
    <n v="27"/>
    <n v="5059.5600000000004"/>
    <n v="2"/>
    <n v="25"/>
    <n v="3.74"/>
    <n v="0"/>
    <n v="21"/>
    <n v="5324.76"/>
    <n v="0"/>
    <x v="0"/>
    <s v="OK"/>
  </r>
  <r>
    <s v="IT-10028"/>
    <s v="Hex nut pack L-28"/>
    <x v="2"/>
    <x v="2"/>
    <x v="0"/>
    <s v="2025-08"/>
    <n v="188.01"/>
    <n v="188.01"/>
    <n v="187.70046500000001"/>
    <n v="253.56"/>
    <n v="30"/>
    <n v="40"/>
    <n v="27"/>
    <n v="43"/>
    <n v="8071.12"/>
    <n v="8"/>
    <n v="35"/>
    <n v="7.25"/>
    <n v="0"/>
    <n v="11"/>
    <n v="2789.16"/>
    <n v="0"/>
    <x v="0"/>
    <s v="OK"/>
  </r>
  <r>
    <s v="IT-10028"/>
    <s v="Hex nut pack L-28"/>
    <x v="2"/>
    <x v="2"/>
    <x v="0"/>
    <s v="2025-09"/>
    <n v="189.06"/>
    <n v="189.06"/>
    <n v="188.224884"/>
    <n v="253.56"/>
    <n v="30"/>
    <n v="27"/>
    <n v="27"/>
    <n v="43"/>
    <n v="8093.67"/>
    <n v="9"/>
    <n v="34"/>
    <n v="9.58"/>
    <n v="2"/>
    <n v="27"/>
    <n v="6846.12"/>
    <n v="0"/>
    <x v="0"/>
    <s v="OK"/>
  </r>
  <r>
    <s v="IT-10028"/>
    <s v="Hex nut pack L-28"/>
    <x v="2"/>
    <x v="2"/>
    <x v="0"/>
    <s v="2025-10"/>
    <n v="189.36"/>
    <n v="189.36"/>
    <n v="188.80534499999999"/>
    <n v="253.56"/>
    <n v="30"/>
    <n v="30"/>
    <n v="45"/>
    <n v="58"/>
    <n v="10950.71"/>
    <n v="9"/>
    <n v="49"/>
    <n v="11.21"/>
    <n v="11"/>
    <n v="30"/>
    <n v="7606.8"/>
    <n v="0"/>
    <x v="0"/>
    <s v="OK"/>
  </r>
  <r>
    <s v="IT-10028"/>
    <s v="Hex nut pack L-28"/>
    <x v="2"/>
    <x v="2"/>
    <x v="0"/>
    <s v="2025-11"/>
    <n v="190.28"/>
    <n v="190.28"/>
    <n v="189.27370400000001"/>
    <n v="253.56"/>
    <n v="30"/>
    <n v="30"/>
    <n v="27"/>
    <n v="54"/>
    <n v="10220.780000000001"/>
    <n v="2"/>
    <n v="52"/>
    <n v="7.98"/>
    <n v="10"/>
    <n v="31"/>
    <n v="7860.36"/>
    <n v="0"/>
    <x v="0"/>
    <s v="OK"/>
  </r>
  <r>
    <s v="IT-10028"/>
    <s v="Hex nut pack L-28"/>
    <x v="2"/>
    <x v="2"/>
    <x v="0"/>
    <s v="2025-12"/>
    <n v="191.56"/>
    <n v="191.56"/>
    <n v="189.27378400000001"/>
    <n v="253.56"/>
    <n v="30"/>
    <m/>
    <n v="0"/>
    <n v="37"/>
    <n v="7003.13"/>
    <n v="6"/>
    <n v="31"/>
    <n v="6.23"/>
    <n v="0"/>
    <n v="17"/>
    <n v="4310.5200000000004"/>
    <n v="0"/>
    <x v="0"/>
    <s v="OK"/>
  </r>
  <r>
    <s v="IT-10028"/>
    <s v="Hex nut pack L-28"/>
    <x v="2"/>
    <x v="2"/>
    <x v="0"/>
    <s v="2026-01"/>
    <n v="194.16"/>
    <n v="194.16"/>
    <n v="191.335263"/>
    <n v="253.56"/>
    <n v="30"/>
    <n v="28"/>
    <n v="27"/>
    <n v="38"/>
    <n v="7270.74"/>
    <n v="6"/>
    <n v="32"/>
    <n v="6.75"/>
    <n v="2"/>
    <n v="26"/>
    <n v="6592.56"/>
    <n v="0"/>
    <x v="0"/>
    <s v="OK"/>
  </r>
  <r>
    <s v="IT-10028"/>
    <s v="Hex nut pack L-28"/>
    <x v="2"/>
    <x v="2"/>
    <x v="0"/>
    <s v="2026-02"/>
    <n v="189.02"/>
    <n v="189.02"/>
    <n v="191.33500000000001"/>
    <n v="261.45999999999998"/>
    <n v="30"/>
    <m/>
    <n v="0"/>
    <n v="2"/>
    <n v="382.67"/>
    <n v="2"/>
    <n v="0"/>
    <n v="0.33"/>
    <n v="1"/>
    <n v="36"/>
    <n v="9412.56"/>
    <n v="0"/>
    <x v="0"/>
    <s v="OK"/>
  </r>
  <r>
    <s v="IT-10028"/>
    <s v="Hex nut pack L-28"/>
    <x v="2"/>
    <x v="2"/>
    <x v="0"/>
    <s v="2026-03"/>
    <n v="194.85"/>
    <n v="194.85"/>
    <n v="194.77355600000001"/>
    <n v="261.45999999999998"/>
    <n v="30"/>
    <n v="28"/>
    <n v="90"/>
    <n v="45"/>
    <n v="8764.81"/>
    <n v="7"/>
    <n v="38"/>
    <n v="5.31"/>
    <n v="2"/>
    <n v="47"/>
    <n v="12288.62"/>
    <n v="0"/>
    <x v="0"/>
    <s v="OK"/>
  </r>
  <r>
    <s v="IT-10028"/>
    <s v="Hex nut pack L-28"/>
    <x v="2"/>
    <x v="2"/>
    <x v="0"/>
    <s v="2026-04"/>
    <n v="191.23"/>
    <n v="191.23"/>
    <n v="193.300962"/>
    <n v="261.45999999999998"/>
    <n v="30"/>
    <n v="26"/>
    <n v="32"/>
    <n v="52"/>
    <n v="10051.65"/>
    <n v="3"/>
    <n v="49"/>
    <n v="6.12"/>
    <n v="0"/>
    <n v="25"/>
    <n v="6536.5"/>
    <n v="0"/>
    <x v="0"/>
    <s v="OK"/>
  </r>
  <r>
    <s v="IT-10028"/>
    <s v="Hex nut pack L-28"/>
    <x v="2"/>
    <x v="2"/>
    <x v="0"/>
    <s v="2026-05"/>
    <n v="191.02"/>
    <n v="191.02"/>
    <n v="193.30099999999999"/>
    <n v="261.45999999999998"/>
    <n v="30"/>
    <m/>
    <n v="0"/>
    <n v="30"/>
    <n v="5799.03"/>
    <n v="7"/>
    <n v="23"/>
    <n v="4.1900000000000004"/>
    <n v="3"/>
    <n v="22"/>
    <n v="5752.12"/>
    <n v="0"/>
    <x v="0"/>
    <s v="OK"/>
  </r>
  <r>
    <s v="IT-10028"/>
    <s v="Hex nut pack L-28"/>
    <x v="2"/>
    <x v="2"/>
    <x v="0"/>
    <s v="2026-06"/>
    <n v="191.36"/>
    <n v="191.36"/>
    <n v="192.38172399999999"/>
    <n v="261.45999999999998"/>
    <n v="30"/>
    <n v="33"/>
    <n v="27"/>
    <n v="29"/>
    <n v="5579.07"/>
    <n v="6"/>
    <n v="23"/>
    <n v="5.03"/>
    <n v="11"/>
    <n v="28"/>
    <n v="7320.88"/>
    <n v="0"/>
    <x v="0"/>
    <s v="OK"/>
  </r>
  <r>
    <s v="IT-10028"/>
    <s v="Hex nut pack L-28"/>
    <x v="2"/>
    <x v="2"/>
    <x v="0"/>
    <s v="2026-07"/>
    <n v="195.28"/>
    <n v="195.28"/>
    <n v="192.38172399999999"/>
    <n v="261.45999999999998"/>
    <n v="30"/>
    <m/>
    <n v="0"/>
    <n v="0"/>
    <n v="0"/>
    <n v="0"/>
    <n v="0"/>
    <n v="0"/>
    <n v="4"/>
    <n v="29"/>
    <n v="7582.34"/>
    <n v="1"/>
    <x v="1"/>
    <s v="OK"/>
  </r>
  <r>
    <s v="IT-10028"/>
    <s v="Hex nut pack L-28"/>
    <x v="2"/>
    <x v="2"/>
    <x v="0"/>
    <s v="2026-08"/>
    <n v="192.9"/>
    <n v="192.9"/>
    <n v="192.9"/>
    <n v="261.45999999999998"/>
    <n v="30"/>
    <n v="27"/>
    <n v="78"/>
    <n v="43"/>
    <n v="8294.7000000000007"/>
    <n v="5"/>
    <n v="38"/>
    <n v="6.14"/>
    <n v="7"/>
    <n v="35"/>
    <n v="9151.1"/>
    <n v="0"/>
    <x v="0"/>
    <s v="OK"/>
  </r>
  <r>
    <s v="IT-10029"/>
    <s v="Pressure valve A-29"/>
    <x v="1"/>
    <x v="1"/>
    <x v="1"/>
    <s v="2024-09"/>
    <n v="5.74"/>
    <n v="5.74"/>
    <n v="5.6896789999999999"/>
    <n v="7.92"/>
    <n v="29"/>
    <n v="25"/>
    <n v="574"/>
    <n v="1618"/>
    <n v="9205.9"/>
    <n v="133"/>
    <n v="1485"/>
    <n v="8.59"/>
    <n v="0"/>
    <n v="642"/>
    <n v="5084.6400000000003"/>
    <n v="0"/>
    <x v="0"/>
    <s v="OK"/>
  </r>
  <r>
    <s v="IT-10029"/>
    <s v="Pressure valve A-29"/>
    <x v="1"/>
    <x v="1"/>
    <x v="1"/>
    <s v="2024-10"/>
    <n v="5.74"/>
    <n v="5.74"/>
    <n v="5.71455"/>
    <n v="7.92"/>
    <n v="29"/>
    <n v="28"/>
    <n v="1581"/>
    <n v="2453"/>
    <n v="14017.79"/>
    <n v="178"/>
    <n v="2275"/>
    <n v="12.9"/>
    <n v="0"/>
    <n v="746"/>
    <n v="5908.32"/>
    <n v="0"/>
    <x v="0"/>
    <s v="OK"/>
  </r>
  <r>
    <s v="IT-10029"/>
    <s v="Pressure valve A-29"/>
    <x v="1"/>
    <x v="1"/>
    <x v="1"/>
    <s v="2024-11"/>
    <n v="5.65"/>
    <n v="5.65"/>
    <n v="5.7118010000000004"/>
    <n v="7.92"/>
    <n v="29"/>
    <n v="29"/>
    <n v="109"/>
    <n v="1649"/>
    <n v="9418.76"/>
    <n v="222"/>
    <n v="1427"/>
    <n v="9.32"/>
    <n v="0"/>
    <n v="913"/>
    <n v="7230.96"/>
    <n v="0"/>
    <x v="0"/>
    <s v="OK"/>
  </r>
  <r>
    <s v="IT-10029"/>
    <s v="Pressure valve A-29"/>
    <x v="1"/>
    <x v="1"/>
    <x v="1"/>
    <s v="2024-12"/>
    <n v="5.67"/>
    <n v="5.67"/>
    <n v="5.6936799999999996"/>
    <n v="7.92"/>
    <n v="29"/>
    <n v="25"/>
    <n v="1262"/>
    <n v="1992"/>
    <n v="11341.81"/>
    <n v="222"/>
    <n v="1770"/>
    <n v="10.16"/>
    <n v="1"/>
    <n v="919"/>
    <n v="7278.48"/>
    <n v="0"/>
    <x v="0"/>
    <s v="OK"/>
  </r>
  <r>
    <s v="IT-10029"/>
    <s v="Pressure valve A-29"/>
    <x v="1"/>
    <x v="1"/>
    <x v="1"/>
    <s v="2025-01"/>
    <n v="6.01"/>
    <n v="6.01"/>
    <n v="5.7820280000000004"/>
    <n v="7.92"/>
    <n v="29"/>
    <n v="25"/>
    <n v="772"/>
    <n v="1864"/>
    <n v="10777.7"/>
    <n v="67"/>
    <n v="1797"/>
    <n v="8.9700000000000006"/>
    <n v="0"/>
    <n v="900"/>
    <n v="7128"/>
    <n v="0"/>
    <x v="0"/>
    <s v="OK"/>
  </r>
  <r>
    <s v="IT-10029"/>
    <s v="Pressure valve A-29"/>
    <x v="1"/>
    <x v="1"/>
    <x v="1"/>
    <s v="2025-02"/>
    <n v="5.94"/>
    <n v="5.94"/>
    <n v="5.7820299999999998"/>
    <n v="8.2100000000000009"/>
    <n v="29"/>
    <m/>
    <n v="0"/>
    <n v="1680"/>
    <n v="9713.81"/>
    <n v="111"/>
    <n v="1569"/>
    <n v="10.78"/>
    <n v="0"/>
    <n v="184"/>
    <n v="1510.64"/>
    <n v="0"/>
    <x v="0"/>
    <s v="OK"/>
  </r>
  <r>
    <s v="IT-10029"/>
    <s v="Pressure valve A-29"/>
    <x v="1"/>
    <x v="1"/>
    <x v="1"/>
    <s v="2025-03"/>
    <n v="5.92"/>
    <n v="5.92"/>
    <n v="5.8375700000000004"/>
    <n v="8.2100000000000009"/>
    <n v="29"/>
    <n v="50"/>
    <n v="1132"/>
    <n v="2296"/>
    <n v="13403.06"/>
    <n v="67"/>
    <n v="2229"/>
    <n v="18.45"/>
    <n v="0"/>
    <n v="516"/>
    <n v="4236.3599999999997"/>
    <n v="0"/>
    <x v="0"/>
    <s v="OK"/>
  </r>
  <r>
    <s v="IT-10029"/>
    <s v="Pressure valve A-29"/>
    <x v="1"/>
    <x v="1"/>
    <x v="1"/>
    <s v="2025-04"/>
    <n v="5.96"/>
    <n v="5.96"/>
    <n v="5.8751540000000002"/>
    <n v="8.2100000000000009"/>
    <n v="29"/>
    <n v="26"/>
    <n v="1017"/>
    <n v="2726"/>
    <n v="16015.67"/>
    <n v="200"/>
    <n v="2526"/>
    <n v="26.93"/>
    <n v="0"/>
    <n v="587"/>
    <n v="4819.2700000000004"/>
    <n v="0"/>
    <x v="0"/>
    <s v="OK"/>
  </r>
  <r>
    <s v="IT-10029"/>
    <s v="Pressure valve A-29"/>
    <x v="1"/>
    <x v="1"/>
    <x v="1"/>
    <s v="2025-05"/>
    <n v="5.99"/>
    <n v="5.99"/>
    <n v="5.8898169999999999"/>
    <n v="8.2100000000000009"/>
    <n v="29"/>
    <n v="26"/>
    <n v="399"/>
    <n v="2836"/>
    <n v="16703.52"/>
    <n v="44"/>
    <n v="2792"/>
    <n v="26.78"/>
    <n v="2"/>
    <n v="289"/>
    <n v="2372.69"/>
    <n v="0"/>
    <x v="0"/>
    <s v="OK"/>
  </r>
  <r>
    <s v="IT-10029"/>
    <s v="Pressure valve A-29"/>
    <x v="1"/>
    <x v="1"/>
    <x v="1"/>
    <s v="2025-06"/>
    <n v="5.93"/>
    <n v="5.93"/>
    <n v="5.898034"/>
    <n v="8.2100000000000009"/>
    <n v="29"/>
    <n v="26"/>
    <n v="729"/>
    <n v="3088"/>
    <n v="18213.13"/>
    <n v="111"/>
    <n v="2977"/>
    <n v="29.67"/>
    <n v="0"/>
    <n v="477"/>
    <n v="3916.17"/>
    <n v="0"/>
    <x v="0"/>
    <s v="OK"/>
  </r>
  <r>
    <s v="IT-10029"/>
    <s v="Pressure valve A-29"/>
    <x v="1"/>
    <x v="1"/>
    <x v="1"/>
    <s v="2025-07"/>
    <n v="5.84"/>
    <n v="5.84"/>
    <n v="5.883006"/>
    <n v="8.2100000000000009"/>
    <n v="29"/>
    <n v="25"/>
    <n v="1079"/>
    <n v="3596"/>
    <n v="21155.29"/>
    <n v="133"/>
    <n v="3463"/>
    <n v="35.35"/>
    <n v="0"/>
    <n v="571"/>
    <n v="4687.91"/>
    <n v="0"/>
    <x v="0"/>
    <s v="OK"/>
  </r>
  <r>
    <s v="IT-10029"/>
    <s v="Pressure valve A-29"/>
    <x v="1"/>
    <x v="1"/>
    <x v="1"/>
    <s v="2025-08"/>
    <n v="5.79"/>
    <n v="5.79"/>
    <n v="5.8830039999999997"/>
    <n v="8.2100000000000009"/>
    <n v="29"/>
    <m/>
    <n v="0"/>
    <n v="2563"/>
    <n v="15078.14"/>
    <n v="200"/>
    <n v="2363"/>
    <n v="16.190000000000001"/>
    <n v="1"/>
    <n v="1033"/>
    <n v="8480.93"/>
    <n v="0"/>
    <x v="0"/>
    <s v="OK"/>
  </r>
  <r>
    <s v="IT-10029"/>
    <s v="Pressure valve A-29"/>
    <x v="1"/>
    <x v="1"/>
    <x v="1"/>
    <s v="2025-09"/>
    <n v="5.94"/>
    <n v="5.94"/>
    <n v="5.8830030000000004"/>
    <n v="8.2100000000000009"/>
    <n v="29"/>
    <m/>
    <n v="0"/>
    <n v="2198"/>
    <n v="12930.84"/>
    <n v="200"/>
    <n v="1998"/>
    <n v="14.67"/>
    <n v="0"/>
    <n v="365"/>
    <n v="2996.65"/>
    <n v="0"/>
    <x v="0"/>
    <s v="OK"/>
  </r>
  <r>
    <s v="IT-10029"/>
    <s v="Pressure valve A-29"/>
    <x v="1"/>
    <x v="1"/>
    <x v="1"/>
    <s v="2025-10"/>
    <n v="5.81"/>
    <n v="5.81"/>
    <n v="5.8618110000000003"/>
    <n v="8.2100000000000009"/>
    <n v="29"/>
    <n v="27"/>
    <n v="899"/>
    <n v="2629"/>
    <n v="15410.7"/>
    <n v="155"/>
    <n v="2474"/>
    <n v="18.52"/>
    <n v="1"/>
    <n v="468"/>
    <n v="3842.28"/>
    <n v="0"/>
    <x v="0"/>
    <s v="OK"/>
  </r>
  <r>
    <s v="IT-10029"/>
    <s v="Pressure valve A-29"/>
    <x v="1"/>
    <x v="1"/>
    <x v="1"/>
    <s v="2025-11"/>
    <n v="5.96"/>
    <n v="5.96"/>
    <n v="5.8618129999999997"/>
    <n v="8.2100000000000009"/>
    <n v="29"/>
    <m/>
    <n v="0"/>
    <n v="1616"/>
    <n v="9472.69"/>
    <n v="133"/>
    <n v="1483"/>
    <n v="11.38"/>
    <n v="0"/>
    <n v="1013"/>
    <n v="8316.73"/>
    <n v="0"/>
    <x v="0"/>
    <s v="OK"/>
  </r>
  <r>
    <s v="IT-10029"/>
    <s v="Pressure valve A-29"/>
    <x v="1"/>
    <x v="1"/>
    <x v="1"/>
    <s v="2025-12"/>
    <n v="5.89"/>
    <n v="5.89"/>
    <n v="5.8743610000000004"/>
    <n v="8.2100000000000009"/>
    <n v="29"/>
    <n v="28"/>
    <n v="1297"/>
    <n v="1924"/>
    <n v="11302.27"/>
    <n v="178"/>
    <n v="1746"/>
    <n v="10.24"/>
    <n v="0"/>
    <n v="989"/>
    <n v="8119.69"/>
    <n v="0"/>
    <x v="0"/>
    <s v="OK"/>
  </r>
  <r>
    <s v="IT-10029"/>
    <s v="Pressure valve A-29"/>
    <x v="1"/>
    <x v="1"/>
    <x v="1"/>
    <s v="2026-01"/>
    <n v="6.15"/>
    <n v="6.15"/>
    <n v="5.8743600000000002"/>
    <n v="8.2100000000000009"/>
    <n v="29"/>
    <m/>
    <n v="0"/>
    <n v="828"/>
    <n v="4863.97"/>
    <n v="222"/>
    <n v="606"/>
    <n v="3.51"/>
    <n v="1"/>
    <n v="1096"/>
    <n v="8998.16"/>
    <n v="0"/>
    <x v="0"/>
    <s v="OK"/>
  </r>
  <r>
    <s v="IT-10029"/>
    <s v="Pressure valve A-29"/>
    <x v="1"/>
    <x v="1"/>
    <x v="1"/>
    <s v="2026-02"/>
    <n v="6.16"/>
    <n v="6.16"/>
    <n v="5.982971"/>
    <n v="8.51"/>
    <n v="29"/>
    <n v="43"/>
    <n v="508"/>
    <n v="653"/>
    <n v="3906.88"/>
    <n v="67"/>
    <n v="586"/>
    <n v="3.03"/>
    <n v="0"/>
    <n v="683"/>
    <n v="5812.33"/>
    <n v="0"/>
    <x v="0"/>
    <s v="OK"/>
  </r>
  <r>
    <s v="IT-10029"/>
    <s v="Pressure valve A-29"/>
    <x v="1"/>
    <x v="1"/>
    <x v="1"/>
    <s v="2026-03"/>
    <n v="6.08"/>
    <n v="6.08"/>
    <n v="6.0529260000000003"/>
    <n v="8.51"/>
    <n v="29"/>
    <n v="42"/>
    <n v="1687"/>
    <n v="1521"/>
    <n v="9206.5"/>
    <n v="111"/>
    <n v="1410"/>
    <n v="7.53"/>
    <n v="0"/>
    <n v="819"/>
    <n v="6969.69"/>
    <n v="0"/>
    <x v="0"/>
    <s v="OK"/>
  </r>
  <r>
    <s v="IT-10029"/>
    <s v="Pressure valve A-29"/>
    <x v="1"/>
    <x v="1"/>
    <x v="1"/>
    <s v="2026-04"/>
    <n v="6.25"/>
    <n v="6.25"/>
    <n v="6.1341780000000004"/>
    <n v="8.51"/>
    <n v="29"/>
    <n v="25"/>
    <n v="1067"/>
    <n v="2506"/>
    <n v="15372.25"/>
    <n v="89"/>
    <n v="2417"/>
    <n v="20.11"/>
    <n v="0"/>
    <n v="82"/>
    <n v="697.82"/>
    <n v="0"/>
    <x v="0"/>
    <s v="OK"/>
  </r>
  <r>
    <s v="IT-10029"/>
    <s v="Pressure valve A-29"/>
    <x v="1"/>
    <x v="1"/>
    <x v="1"/>
    <s v="2026-05"/>
    <n v="6.26"/>
    <n v="6.26"/>
    <n v="6.1341760000000001"/>
    <n v="8.51"/>
    <n v="29"/>
    <m/>
    <n v="0"/>
    <n v="1772"/>
    <n v="10869.76"/>
    <n v="111"/>
    <n v="1661"/>
    <n v="14.24"/>
    <n v="5"/>
    <n v="734"/>
    <n v="6246.34"/>
    <n v="0"/>
    <x v="0"/>
    <s v="OK"/>
  </r>
  <r>
    <s v="IT-10029"/>
    <s v="Pressure valve A-29"/>
    <x v="1"/>
    <x v="1"/>
    <x v="1"/>
    <s v="2026-06"/>
    <n v="6.24"/>
    <n v="6.24"/>
    <n v="6.1750910000000001"/>
    <n v="8.51"/>
    <n v="29"/>
    <n v="26"/>
    <n v="1117"/>
    <n v="2304"/>
    <n v="14227.41"/>
    <n v="133"/>
    <n v="2171"/>
    <n v="21.38"/>
    <n v="0"/>
    <n v="585"/>
    <n v="4978.3500000000004"/>
    <n v="0"/>
    <x v="0"/>
    <s v="OK"/>
  </r>
  <r>
    <s v="IT-10029"/>
    <s v="Pressure valve A-29"/>
    <x v="1"/>
    <x v="1"/>
    <x v="1"/>
    <s v="2026-07"/>
    <n v="6.04"/>
    <n v="6.04"/>
    <n v="6.1661630000000001"/>
    <n v="8.51"/>
    <n v="29"/>
    <n v="27"/>
    <n v="163"/>
    <n v="1668"/>
    <n v="10285.16"/>
    <n v="222"/>
    <n v="1446"/>
    <n v="10.35"/>
    <n v="0"/>
    <n v="799"/>
    <n v="6799.49"/>
    <n v="0"/>
    <x v="0"/>
    <s v="OK"/>
  </r>
  <r>
    <s v="IT-10029"/>
    <s v="Pressure valve A-29"/>
    <x v="1"/>
    <x v="1"/>
    <x v="1"/>
    <s v="2026-08"/>
    <n v="6.13"/>
    <n v="6.13"/>
    <n v="6.1661669999999997"/>
    <n v="8.51"/>
    <n v="29"/>
    <m/>
    <n v="0"/>
    <n v="300"/>
    <n v="1849.85"/>
    <n v="67"/>
    <n v="233"/>
    <n v="1.43"/>
    <n v="0"/>
    <n v="1368"/>
    <n v="11641.68"/>
    <n v="0"/>
    <x v="0"/>
    <s v="OK"/>
  </r>
  <r>
    <s v="IT-10030"/>
    <s v="Ball bearing L-30"/>
    <x v="0"/>
    <x v="0"/>
    <x v="0"/>
    <s v="2024-09"/>
    <n v="178.53"/>
    <n v="178.53"/>
    <n v="171.55"/>
    <n v="238.21"/>
    <n v="38"/>
    <m/>
    <n v="0"/>
    <n v="0"/>
    <n v="0"/>
    <n v="0"/>
    <n v="0"/>
    <m/>
    <n v="230"/>
    <n v="0"/>
    <n v="0"/>
    <n v="0"/>
    <x v="0"/>
    <s v="OK"/>
  </r>
  <r>
    <s v="IT-10030"/>
    <s v="Ball bearing L-30"/>
    <x v="0"/>
    <x v="0"/>
    <x v="0"/>
    <s v="2024-10"/>
    <n v="176.42"/>
    <n v="176.42"/>
    <n v="171.55"/>
    <n v="238.21"/>
    <n v="38"/>
    <m/>
    <n v="0"/>
    <n v="0"/>
    <n v="0"/>
    <n v="0"/>
    <n v="0"/>
    <m/>
    <n v="261"/>
    <n v="0"/>
    <n v="0"/>
    <n v="0"/>
    <x v="0"/>
    <s v="OK"/>
  </r>
  <r>
    <s v="IT-10030"/>
    <s v="Ball bearing L-30"/>
    <x v="0"/>
    <x v="0"/>
    <x v="0"/>
    <s v="2024-11"/>
    <n v="173.75"/>
    <n v="173.75"/>
    <n v="171.55"/>
    <n v="238.21"/>
    <n v="38"/>
    <m/>
    <n v="0"/>
    <n v="0"/>
    <n v="0"/>
    <n v="0"/>
    <n v="0"/>
    <m/>
    <n v="291"/>
    <n v="0"/>
    <n v="0"/>
    <n v="0"/>
    <x v="0"/>
    <s v="OK"/>
  </r>
  <r>
    <s v="IT-10030"/>
    <s v="Ball bearing L-30"/>
    <x v="0"/>
    <x v="0"/>
    <x v="0"/>
    <s v="2024-12"/>
    <n v="179.64"/>
    <n v="179.64"/>
    <n v="171.55"/>
    <n v="238.21"/>
    <n v="38"/>
    <m/>
    <n v="0"/>
    <n v="0"/>
    <n v="0"/>
    <n v="0"/>
    <n v="0"/>
    <m/>
    <n v="322"/>
    <n v="0"/>
    <n v="0"/>
    <n v="0"/>
    <x v="0"/>
    <s v="OK"/>
  </r>
  <r>
    <s v="IT-10030"/>
    <s v="Ball bearing L-30"/>
    <x v="0"/>
    <x v="0"/>
    <x v="0"/>
    <s v="2025-01"/>
    <n v="178.16"/>
    <n v="178.16"/>
    <n v="171.55"/>
    <n v="238.21"/>
    <n v="38"/>
    <m/>
    <n v="0"/>
    <n v="0"/>
    <n v="0"/>
    <n v="0"/>
    <n v="0"/>
    <m/>
    <n v="353"/>
    <n v="0"/>
    <n v="0"/>
    <n v="0"/>
    <x v="0"/>
    <s v="OK"/>
  </r>
  <r>
    <s v="IT-10030"/>
    <s v="Ball bearing L-30"/>
    <x v="0"/>
    <x v="0"/>
    <x v="0"/>
    <s v="2025-02"/>
    <n v="177.94"/>
    <n v="177.94"/>
    <n v="171.55"/>
    <n v="246.49"/>
    <n v="38"/>
    <m/>
    <n v="0"/>
    <n v="0"/>
    <n v="0"/>
    <n v="0"/>
    <n v="0"/>
    <m/>
    <n v="381"/>
    <n v="0"/>
    <n v="0"/>
    <n v="0"/>
    <x v="0"/>
    <s v="OK"/>
  </r>
  <r>
    <s v="IT-10030"/>
    <s v="Ball bearing L-30"/>
    <x v="0"/>
    <x v="0"/>
    <x v="0"/>
    <s v="2025-03"/>
    <n v="176.13"/>
    <n v="176.13"/>
    <n v="176.13"/>
    <n v="246.49"/>
    <n v="38"/>
    <n v="35"/>
    <n v="9"/>
    <n v="9"/>
    <n v="1585.17"/>
    <n v="0"/>
    <n v="9"/>
    <m/>
    <n v="412"/>
    <n v="0"/>
    <n v="0"/>
    <n v="0"/>
    <x v="0"/>
    <s v="OK"/>
  </r>
  <r>
    <s v="IT-10030"/>
    <s v="Ball bearing L-30"/>
    <x v="0"/>
    <x v="0"/>
    <x v="0"/>
    <s v="2025-04"/>
    <n v="182.05"/>
    <n v="182.05"/>
    <n v="179.09"/>
    <n v="246.49"/>
    <n v="38"/>
    <n v="35"/>
    <n v="9"/>
    <n v="15"/>
    <n v="2686.35"/>
    <n v="0"/>
    <n v="15"/>
    <n v="63.57"/>
    <n v="14"/>
    <n v="3"/>
    <n v="739.47"/>
    <n v="0"/>
    <x v="0"/>
    <s v="OK"/>
  </r>
  <r>
    <s v="IT-10030"/>
    <s v="Ball bearing L-30"/>
    <x v="0"/>
    <x v="0"/>
    <x v="0"/>
    <s v="2025-05"/>
    <n v="180.95"/>
    <n v="180.95"/>
    <n v="179.09"/>
    <n v="246.49"/>
    <n v="38"/>
    <m/>
    <n v="0"/>
    <n v="12"/>
    <n v="2149.08"/>
    <n v="1"/>
    <n v="11"/>
    <n v="26.29"/>
    <n v="12"/>
    <n v="3"/>
    <n v="739.47"/>
    <n v="0"/>
    <x v="0"/>
    <s v="OK"/>
  </r>
  <r>
    <s v="IT-10030"/>
    <s v="Ball bearing L-30"/>
    <x v="0"/>
    <x v="0"/>
    <x v="0"/>
    <s v="2025-06"/>
    <n v="182.59"/>
    <n v="182.59"/>
    <n v="180.59"/>
    <n v="246.49"/>
    <n v="38"/>
    <n v="36"/>
    <n v="9"/>
    <n v="16"/>
    <n v="2889.44"/>
    <n v="1"/>
    <n v="15"/>
    <n v="18.91"/>
    <n v="7"/>
    <n v="5"/>
    <n v="1232.45"/>
    <n v="0"/>
    <x v="0"/>
    <s v="OK"/>
  </r>
  <r>
    <s v="IT-10030"/>
    <s v="Ball bearing L-30"/>
    <x v="0"/>
    <x v="0"/>
    <x v="0"/>
    <s v="2025-07"/>
    <n v="184.2"/>
    <n v="184.2"/>
    <n v="181.889375"/>
    <n v="246.49"/>
    <n v="38"/>
    <n v="37"/>
    <n v="9"/>
    <n v="16"/>
    <n v="2910.23"/>
    <n v="3"/>
    <n v="13"/>
    <n v="12.37"/>
    <n v="16"/>
    <n v="9"/>
    <n v="2218.41"/>
    <n v="0"/>
    <x v="0"/>
    <s v="OK"/>
  </r>
  <r>
    <s v="IT-10030"/>
    <s v="Ball bearing L-30"/>
    <x v="0"/>
    <x v="0"/>
    <x v="0"/>
    <s v="2025-08"/>
    <n v="184.46"/>
    <n v="184.46"/>
    <n v="182.815"/>
    <n v="246.49"/>
    <n v="38"/>
    <n v="57"/>
    <n v="9"/>
    <n v="20"/>
    <n v="3656.3"/>
    <n v="3"/>
    <n v="17"/>
    <n v="13.83"/>
    <n v="24"/>
    <n v="5"/>
    <n v="1232.45"/>
    <n v="0"/>
    <x v="0"/>
    <s v="OK"/>
  </r>
  <r>
    <s v="IT-10030"/>
    <s v="Ball bearing L-30"/>
    <x v="0"/>
    <x v="0"/>
    <x v="0"/>
    <s v="2025-09"/>
    <n v="180.81"/>
    <n v="180.81"/>
    <n v="182.10333299999999"/>
    <n v="246.49"/>
    <n v="38"/>
    <n v="36"/>
    <n v="11"/>
    <n v="21"/>
    <n v="3824.17"/>
    <n v="1"/>
    <n v="20"/>
    <n v="11.5"/>
    <n v="15"/>
    <n v="10"/>
    <n v="2464.9"/>
    <n v="0"/>
    <x v="0"/>
    <s v="OK"/>
  </r>
  <r>
    <s v="IT-10030"/>
    <s v="Ball bearing L-30"/>
    <x v="0"/>
    <x v="0"/>
    <x v="0"/>
    <s v="2025-10"/>
    <n v="182.91"/>
    <n v="182.91"/>
    <n v="182.10374999999999"/>
    <n v="246.49"/>
    <n v="38"/>
    <m/>
    <n v="0"/>
    <n v="8"/>
    <n v="1456.83"/>
    <n v="1"/>
    <n v="7"/>
    <n v="3.76"/>
    <n v="0"/>
    <n v="13"/>
    <n v="3204.37"/>
    <n v="0"/>
    <x v="0"/>
    <s v="OK"/>
  </r>
  <r>
    <s v="IT-10030"/>
    <s v="Ball bearing L-30"/>
    <x v="0"/>
    <x v="0"/>
    <x v="0"/>
    <s v="2025-11"/>
    <n v="184.67"/>
    <n v="184.67"/>
    <n v="183.462727"/>
    <n v="246.49"/>
    <n v="38"/>
    <n v="33"/>
    <n v="9"/>
    <n v="11"/>
    <n v="2018.09"/>
    <n v="1"/>
    <n v="10"/>
    <n v="4.93"/>
    <n v="10"/>
    <n v="6"/>
    <n v="1478.94"/>
    <n v="0"/>
    <x v="0"/>
    <s v="OK"/>
  </r>
  <r>
    <s v="IT-10030"/>
    <s v="Ball bearing L-30"/>
    <x v="0"/>
    <x v="0"/>
    <x v="0"/>
    <s v="2025-12"/>
    <n v="181.54"/>
    <n v="181.54"/>
    <n v="182.353478"/>
    <n v="246.49"/>
    <n v="38"/>
    <n v="34"/>
    <n v="15"/>
    <n v="23"/>
    <n v="4194.13"/>
    <n v="2"/>
    <n v="21"/>
    <n v="13.74"/>
    <n v="29"/>
    <n v="3"/>
    <n v="739.47"/>
    <n v="0"/>
    <x v="0"/>
    <s v="OK"/>
  </r>
  <r>
    <s v="IT-10030"/>
    <s v="Ball bearing L-30"/>
    <x v="0"/>
    <x v="0"/>
    <x v="0"/>
    <s v="2026-01"/>
    <n v="178.79"/>
    <n v="178.79"/>
    <n v="181.35124999999999"/>
    <n v="246.49"/>
    <n v="38"/>
    <n v="35"/>
    <n v="9"/>
    <n v="24"/>
    <n v="4352.43"/>
    <n v="2"/>
    <n v="22"/>
    <n v="18.55"/>
    <n v="6"/>
    <n v="8"/>
    <n v="1971.92"/>
    <n v="0"/>
    <x v="0"/>
    <s v="OK"/>
  </r>
  <r>
    <s v="IT-10030"/>
    <s v="Ball bearing L-30"/>
    <x v="0"/>
    <x v="0"/>
    <x v="0"/>
    <s v="2026-02"/>
    <n v="180.02"/>
    <n v="180.02"/>
    <n v="180.988"/>
    <n v="255.06"/>
    <n v="38"/>
    <n v="34"/>
    <n v="9"/>
    <n v="25"/>
    <n v="4524.7"/>
    <n v="3"/>
    <n v="22"/>
    <n v="16.920000000000002"/>
    <n v="1"/>
    <n v="8"/>
    <n v="2040.48"/>
    <n v="0"/>
    <x v="0"/>
    <s v="OK"/>
  </r>
  <r>
    <s v="IT-10030"/>
    <s v="Ball bearing L-30"/>
    <x v="0"/>
    <x v="0"/>
    <x v="0"/>
    <s v="2026-03"/>
    <n v="183.78"/>
    <n v="183.78"/>
    <n v="180.988"/>
    <n v="255.06"/>
    <n v="38"/>
    <m/>
    <n v="0"/>
    <n v="15"/>
    <n v="2714.82"/>
    <n v="3"/>
    <n v="12"/>
    <n v="7.42"/>
    <n v="2"/>
    <n v="10"/>
    <n v="2550.6"/>
    <n v="0"/>
    <x v="0"/>
    <s v="OK"/>
  </r>
  <r>
    <s v="IT-10030"/>
    <s v="Ball bearing L-30"/>
    <x v="0"/>
    <x v="0"/>
    <x v="0"/>
    <s v="2026-04"/>
    <n v="184.36"/>
    <n v="184.36"/>
    <n v="182.2525"/>
    <n v="255.06"/>
    <n v="38"/>
    <n v="37"/>
    <n v="9"/>
    <n v="20"/>
    <n v="3645.05"/>
    <n v="2"/>
    <n v="18"/>
    <n v="11.56"/>
    <n v="1"/>
    <n v="4"/>
    <n v="1020.24"/>
    <n v="0"/>
    <x v="0"/>
    <s v="OK"/>
  </r>
  <r>
    <s v="IT-10030"/>
    <s v="Ball bearing L-30"/>
    <x v="0"/>
    <x v="0"/>
    <x v="0"/>
    <s v="2026-05"/>
    <n v="190.87"/>
    <n v="190.87"/>
    <n v="182.2525"/>
    <n v="255.06"/>
    <n v="38"/>
    <m/>
    <n v="0"/>
    <n v="12"/>
    <n v="2187.0300000000002"/>
    <n v="1"/>
    <n v="11"/>
    <n v="7.17"/>
    <n v="17"/>
    <n v="8"/>
    <n v="2040.48"/>
    <n v="0"/>
    <x v="0"/>
    <s v="OK"/>
  </r>
  <r>
    <s v="IT-10030"/>
    <s v="Ball bearing L-30"/>
    <x v="0"/>
    <x v="0"/>
    <x v="0"/>
    <s v="2026-06"/>
    <n v="185.7"/>
    <n v="185.7"/>
    <n v="183.73"/>
    <n v="255.06"/>
    <n v="38"/>
    <n v="37"/>
    <n v="9"/>
    <n v="6"/>
    <n v="1102.3800000000001"/>
    <n v="2"/>
    <n v="4"/>
    <n v="2.89"/>
    <n v="0"/>
    <n v="15"/>
    <n v="3825.9"/>
    <n v="0"/>
    <x v="0"/>
    <s v="OK"/>
  </r>
  <r>
    <s v="IT-10030"/>
    <s v="Ball bearing L-30"/>
    <x v="0"/>
    <x v="0"/>
    <x v="0"/>
    <s v="2026-07"/>
    <n v="190.1"/>
    <n v="190.1"/>
    <n v="183.73"/>
    <n v="255.06"/>
    <n v="38"/>
    <m/>
    <n v="0"/>
    <n v="0"/>
    <n v="0"/>
    <n v="0"/>
    <n v="0"/>
    <n v="0"/>
    <n v="5"/>
    <n v="6"/>
    <n v="1530.36"/>
    <n v="8"/>
    <x v="1"/>
    <s v="OK"/>
  </r>
  <r>
    <s v="IT-10030"/>
    <s v="Ball bearing L-30"/>
    <x v="0"/>
    <x v="0"/>
    <x v="0"/>
    <s v="2026-08"/>
    <n v="191.27"/>
    <n v="191.27"/>
    <n v="191.27"/>
    <n v="255.06"/>
    <n v="38"/>
    <n v="49"/>
    <n v="29"/>
    <n v="20"/>
    <n v="3825.4"/>
    <n v="2"/>
    <n v="18"/>
    <n v="8.76"/>
    <n v="0"/>
    <n v="9"/>
    <n v="2295.54"/>
    <n v="0"/>
    <x v="0"/>
    <s v="OK"/>
  </r>
  <r>
    <s v="IT-10031"/>
    <s v="Anchor bolt M-31"/>
    <x v="2"/>
    <x v="2"/>
    <x v="0"/>
    <s v="2024-09"/>
    <n v="9.5"/>
    <n v="9.5"/>
    <n v="9.5008750000000006"/>
    <n v="13.32"/>
    <n v="28"/>
    <n v="27"/>
    <n v="47"/>
    <n v="80"/>
    <n v="760.07"/>
    <n v="3"/>
    <n v="77"/>
    <n v="7.62"/>
    <n v="3"/>
    <n v="27"/>
    <n v="359.64"/>
    <n v="0"/>
    <x v="0"/>
    <s v="OK"/>
  </r>
  <r>
    <s v="IT-10031"/>
    <s v="Anchor bolt M-31"/>
    <x v="2"/>
    <x v="2"/>
    <x v="0"/>
    <s v="2024-10"/>
    <n v="9.41"/>
    <n v="9.41"/>
    <n v="9.5008929999999996"/>
    <n v="13.32"/>
    <n v="28"/>
    <m/>
    <n v="0"/>
    <n v="56"/>
    <n v="532.04999999999995"/>
    <n v="6"/>
    <n v="50"/>
    <n v="6.75"/>
    <n v="1"/>
    <n v="24"/>
    <n v="319.68"/>
    <n v="0"/>
    <x v="0"/>
    <s v="OK"/>
  </r>
  <r>
    <s v="IT-10031"/>
    <s v="Anchor bolt M-31"/>
    <x v="2"/>
    <x v="2"/>
    <x v="0"/>
    <s v="2024-11"/>
    <n v="9.24"/>
    <n v="9.24"/>
    <n v="9.3473950000000006"/>
    <n v="13.32"/>
    <n v="28"/>
    <n v="40"/>
    <n v="80"/>
    <n v="119"/>
    <n v="1112.3399999999999"/>
    <n v="14"/>
    <n v="105"/>
    <n v="22.75"/>
    <n v="7"/>
    <n v="17"/>
    <n v="226.44"/>
    <n v="0"/>
    <x v="0"/>
    <s v="OK"/>
  </r>
  <r>
    <s v="IT-10031"/>
    <s v="Anchor bolt M-31"/>
    <x v="2"/>
    <x v="2"/>
    <x v="0"/>
    <s v="2024-12"/>
    <n v="9.69"/>
    <n v="9.69"/>
    <n v="9.4949399999999997"/>
    <n v="13.32"/>
    <n v="28"/>
    <n v="27"/>
    <n v="90"/>
    <n v="166"/>
    <n v="1576.16"/>
    <n v="6"/>
    <n v="160"/>
    <n v="25.97"/>
    <n v="0"/>
    <n v="43"/>
    <n v="572.76"/>
    <n v="0"/>
    <x v="0"/>
    <s v="OK"/>
  </r>
  <r>
    <s v="IT-10031"/>
    <s v="Anchor bolt M-31"/>
    <x v="2"/>
    <x v="2"/>
    <x v="0"/>
    <s v="2025-01"/>
    <n v="9.58"/>
    <n v="9.58"/>
    <n v="9.4948910000000009"/>
    <n v="13.32"/>
    <n v="28"/>
    <m/>
    <n v="0"/>
    <n v="92"/>
    <n v="873.53"/>
    <n v="11"/>
    <n v="81"/>
    <n v="9.02"/>
    <n v="2"/>
    <n v="74"/>
    <n v="985.68"/>
    <n v="0"/>
    <x v="0"/>
    <s v="OK"/>
  </r>
  <r>
    <s v="IT-10031"/>
    <s v="Anchor bolt M-31"/>
    <x v="2"/>
    <x v="2"/>
    <x v="0"/>
    <s v="2025-02"/>
    <n v="9.52"/>
    <n v="9.52"/>
    <n v="9.4948610000000002"/>
    <n v="13.66"/>
    <n v="28"/>
    <m/>
    <n v="0"/>
    <n v="72"/>
    <n v="683.63"/>
    <n v="15"/>
    <n v="57"/>
    <n v="6.76"/>
    <n v="16"/>
    <n v="20"/>
    <n v="273.2"/>
    <n v="0"/>
    <x v="0"/>
    <s v="OK"/>
  </r>
  <r>
    <s v="IT-10031"/>
    <s v="Anchor bolt M-31"/>
    <x v="2"/>
    <x v="2"/>
    <x v="0"/>
    <s v="2025-03"/>
    <n v="9.6"/>
    <n v="9.6"/>
    <n v="9.5384550000000008"/>
    <n v="13.66"/>
    <n v="28"/>
    <n v="35"/>
    <n v="51"/>
    <n v="123"/>
    <n v="1173.23"/>
    <n v="12"/>
    <n v="111"/>
    <n v="16.82"/>
    <n v="47"/>
    <n v="0"/>
    <n v="0"/>
    <n v="0"/>
    <x v="0"/>
    <s v="OK"/>
  </r>
  <r>
    <s v="IT-10031"/>
    <s v="Anchor bolt M-31"/>
    <x v="2"/>
    <x v="2"/>
    <x v="0"/>
    <s v="2025-04"/>
    <n v="9.77"/>
    <n v="9.77"/>
    <n v="9.5384379999999993"/>
    <n v="13.66"/>
    <n v="28"/>
    <m/>
    <n v="0"/>
    <n v="64"/>
    <n v="610.46"/>
    <n v="14"/>
    <n v="50"/>
    <n v="10.3"/>
    <n v="3"/>
    <n v="59"/>
    <n v="805.94"/>
    <n v="0"/>
    <x v="0"/>
    <s v="OK"/>
  </r>
  <r>
    <s v="IT-10031"/>
    <s v="Anchor bolt M-31"/>
    <x v="2"/>
    <x v="2"/>
    <x v="0"/>
    <s v="2025-05"/>
    <n v="9.66"/>
    <n v="9.66"/>
    <n v="9.5381250000000009"/>
    <n v="13.66"/>
    <n v="28"/>
    <m/>
    <n v="0"/>
    <n v="16"/>
    <n v="152.61000000000001"/>
    <n v="14"/>
    <n v="2"/>
    <n v="1.97"/>
    <n v="0"/>
    <n v="48"/>
    <n v="655.68"/>
    <n v="0"/>
    <x v="0"/>
    <s v="OK"/>
  </r>
  <r>
    <s v="IT-10031"/>
    <s v="Anchor bolt M-31"/>
    <x v="2"/>
    <x v="2"/>
    <x v="0"/>
    <s v="2025-06"/>
    <n v="9.58"/>
    <n v="9.58"/>
    <n v="9.5712960000000002"/>
    <n v="13.66"/>
    <n v="28"/>
    <n v="35"/>
    <n v="61"/>
    <n v="54"/>
    <n v="516.85"/>
    <n v="12"/>
    <n v="42"/>
    <n v="5.4"/>
    <n v="2"/>
    <n v="23"/>
    <n v="314.18"/>
    <n v="0"/>
    <x v="0"/>
    <s v="OK"/>
  </r>
  <r>
    <s v="IT-10031"/>
    <s v="Anchor bolt M-31"/>
    <x v="2"/>
    <x v="2"/>
    <x v="0"/>
    <s v="2025-07"/>
    <n v="9.5"/>
    <n v="9.5"/>
    <n v="9.5214770000000009"/>
    <n v="13.66"/>
    <n v="28"/>
    <n v="44"/>
    <n v="125"/>
    <n v="149"/>
    <n v="1418.7"/>
    <n v="14"/>
    <n v="135"/>
    <n v="19.39"/>
    <n v="1"/>
    <n v="30"/>
    <n v="409.8"/>
    <n v="0"/>
    <x v="0"/>
    <s v="OK"/>
  </r>
  <r>
    <s v="IT-10031"/>
    <s v="Anchor bolt M-31"/>
    <x v="2"/>
    <x v="2"/>
    <x v="0"/>
    <s v="2025-08"/>
    <n v="9.75"/>
    <n v="9.75"/>
    <n v="9.5358059999999991"/>
    <n v="13.66"/>
    <n v="28"/>
    <n v="25"/>
    <n v="10"/>
    <n v="93"/>
    <n v="886.83"/>
    <n v="6"/>
    <n v="87"/>
    <n v="10.27"/>
    <n v="4"/>
    <n v="66"/>
    <n v="901.56"/>
    <n v="0"/>
    <x v="0"/>
    <s v="OK"/>
  </r>
  <r>
    <s v="IT-10031"/>
    <s v="Anchor bolt M-31"/>
    <x v="2"/>
    <x v="2"/>
    <x v="0"/>
    <s v="2025-09"/>
    <n v="9.6"/>
    <n v="9.6"/>
    <n v="9.5456599999999998"/>
    <n v="13.66"/>
    <n v="28"/>
    <n v="27"/>
    <n v="17"/>
    <n v="53"/>
    <n v="505.92"/>
    <n v="5"/>
    <n v="48"/>
    <n v="4.55"/>
    <n v="2"/>
    <n v="57"/>
    <n v="778.62"/>
    <n v="0"/>
    <x v="0"/>
    <s v="OK"/>
  </r>
  <r>
    <s v="IT-10031"/>
    <s v="Anchor bolt M-31"/>
    <x v="2"/>
    <x v="2"/>
    <x v="0"/>
    <s v="2025-10"/>
    <n v="9.7799999999999994"/>
    <n v="9.7799999999999994"/>
    <n v="9.5449999999999999"/>
    <n v="13.66"/>
    <n v="28"/>
    <m/>
    <n v="0"/>
    <n v="6"/>
    <n v="57.27"/>
    <n v="6"/>
    <n v="0"/>
    <n v="0.46"/>
    <n v="12"/>
    <n v="47"/>
    <n v="642.02"/>
    <n v="0"/>
    <x v="0"/>
    <s v="OK"/>
  </r>
  <r>
    <s v="IT-10031"/>
    <s v="Anchor bolt M-31"/>
    <x v="2"/>
    <x v="2"/>
    <x v="0"/>
    <s v="2025-11"/>
    <n v="9.81"/>
    <n v="9.81"/>
    <n v="9.7929790000000008"/>
    <n v="13.66"/>
    <n v="28"/>
    <n v="44"/>
    <n v="87"/>
    <n v="47"/>
    <n v="460.27"/>
    <n v="9"/>
    <n v="38"/>
    <n v="4.07"/>
    <n v="7"/>
    <n v="46"/>
    <n v="628.36"/>
    <n v="0"/>
    <x v="0"/>
    <s v="OK"/>
  </r>
  <r>
    <s v="IT-10031"/>
    <s v="Anchor bolt M-31"/>
    <x v="2"/>
    <x v="2"/>
    <x v="0"/>
    <s v="2025-12"/>
    <n v="10.02"/>
    <n v="10.02"/>
    <n v="9.8581479999999999"/>
    <n v="13.66"/>
    <n v="28"/>
    <n v="46"/>
    <n v="19"/>
    <n v="27"/>
    <n v="266.17"/>
    <n v="14"/>
    <n v="13"/>
    <n v="2.69"/>
    <n v="11"/>
    <n v="39"/>
    <n v="532.74"/>
    <n v="0"/>
    <x v="0"/>
    <s v="OK"/>
  </r>
  <r>
    <s v="IT-10031"/>
    <s v="Anchor bolt M-31"/>
    <x v="2"/>
    <x v="2"/>
    <x v="0"/>
    <s v="2026-01"/>
    <n v="9.9600000000000009"/>
    <n v="9.9600000000000009"/>
    <n v="9.9238"/>
    <n v="13.66"/>
    <n v="28"/>
    <n v="47"/>
    <n v="49"/>
    <n v="50"/>
    <n v="496.19"/>
    <n v="5"/>
    <n v="45"/>
    <n v="5.92"/>
    <n v="1"/>
    <n v="26"/>
    <n v="355.16"/>
    <n v="0"/>
    <x v="0"/>
    <s v="OK"/>
  </r>
  <r>
    <s v="IT-10031"/>
    <s v="Anchor bolt M-31"/>
    <x v="2"/>
    <x v="2"/>
    <x v="0"/>
    <s v="2026-02"/>
    <n v="10.119999999999999"/>
    <n v="10.119999999999999"/>
    <n v="10.035500000000001"/>
    <n v="14.01"/>
    <n v="28"/>
    <n v="45"/>
    <n v="66"/>
    <n v="40"/>
    <n v="401.42"/>
    <n v="3"/>
    <n v="37"/>
    <n v="3.65"/>
    <n v="2"/>
    <n v="76"/>
    <n v="1064.76"/>
    <n v="0"/>
    <x v="0"/>
    <s v="OK"/>
  </r>
  <r>
    <s v="IT-10031"/>
    <s v="Anchor bolt M-31"/>
    <x v="2"/>
    <x v="2"/>
    <x v="0"/>
    <s v="2026-03"/>
    <n v="9.75"/>
    <n v="9.75"/>
    <n v="9.973922"/>
    <n v="14.01"/>
    <n v="28"/>
    <n v="44"/>
    <n v="11"/>
    <n v="0"/>
    <n v="0"/>
    <n v="0"/>
    <n v="0"/>
    <n v="0"/>
    <n v="1"/>
    <n v="51"/>
    <n v="714.51"/>
    <n v="21"/>
    <x v="1"/>
    <s v="OK"/>
  </r>
  <r>
    <s v="IT-10031"/>
    <s v="Anchor bolt M-31"/>
    <x v="2"/>
    <x v="2"/>
    <x v="0"/>
    <s v="2026-04"/>
    <n v="9.86"/>
    <n v="9.86"/>
    <n v="9.86"/>
    <n v="14.01"/>
    <n v="28"/>
    <n v="46"/>
    <n v="83"/>
    <n v="41"/>
    <n v="404.26"/>
    <n v="9"/>
    <n v="32"/>
    <n v="3.08"/>
    <n v="0"/>
    <n v="42"/>
    <n v="588.41999999999996"/>
    <n v="0"/>
    <x v="0"/>
    <s v="OK"/>
  </r>
  <r>
    <s v="IT-10031"/>
    <s v="Anchor bolt M-31"/>
    <x v="2"/>
    <x v="2"/>
    <x v="0"/>
    <s v="2026-05"/>
    <n v="10.02"/>
    <n v="10.02"/>
    <n v="9.975104"/>
    <n v="14.01"/>
    <n v="28"/>
    <n v="24"/>
    <n v="105"/>
    <n v="96"/>
    <n v="957.61"/>
    <n v="11"/>
    <n v="85"/>
    <n v="8.82"/>
    <n v="5"/>
    <n v="50"/>
    <n v="700.5"/>
    <n v="0"/>
    <x v="0"/>
    <s v="OK"/>
  </r>
  <r>
    <s v="IT-10031"/>
    <s v="Anchor bolt M-31"/>
    <x v="2"/>
    <x v="2"/>
    <x v="0"/>
    <s v="2026-06"/>
    <n v="9.8699999999999992"/>
    <n v="9.8699999999999992"/>
    <n v="9.9482560000000007"/>
    <n v="14.01"/>
    <n v="28"/>
    <n v="24"/>
    <n v="33"/>
    <n v="86"/>
    <n v="855.55"/>
    <n v="9"/>
    <n v="77"/>
    <n v="8.2799999999999994"/>
    <n v="2"/>
    <n v="43"/>
    <n v="602.42999999999995"/>
    <n v="0"/>
    <x v="0"/>
    <s v="OK"/>
  </r>
  <r>
    <s v="IT-10031"/>
    <s v="Anchor bolt M-31"/>
    <x v="2"/>
    <x v="2"/>
    <x v="0"/>
    <s v="2026-07"/>
    <n v="10.09"/>
    <n v="10.09"/>
    <n v="10.01953"/>
    <n v="14.01"/>
    <n v="28"/>
    <n v="26"/>
    <n v="87"/>
    <n v="149"/>
    <n v="1492.91"/>
    <n v="6"/>
    <n v="143"/>
    <n v="16.739999999999998"/>
    <n v="8"/>
    <n v="24"/>
    <n v="336.24"/>
    <n v="0"/>
    <x v="0"/>
    <s v="OK"/>
  </r>
  <r>
    <s v="IT-10031"/>
    <s v="Anchor bolt M-31"/>
    <x v="2"/>
    <x v="2"/>
    <x v="0"/>
    <s v="2026-08"/>
    <n v="10.1"/>
    <n v="10.1"/>
    <n v="10.019569000000001"/>
    <n v="14.01"/>
    <n v="28"/>
    <m/>
    <n v="0"/>
    <n v="116"/>
    <n v="1162.27"/>
    <n v="5"/>
    <n v="111"/>
    <n v="15.25"/>
    <n v="1"/>
    <n v="33"/>
    <n v="462.33"/>
    <n v="0"/>
    <x v="0"/>
    <s v="OK"/>
  </r>
  <r>
    <s v="IT-10032"/>
    <s v="Pressure valve 10-32"/>
    <x v="1"/>
    <x v="1"/>
    <x v="1"/>
    <s v="2024-09"/>
    <n v="32.81"/>
    <n v="32.81"/>
    <n v="32.584119999999999"/>
    <n v="45.81"/>
    <n v="50"/>
    <n v="44"/>
    <n v="356"/>
    <n v="449"/>
    <n v="14630.27"/>
    <n v="73"/>
    <n v="376"/>
    <n v="8.43"/>
    <n v="0"/>
    <n v="186"/>
    <n v="8520.66"/>
    <n v="0"/>
    <x v="0"/>
    <s v="OK"/>
  </r>
  <r>
    <s v="IT-10032"/>
    <s v="Pressure valve 10-32"/>
    <x v="1"/>
    <x v="1"/>
    <x v="1"/>
    <s v="2024-10"/>
    <n v="32.74"/>
    <n v="32.74"/>
    <n v="32.584147999999999"/>
    <n v="45.81"/>
    <n v="50"/>
    <m/>
    <n v="0"/>
    <n v="176"/>
    <n v="5734.81"/>
    <n v="24"/>
    <n v="152"/>
    <n v="3.11"/>
    <n v="4"/>
    <n v="273"/>
    <n v="12506.13"/>
    <n v="0"/>
    <x v="0"/>
    <s v="OK"/>
  </r>
  <r>
    <s v="IT-10032"/>
    <s v="Pressure valve 10-32"/>
    <x v="1"/>
    <x v="1"/>
    <x v="1"/>
    <s v="2024-11"/>
    <n v="32.130000000000003"/>
    <n v="32.130000000000003"/>
    <n v="32.235042"/>
    <n v="45.81"/>
    <n v="50"/>
    <n v="48"/>
    <n v="585"/>
    <n v="476"/>
    <n v="15343.88"/>
    <n v="56"/>
    <n v="420"/>
    <n v="8.32"/>
    <n v="5"/>
    <n v="285"/>
    <n v="13055.85"/>
    <n v="0"/>
    <x v="0"/>
    <s v="OK"/>
  </r>
  <r>
    <s v="IT-10032"/>
    <s v="Pressure valve 10-32"/>
    <x v="1"/>
    <x v="1"/>
    <x v="1"/>
    <s v="2024-12"/>
    <n v="32.36"/>
    <n v="32.36"/>
    <n v="32.296787999999999"/>
    <n v="45.81"/>
    <n v="50"/>
    <n v="60"/>
    <n v="465"/>
    <n v="685"/>
    <n v="22123.3"/>
    <n v="16"/>
    <n v="669"/>
    <n v="11.06"/>
    <n v="1"/>
    <n v="256"/>
    <n v="11727.36"/>
    <n v="0"/>
    <x v="0"/>
    <s v="OK"/>
  </r>
  <r>
    <s v="IT-10032"/>
    <s v="Pressure valve 10-32"/>
    <x v="1"/>
    <x v="1"/>
    <x v="1"/>
    <s v="2025-01"/>
    <n v="33.61"/>
    <n v="33.61"/>
    <n v="32.296782"/>
    <n v="45.81"/>
    <n v="50"/>
    <m/>
    <n v="0"/>
    <n v="432"/>
    <n v="13952.21"/>
    <n v="56"/>
    <n v="376"/>
    <n v="7.15"/>
    <n v="0"/>
    <n v="253"/>
    <n v="11589.93"/>
    <n v="0"/>
    <x v="0"/>
    <s v="OK"/>
  </r>
  <r>
    <s v="IT-10032"/>
    <s v="Pressure valve 10-32"/>
    <x v="1"/>
    <x v="1"/>
    <x v="1"/>
    <s v="2025-02"/>
    <n v="33.61"/>
    <n v="33.61"/>
    <n v="32.911346000000002"/>
    <n v="47.34"/>
    <n v="50"/>
    <n v="46"/>
    <n v="380"/>
    <n v="728"/>
    <n v="23959.46"/>
    <n v="32"/>
    <n v="696"/>
    <n v="15.78"/>
    <n v="3"/>
    <n v="84"/>
    <n v="3976.56"/>
    <n v="0"/>
    <x v="0"/>
    <s v="OK"/>
  </r>
  <r>
    <s v="IT-10032"/>
    <s v="Pressure valve 10-32"/>
    <x v="1"/>
    <x v="1"/>
    <x v="1"/>
    <s v="2025-03"/>
    <n v="33.729999999999997"/>
    <n v="33.729999999999997"/>
    <n v="32.911349000000001"/>
    <n v="47.34"/>
    <n v="50"/>
    <m/>
    <n v="0"/>
    <n v="393"/>
    <n v="12934.16"/>
    <n v="81"/>
    <n v="312"/>
    <n v="7.52"/>
    <n v="1"/>
    <n v="335"/>
    <n v="15858.9"/>
    <n v="0"/>
    <x v="0"/>
    <s v="OK"/>
  </r>
  <r>
    <s v="IT-10032"/>
    <s v="Pressure valve 10-32"/>
    <x v="1"/>
    <x v="1"/>
    <x v="1"/>
    <s v="2025-04"/>
    <n v="33.22"/>
    <n v="33.22"/>
    <n v="33.025596"/>
    <n v="47.34"/>
    <n v="50"/>
    <n v="47"/>
    <n v="231"/>
    <n v="361"/>
    <n v="11922.24"/>
    <n v="73"/>
    <n v="288"/>
    <n v="6.73"/>
    <n v="0"/>
    <n v="263"/>
    <n v="12450.42"/>
    <n v="0"/>
    <x v="0"/>
    <s v="OK"/>
  </r>
  <r>
    <s v="IT-10032"/>
    <s v="Pressure valve 10-32"/>
    <x v="1"/>
    <x v="1"/>
    <x v="1"/>
    <s v="2025-05"/>
    <n v="33.47"/>
    <n v="33.47"/>
    <n v="33.183523000000001"/>
    <n v="47.34"/>
    <n v="50"/>
    <n v="46"/>
    <n v="199"/>
    <n v="491"/>
    <n v="16293.11"/>
    <n v="81"/>
    <n v="410"/>
    <n v="9.67"/>
    <n v="6"/>
    <n v="69"/>
    <n v="3266.46"/>
    <n v="0"/>
    <x v="0"/>
    <s v="OK"/>
  </r>
  <r>
    <s v="IT-10032"/>
    <s v="Pressure valve 10-32"/>
    <x v="1"/>
    <x v="1"/>
    <x v="1"/>
    <s v="2025-06"/>
    <n v="32.909999999999997"/>
    <n v="32.909999999999997"/>
    <n v="33.131993999999999"/>
    <n v="47.34"/>
    <n v="50"/>
    <n v="45"/>
    <n v="114"/>
    <n v="361"/>
    <n v="11960.65"/>
    <n v="24"/>
    <n v="337"/>
    <n v="8.15"/>
    <n v="0"/>
    <n v="244"/>
    <n v="11550.96"/>
    <n v="0"/>
    <x v="0"/>
    <s v="OK"/>
  </r>
  <r>
    <s v="IT-10032"/>
    <s v="Pressure valve 10-32"/>
    <x v="1"/>
    <x v="1"/>
    <x v="1"/>
    <s v="2025-07"/>
    <n v="33.71"/>
    <n v="33.71"/>
    <n v="33.131999999999998"/>
    <n v="47.34"/>
    <n v="50"/>
    <m/>
    <n v="0"/>
    <n v="160"/>
    <n v="5301.12"/>
    <n v="81"/>
    <n v="79"/>
    <n v="4.09"/>
    <n v="0"/>
    <n v="201"/>
    <n v="9515.34"/>
    <n v="0"/>
    <x v="0"/>
    <s v="OK"/>
  </r>
  <r>
    <s v="IT-10032"/>
    <s v="Pressure valve 10-32"/>
    <x v="1"/>
    <x v="1"/>
    <x v="1"/>
    <s v="2025-08"/>
    <n v="33.06"/>
    <n v="33.06"/>
    <n v="33.074581999999999"/>
    <n v="47.34"/>
    <n v="50"/>
    <n v="44"/>
    <n v="630"/>
    <n v="598"/>
    <n v="19778.599999999999"/>
    <n v="48"/>
    <n v="550"/>
    <n v="12.34"/>
    <n v="1"/>
    <n v="192"/>
    <n v="9089.2800000000007"/>
    <n v="0"/>
    <x v="0"/>
    <s v="OK"/>
  </r>
  <r>
    <s v="IT-10032"/>
    <s v="Pressure valve 10-32"/>
    <x v="1"/>
    <x v="1"/>
    <x v="1"/>
    <s v="2025-09"/>
    <n v="32.82"/>
    <n v="32.82"/>
    <n v="33.074596999999997"/>
    <n v="47.34"/>
    <n v="50"/>
    <m/>
    <n v="0"/>
    <n v="298"/>
    <n v="9856.23"/>
    <n v="24"/>
    <n v="274"/>
    <n v="5.65"/>
    <n v="0"/>
    <n v="300"/>
    <n v="14202"/>
    <n v="0"/>
    <x v="0"/>
    <s v="OK"/>
  </r>
  <r>
    <s v="IT-10032"/>
    <s v="Pressure valve 10-32"/>
    <x v="1"/>
    <x v="1"/>
    <x v="1"/>
    <s v="2025-10"/>
    <n v="33.340000000000003"/>
    <n v="33.340000000000003"/>
    <n v="33.237555999999998"/>
    <n v="47.34"/>
    <n v="50"/>
    <n v="49"/>
    <n v="474"/>
    <n v="630"/>
    <n v="20939.66"/>
    <n v="40"/>
    <n v="590"/>
    <n v="13.06"/>
    <n v="2"/>
    <n v="142"/>
    <n v="6722.28"/>
    <n v="0"/>
    <x v="0"/>
    <s v="OK"/>
  </r>
  <r>
    <s v="IT-10032"/>
    <s v="Pressure valve 10-32"/>
    <x v="1"/>
    <x v="1"/>
    <x v="1"/>
    <s v="2025-11"/>
    <n v="33.29"/>
    <n v="33.29"/>
    <n v="33.248066999999999"/>
    <n v="47.34"/>
    <n v="50"/>
    <n v="45"/>
    <n v="158"/>
    <n v="569"/>
    <n v="18918.150000000001"/>
    <n v="73"/>
    <n v="496"/>
    <n v="11.19"/>
    <n v="2"/>
    <n v="219"/>
    <n v="10367.459999999999"/>
    <n v="0"/>
    <x v="0"/>
    <s v="OK"/>
  </r>
  <r>
    <s v="IT-10032"/>
    <s v="Pressure valve 10-32"/>
    <x v="1"/>
    <x v="1"/>
    <x v="1"/>
    <s v="2025-12"/>
    <n v="33.54"/>
    <n v="33.54"/>
    <n v="33.322581999999997"/>
    <n v="47.34"/>
    <n v="50"/>
    <n v="44"/>
    <n v="195"/>
    <n v="550"/>
    <n v="18327.419999999998"/>
    <n v="65"/>
    <n v="485"/>
    <n v="12.57"/>
    <n v="0"/>
    <n v="214"/>
    <n v="10130.76"/>
    <n v="0"/>
    <x v="0"/>
    <s v="OK"/>
  </r>
  <r>
    <s v="IT-10032"/>
    <s v="Pressure valve 10-32"/>
    <x v="1"/>
    <x v="1"/>
    <x v="1"/>
    <s v="2026-01"/>
    <n v="35.39"/>
    <n v="35.39"/>
    <n v="34.166015000000002"/>
    <n v="47.34"/>
    <n v="50"/>
    <n v="43"/>
    <n v="379"/>
    <n v="670"/>
    <n v="22891.23"/>
    <n v="73"/>
    <n v="597"/>
    <n v="12.73"/>
    <n v="1"/>
    <n v="259"/>
    <n v="12261.06"/>
    <n v="0"/>
    <x v="0"/>
    <s v="OK"/>
  </r>
  <r>
    <s v="IT-10032"/>
    <s v="Pressure valve 10-32"/>
    <x v="1"/>
    <x v="1"/>
    <x v="1"/>
    <s v="2026-02"/>
    <n v="34.56"/>
    <n v="34.56"/>
    <n v="34.166006000000003"/>
    <n v="48.92"/>
    <n v="50"/>
    <m/>
    <n v="0"/>
    <n v="348"/>
    <n v="11889.77"/>
    <n v="32"/>
    <n v="316"/>
    <n v="5.63"/>
    <n v="0"/>
    <n v="322"/>
    <n v="15752.24"/>
    <n v="0"/>
    <x v="0"/>
    <s v="OK"/>
  </r>
  <r>
    <s v="IT-10032"/>
    <s v="Pressure valve 10-32"/>
    <x v="1"/>
    <x v="1"/>
    <x v="1"/>
    <s v="2026-03"/>
    <n v="34.6"/>
    <n v="34.6"/>
    <n v="34.166071000000002"/>
    <n v="48.92"/>
    <n v="50"/>
    <m/>
    <n v="0"/>
    <n v="56"/>
    <n v="1913.3"/>
    <n v="40"/>
    <n v="16"/>
    <n v="0.82"/>
    <n v="0"/>
    <n v="292"/>
    <n v="14284.64"/>
    <n v="0"/>
    <x v="0"/>
    <s v="OK"/>
  </r>
  <r>
    <s v="IT-10032"/>
    <s v="Pressure valve 10-32"/>
    <x v="1"/>
    <x v="1"/>
    <x v="1"/>
    <s v="2026-04"/>
    <n v="34.020000000000003"/>
    <n v="34.020000000000003"/>
    <n v="34.031410000000001"/>
    <n v="48.92"/>
    <n v="50"/>
    <n v="45"/>
    <n v="661"/>
    <n v="532"/>
    <n v="18104.71"/>
    <n v="56"/>
    <n v="476"/>
    <n v="8.4700000000000006"/>
    <n v="5"/>
    <n v="185"/>
    <n v="9050.2000000000007"/>
    <n v="0"/>
    <x v="0"/>
    <s v="OK"/>
  </r>
  <r>
    <s v="IT-10032"/>
    <s v="Pressure valve 10-32"/>
    <x v="1"/>
    <x v="1"/>
    <x v="1"/>
    <s v="2026-05"/>
    <n v="34.86"/>
    <n v="34.86"/>
    <n v="34.138537999999997"/>
    <n v="48.92"/>
    <n v="50"/>
    <n v="43"/>
    <n v="79"/>
    <n v="253"/>
    <n v="8637.0499999999993"/>
    <n v="40"/>
    <n v="213"/>
    <n v="3.98"/>
    <n v="2"/>
    <n v="358"/>
    <n v="17513.36"/>
    <n v="0"/>
    <x v="0"/>
    <s v="OK"/>
  </r>
  <r>
    <s v="IT-10032"/>
    <s v="Pressure valve 10-32"/>
    <x v="1"/>
    <x v="1"/>
    <x v="1"/>
    <s v="2026-06"/>
    <n v="34.729999999999997"/>
    <n v="34.729999999999997"/>
    <n v="34.404000000000003"/>
    <n v="48.92"/>
    <n v="50"/>
    <n v="47"/>
    <n v="206"/>
    <n v="170"/>
    <n v="5848.68"/>
    <n v="73"/>
    <n v="97"/>
    <n v="2.66"/>
    <n v="4"/>
    <n v="289"/>
    <n v="14137.88"/>
    <n v="0"/>
    <x v="0"/>
    <s v="OK"/>
  </r>
  <r>
    <s v="IT-10032"/>
    <s v="Pressure valve 10-32"/>
    <x v="1"/>
    <x v="1"/>
    <x v="1"/>
    <s v="2026-07"/>
    <n v="34.21"/>
    <n v="34.21"/>
    <n v="34.404015999999999"/>
    <n v="48.92"/>
    <n v="50"/>
    <m/>
    <n v="0"/>
    <n v="127"/>
    <n v="4369.3100000000004"/>
    <n v="56"/>
    <n v="71"/>
    <n v="2.42"/>
    <n v="4"/>
    <n v="43"/>
    <n v="2103.56"/>
    <n v="0"/>
    <x v="0"/>
    <s v="OK"/>
  </r>
  <r>
    <s v="IT-10032"/>
    <s v="Pressure valve 10-32"/>
    <x v="1"/>
    <x v="1"/>
    <x v="1"/>
    <s v="2026-08"/>
    <n v="34.58"/>
    <n v="34.58"/>
    <n v="34.550975999999999"/>
    <n v="48.92"/>
    <n v="50"/>
    <n v="43"/>
    <n v="643"/>
    <n v="666"/>
    <n v="23010.95"/>
    <n v="65"/>
    <n v="601"/>
    <n v="20.079999999999998"/>
    <n v="0"/>
    <n v="104"/>
    <n v="5087.68"/>
    <n v="0"/>
    <x v="0"/>
    <s v="OK"/>
  </r>
  <r>
    <s v="IT-10033"/>
    <s v="Hex nut pack S-33"/>
    <x v="2"/>
    <x v="2"/>
    <x v="1"/>
    <s v="2024-09"/>
    <n v="149.43"/>
    <n v="159.35"/>
    <n v="161.31"/>
    <n v="222.57"/>
    <n v="38"/>
    <m/>
    <n v="0"/>
    <n v="13"/>
    <n v="2097.0300000000002"/>
    <n v="3"/>
    <n v="10"/>
    <n v="3.05"/>
    <n v="18"/>
    <n v="16"/>
    <n v="3561.12"/>
    <n v="0"/>
    <x v="0"/>
    <s v="OK"/>
  </r>
  <r>
    <s v="IT-10033"/>
    <s v="Hex nut pack S-33"/>
    <x v="2"/>
    <x v="2"/>
    <x v="1"/>
    <s v="2024-10"/>
    <n v="149.81"/>
    <n v="159.76"/>
    <n v="160.14756800000001"/>
    <n v="222.57"/>
    <n v="38"/>
    <n v="34"/>
    <n v="39"/>
    <n v="37"/>
    <n v="5925.46"/>
    <n v="3"/>
    <n v="34"/>
    <n v="8.84"/>
    <n v="4"/>
    <n v="15"/>
    <n v="3338.55"/>
    <n v="0"/>
    <x v="0"/>
    <s v="OK"/>
  </r>
  <r>
    <s v="IT-10033"/>
    <s v="Hex nut pack S-33"/>
    <x v="2"/>
    <x v="2"/>
    <x v="1"/>
    <s v="2024-11"/>
    <n v="151.13999999999999"/>
    <n v="161.18"/>
    <n v="160.44533300000001"/>
    <n v="222.57"/>
    <n v="38"/>
    <n v="32"/>
    <n v="15"/>
    <n v="30"/>
    <n v="4813.3599999999997"/>
    <n v="1"/>
    <n v="29"/>
    <n v="7.36"/>
    <n v="4"/>
    <n v="22"/>
    <n v="4896.54"/>
    <n v="0"/>
    <x v="0"/>
    <s v="OK"/>
  </r>
  <r>
    <s v="IT-10033"/>
    <s v="Hex nut pack S-33"/>
    <x v="2"/>
    <x v="2"/>
    <x v="1"/>
    <s v="2024-12"/>
    <n v="152.32"/>
    <n v="162.43"/>
    <n v="160.44555600000001"/>
    <n v="222.57"/>
    <n v="38"/>
    <m/>
    <n v="0"/>
    <n v="9"/>
    <n v="1444.01"/>
    <n v="3"/>
    <n v="6"/>
    <n v="2.04"/>
    <n v="0"/>
    <n v="21"/>
    <n v="4673.97"/>
    <n v="0"/>
    <x v="0"/>
    <s v="OK"/>
  </r>
  <r>
    <s v="IT-10033"/>
    <s v="Hex nut pack S-33"/>
    <x v="2"/>
    <x v="2"/>
    <x v="1"/>
    <s v="2025-01"/>
    <n v="152.62"/>
    <n v="162.75"/>
    <n v="162.35114300000001"/>
    <n v="222.57"/>
    <n v="38"/>
    <n v="34"/>
    <n v="43"/>
    <n v="35"/>
    <n v="5682.29"/>
    <n v="5"/>
    <n v="30"/>
    <n v="7.67"/>
    <n v="4"/>
    <n v="17"/>
    <n v="3783.69"/>
    <n v="0"/>
    <x v="0"/>
    <s v="OK"/>
  </r>
  <r>
    <s v="IT-10033"/>
    <s v="Hex nut pack S-33"/>
    <x v="2"/>
    <x v="2"/>
    <x v="1"/>
    <s v="2025-02"/>
    <n v="157.55000000000001"/>
    <n v="168.01"/>
    <n v="164.048889"/>
    <n v="232.12"/>
    <n v="38"/>
    <n v="34"/>
    <n v="15"/>
    <n v="36"/>
    <n v="5905.76"/>
    <n v="2"/>
    <n v="34"/>
    <n v="8.9"/>
    <n v="1"/>
    <n v="14"/>
    <n v="3249.68"/>
    <n v="0"/>
    <x v="0"/>
    <s v="OK"/>
  </r>
  <r>
    <s v="IT-10033"/>
    <s v="Hex nut pack S-33"/>
    <x v="2"/>
    <x v="2"/>
    <x v="1"/>
    <s v="2025-03"/>
    <n v="151.81"/>
    <n v="161.88999999999999"/>
    <n v="163.41399999999999"/>
    <n v="232.12"/>
    <n v="38"/>
    <n v="49"/>
    <n v="15"/>
    <n v="35"/>
    <n v="5719.49"/>
    <n v="2"/>
    <n v="33"/>
    <n v="9.57"/>
    <n v="9"/>
    <n v="16"/>
    <n v="3713.92"/>
    <n v="0"/>
    <x v="0"/>
    <s v="OK"/>
  </r>
  <r>
    <s v="IT-10033"/>
    <s v="Hex nut pack S-33"/>
    <x v="2"/>
    <x v="2"/>
    <x v="1"/>
    <s v="2025-04"/>
    <n v="155.71"/>
    <n v="166.05"/>
    <n v="164.204643"/>
    <n v="232.12"/>
    <n v="38"/>
    <n v="36"/>
    <n v="15"/>
    <n v="28"/>
    <n v="4597.7299999999996"/>
    <n v="5"/>
    <n v="23"/>
    <n v="6.85"/>
    <n v="3"/>
    <n v="22"/>
    <n v="5106.6400000000003"/>
    <n v="0"/>
    <x v="0"/>
    <s v="OK"/>
  </r>
  <r>
    <s v="IT-10033"/>
    <s v="Hex nut pack S-33"/>
    <x v="2"/>
    <x v="2"/>
    <x v="1"/>
    <s v="2025-05"/>
    <n v="156.47999999999999"/>
    <n v="166.87"/>
    <n v="165.134545"/>
    <n v="232.12"/>
    <n v="38"/>
    <n v="36"/>
    <n v="15"/>
    <n v="33"/>
    <n v="5449.44"/>
    <n v="1"/>
    <n v="32"/>
    <n v="9.0399999999999991"/>
    <n v="12"/>
    <n v="10"/>
    <n v="2321.1999999999998"/>
    <n v="0"/>
    <x v="0"/>
    <s v="OK"/>
  </r>
  <r>
    <s v="IT-10033"/>
    <s v="Hex nut pack S-33"/>
    <x v="2"/>
    <x v="2"/>
    <x v="1"/>
    <s v="2025-06"/>
    <n v="157.44"/>
    <n v="167.89"/>
    <n v="166.03444400000001"/>
    <n v="232.12"/>
    <n v="38"/>
    <n v="42"/>
    <n v="16"/>
    <n v="27"/>
    <n v="4482.93"/>
    <n v="4"/>
    <n v="23"/>
    <n v="6.5"/>
    <n v="2"/>
    <n v="22"/>
    <n v="5106.6400000000003"/>
    <n v="0"/>
    <x v="0"/>
    <s v="OK"/>
  </r>
  <r>
    <s v="IT-10033"/>
    <s v="Hex nut pack S-33"/>
    <x v="2"/>
    <x v="2"/>
    <x v="1"/>
    <s v="2025-07"/>
    <n v="156.66"/>
    <n v="167.06"/>
    <n v="166.40083300000001"/>
    <n v="232.12"/>
    <n v="38"/>
    <n v="32"/>
    <n v="15"/>
    <n v="24"/>
    <n v="3993.62"/>
    <n v="5"/>
    <n v="19"/>
    <n v="6.31"/>
    <n v="1"/>
    <n v="18"/>
    <n v="4178.16"/>
    <n v="0"/>
    <x v="0"/>
    <s v="OK"/>
  </r>
  <r>
    <s v="IT-10033"/>
    <s v="Hex nut pack S-33"/>
    <x v="2"/>
    <x v="2"/>
    <x v="1"/>
    <s v="2025-08"/>
    <n v="157.85"/>
    <n v="168.33"/>
    <n v="167.14285699999999"/>
    <n v="232.12"/>
    <n v="38"/>
    <n v="61"/>
    <n v="15"/>
    <n v="28"/>
    <n v="4680"/>
    <n v="4"/>
    <n v="24"/>
    <n v="7.22"/>
    <n v="9"/>
    <n v="11"/>
    <n v="2553.3200000000002"/>
    <n v="0"/>
    <x v="0"/>
    <s v="OK"/>
  </r>
  <r>
    <s v="IT-10033"/>
    <s v="Hex nut pack S-33"/>
    <x v="2"/>
    <x v="2"/>
    <x v="1"/>
    <s v="2025-09"/>
    <n v="154.57"/>
    <n v="164.83"/>
    <n v="166.301739"/>
    <n v="232.12"/>
    <n v="38"/>
    <n v="44"/>
    <n v="16"/>
    <n v="23"/>
    <n v="3824.94"/>
    <n v="3"/>
    <n v="20"/>
    <n v="6.05"/>
    <n v="2"/>
    <n v="21"/>
    <n v="4874.5200000000004"/>
    <n v="0"/>
    <x v="0"/>
    <s v="OK"/>
  </r>
  <r>
    <s v="IT-10033"/>
    <s v="Hex nut pack S-33"/>
    <x v="2"/>
    <x v="2"/>
    <x v="1"/>
    <s v="2025-10"/>
    <n v="153.59"/>
    <n v="163.79"/>
    <n v="165.01923099999999"/>
    <n v="232.12"/>
    <n v="38"/>
    <n v="34"/>
    <n v="24"/>
    <n v="26"/>
    <n v="4290.5"/>
    <n v="5"/>
    <n v="21"/>
    <n v="6.45"/>
    <n v="10"/>
    <n v="21"/>
    <n v="4874.5200000000004"/>
    <n v="0"/>
    <x v="0"/>
    <s v="OK"/>
  </r>
  <r>
    <s v="IT-10033"/>
    <s v="Hex nut pack S-33"/>
    <x v="2"/>
    <x v="2"/>
    <x v="1"/>
    <s v="2025-11"/>
    <n v="156.71"/>
    <n v="167.12"/>
    <n v="165.90625"/>
    <n v="232.12"/>
    <n v="38"/>
    <n v="37"/>
    <n v="19"/>
    <n v="24"/>
    <n v="3981.75"/>
    <n v="4"/>
    <n v="20"/>
    <n v="4.95"/>
    <n v="8"/>
    <n v="21"/>
    <n v="4874.5200000000004"/>
    <n v="0"/>
    <x v="0"/>
    <s v="OK"/>
  </r>
  <r>
    <s v="IT-10033"/>
    <s v="Hex nut pack S-33"/>
    <x v="2"/>
    <x v="2"/>
    <x v="1"/>
    <s v="2025-12"/>
    <n v="156.01"/>
    <n v="166.37"/>
    <n v="166.08449999999999"/>
    <n v="232.12"/>
    <n v="38"/>
    <n v="37"/>
    <n v="15"/>
    <n v="20"/>
    <n v="3321.69"/>
    <n v="3"/>
    <n v="17"/>
    <n v="4.3099999999999996"/>
    <n v="2"/>
    <n v="19"/>
    <n v="4410.28"/>
    <n v="0"/>
    <x v="0"/>
    <s v="OK"/>
  </r>
  <r>
    <s v="IT-10033"/>
    <s v="Hex nut pack S-33"/>
    <x v="2"/>
    <x v="2"/>
    <x v="1"/>
    <s v="2026-01"/>
    <n v="158.91999999999999"/>
    <n v="169.47"/>
    <n v="167.53529399999999"/>
    <n v="232.12"/>
    <n v="38"/>
    <n v="37"/>
    <n v="15"/>
    <n v="17"/>
    <n v="2848.1"/>
    <n v="2"/>
    <n v="15"/>
    <n v="3.85"/>
    <n v="3"/>
    <n v="18"/>
    <n v="4178.16"/>
    <n v="0"/>
    <x v="0"/>
    <s v="OK"/>
  </r>
  <r>
    <s v="IT-10033"/>
    <s v="Hex nut pack S-33"/>
    <x v="2"/>
    <x v="2"/>
    <x v="1"/>
    <s v="2026-02"/>
    <n v="157.91999999999999"/>
    <n v="168.41"/>
    <n v="168.00800000000001"/>
    <n v="242.08"/>
    <n v="38"/>
    <n v="36"/>
    <n v="20"/>
    <n v="25"/>
    <n v="4200.2"/>
    <n v="5"/>
    <n v="20"/>
    <n v="6.56"/>
    <n v="13"/>
    <n v="12"/>
    <n v="2904.96"/>
    <n v="0"/>
    <x v="0"/>
    <s v="OK"/>
  </r>
  <r>
    <s v="IT-10033"/>
    <s v="Hex nut pack S-33"/>
    <x v="2"/>
    <x v="2"/>
    <x v="1"/>
    <s v="2026-03"/>
    <n v="156.24"/>
    <n v="166.61"/>
    <n v="167.42269200000001"/>
    <n v="242.08"/>
    <n v="38"/>
    <n v="33"/>
    <n v="18"/>
    <n v="26"/>
    <n v="4352.99"/>
    <n v="4"/>
    <n v="22"/>
    <n v="7.11"/>
    <n v="3"/>
    <n v="17"/>
    <n v="4115.3599999999997"/>
    <n v="0"/>
    <x v="0"/>
    <s v="OK"/>
  </r>
  <r>
    <s v="IT-10033"/>
    <s v="Hex nut pack S-33"/>
    <x v="2"/>
    <x v="2"/>
    <x v="1"/>
    <s v="2026-04"/>
    <n v="156.84"/>
    <n v="167.25"/>
    <n v="167.35958299999999"/>
    <n v="242.08"/>
    <n v="38"/>
    <n v="59"/>
    <n v="15"/>
    <n v="24"/>
    <n v="4016.63"/>
    <n v="2"/>
    <n v="22"/>
    <n v="6.63"/>
    <n v="13"/>
    <n v="17"/>
    <n v="4115.3599999999997"/>
    <n v="0"/>
    <x v="0"/>
    <s v="OK"/>
  </r>
  <r>
    <s v="IT-10033"/>
    <s v="Hex nut pack S-33"/>
    <x v="2"/>
    <x v="2"/>
    <x v="1"/>
    <s v="2026-05"/>
    <n v="156.22"/>
    <n v="166.59"/>
    <n v="166.865645"/>
    <n v="242.08"/>
    <n v="38"/>
    <n v="34"/>
    <n v="43"/>
    <n v="62"/>
    <n v="10345.67"/>
    <n v="5"/>
    <n v="57"/>
    <n v="20.89"/>
    <n v="8"/>
    <n v="5"/>
    <n v="1210.4000000000001"/>
    <n v="0"/>
    <x v="0"/>
    <s v="OK"/>
  </r>
  <r>
    <s v="IT-10033"/>
    <s v="Hex nut pack S-33"/>
    <x v="2"/>
    <x v="2"/>
    <x v="1"/>
    <s v="2026-06"/>
    <n v="158.84"/>
    <n v="169.39"/>
    <n v="166.86568199999999"/>
    <n v="242.08"/>
    <n v="38"/>
    <m/>
    <n v="0"/>
    <n v="44"/>
    <n v="7342.09"/>
    <n v="3"/>
    <n v="41"/>
    <n v="14.3"/>
    <n v="3"/>
    <n v="18"/>
    <n v="4357.4399999999996"/>
    <n v="0"/>
    <x v="0"/>
    <s v="OK"/>
  </r>
  <r>
    <s v="IT-10033"/>
    <s v="Hex nut pack S-33"/>
    <x v="2"/>
    <x v="2"/>
    <x v="1"/>
    <s v="2026-07"/>
    <n v="158.61000000000001"/>
    <n v="169.14"/>
    <n v="167.64647099999999"/>
    <n v="242.08"/>
    <n v="38"/>
    <n v="49"/>
    <n v="23"/>
    <n v="51"/>
    <n v="8549.9699999999993"/>
    <n v="5"/>
    <n v="46"/>
    <n v="17.190000000000001"/>
    <n v="9"/>
    <n v="16"/>
    <n v="3873.28"/>
    <n v="0"/>
    <x v="0"/>
    <s v="OK"/>
  </r>
  <r>
    <s v="IT-10033"/>
    <s v="Hex nut pack S-33"/>
    <x v="2"/>
    <x v="2"/>
    <x v="1"/>
    <s v="2026-08"/>
    <n v="161.51"/>
    <n v="172.23"/>
    <n v="167.64657099999999"/>
    <n v="242.08"/>
    <n v="38"/>
    <m/>
    <n v="0"/>
    <n v="35"/>
    <n v="5867.63"/>
    <n v="3"/>
    <n v="32"/>
    <n v="9.1999999999999993"/>
    <n v="0"/>
    <n v="16"/>
    <n v="3873.28"/>
    <n v="0"/>
    <x v="0"/>
    <s v="OK"/>
  </r>
  <r>
    <s v="IT-10034"/>
    <s v="Hex nut pack S-34"/>
    <x v="2"/>
    <x v="2"/>
    <x v="1"/>
    <s v="2024-09"/>
    <n v="16.86"/>
    <n v="16.86"/>
    <n v="16.790779000000001"/>
    <n v="24.49"/>
    <n v="37"/>
    <m/>
    <n v="0"/>
    <n v="77"/>
    <n v="1292.8900000000001"/>
    <n v="8"/>
    <n v="69"/>
    <n v="8.5"/>
    <n v="8"/>
    <n v="33"/>
    <n v="808.17"/>
    <n v="0"/>
    <x v="0"/>
    <s v="OK"/>
  </r>
  <r>
    <s v="IT-10034"/>
    <s v="Hex nut pack S-34"/>
    <x v="2"/>
    <x v="2"/>
    <x v="1"/>
    <s v="2024-10"/>
    <n v="16.600000000000001"/>
    <n v="16.600000000000001"/>
    <n v="16.719436999999999"/>
    <n v="24.49"/>
    <n v="37"/>
    <n v="59"/>
    <n v="46"/>
    <n v="71"/>
    <n v="1187.08"/>
    <n v="7"/>
    <n v="64"/>
    <n v="6.44"/>
    <n v="2"/>
    <n v="52"/>
    <n v="1273.48"/>
    <n v="0"/>
    <x v="0"/>
    <s v="OK"/>
  </r>
  <r>
    <s v="IT-10034"/>
    <s v="Hex nut pack S-34"/>
    <x v="2"/>
    <x v="2"/>
    <x v="1"/>
    <s v="2024-11"/>
    <n v="16.75"/>
    <n v="16.75"/>
    <n v="16.738333000000001"/>
    <n v="24.49"/>
    <n v="37"/>
    <n v="36"/>
    <n v="115"/>
    <n v="138"/>
    <n v="2309.89"/>
    <n v="8"/>
    <n v="130"/>
    <n v="13.49"/>
    <n v="0"/>
    <n v="48"/>
    <n v="1175.52"/>
    <n v="0"/>
    <x v="0"/>
    <s v="OK"/>
  </r>
  <r>
    <s v="IT-10034"/>
    <s v="Hex nut pack S-34"/>
    <x v="2"/>
    <x v="2"/>
    <x v="1"/>
    <s v="2024-12"/>
    <n v="16.91"/>
    <n v="16.91"/>
    <n v="16.776153999999998"/>
    <n v="24.49"/>
    <n v="37"/>
    <n v="34"/>
    <n v="39"/>
    <n v="169"/>
    <n v="2835.17"/>
    <n v="10"/>
    <n v="159"/>
    <n v="20.57"/>
    <n v="8"/>
    <n v="8"/>
    <n v="195.92"/>
    <n v="0"/>
    <x v="0"/>
    <s v="OK"/>
  </r>
  <r>
    <s v="IT-10034"/>
    <s v="Hex nut pack S-34"/>
    <x v="2"/>
    <x v="2"/>
    <x v="1"/>
    <s v="2025-01"/>
    <n v="17.239999999999998"/>
    <n v="17.239999999999998"/>
    <n v="16.885279000000001"/>
    <n v="24.49"/>
    <n v="37"/>
    <n v="35"/>
    <n v="52"/>
    <n v="197"/>
    <n v="3326.4"/>
    <n v="7"/>
    <n v="190"/>
    <n v="32.36"/>
    <n v="2"/>
    <n v="24"/>
    <n v="587.76"/>
    <n v="0"/>
    <x v="0"/>
    <s v="OK"/>
  </r>
  <r>
    <s v="IT-10034"/>
    <s v="Hex nut pack S-34"/>
    <x v="2"/>
    <x v="2"/>
    <x v="1"/>
    <s v="2025-02"/>
    <n v="17.46"/>
    <n v="17.46"/>
    <n v="16.885290999999999"/>
    <n v="25.46"/>
    <n v="37"/>
    <m/>
    <n v="0"/>
    <n v="172"/>
    <n v="2904.27"/>
    <n v="9"/>
    <n v="163"/>
    <n v="38.799999999999997"/>
    <n v="0"/>
    <n v="25"/>
    <n v="636.5"/>
    <n v="0"/>
    <x v="0"/>
    <s v="OK"/>
  </r>
  <r>
    <s v="IT-10034"/>
    <s v="Hex nut pack S-34"/>
    <x v="2"/>
    <x v="2"/>
    <x v="1"/>
    <s v="2025-03"/>
    <n v="17.190000000000001"/>
    <n v="17.190000000000001"/>
    <n v="16.941635000000002"/>
    <n v="25.46"/>
    <n v="37"/>
    <n v="34"/>
    <n v="39"/>
    <n v="159"/>
    <n v="2693.72"/>
    <n v="7"/>
    <n v="152"/>
    <n v="20.239999999999998"/>
    <n v="6"/>
    <n v="52"/>
    <n v="1323.92"/>
    <n v="0"/>
    <x v="0"/>
    <s v="OK"/>
  </r>
  <r>
    <s v="IT-10034"/>
    <s v="Hex nut pack S-34"/>
    <x v="2"/>
    <x v="2"/>
    <x v="1"/>
    <s v="2025-04"/>
    <n v="17.510000000000002"/>
    <n v="17.510000000000002"/>
    <n v="17.053618"/>
    <n v="25.46"/>
    <n v="37"/>
    <n v="45"/>
    <n v="39"/>
    <n v="152"/>
    <n v="2592.15"/>
    <n v="3"/>
    <n v="149"/>
    <n v="15.71"/>
    <n v="0"/>
    <n v="46"/>
    <n v="1171.1600000000001"/>
    <n v="0"/>
    <x v="0"/>
    <s v="OK"/>
  </r>
  <r>
    <s v="IT-10034"/>
    <s v="Hex nut pack S-34"/>
    <x v="2"/>
    <x v="2"/>
    <x v="1"/>
    <s v="2025-05"/>
    <n v="17.190000000000001"/>
    <n v="17.190000000000001"/>
    <n v="17.053656"/>
    <n v="25.46"/>
    <n v="37"/>
    <m/>
    <n v="0"/>
    <n v="93"/>
    <n v="1585.99"/>
    <n v="9"/>
    <n v="84"/>
    <n v="7.79"/>
    <n v="3"/>
    <n v="59"/>
    <n v="1502.14"/>
    <n v="0"/>
    <x v="0"/>
    <s v="OK"/>
  </r>
  <r>
    <s v="IT-10034"/>
    <s v="Hex nut pack S-34"/>
    <x v="2"/>
    <x v="2"/>
    <x v="1"/>
    <s v="2025-06"/>
    <n v="17.07"/>
    <n v="17.07"/>
    <n v="17.058519"/>
    <n v="25.46"/>
    <n v="37"/>
    <n v="33"/>
    <n v="39"/>
    <n v="108"/>
    <n v="1842.32"/>
    <n v="3"/>
    <n v="105"/>
    <n v="10.88"/>
    <n v="0"/>
    <n v="24"/>
    <n v="611.04"/>
    <n v="0"/>
    <x v="0"/>
    <s v="OK"/>
  </r>
  <r>
    <s v="IT-10034"/>
    <s v="Hex nut pack S-34"/>
    <x v="2"/>
    <x v="2"/>
    <x v="1"/>
    <s v="2025-07"/>
    <n v="17.43"/>
    <n v="17.43"/>
    <n v="17.222131999999998"/>
    <n v="25.46"/>
    <n v="37"/>
    <n v="36"/>
    <n v="85"/>
    <n v="136"/>
    <n v="2342.21"/>
    <n v="7"/>
    <n v="129"/>
    <n v="12.77"/>
    <n v="4"/>
    <n v="57"/>
    <n v="1451.22"/>
    <n v="0"/>
    <x v="0"/>
    <s v="OK"/>
  </r>
  <r>
    <s v="IT-10034"/>
    <s v="Hex nut pack S-34"/>
    <x v="2"/>
    <x v="2"/>
    <x v="1"/>
    <s v="2025-08"/>
    <n v="17.29"/>
    <n v="17.29"/>
    <n v="17.237292"/>
    <n v="25.46"/>
    <n v="37"/>
    <n v="59"/>
    <n v="39"/>
    <n v="144"/>
    <n v="2482.17"/>
    <n v="8"/>
    <n v="136"/>
    <n v="16.899999999999999"/>
    <n v="1"/>
    <n v="31"/>
    <n v="789.26"/>
    <n v="0"/>
    <x v="0"/>
    <s v="OK"/>
  </r>
  <r>
    <s v="IT-10034"/>
    <s v="Hex nut pack S-34"/>
    <x v="2"/>
    <x v="2"/>
    <x v="1"/>
    <s v="2025-09"/>
    <n v="17.399999999999999"/>
    <n v="17.399999999999999"/>
    <n v="17.237295"/>
    <n v="25.46"/>
    <n v="37"/>
    <m/>
    <n v="0"/>
    <n v="122"/>
    <n v="2102.9499999999998"/>
    <n v="12"/>
    <n v="110"/>
    <n v="14.58"/>
    <n v="3"/>
    <n v="22"/>
    <n v="560.12"/>
    <n v="0"/>
    <x v="0"/>
    <s v="OK"/>
  </r>
  <r>
    <s v="IT-10034"/>
    <s v="Hex nut pack S-34"/>
    <x v="2"/>
    <x v="2"/>
    <x v="1"/>
    <s v="2025-10"/>
    <n v="17.57"/>
    <n v="17.57"/>
    <n v="17.356390999999999"/>
    <n v="25.46"/>
    <n v="37"/>
    <n v="34"/>
    <n v="68"/>
    <n v="169"/>
    <n v="2933.23"/>
    <n v="8"/>
    <n v="161"/>
    <n v="30.02"/>
    <n v="7"/>
    <n v="21"/>
    <n v="534.66"/>
    <n v="0"/>
    <x v="0"/>
    <s v="OK"/>
  </r>
  <r>
    <s v="IT-10034"/>
    <s v="Hex nut pack S-34"/>
    <x v="2"/>
    <x v="2"/>
    <x v="1"/>
    <s v="2025-11"/>
    <n v="17.21"/>
    <n v="17.21"/>
    <n v="17.356376999999998"/>
    <n v="25.46"/>
    <n v="37"/>
    <m/>
    <n v="0"/>
    <n v="138"/>
    <n v="2395.1799999999998"/>
    <n v="8"/>
    <n v="130"/>
    <n v="24.24"/>
    <n v="4"/>
    <n v="31"/>
    <n v="789.26"/>
    <n v="0"/>
    <x v="0"/>
    <s v="OK"/>
  </r>
  <r>
    <s v="IT-10034"/>
    <s v="Hex nut pack S-34"/>
    <x v="2"/>
    <x v="2"/>
    <x v="1"/>
    <s v="2025-12"/>
    <n v="17.45"/>
    <n v="17.45"/>
    <n v="17.379375"/>
    <n v="25.46"/>
    <n v="37"/>
    <n v="36"/>
    <n v="45"/>
    <n v="128"/>
    <n v="2224.56"/>
    <n v="9"/>
    <n v="119"/>
    <n v="15.72"/>
    <n v="0"/>
    <n v="55"/>
    <n v="1400.3"/>
    <n v="0"/>
    <x v="0"/>
    <s v="OK"/>
  </r>
  <r>
    <s v="IT-10034"/>
    <s v="Hex nut pack S-34"/>
    <x v="2"/>
    <x v="2"/>
    <x v="1"/>
    <s v="2026-01"/>
    <n v="17.87"/>
    <n v="17.87"/>
    <n v="17.493950000000002"/>
    <n v="25.46"/>
    <n v="37"/>
    <n v="60"/>
    <n v="39"/>
    <n v="119"/>
    <n v="2081.7800000000002"/>
    <n v="7"/>
    <n v="112"/>
    <n v="11.67"/>
    <n v="5"/>
    <n v="48"/>
    <n v="1222.08"/>
    <n v="0"/>
    <x v="0"/>
    <s v="OK"/>
  </r>
  <r>
    <s v="IT-10034"/>
    <s v="Hex nut pack S-34"/>
    <x v="2"/>
    <x v="2"/>
    <x v="1"/>
    <s v="2026-02"/>
    <n v="17.72"/>
    <n v="17.72"/>
    <n v="17.493922000000001"/>
    <n v="26.47"/>
    <n v="37"/>
    <m/>
    <n v="0"/>
    <n v="102"/>
    <n v="1784.38"/>
    <n v="9"/>
    <n v="93"/>
    <n v="10.93"/>
    <n v="2"/>
    <n v="17"/>
    <n v="449.99"/>
    <n v="0"/>
    <x v="0"/>
    <s v="OK"/>
  </r>
  <r>
    <s v="IT-10034"/>
    <s v="Hex nut pack S-34"/>
    <x v="2"/>
    <x v="2"/>
    <x v="1"/>
    <s v="2026-03"/>
    <n v="18.010000000000002"/>
    <n v="18.010000000000002"/>
    <n v="17.726972"/>
    <n v="26.47"/>
    <n v="37"/>
    <n v="32"/>
    <n v="84"/>
    <n v="142"/>
    <n v="2517.23"/>
    <n v="3"/>
    <n v="139"/>
    <n v="16.75"/>
    <n v="0"/>
    <n v="44"/>
    <n v="1164.68"/>
    <n v="0"/>
    <x v="0"/>
    <s v="OK"/>
  </r>
  <r>
    <s v="IT-10034"/>
    <s v="Hex nut pack S-34"/>
    <x v="2"/>
    <x v="2"/>
    <x v="1"/>
    <s v="2026-04"/>
    <n v="17.46"/>
    <n v="17.46"/>
    <n v="17.669429000000001"/>
    <n v="26.47"/>
    <n v="37"/>
    <n v="43"/>
    <n v="39"/>
    <n v="140"/>
    <n v="2473.7199999999998"/>
    <n v="9"/>
    <n v="131"/>
    <n v="17.45"/>
    <n v="1"/>
    <n v="41"/>
    <n v="1085.27"/>
    <n v="0"/>
    <x v="0"/>
    <s v="OK"/>
  </r>
  <r>
    <s v="IT-10034"/>
    <s v="Hex nut pack S-34"/>
    <x v="2"/>
    <x v="2"/>
    <x v="1"/>
    <s v="2026-05"/>
    <n v="17.8"/>
    <n v="17.8"/>
    <n v="17.697903"/>
    <n v="26.47"/>
    <n v="37"/>
    <n v="35"/>
    <n v="39"/>
    <n v="124"/>
    <n v="2194.54"/>
    <n v="7"/>
    <n v="117"/>
    <n v="11.64"/>
    <n v="0"/>
    <n v="55"/>
    <n v="1455.85"/>
    <n v="0"/>
    <x v="0"/>
    <s v="OK"/>
  </r>
  <r>
    <s v="IT-10034"/>
    <s v="Hex nut pack S-34"/>
    <x v="2"/>
    <x v="2"/>
    <x v="1"/>
    <s v="2026-06"/>
    <n v="17.670000000000002"/>
    <n v="17.670000000000002"/>
    <n v="17.691210000000002"/>
    <n v="26.47"/>
    <n v="37"/>
    <n v="33"/>
    <n v="39"/>
    <n v="124"/>
    <n v="2193.71"/>
    <n v="13"/>
    <n v="111"/>
    <n v="11.94"/>
    <n v="1"/>
    <n v="39"/>
    <n v="1032.33"/>
    <n v="0"/>
    <x v="0"/>
    <s v="OK"/>
  </r>
  <r>
    <s v="IT-10034"/>
    <s v="Hex nut pack S-34"/>
    <x v="2"/>
    <x v="2"/>
    <x v="1"/>
    <s v="2026-07"/>
    <n v="17.73"/>
    <n v="17.73"/>
    <n v="17.703101"/>
    <n v="26.47"/>
    <n v="37"/>
    <n v="45"/>
    <n v="55"/>
    <n v="129"/>
    <n v="2283.6999999999998"/>
    <n v="7"/>
    <n v="122"/>
    <n v="11.77"/>
    <n v="3"/>
    <n v="50"/>
    <n v="1323.5"/>
    <n v="0"/>
    <x v="0"/>
    <s v="OK"/>
  </r>
  <r>
    <s v="IT-10034"/>
    <s v="Hex nut pack S-34"/>
    <x v="2"/>
    <x v="2"/>
    <x v="1"/>
    <s v="2026-08"/>
    <n v="17.920000000000002"/>
    <n v="17.920000000000002"/>
    <n v="17.703077"/>
    <n v="26.47"/>
    <n v="37"/>
    <m/>
    <n v="0"/>
    <n v="78"/>
    <n v="1380.84"/>
    <n v="12"/>
    <n v="66"/>
    <n v="7.32"/>
    <n v="9"/>
    <n v="51"/>
    <n v="1349.97"/>
    <n v="0"/>
    <x v="0"/>
    <s v="OK"/>
  </r>
  <r>
    <s v="IT-10035"/>
    <s v="Relay M-35"/>
    <x v="3"/>
    <x v="3"/>
    <x v="1"/>
    <s v="2024-09"/>
    <n v="8.64"/>
    <n v="8.64"/>
    <n v="8.4845520000000008"/>
    <n v="11.71"/>
    <n v="59"/>
    <n v="54"/>
    <n v="101"/>
    <n v="446"/>
    <n v="3784.11"/>
    <n v="26"/>
    <n v="420"/>
    <n v="9.3800000000000008"/>
    <n v="2"/>
    <n v="248"/>
    <n v="2904.08"/>
    <n v="0"/>
    <x v="0"/>
    <s v="OK"/>
  </r>
  <r>
    <s v="IT-10035"/>
    <s v="Relay M-35"/>
    <x v="3"/>
    <x v="3"/>
    <x v="1"/>
    <s v="2024-10"/>
    <n v="8.41"/>
    <n v="8.41"/>
    <n v="8.4845500000000005"/>
    <n v="11.71"/>
    <n v="59"/>
    <m/>
    <n v="0"/>
    <n v="200"/>
    <n v="1696.91"/>
    <n v="26"/>
    <n v="174"/>
    <n v="4.17"/>
    <n v="3"/>
    <n v="246"/>
    <n v="2880.66"/>
    <n v="0"/>
    <x v="0"/>
    <s v="OK"/>
  </r>
  <r>
    <s v="IT-10035"/>
    <s v="Relay M-35"/>
    <x v="3"/>
    <x v="3"/>
    <x v="1"/>
    <s v="2024-11"/>
    <n v="8.52"/>
    <n v="8.52"/>
    <n v="8.5093800000000002"/>
    <n v="11.71"/>
    <n v="59"/>
    <n v="52"/>
    <n v="468"/>
    <n v="274"/>
    <n v="2331.5700000000002"/>
    <n v="39"/>
    <n v="235"/>
    <n v="4.01"/>
    <n v="4"/>
    <n v="394"/>
    <n v="4613.74"/>
    <n v="0"/>
    <x v="0"/>
    <s v="OK"/>
  </r>
  <r>
    <s v="IT-10035"/>
    <s v="Relay M-35"/>
    <x v="3"/>
    <x v="3"/>
    <x v="1"/>
    <s v="2024-12"/>
    <n v="8.48"/>
    <n v="8.48"/>
    <n v="8.5093479999999992"/>
    <n v="11.71"/>
    <n v="59"/>
    <m/>
    <n v="0"/>
    <n v="46"/>
    <n v="391.43"/>
    <n v="46"/>
    <n v="0"/>
    <n v="0.7"/>
    <n v="0"/>
    <n v="228"/>
    <n v="2669.88"/>
    <n v="0"/>
    <x v="0"/>
    <s v="OK"/>
  </r>
  <r>
    <s v="IT-10035"/>
    <s v="Relay M-35"/>
    <x v="3"/>
    <x v="3"/>
    <x v="1"/>
    <s v="2025-01"/>
    <n v="8.34"/>
    <n v="8.34"/>
    <n v="8.3532299999999999"/>
    <n v="11.71"/>
    <n v="59"/>
    <n v="52"/>
    <n v="543"/>
    <n v="418"/>
    <n v="3491.65"/>
    <n v="52"/>
    <n v="366"/>
    <n v="6.93"/>
    <n v="3"/>
    <n v="171"/>
    <n v="2002.41"/>
    <n v="0"/>
    <x v="0"/>
    <s v="OK"/>
  </r>
  <r>
    <s v="IT-10035"/>
    <s v="Relay M-35"/>
    <x v="3"/>
    <x v="3"/>
    <x v="1"/>
    <s v="2025-02"/>
    <n v="8.39"/>
    <n v="8.39"/>
    <n v="8.3532109999999999"/>
    <n v="12.21"/>
    <n v="59"/>
    <m/>
    <n v="0"/>
    <n v="218"/>
    <n v="1821"/>
    <n v="26"/>
    <n v="192"/>
    <n v="4.68"/>
    <n v="2"/>
    <n v="200"/>
    <n v="2442"/>
    <n v="0"/>
    <x v="0"/>
    <s v="OK"/>
  </r>
  <r>
    <s v="IT-10035"/>
    <s v="Relay M-35"/>
    <x v="3"/>
    <x v="3"/>
    <x v="1"/>
    <s v="2025-03"/>
    <n v="8.9700000000000006"/>
    <n v="8.9700000000000006"/>
    <n v="8.3532139999999995"/>
    <n v="12.21"/>
    <n v="59"/>
    <m/>
    <n v="0"/>
    <n v="28"/>
    <n v="233.89"/>
    <n v="26"/>
    <n v="2"/>
    <n v="0.64"/>
    <n v="6"/>
    <n v="190"/>
    <n v="2319.9"/>
    <n v="0"/>
    <x v="0"/>
    <s v="OK"/>
  </r>
  <r>
    <s v="IT-10035"/>
    <s v="Relay M-35"/>
    <x v="3"/>
    <x v="3"/>
    <x v="1"/>
    <s v="2025-04"/>
    <n v="8.82"/>
    <n v="8.82"/>
    <n v="8.8053139999999992"/>
    <n v="12.21"/>
    <n v="59"/>
    <n v="59"/>
    <n v="862"/>
    <n v="542"/>
    <n v="4772.4799999999996"/>
    <n v="59"/>
    <n v="483"/>
    <n v="9.34"/>
    <n v="1"/>
    <n v="348"/>
    <n v="4249.08"/>
    <n v="0"/>
    <x v="0"/>
    <s v="OK"/>
  </r>
  <r>
    <s v="IT-10035"/>
    <s v="Relay M-35"/>
    <x v="3"/>
    <x v="3"/>
    <x v="1"/>
    <s v="2025-05"/>
    <n v="8.86"/>
    <n v="8.86"/>
    <n v="8.8053279999999994"/>
    <n v="12.21"/>
    <n v="59"/>
    <m/>
    <n v="0"/>
    <n v="351"/>
    <n v="3090.67"/>
    <n v="52"/>
    <n v="299"/>
    <n v="6.33"/>
    <n v="0"/>
    <n v="191"/>
    <n v="2332.11"/>
    <n v="0"/>
    <x v="0"/>
    <s v="OK"/>
  </r>
  <r>
    <s v="IT-10035"/>
    <s v="Relay M-35"/>
    <x v="3"/>
    <x v="3"/>
    <x v="1"/>
    <s v="2025-06"/>
    <n v="8.82"/>
    <n v="8.82"/>
    <n v="8.8102520000000002"/>
    <n v="12.21"/>
    <n v="59"/>
    <n v="57"/>
    <n v="178"/>
    <n v="278"/>
    <n v="2449.25"/>
    <n v="59"/>
    <n v="219"/>
    <n v="4.57"/>
    <n v="0"/>
    <n v="251"/>
    <n v="3064.71"/>
    <n v="0"/>
    <x v="0"/>
    <s v="OK"/>
  </r>
  <r>
    <s v="IT-10035"/>
    <s v="Relay M-35"/>
    <x v="3"/>
    <x v="3"/>
    <x v="1"/>
    <s v="2025-07"/>
    <n v="8.85"/>
    <n v="8.85"/>
    <n v="8.8297840000000001"/>
    <n v="12.21"/>
    <n v="59"/>
    <n v="53"/>
    <n v="269"/>
    <n v="324"/>
    <n v="2860.85"/>
    <n v="59"/>
    <n v="265"/>
    <n v="6.4"/>
    <n v="0"/>
    <n v="223"/>
    <n v="2722.83"/>
    <n v="0"/>
    <x v="0"/>
    <s v="OK"/>
  </r>
  <r>
    <s v="IT-10035"/>
    <s v="Relay M-35"/>
    <x v="3"/>
    <x v="3"/>
    <x v="1"/>
    <s v="2025-08"/>
    <n v="8.85"/>
    <n v="8.85"/>
    <n v="8.8369959999999992"/>
    <n v="12.21"/>
    <n v="59"/>
    <n v="59"/>
    <n v="179"/>
    <n v="243"/>
    <n v="2147.39"/>
    <n v="26"/>
    <n v="217"/>
    <n v="4.3499999999999996"/>
    <n v="0"/>
    <n v="260"/>
    <n v="3174.6"/>
    <n v="0"/>
    <x v="0"/>
    <s v="OK"/>
  </r>
  <r>
    <s v="IT-10035"/>
    <s v="Relay M-35"/>
    <x v="3"/>
    <x v="3"/>
    <x v="1"/>
    <s v="2025-09"/>
    <n v="9.1"/>
    <n v="9.1"/>
    <n v="8.9463640000000009"/>
    <n v="12.21"/>
    <n v="59"/>
    <n v="54"/>
    <n v="173"/>
    <n v="319"/>
    <n v="2853.89"/>
    <n v="59"/>
    <n v="260"/>
    <n v="7.23"/>
    <n v="2"/>
    <n v="97"/>
    <n v="1184.3699999999999"/>
    <n v="0"/>
    <x v="0"/>
    <s v="OK"/>
  </r>
  <r>
    <s v="IT-10035"/>
    <s v="Relay M-35"/>
    <x v="3"/>
    <x v="3"/>
    <x v="1"/>
    <s v="2025-10"/>
    <n v="8.8699999999999992"/>
    <n v="8.8699999999999992"/>
    <n v="8.9080650000000006"/>
    <n v="12.21"/>
    <n v="59"/>
    <n v="53"/>
    <n v="321"/>
    <n v="398"/>
    <n v="3545.41"/>
    <n v="33"/>
    <n v="365"/>
    <n v="8.73"/>
    <n v="0"/>
    <n v="242"/>
    <n v="2954.82"/>
    <n v="0"/>
    <x v="0"/>
    <s v="OK"/>
  </r>
  <r>
    <s v="IT-10035"/>
    <s v="Relay M-35"/>
    <x v="3"/>
    <x v="3"/>
    <x v="1"/>
    <s v="2025-11"/>
    <n v="9.0299999999999994"/>
    <n v="9.0299999999999994"/>
    <n v="8.9428940000000008"/>
    <n v="12.21"/>
    <n v="59"/>
    <n v="54"/>
    <n v="159"/>
    <n v="235"/>
    <n v="2101.58"/>
    <n v="33"/>
    <n v="202"/>
    <n v="4.62"/>
    <n v="1"/>
    <n v="322"/>
    <n v="3931.62"/>
    <n v="0"/>
    <x v="0"/>
    <s v="OK"/>
  </r>
  <r>
    <s v="IT-10035"/>
    <s v="Relay M-35"/>
    <x v="3"/>
    <x v="3"/>
    <x v="1"/>
    <s v="2025-12"/>
    <n v="9.06"/>
    <n v="9.06"/>
    <n v="9.0271989999999995"/>
    <n v="12.21"/>
    <n v="59"/>
    <n v="58"/>
    <n v="604"/>
    <n v="714"/>
    <n v="6445.42"/>
    <n v="66"/>
    <n v="648"/>
    <n v="13.62"/>
    <n v="4"/>
    <n v="125"/>
    <n v="1526.25"/>
    <n v="0"/>
    <x v="0"/>
    <s v="OK"/>
  </r>
  <r>
    <s v="IT-10035"/>
    <s v="Relay M-35"/>
    <x v="3"/>
    <x v="3"/>
    <x v="1"/>
    <s v="2026-01"/>
    <n v="8.94"/>
    <n v="8.94"/>
    <n v="9.0272100000000002"/>
    <n v="12.21"/>
    <n v="59"/>
    <m/>
    <n v="0"/>
    <n v="423"/>
    <n v="3818.51"/>
    <n v="59"/>
    <n v="364"/>
    <n v="7.53"/>
    <n v="1"/>
    <n v="291"/>
    <n v="3553.11"/>
    <n v="0"/>
    <x v="0"/>
    <s v="OK"/>
  </r>
  <r>
    <s v="IT-10035"/>
    <s v="Relay M-35"/>
    <x v="3"/>
    <x v="3"/>
    <x v="1"/>
    <s v="2026-02"/>
    <n v="8.8699999999999992"/>
    <n v="8.8699999999999992"/>
    <n v="8.9795639999999999"/>
    <n v="12.73"/>
    <n v="59"/>
    <n v="57"/>
    <n v="184"/>
    <n v="528"/>
    <n v="4741.21"/>
    <n v="46"/>
    <n v="482"/>
    <n v="13.71"/>
    <n v="2"/>
    <n v="79"/>
    <n v="1005.67"/>
    <n v="0"/>
    <x v="0"/>
    <s v="OK"/>
  </r>
  <r>
    <s v="IT-10035"/>
    <s v="Relay M-35"/>
    <x v="3"/>
    <x v="3"/>
    <x v="1"/>
    <s v="2026-03"/>
    <n v="9.5399999999999991"/>
    <n v="9.5399999999999991"/>
    <n v="9.2104739999999996"/>
    <n v="12.73"/>
    <n v="59"/>
    <n v="56"/>
    <n v="370"/>
    <n v="633"/>
    <n v="5830.23"/>
    <n v="33"/>
    <n v="600"/>
    <n v="12.82"/>
    <n v="0"/>
    <n v="265"/>
    <n v="3373.45"/>
    <n v="0"/>
    <x v="0"/>
    <s v="OK"/>
  </r>
  <r>
    <s v="IT-10035"/>
    <s v="Relay M-35"/>
    <x v="3"/>
    <x v="3"/>
    <x v="1"/>
    <s v="2026-04"/>
    <n v="9.3699999999999992"/>
    <n v="9.3699999999999992"/>
    <n v="9.2104630000000007"/>
    <n v="12.73"/>
    <n v="59"/>
    <m/>
    <n v="0"/>
    <n v="389"/>
    <n v="3582.87"/>
    <n v="26"/>
    <n v="363"/>
    <n v="8.41"/>
    <n v="3"/>
    <n v="244"/>
    <n v="3106.12"/>
    <n v="0"/>
    <x v="0"/>
    <s v="OK"/>
  </r>
  <r>
    <s v="IT-10035"/>
    <s v="Relay M-35"/>
    <x v="3"/>
    <x v="3"/>
    <x v="1"/>
    <s v="2026-05"/>
    <n v="9.49"/>
    <n v="9.49"/>
    <n v="9.2104649999999992"/>
    <n v="12.73"/>
    <n v="59"/>
    <m/>
    <n v="0"/>
    <n v="301"/>
    <n v="2772.35"/>
    <n v="59"/>
    <n v="242"/>
    <n v="6.63"/>
    <n v="0"/>
    <n v="88"/>
    <n v="1120.24"/>
    <n v="0"/>
    <x v="0"/>
    <s v="OK"/>
  </r>
  <r>
    <s v="IT-10035"/>
    <s v="Relay M-35"/>
    <x v="3"/>
    <x v="3"/>
    <x v="1"/>
    <s v="2026-06"/>
    <n v="9.6199999999999992"/>
    <n v="9.6199999999999992"/>
    <n v="9.4384499999999996"/>
    <n v="12.73"/>
    <n v="59"/>
    <n v="85"/>
    <n v="378"/>
    <n v="529"/>
    <n v="4992.9399999999996"/>
    <n v="39"/>
    <n v="490"/>
    <n v="14.27"/>
    <n v="0"/>
    <n v="150"/>
    <n v="1909.5"/>
    <n v="0"/>
    <x v="0"/>
    <s v="OK"/>
  </r>
  <r>
    <s v="IT-10035"/>
    <s v="Relay M-35"/>
    <x v="3"/>
    <x v="3"/>
    <x v="1"/>
    <s v="2026-07"/>
    <n v="9.7100000000000009"/>
    <n v="9.7100000000000009"/>
    <n v="9.5236900000000002"/>
    <n v="12.73"/>
    <n v="59"/>
    <n v="59"/>
    <n v="242"/>
    <n v="580"/>
    <n v="5523.74"/>
    <n v="13"/>
    <n v="567"/>
    <n v="17.77"/>
    <n v="3"/>
    <n v="191"/>
    <n v="2431.4299999999998"/>
    <n v="0"/>
    <x v="0"/>
    <s v="OK"/>
  </r>
  <r>
    <s v="IT-10035"/>
    <s v="Relay M-35"/>
    <x v="3"/>
    <x v="3"/>
    <x v="1"/>
    <s v="2026-08"/>
    <n v="9.3699999999999992"/>
    <n v="9.3699999999999992"/>
    <n v="9.523676"/>
    <n v="12.73"/>
    <n v="59"/>
    <m/>
    <n v="0"/>
    <n v="321"/>
    <n v="3057.1"/>
    <n v="52"/>
    <n v="269"/>
    <n v="7.03"/>
    <n v="0"/>
    <n v="259"/>
    <n v="3297.07"/>
    <n v="0"/>
    <x v="0"/>
    <s v="OK"/>
  </r>
  <r>
    <s v="IT-10036"/>
    <s v="Hydraulic hose M-36"/>
    <x v="1"/>
    <x v="1"/>
    <x v="0"/>
    <s v="2024-09"/>
    <n v="379.83"/>
    <n v="379.83"/>
    <n v="380.64977299999998"/>
    <n v="545.04"/>
    <n v="40"/>
    <n v="36"/>
    <n v="69"/>
    <n v="44"/>
    <n v="16748.59"/>
    <n v="8"/>
    <n v="36"/>
    <n v="6.29"/>
    <n v="2"/>
    <n v="39"/>
    <n v="21256.560000000001"/>
    <n v="0"/>
    <x v="0"/>
    <s v="OK"/>
  </r>
  <r>
    <s v="IT-10036"/>
    <s v="Hydraulic hose M-36"/>
    <x v="1"/>
    <x v="1"/>
    <x v="0"/>
    <s v="2024-10"/>
    <n v="392.52"/>
    <n v="392.52"/>
    <n v="385.462041"/>
    <n v="545.04"/>
    <n v="40"/>
    <n v="39"/>
    <n v="30"/>
    <n v="49"/>
    <n v="18887.64"/>
    <n v="4"/>
    <n v="45"/>
    <n v="7.49"/>
    <n v="4"/>
    <n v="25"/>
    <n v="13626"/>
    <n v="0"/>
    <x v="0"/>
    <s v="OK"/>
  </r>
  <r>
    <s v="IT-10036"/>
    <s v="Hydraulic hose M-36"/>
    <x v="1"/>
    <x v="1"/>
    <x v="0"/>
    <s v="2024-11"/>
    <n v="392.55"/>
    <n v="392.55"/>
    <n v="387.98015199999998"/>
    <n v="545.04"/>
    <n v="40"/>
    <n v="34"/>
    <n v="27"/>
    <n v="66"/>
    <n v="25606.69"/>
    <n v="9"/>
    <n v="57"/>
    <n v="11.59"/>
    <n v="2"/>
    <n v="10"/>
    <n v="5450.4"/>
    <n v="0"/>
    <x v="0"/>
    <s v="OK"/>
  </r>
  <r>
    <s v="IT-10036"/>
    <s v="Hydraulic hose M-36"/>
    <x v="1"/>
    <x v="1"/>
    <x v="0"/>
    <s v="2024-12"/>
    <n v="387.45"/>
    <n v="387.45"/>
    <n v="387.82621599999999"/>
    <n v="545.04"/>
    <n v="40"/>
    <n v="34"/>
    <n v="27"/>
    <n v="74"/>
    <n v="28699.14"/>
    <n v="5"/>
    <n v="69"/>
    <n v="18.010000000000002"/>
    <n v="19"/>
    <n v="19"/>
    <n v="10355.76"/>
    <n v="0"/>
    <x v="0"/>
    <s v="OK"/>
  </r>
  <r>
    <s v="IT-10036"/>
    <s v="Hydraulic hose M-36"/>
    <x v="1"/>
    <x v="1"/>
    <x v="0"/>
    <s v="2025-01"/>
    <n v="406.82"/>
    <n v="406.82"/>
    <n v="387.82625000000002"/>
    <n v="545.04"/>
    <n v="40"/>
    <m/>
    <n v="0"/>
    <n v="40"/>
    <n v="15513.05"/>
    <n v="8"/>
    <n v="32"/>
    <n v="8.34"/>
    <n v="2"/>
    <n v="34"/>
    <n v="18531.36"/>
    <n v="0"/>
    <x v="0"/>
    <s v="OK"/>
  </r>
  <r>
    <s v="IT-10036"/>
    <s v="Hydraulic hose M-36"/>
    <x v="1"/>
    <x v="1"/>
    <x v="0"/>
    <s v="2025-02"/>
    <n v="406.83"/>
    <n v="406.83"/>
    <n v="396.41703699999999"/>
    <n v="572.66"/>
    <n v="40"/>
    <n v="37"/>
    <n v="33"/>
    <n v="54"/>
    <n v="21406.52"/>
    <n v="8"/>
    <n v="46"/>
    <n v="9.64"/>
    <n v="14"/>
    <n v="19"/>
    <n v="10880.54"/>
    <n v="0"/>
    <x v="0"/>
    <s v="OK"/>
  </r>
  <r>
    <s v="IT-10036"/>
    <s v="Hydraulic hose M-36"/>
    <x v="1"/>
    <x v="1"/>
    <x v="0"/>
    <s v="2025-03"/>
    <n v="401.82"/>
    <n v="401.82"/>
    <n v="398.21800000000002"/>
    <n v="572.66"/>
    <n v="40"/>
    <n v="36"/>
    <n v="27"/>
    <n v="65"/>
    <n v="25884.17"/>
    <n v="6"/>
    <n v="59"/>
    <n v="12.11"/>
    <n v="5"/>
    <n v="16"/>
    <n v="9162.56"/>
    <n v="0"/>
    <x v="0"/>
    <s v="OK"/>
  </r>
  <r>
    <s v="IT-10036"/>
    <s v="Hydraulic hose M-36"/>
    <x v="1"/>
    <x v="1"/>
    <x v="0"/>
    <s v="2025-04"/>
    <n v="404.34"/>
    <n v="404.34"/>
    <n v="400.01459999999997"/>
    <n v="572.66"/>
    <n v="40"/>
    <n v="35"/>
    <n v="27"/>
    <n v="50"/>
    <n v="20000.73"/>
    <n v="3"/>
    <n v="47"/>
    <n v="8.26"/>
    <n v="2"/>
    <n v="42"/>
    <n v="24051.72"/>
    <n v="0"/>
    <x v="0"/>
    <s v="OK"/>
  </r>
  <r>
    <s v="IT-10036"/>
    <s v="Hydraulic hose M-36"/>
    <x v="1"/>
    <x v="1"/>
    <x v="0"/>
    <s v="2025-05"/>
    <n v="399.13"/>
    <n v="399.13"/>
    <n v="399.704407"/>
    <n v="572.66"/>
    <n v="40"/>
    <n v="36"/>
    <n v="27"/>
    <n v="59"/>
    <n v="23582.560000000001"/>
    <n v="5"/>
    <n v="54"/>
    <n v="10.199999999999999"/>
    <n v="2"/>
    <n v="18"/>
    <n v="10307.879999999999"/>
    <n v="0"/>
    <x v="0"/>
    <s v="OK"/>
  </r>
  <r>
    <s v="IT-10036"/>
    <s v="Hydraulic hose M-36"/>
    <x v="1"/>
    <x v="1"/>
    <x v="0"/>
    <s v="2025-06"/>
    <n v="396.54"/>
    <n v="396.54"/>
    <n v="398.71087499999999"/>
    <n v="572.66"/>
    <n v="40"/>
    <n v="38"/>
    <n v="27"/>
    <n v="80"/>
    <n v="31896.87"/>
    <n v="8"/>
    <n v="72"/>
    <n v="15.76"/>
    <n v="13"/>
    <n v="6"/>
    <n v="3435.96"/>
    <n v="0"/>
    <x v="0"/>
    <s v="OK"/>
  </r>
  <r>
    <s v="IT-10036"/>
    <s v="Hydraulic hose M-36"/>
    <x v="1"/>
    <x v="1"/>
    <x v="0"/>
    <s v="2025-07"/>
    <n v="406.49"/>
    <n v="406.49"/>
    <n v="398.71083299999998"/>
    <n v="572.66"/>
    <n v="40"/>
    <m/>
    <n v="0"/>
    <n v="48"/>
    <n v="19138.12"/>
    <n v="2"/>
    <n v="46"/>
    <n v="11.27"/>
    <n v="5"/>
    <n v="32"/>
    <n v="18325.12"/>
    <n v="0"/>
    <x v="0"/>
    <s v="OK"/>
  </r>
  <r>
    <s v="IT-10036"/>
    <s v="Hydraulic hose M-36"/>
    <x v="1"/>
    <x v="1"/>
    <x v="0"/>
    <s v="2025-08"/>
    <n v="394.54"/>
    <n v="394.54"/>
    <n v="396.78938299999999"/>
    <n v="572.66"/>
    <n v="40"/>
    <n v="38"/>
    <n v="41"/>
    <n v="81"/>
    <n v="32139.94"/>
    <n v="7"/>
    <n v="74"/>
    <n v="23.14"/>
    <n v="2"/>
    <n v="8"/>
    <n v="4581.28"/>
    <n v="0"/>
    <x v="0"/>
    <s v="OK"/>
  </r>
  <r>
    <s v="IT-10036"/>
    <s v="Hydraulic hose M-36"/>
    <x v="1"/>
    <x v="1"/>
    <x v="0"/>
    <s v="2025-09"/>
    <n v="408.73"/>
    <n v="408.73"/>
    <n v="401.05393600000002"/>
    <n v="572.66"/>
    <n v="40"/>
    <n v="35"/>
    <n v="45"/>
    <n v="94"/>
    <n v="37699.07"/>
    <n v="9"/>
    <n v="85"/>
    <n v="17.16"/>
    <n v="3"/>
    <n v="32"/>
    <n v="18325.12"/>
    <n v="0"/>
    <x v="0"/>
    <s v="OK"/>
  </r>
  <r>
    <s v="IT-10036"/>
    <s v="Hydraulic hose M-36"/>
    <x v="1"/>
    <x v="1"/>
    <x v="0"/>
    <s v="2025-10"/>
    <n v="402.78"/>
    <n v="402.78"/>
    <n v="401.05392899999998"/>
    <n v="572.66"/>
    <n v="40"/>
    <m/>
    <n v="0"/>
    <n v="56"/>
    <n v="22459.02"/>
    <n v="9"/>
    <n v="47"/>
    <n v="9.44"/>
    <n v="6"/>
    <n v="38"/>
    <n v="21761.08"/>
    <n v="0"/>
    <x v="0"/>
    <s v="OK"/>
  </r>
  <r>
    <s v="IT-10036"/>
    <s v="Hydraulic hose M-36"/>
    <x v="1"/>
    <x v="1"/>
    <x v="0"/>
    <s v="2025-11"/>
    <n v="393.99"/>
    <n v="393.99"/>
    <n v="398.75599999999997"/>
    <n v="572.66"/>
    <n v="40"/>
    <n v="40"/>
    <n v="27"/>
    <n v="65"/>
    <n v="25919.14"/>
    <n v="2"/>
    <n v="63"/>
    <n v="9.6"/>
    <n v="9"/>
    <n v="18"/>
    <n v="10307.879999999999"/>
    <n v="0"/>
    <x v="0"/>
    <s v="OK"/>
  </r>
  <r>
    <s v="IT-10036"/>
    <s v="Hydraulic hose M-36"/>
    <x v="1"/>
    <x v="1"/>
    <x v="0"/>
    <s v="2025-12"/>
    <n v="407.54"/>
    <n v="407.54"/>
    <n v="398.75599999999997"/>
    <n v="572.66"/>
    <n v="40"/>
    <m/>
    <n v="0"/>
    <n v="55"/>
    <n v="21931.58"/>
    <n v="4"/>
    <n v="51"/>
    <n v="10.95"/>
    <n v="8"/>
    <n v="10"/>
    <n v="5726.6"/>
    <n v="0"/>
    <x v="0"/>
    <s v="OK"/>
  </r>
  <r>
    <s v="IT-10036"/>
    <s v="Hydraulic hose M-36"/>
    <x v="1"/>
    <x v="1"/>
    <x v="0"/>
    <s v="2026-01"/>
    <n v="424.27"/>
    <n v="424.27"/>
    <n v="409.49868900000001"/>
    <n v="572.66"/>
    <n v="40"/>
    <n v="63"/>
    <n v="40"/>
    <n v="61"/>
    <n v="24979.42"/>
    <n v="6"/>
    <n v="55"/>
    <n v="12.93"/>
    <n v="0"/>
    <n v="34"/>
    <n v="19470.439999999999"/>
    <n v="0"/>
    <x v="0"/>
    <s v="OK"/>
  </r>
  <r>
    <s v="IT-10036"/>
    <s v="Hydraulic hose M-36"/>
    <x v="1"/>
    <x v="1"/>
    <x v="0"/>
    <s v="2026-02"/>
    <n v="408.63"/>
    <n v="408.63"/>
    <n v="409.49857100000003"/>
    <n v="601.67999999999995"/>
    <n v="40"/>
    <m/>
    <n v="0"/>
    <n v="35"/>
    <n v="14332.45"/>
    <n v="6"/>
    <n v="29"/>
    <n v="6.43"/>
    <n v="4"/>
    <n v="26"/>
    <n v="15643.68"/>
    <n v="0"/>
    <x v="0"/>
    <s v="OK"/>
  </r>
  <r>
    <s v="IT-10036"/>
    <s v="Hydraulic hose M-36"/>
    <x v="1"/>
    <x v="1"/>
    <x v="0"/>
    <s v="2026-03"/>
    <n v="415.6"/>
    <n v="415.6"/>
    <n v="413.20055600000001"/>
    <n v="601.67999999999995"/>
    <n v="40"/>
    <n v="37"/>
    <n v="54"/>
    <n v="54"/>
    <n v="22312.83"/>
    <n v="3"/>
    <n v="51"/>
    <n v="7.31"/>
    <n v="1"/>
    <n v="35"/>
    <n v="21058.799999999999"/>
    <n v="0"/>
    <x v="0"/>
    <s v="OK"/>
  </r>
  <r>
    <s v="IT-10036"/>
    <s v="Hydraulic hose M-36"/>
    <x v="1"/>
    <x v="1"/>
    <x v="0"/>
    <s v="2026-04"/>
    <n v="409.87"/>
    <n v="409.87"/>
    <n v="413.20057100000002"/>
    <n v="601.67999999999995"/>
    <n v="40"/>
    <m/>
    <n v="0"/>
    <n v="35"/>
    <n v="14462.02"/>
    <n v="4"/>
    <n v="31"/>
    <n v="5.56"/>
    <n v="5"/>
    <n v="19"/>
    <n v="11431.92"/>
    <n v="0"/>
    <x v="0"/>
    <s v="OK"/>
  </r>
  <r>
    <s v="IT-10036"/>
    <s v="Hydraulic hose M-36"/>
    <x v="1"/>
    <x v="1"/>
    <x v="0"/>
    <s v="2026-05"/>
    <n v="414.22"/>
    <n v="414.22"/>
    <n v="413.71020800000002"/>
    <n v="601.67999999999995"/>
    <n v="40"/>
    <n v="53"/>
    <n v="35"/>
    <n v="48"/>
    <n v="19858.09"/>
    <n v="7"/>
    <n v="41"/>
    <n v="8.3000000000000007"/>
    <n v="4"/>
    <n v="22"/>
    <n v="13236.96"/>
    <n v="0"/>
    <x v="0"/>
    <s v="OK"/>
  </r>
  <r>
    <s v="IT-10036"/>
    <s v="Hydraulic hose M-36"/>
    <x v="1"/>
    <x v="1"/>
    <x v="0"/>
    <s v="2026-06"/>
    <n v="412.37"/>
    <n v="412.37"/>
    <n v="413.06169"/>
    <n v="601.67999999999995"/>
    <n v="40"/>
    <n v="38"/>
    <n v="45"/>
    <n v="71"/>
    <n v="29327.38"/>
    <n v="7"/>
    <n v="64"/>
    <n v="14.65"/>
    <n v="10"/>
    <n v="22"/>
    <n v="13236.96"/>
    <n v="0"/>
    <x v="0"/>
    <s v="OK"/>
  </r>
  <r>
    <s v="IT-10036"/>
    <s v="Hydraulic hose M-36"/>
    <x v="1"/>
    <x v="1"/>
    <x v="0"/>
    <s v="2026-07"/>
    <n v="409.47"/>
    <n v="409.47"/>
    <n v="413.06150000000002"/>
    <n v="601.67999999999995"/>
    <n v="40"/>
    <m/>
    <n v="0"/>
    <n v="20"/>
    <n v="8261.23"/>
    <n v="6"/>
    <n v="14"/>
    <n v="2.77"/>
    <n v="7"/>
    <n v="51"/>
    <n v="30685.68"/>
    <n v="0"/>
    <x v="0"/>
    <s v="OK"/>
  </r>
  <r>
    <s v="IT-10036"/>
    <s v="Hydraulic hose M-36"/>
    <x v="1"/>
    <x v="1"/>
    <x v="0"/>
    <s v="2026-08"/>
    <n v="411.84"/>
    <n v="411.84"/>
    <n v="412.36"/>
    <n v="601.67999999999995"/>
    <n v="40"/>
    <n v="38"/>
    <n v="27"/>
    <n v="12"/>
    <n v="4948.32"/>
    <n v="7"/>
    <n v="5"/>
    <n v="1.46"/>
    <n v="7"/>
    <n v="35"/>
    <n v="21058.799999999999"/>
    <n v="0"/>
    <x v="0"/>
    <s v="OK"/>
  </r>
  <r>
    <s v="IT-10037"/>
    <s v="Hydraulic hose 10-37"/>
    <x v="1"/>
    <x v="1"/>
    <x v="1"/>
    <s v="2024-09"/>
    <n v="14.41"/>
    <n v="14.41"/>
    <n v="14.484151000000001"/>
    <n v="19.55"/>
    <n v="58"/>
    <n v="55"/>
    <n v="764"/>
    <n v="930"/>
    <n v="13470.26"/>
    <n v="17"/>
    <n v="913"/>
    <n v="14.98"/>
    <n v="3"/>
    <n v="161"/>
    <n v="3147.55"/>
    <n v="0"/>
    <x v="0"/>
    <s v="OK"/>
  </r>
  <r>
    <s v="IT-10037"/>
    <s v="Hydraulic hose 10-37"/>
    <x v="1"/>
    <x v="1"/>
    <x v="1"/>
    <s v="2024-10"/>
    <n v="14.46"/>
    <n v="14.46"/>
    <n v="14.484156"/>
    <n v="19.55"/>
    <n v="58"/>
    <m/>
    <n v="0"/>
    <n v="604"/>
    <n v="8748.43"/>
    <n v="69"/>
    <n v="535"/>
    <n v="9.56"/>
    <n v="7"/>
    <n v="326"/>
    <n v="6373.3"/>
    <n v="0"/>
    <x v="0"/>
    <s v="OK"/>
  </r>
  <r>
    <s v="IT-10037"/>
    <s v="Hydraulic hose 10-37"/>
    <x v="1"/>
    <x v="1"/>
    <x v="1"/>
    <s v="2024-11"/>
    <n v="14.9"/>
    <n v="14.9"/>
    <n v="14.688931999999999"/>
    <n v="19.55"/>
    <n v="58"/>
    <n v="57"/>
    <n v="586"/>
    <n v="1011"/>
    <n v="14850.51"/>
    <n v="17"/>
    <n v="994"/>
    <n v="19.73"/>
    <n v="1"/>
    <n v="179"/>
    <n v="3499.45"/>
    <n v="0"/>
    <x v="0"/>
    <s v="OK"/>
  </r>
  <r>
    <s v="IT-10037"/>
    <s v="Hydraulic hose 10-37"/>
    <x v="1"/>
    <x v="1"/>
    <x v="1"/>
    <s v="2024-12"/>
    <n v="14.89"/>
    <n v="14.89"/>
    <n v="14.716108999999999"/>
    <n v="19.55"/>
    <n v="58"/>
    <n v="51"/>
    <n v="158"/>
    <n v="884"/>
    <n v="13009.04"/>
    <n v="43"/>
    <n v="841"/>
    <n v="14.71"/>
    <n v="1"/>
    <n v="285"/>
    <n v="5571.75"/>
    <n v="0"/>
    <x v="0"/>
    <s v="OK"/>
  </r>
  <r>
    <s v="IT-10037"/>
    <s v="Hydraulic hose 10-37"/>
    <x v="1"/>
    <x v="1"/>
    <x v="1"/>
    <s v="2025-01"/>
    <n v="15.28"/>
    <n v="15.28"/>
    <n v="14.748569"/>
    <n v="19.55"/>
    <n v="58"/>
    <n v="54"/>
    <n v="54"/>
    <n v="496"/>
    <n v="7315.29"/>
    <n v="17"/>
    <n v="479"/>
    <n v="7.2"/>
    <n v="1"/>
    <n v="442"/>
    <n v="8641.1"/>
    <n v="0"/>
    <x v="0"/>
    <s v="OK"/>
  </r>
  <r>
    <s v="IT-10037"/>
    <s v="Hydraulic hose 10-37"/>
    <x v="1"/>
    <x v="1"/>
    <x v="1"/>
    <s v="2025-02"/>
    <n v="14.96"/>
    <n v="14.96"/>
    <n v="14.867521"/>
    <n v="20.23"/>
    <n v="58"/>
    <n v="56"/>
    <n v="638"/>
    <n v="940"/>
    <n v="13975.47"/>
    <n v="17"/>
    <n v="923"/>
    <n v="13.12"/>
    <n v="0"/>
    <n v="194"/>
    <n v="3924.62"/>
    <n v="0"/>
    <x v="0"/>
    <s v="OK"/>
  </r>
  <r>
    <s v="IT-10037"/>
    <s v="Hydraulic hose 10-37"/>
    <x v="1"/>
    <x v="1"/>
    <x v="1"/>
    <s v="2025-03"/>
    <n v="15.31"/>
    <n v="15.31"/>
    <n v="14.867516999999999"/>
    <n v="20.23"/>
    <n v="58"/>
    <m/>
    <n v="0"/>
    <n v="745"/>
    <n v="11076.3"/>
    <n v="61"/>
    <n v="684"/>
    <n v="11.53"/>
    <n v="0"/>
    <n v="195"/>
    <n v="3944.85"/>
    <n v="0"/>
    <x v="0"/>
    <s v="OK"/>
  </r>
  <r>
    <s v="IT-10037"/>
    <s v="Hydraulic hose 10-37"/>
    <x v="1"/>
    <x v="1"/>
    <x v="1"/>
    <s v="2025-04"/>
    <n v="15.02"/>
    <n v="15.02"/>
    <n v="14.867525000000001"/>
    <n v="20.23"/>
    <n v="58"/>
    <m/>
    <n v="0"/>
    <n v="509"/>
    <n v="7567.57"/>
    <n v="52"/>
    <n v="457"/>
    <n v="10.35"/>
    <n v="2"/>
    <n v="236"/>
    <n v="4774.28"/>
    <n v="0"/>
    <x v="0"/>
    <s v="OK"/>
  </r>
  <r>
    <s v="IT-10037"/>
    <s v="Hydraulic hose 10-37"/>
    <x v="1"/>
    <x v="1"/>
    <x v="1"/>
    <s v="2025-05"/>
    <n v="15.21"/>
    <n v="15.21"/>
    <n v="15.003218"/>
    <n v="20.23"/>
    <n v="58"/>
    <n v="52"/>
    <n v="334"/>
    <n v="550"/>
    <n v="8251.77"/>
    <n v="52"/>
    <n v="498"/>
    <n v="9.98"/>
    <n v="2"/>
    <n v="293"/>
    <n v="5927.39"/>
    <n v="0"/>
    <x v="0"/>
    <s v="OK"/>
  </r>
  <r>
    <s v="IT-10037"/>
    <s v="Hydraulic hose 10-37"/>
    <x v="1"/>
    <x v="1"/>
    <x v="1"/>
    <s v="2025-06"/>
    <n v="14.92"/>
    <n v="14.92"/>
    <n v="14.95872"/>
    <n v="20.23"/>
    <n v="58"/>
    <n v="52"/>
    <n v="632"/>
    <n v="953"/>
    <n v="14255.66"/>
    <n v="61"/>
    <n v="892"/>
    <n v="16.34"/>
    <n v="6"/>
    <n v="229"/>
    <n v="4632.67"/>
    <n v="0"/>
    <x v="0"/>
    <s v="OK"/>
  </r>
  <r>
    <s v="IT-10037"/>
    <s v="Hydraulic hose 10-37"/>
    <x v="1"/>
    <x v="1"/>
    <x v="1"/>
    <s v="2025-07"/>
    <n v="15.12"/>
    <n v="15.12"/>
    <n v="14.976219"/>
    <n v="20.23"/>
    <n v="58"/>
    <n v="54"/>
    <n v="116"/>
    <n v="685"/>
    <n v="10258.709999999999"/>
    <n v="78"/>
    <n v="607"/>
    <n v="9.94"/>
    <n v="1"/>
    <n v="384"/>
    <n v="7768.32"/>
    <n v="0"/>
    <x v="0"/>
    <s v="OK"/>
  </r>
  <r>
    <s v="IT-10037"/>
    <s v="Hydraulic hose 10-37"/>
    <x v="1"/>
    <x v="1"/>
    <x v="1"/>
    <s v="2025-08"/>
    <n v="15.41"/>
    <n v="15.41"/>
    <n v="14.976210999999999"/>
    <n v="20.23"/>
    <n v="58"/>
    <m/>
    <n v="0"/>
    <n v="446"/>
    <n v="6679.39"/>
    <n v="26"/>
    <n v="420"/>
    <n v="6.88"/>
    <n v="0"/>
    <n v="239"/>
    <n v="4834.97"/>
    <n v="0"/>
    <x v="0"/>
    <s v="OK"/>
  </r>
  <r>
    <s v="IT-10037"/>
    <s v="Hydraulic hose 10-37"/>
    <x v="1"/>
    <x v="1"/>
    <x v="1"/>
    <s v="2025-09"/>
    <n v="14.98"/>
    <n v="14.98"/>
    <n v="14.976179"/>
    <n v="20.23"/>
    <n v="58"/>
    <m/>
    <n v="0"/>
    <n v="123"/>
    <n v="1842.07"/>
    <n v="69"/>
    <n v="54"/>
    <n v="1.71"/>
    <n v="0"/>
    <n v="323"/>
    <n v="6534.29"/>
    <n v="0"/>
    <x v="0"/>
    <s v="OK"/>
  </r>
  <r>
    <s v="IT-10037"/>
    <s v="Hydraulic hose 10-37"/>
    <x v="1"/>
    <x v="1"/>
    <x v="1"/>
    <s v="2025-10"/>
    <n v="15.07"/>
    <n v="15.07"/>
    <n v="15.054155"/>
    <n v="20.23"/>
    <n v="58"/>
    <n v="91"/>
    <n v="605"/>
    <n v="438"/>
    <n v="6593.72"/>
    <n v="78"/>
    <n v="360"/>
    <n v="6.76"/>
    <n v="2"/>
    <n v="290"/>
    <n v="5866.7"/>
    <n v="0"/>
    <x v="0"/>
    <s v="OK"/>
  </r>
  <r>
    <s v="IT-10037"/>
    <s v="Hydraulic hose 10-37"/>
    <x v="1"/>
    <x v="1"/>
    <x v="1"/>
    <s v="2025-11"/>
    <n v="15.2"/>
    <n v="15.2"/>
    <n v="15.054162"/>
    <n v="20.23"/>
    <n v="58"/>
    <m/>
    <n v="0"/>
    <n v="358"/>
    <n v="5389.39"/>
    <n v="43"/>
    <n v="315"/>
    <n v="6.72"/>
    <n v="0"/>
    <n v="80"/>
    <n v="1618.4"/>
    <n v="0"/>
    <x v="0"/>
    <s v="OK"/>
  </r>
  <r>
    <s v="IT-10037"/>
    <s v="Hydraulic hose 10-37"/>
    <x v="1"/>
    <x v="1"/>
    <x v="1"/>
    <s v="2025-12"/>
    <n v="15.31"/>
    <n v="15.31"/>
    <n v="15.239379"/>
    <n v="20.23"/>
    <n v="58"/>
    <n v="55"/>
    <n v="939"/>
    <n v="1062"/>
    <n v="16184.22"/>
    <n v="43"/>
    <n v="1019"/>
    <n v="23.07"/>
    <n v="6"/>
    <n v="235"/>
    <n v="4754.05"/>
    <n v="0"/>
    <x v="0"/>
    <s v="OK"/>
  </r>
  <r>
    <s v="IT-10037"/>
    <s v="Hydraulic hose 10-37"/>
    <x v="1"/>
    <x v="1"/>
    <x v="1"/>
    <s v="2026-01"/>
    <n v="15.79"/>
    <n v="15.79"/>
    <n v="15.417303"/>
    <n v="20.23"/>
    <n v="58"/>
    <n v="95"/>
    <n v="507"/>
    <n v="1257"/>
    <n v="19379.55"/>
    <n v="52"/>
    <n v="1205"/>
    <n v="26.35"/>
    <n v="2"/>
    <n v="312"/>
    <n v="6311.76"/>
    <n v="0"/>
    <x v="0"/>
    <s v="OK"/>
  </r>
  <r>
    <s v="IT-10037"/>
    <s v="Hydraulic hose 10-37"/>
    <x v="1"/>
    <x v="1"/>
    <x v="1"/>
    <s v="2026-02"/>
    <n v="15.57"/>
    <n v="15.57"/>
    <n v="15.417306"/>
    <n v="20.93"/>
    <n v="58"/>
    <m/>
    <n v="0"/>
    <n v="824"/>
    <n v="12703.86"/>
    <n v="26"/>
    <n v="798"/>
    <n v="10.81"/>
    <n v="0"/>
    <n v="433"/>
    <n v="9062.69"/>
    <n v="0"/>
    <x v="0"/>
    <s v="OK"/>
  </r>
  <r>
    <s v="IT-10037"/>
    <s v="Hydraulic hose 10-37"/>
    <x v="1"/>
    <x v="1"/>
    <x v="1"/>
    <s v="2026-03"/>
    <n v="15.93"/>
    <n v="15.93"/>
    <n v="15.417313"/>
    <n v="20.93"/>
    <n v="58"/>
    <m/>
    <n v="0"/>
    <n v="361"/>
    <n v="5565.65"/>
    <n v="87"/>
    <n v="274"/>
    <n v="3.84"/>
    <n v="0"/>
    <n v="463"/>
    <n v="9690.59"/>
    <n v="0"/>
    <x v="0"/>
    <s v="OK"/>
  </r>
  <r>
    <s v="IT-10037"/>
    <s v="Hydraulic hose 10-37"/>
    <x v="1"/>
    <x v="1"/>
    <x v="1"/>
    <s v="2026-04"/>
    <n v="16.059999999999999"/>
    <n v="16.059999999999999"/>
    <n v="15.789602"/>
    <n v="20.93"/>
    <n v="58"/>
    <n v="52"/>
    <n v="497"/>
    <n v="452"/>
    <n v="7136.9"/>
    <n v="26"/>
    <n v="426"/>
    <n v="4.41"/>
    <n v="2"/>
    <n v="406"/>
    <n v="8497.58"/>
    <n v="0"/>
    <x v="0"/>
    <s v="OK"/>
  </r>
  <r>
    <s v="IT-10037"/>
    <s v="Hydraulic hose 10-37"/>
    <x v="1"/>
    <x v="1"/>
    <x v="1"/>
    <s v="2026-05"/>
    <n v="15.81"/>
    <n v="15.81"/>
    <n v="15.801364"/>
    <n v="20.93"/>
    <n v="58"/>
    <n v="56"/>
    <n v="616"/>
    <n v="733"/>
    <n v="11582.4"/>
    <n v="43"/>
    <n v="690"/>
    <n v="8"/>
    <n v="1"/>
    <n v="335"/>
    <n v="7011.55"/>
    <n v="0"/>
    <x v="0"/>
    <s v="OK"/>
  </r>
  <r>
    <s v="IT-10037"/>
    <s v="Hydraulic hose 10-37"/>
    <x v="1"/>
    <x v="1"/>
    <x v="1"/>
    <s v="2026-06"/>
    <n v="15.54"/>
    <n v="15.54"/>
    <n v="15.801354"/>
    <n v="20.93"/>
    <n v="58"/>
    <m/>
    <n v="0"/>
    <n v="362"/>
    <n v="5720.09"/>
    <n v="17"/>
    <n v="345"/>
    <n v="4.2300000000000004"/>
    <n v="2"/>
    <n v="371"/>
    <n v="7765.03"/>
    <n v="0"/>
    <x v="0"/>
    <s v="OK"/>
  </r>
  <r>
    <s v="IT-10037"/>
    <s v="Hydraulic hose 10-37"/>
    <x v="1"/>
    <x v="1"/>
    <x v="1"/>
    <s v="2026-07"/>
    <n v="16.04"/>
    <n v="16.04"/>
    <n v="15.801389"/>
    <n v="20.93"/>
    <n v="58"/>
    <m/>
    <n v="0"/>
    <n v="108"/>
    <n v="1706.55"/>
    <n v="35"/>
    <n v="73"/>
    <n v="1.48"/>
    <n v="1"/>
    <n v="254"/>
    <n v="5316.22"/>
    <n v="0"/>
    <x v="0"/>
    <s v="OK"/>
  </r>
  <r>
    <s v="IT-10037"/>
    <s v="Hydraulic hose 10-37"/>
    <x v="1"/>
    <x v="1"/>
    <x v="1"/>
    <s v="2026-08"/>
    <n v="15.78"/>
    <n v="15.78"/>
    <n v="15.782204999999999"/>
    <n v="20.93"/>
    <n v="58"/>
    <n v="56"/>
    <n v="942"/>
    <n v="721"/>
    <n v="11378.97"/>
    <n v="52"/>
    <n v="669"/>
    <n v="9.93"/>
    <n v="2"/>
    <n v="329"/>
    <n v="6885.97"/>
    <n v="0"/>
    <x v="0"/>
    <s v="OK"/>
  </r>
  <r>
    <s v="IT-10038"/>
    <s v="Pillow block M-38"/>
    <x v="0"/>
    <x v="0"/>
    <x v="1"/>
    <s v="2024-09"/>
    <n v="86.2"/>
    <n v="86.2"/>
    <n v="85.753111000000004"/>
    <n v="112.02"/>
    <n v="29"/>
    <n v="38"/>
    <n v="86"/>
    <n v="90"/>
    <n v="7717.78"/>
    <n v="4"/>
    <n v="86"/>
    <n v="15.98"/>
    <n v="1"/>
    <n v="27"/>
    <n v="3024.54"/>
    <n v="0"/>
    <x v="0"/>
    <s v="OK"/>
  </r>
  <r>
    <s v="IT-10038"/>
    <s v="Pillow block M-38"/>
    <x v="0"/>
    <x v="0"/>
    <x v="1"/>
    <s v="2024-10"/>
    <n v="86.11"/>
    <n v="86.11"/>
    <n v="85.753067000000001"/>
    <n v="112.02"/>
    <n v="29"/>
    <m/>
    <n v="0"/>
    <n v="75"/>
    <n v="6431.48"/>
    <n v="7"/>
    <n v="68"/>
    <n v="15.9"/>
    <n v="1"/>
    <n v="15"/>
    <n v="1680.3"/>
    <n v="0"/>
    <x v="0"/>
    <s v="OK"/>
  </r>
  <r>
    <s v="IT-10038"/>
    <s v="Pillow block M-38"/>
    <x v="0"/>
    <x v="0"/>
    <x v="1"/>
    <s v="2024-11"/>
    <n v="86.78"/>
    <n v="86.78"/>
    <n v="85.977661999999995"/>
    <n v="112.02"/>
    <n v="29"/>
    <n v="25"/>
    <n v="21"/>
    <n v="77"/>
    <n v="6620.28"/>
    <n v="6"/>
    <n v="71"/>
    <n v="16.41"/>
    <n v="12"/>
    <n v="19"/>
    <n v="2128.38"/>
    <n v="0"/>
    <x v="0"/>
    <s v="OK"/>
  </r>
  <r>
    <s v="IT-10038"/>
    <s v="Pillow block M-38"/>
    <x v="0"/>
    <x v="0"/>
    <x v="1"/>
    <s v="2024-12"/>
    <n v="85.19"/>
    <n v="85.19"/>
    <n v="85.977812999999998"/>
    <n v="112.02"/>
    <n v="29"/>
    <m/>
    <n v="0"/>
    <n v="32"/>
    <n v="2751.29"/>
    <n v="6"/>
    <n v="26"/>
    <n v="5.32"/>
    <n v="2"/>
    <n v="45"/>
    <n v="5040.8999999999996"/>
    <n v="0"/>
    <x v="0"/>
    <s v="OK"/>
  </r>
  <r>
    <s v="IT-10038"/>
    <s v="Pillow block M-38"/>
    <x v="0"/>
    <x v="0"/>
    <x v="1"/>
    <s v="2025-01"/>
    <n v="85.68"/>
    <n v="85.68"/>
    <n v="85.808750000000003"/>
    <n v="112.02"/>
    <n v="29"/>
    <n v="26"/>
    <n v="42"/>
    <n v="56"/>
    <n v="4805.29"/>
    <n v="5"/>
    <n v="51"/>
    <n v="8.98"/>
    <n v="2"/>
    <n v="18"/>
    <n v="2016.36"/>
    <n v="0"/>
    <x v="0"/>
    <s v="OK"/>
  </r>
  <r>
    <s v="IT-10038"/>
    <s v="Pillow block M-38"/>
    <x v="0"/>
    <x v="0"/>
    <x v="1"/>
    <s v="2025-02"/>
    <n v="84.4"/>
    <n v="84.4"/>
    <n v="85.266970000000001"/>
    <n v="118.48"/>
    <n v="29"/>
    <n v="26"/>
    <n v="35"/>
    <n v="66"/>
    <n v="5627.62"/>
    <n v="4"/>
    <n v="62"/>
    <n v="9.64"/>
    <n v="4"/>
    <n v="25"/>
    <n v="2962"/>
    <n v="0"/>
    <x v="0"/>
    <s v="OK"/>
  </r>
  <r>
    <s v="IT-10038"/>
    <s v="Pillow block M-38"/>
    <x v="0"/>
    <x v="0"/>
    <x v="1"/>
    <s v="2025-03"/>
    <n v="84.38"/>
    <n v="84.38"/>
    <n v="85.266999999999996"/>
    <n v="118.48"/>
    <n v="29"/>
    <m/>
    <n v="0"/>
    <n v="50"/>
    <n v="4263.3500000000004"/>
    <n v="5"/>
    <n v="45"/>
    <n v="10.9"/>
    <n v="5"/>
    <n v="16"/>
    <n v="1895.68"/>
    <n v="0"/>
    <x v="0"/>
    <s v="OK"/>
  </r>
  <r>
    <s v="IT-10038"/>
    <s v="Pillow block M-38"/>
    <x v="0"/>
    <x v="0"/>
    <x v="1"/>
    <s v="2025-04"/>
    <n v="86.09"/>
    <n v="86.09"/>
    <n v="85.534000000000006"/>
    <n v="118.48"/>
    <n v="29"/>
    <n v="26"/>
    <n v="24"/>
    <n v="55"/>
    <n v="4704.37"/>
    <n v="6"/>
    <n v="49"/>
    <n v="11.65"/>
    <n v="4"/>
    <n v="19"/>
    <n v="2251.12"/>
    <n v="0"/>
    <x v="0"/>
    <s v="OK"/>
  </r>
  <r>
    <s v="IT-10038"/>
    <s v="Pillow block M-38"/>
    <x v="0"/>
    <x v="0"/>
    <x v="1"/>
    <s v="2025-05"/>
    <n v="88.82"/>
    <n v="88.82"/>
    <n v="85.534091000000004"/>
    <n v="118.48"/>
    <n v="29"/>
    <m/>
    <n v="0"/>
    <n v="44"/>
    <n v="3763.5"/>
    <n v="5"/>
    <n v="39"/>
    <n v="12.57"/>
    <n v="2"/>
    <n v="11"/>
    <n v="1303.28"/>
    <n v="0"/>
    <x v="0"/>
    <s v="OK"/>
  </r>
  <r>
    <s v="IT-10038"/>
    <s v="Pillow block M-38"/>
    <x v="0"/>
    <x v="0"/>
    <x v="1"/>
    <s v="2025-06"/>
    <n v="89.07"/>
    <n v="89.07"/>
    <n v="87.498519000000002"/>
    <n v="118.48"/>
    <n v="29"/>
    <n v="27"/>
    <n v="55"/>
    <n v="81"/>
    <n v="7087.38"/>
    <n v="2"/>
    <n v="79"/>
    <n v="21.94"/>
    <n v="13"/>
    <n v="18"/>
    <n v="2132.64"/>
    <n v="0"/>
    <x v="0"/>
    <s v="OK"/>
  </r>
  <r>
    <s v="IT-10038"/>
    <s v="Pillow block M-38"/>
    <x v="0"/>
    <x v="0"/>
    <x v="1"/>
    <s v="2025-07"/>
    <n v="89.24"/>
    <n v="89.24"/>
    <n v="87.498519000000002"/>
    <n v="118.48"/>
    <n v="29"/>
    <m/>
    <n v="0"/>
    <n v="81"/>
    <n v="7087.38"/>
    <n v="4"/>
    <n v="77"/>
    <n v="36.71"/>
    <n v="44"/>
    <n v="0"/>
    <n v="0"/>
    <n v="0"/>
    <x v="0"/>
    <s v="OK"/>
  </r>
  <r>
    <s v="IT-10038"/>
    <s v="Pillow block M-38"/>
    <x v="0"/>
    <x v="0"/>
    <x v="1"/>
    <s v="2025-08"/>
    <n v="87.38"/>
    <n v="87.38"/>
    <n v="87.466436999999999"/>
    <n v="118.48"/>
    <n v="29"/>
    <n v="25"/>
    <n v="30"/>
    <n v="87"/>
    <n v="7609.58"/>
    <n v="6"/>
    <n v="81"/>
    <n v="27.22"/>
    <n v="3"/>
    <n v="24"/>
    <n v="2843.52"/>
    <n v="0"/>
    <x v="0"/>
    <s v="OK"/>
  </r>
  <r>
    <s v="IT-10038"/>
    <s v="Pillow block M-38"/>
    <x v="0"/>
    <x v="0"/>
    <x v="1"/>
    <s v="2025-09"/>
    <n v="87.38"/>
    <n v="87.38"/>
    <n v="87.466392999999997"/>
    <n v="118.48"/>
    <n v="29"/>
    <m/>
    <n v="0"/>
    <n v="61"/>
    <n v="5335.45"/>
    <n v="3"/>
    <n v="58"/>
    <n v="16.03"/>
    <n v="0"/>
    <n v="26"/>
    <n v="3080.48"/>
    <n v="0"/>
    <x v="0"/>
    <s v="OK"/>
  </r>
  <r>
    <s v="IT-10038"/>
    <s v="Pillow block M-38"/>
    <x v="0"/>
    <x v="0"/>
    <x v="1"/>
    <s v="2025-10"/>
    <n v="86.54"/>
    <n v="86.54"/>
    <n v="87.229211000000006"/>
    <n v="118.48"/>
    <n v="29"/>
    <n v="29"/>
    <n v="21"/>
    <n v="76"/>
    <n v="6629.42"/>
    <n v="3"/>
    <n v="73"/>
    <n v="17.84"/>
    <n v="2"/>
    <n v="6"/>
    <n v="710.88"/>
    <n v="0"/>
    <x v="0"/>
    <s v="OK"/>
  </r>
  <r>
    <s v="IT-10038"/>
    <s v="Pillow block M-38"/>
    <x v="0"/>
    <x v="0"/>
    <x v="1"/>
    <s v="2025-11"/>
    <n v="89.08"/>
    <n v="89.08"/>
    <n v="87.229215999999994"/>
    <n v="118.48"/>
    <n v="29"/>
    <m/>
    <n v="0"/>
    <n v="51"/>
    <n v="4448.6899999999996"/>
    <n v="4"/>
    <n v="47"/>
    <n v="11.63"/>
    <n v="1"/>
    <n v="25"/>
    <n v="2962"/>
    <n v="0"/>
    <x v="0"/>
    <s v="OK"/>
  </r>
  <r>
    <s v="IT-10038"/>
    <s v="Pillow block M-38"/>
    <x v="0"/>
    <x v="0"/>
    <x v="1"/>
    <s v="2025-12"/>
    <n v="88.61"/>
    <n v="88.61"/>
    <n v="87.852800000000002"/>
    <n v="118.48"/>
    <n v="29"/>
    <n v="25"/>
    <n v="42"/>
    <n v="75"/>
    <n v="6588.96"/>
    <n v="6"/>
    <n v="69"/>
    <n v="20.12"/>
    <n v="13"/>
    <n v="18"/>
    <n v="2132.64"/>
    <n v="0"/>
    <x v="0"/>
    <s v="OK"/>
  </r>
  <r>
    <s v="IT-10038"/>
    <s v="Pillow block M-38"/>
    <x v="0"/>
    <x v="0"/>
    <x v="1"/>
    <s v="2026-01"/>
    <n v="87.23"/>
    <n v="87.23"/>
    <n v="87.716617999999997"/>
    <n v="118.48"/>
    <n v="29"/>
    <n v="29"/>
    <n v="21"/>
    <n v="68"/>
    <n v="5964.73"/>
    <n v="3"/>
    <n v="65"/>
    <n v="12.59"/>
    <n v="2"/>
    <n v="28"/>
    <n v="3317.44"/>
    <n v="0"/>
    <x v="0"/>
    <s v="OK"/>
  </r>
  <r>
    <s v="IT-10038"/>
    <s v="Pillow block M-38"/>
    <x v="0"/>
    <x v="0"/>
    <x v="1"/>
    <s v="2026-02"/>
    <n v="88.88"/>
    <n v="88.88"/>
    <n v="87.716667000000001"/>
    <n v="125.31"/>
    <n v="29"/>
    <m/>
    <n v="0"/>
    <n v="48"/>
    <n v="4210.3999999999996"/>
    <n v="6"/>
    <n v="42"/>
    <n v="9.35"/>
    <n v="3"/>
    <n v="20"/>
    <n v="2506.1999999999998"/>
    <n v="0"/>
    <x v="0"/>
    <s v="OK"/>
  </r>
  <r>
    <s v="IT-10038"/>
    <s v="Pillow block M-38"/>
    <x v="0"/>
    <x v="0"/>
    <x v="1"/>
    <s v="2026-03"/>
    <n v="88.42"/>
    <n v="88.42"/>
    <n v="88.044933"/>
    <n v="125.31"/>
    <n v="29"/>
    <n v="29"/>
    <n v="42"/>
    <n v="75"/>
    <n v="6603.37"/>
    <n v="4"/>
    <n v="71"/>
    <n v="15.31"/>
    <n v="0"/>
    <n v="15"/>
    <n v="1879.65"/>
    <n v="0"/>
    <x v="0"/>
    <s v="OK"/>
  </r>
  <r>
    <s v="IT-10038"/>
    <s v="Pillow block M-38"/>
    <x v="0"/>
    <x v="0"/>
    <x v="1"/>
    <s v="2026-04"/>
    <n v="90.27"/>
    <n v="90.27"/>
    <n v="88.531621999999999"/>
    <n v="125.31"/>
    <n v="29"/>
    <n v="28"/>
    <n v="21"/>
    <n v="74"/>
    <n v="6551.34"/>
    <n v="6"/>
    <n v="68"/>
    <n v="16.510000000000002"/>
    <n v="9"/>
    <n v="22"/>
    <n v="2756.82"/>
    <n v="0"/>
    <x v="0"/>
    <s v="OK"/>
  </r>
  <r>
    <s v="IT-10038"/>
    <s v="Pillow block M-38"/>
    <x v="0"/>
    <x v="0"/>
    <x v="1"/>
    <s v="2026-05"/>
    <n v="90.22"/>
    <n v="90.22"/>
    <n v="88.918589999999995"/>
    <n v="125.31"/>
    <n v="29"/>
    <n v="28"/>
    <n v="22"/>
    <n v="78"/>
    <n v="6935.65"/>
    <n v="6"/>
    <n v="72"/>
    <n v="18.64"/>
    <n v="0"/>
    <n v="18"/>
    <n v="2255.58"/>
    <n v="0"/>
    <x v="0"/>
    <s v="OK"/>
  </r>
  <r>
    <s v="IT-10038"/>
    <s v="Pillow block M-38"/>
    <x v="0"/>
    <x v="0"/>
    <x v="1"/>
    <s v="2026-06"/>
    <n v="90.84"/>
    <n v="90.84"/>
    <n v="89.326206999999997"/>
    <n v="125.31"/>
    <n v="29"/>
    <n v="25"/>
    <n v="21"/>
    <n v="87"/>
    <n v="7771.38"/>
    <n v="7"/>
    <n v="80"/>
    <n v="21.75"/>
    <n v="6"/>
    <n v="12"/>
    <n v="1503.72"/>
    <n v="0"/>
    <x v="0"/>
    <s v="OK"/>
  </r>
  <r>
    <s v="IT-10038"/>
    <s v="Pillow block M-38"/>
    <x v="0"/>
    <x v="0"/>
    <x v="1"/>
    <s v="2026-07"/>
    <n v="90.3"/>
    <n v="90.3"/>
    <n v="89.326229999999995"/>
    <n v="125.31"/>
    <n v="29"/>
    <m/>
    <n v="0"/>
    <n v="61"/>
    <n v="5448.9"/>
    <n v="4"/>
    <n v="57"/>
    <n v="14.32"/>
    <n v="5"/>
    <n v="26"/>
    <n v="3258.06"/>
    <n v="0"/>
    <x v="0"/>
    <s v="OK"/>
  </r>
  <r>
    <s v="IT-10038"/>
    <s v="Pillow block M-38"/>
    <x v="0"/>
    <x v="0"/>
    <x v="1"/>
    <s v="2026-08"/>
    <n v="91.2"/>
    <n v="91.2"/>
    <n v="89.806094000000002"/>
    <n v="125.31"/>
    <n v="29"/>
    <n v="28"/>
    <n v="21"/>
    <n v="64"/>
    <n v="5747.59"/>
    <n v="4"/>
    <n v="60"/>
    <n v="15.02"/>
    <n v="7"/>
    <n v="18"/>
    <n v="2255.58"/>
    <n v="0"/>
    <x v="0"/>
    <s v="OK"/>
  </r>
  <r>
    <s v="IT-10039"/>
    <s v="Pillow block 20-39"/>
    <x v="0"/>
    <x v="0"/>
    <x v="1"/>
    <s v="2024-09"/>
    <n v="3"/>
    <n v="3.22"/>
    <n v="3.2514690000000002"/>
    <n v="4.32"/>
    <n v="31"/>
    <m/>
    <n v="0"/>
    <n v="497"/>
    <n v="1615.98"/>
    <n v="113"/>
    <n v="384"/>
    <n v="1.99"/>
    <n v="1"/>
    <n v="1584"/>
    <n v="6842.88"/>
    <n v="0"/>
    <x v="0"/>
    <s v="OK"/>
  </r>
  <r>
    <s v="IT-10039"/>
    <s v="Pillow block 20-39"/>
    <x v="0"/>
    <x v="0"/>
    <x v="1"/>
    <s v="2024-10"/>
    <n v="3.06"/>
    <n v="3.29"/>
    <n v="3.2820740000000002"/>
    <n v="4.32"/>
    <n v="31"/>
    <n v="29"/>
    <n v="1919"/>
    <n v="1794"/>
    <n v="5888.04"/>
    <n v="75"/>
    <n v="1719"/>
    <n v="7.46"/>
    <n v="0"/>
    <n v="622"/>
    <n v="2687.04"/>
    <n v="0"/>
    <x v="0"/>
    <s v="OK"/>
  </r>
  <r>
    <s v="IT-10039"/>
    <s v="Pillow block 20-39"/>
    <x v="0"/>
    <x v="0"/>
    <x v="1"/>
    <s v="2024-11"/>
    <n v="3.06"/>
    <n v="3.29"/>
    <n v="3.2820719999999999"/>
    <n v="4.32"/>
    <n v="31"/>
    <m/>
    <n v="0"/>
    <n v="584"/>
    <n v="1916.73"/>
    <n v="338"/>
    <n v="246"/>
    <n v="2.2200000000000002"/>
    <n v="0"/>
    <n v="1210"/>
    <n v="5227.2"/>
    <n v="0"/>
    <x v="0"/>
    <s v="OK"/>
  </r>
  <r>
    <s v="IT-10039"/>
    <s v="Pillow block 20-39"/>
    <x v="0"/>
    <x v="0"/>
    <x v="1"/>
    <s v="2024-12"/>
    <n v="3.01"/>
    <n v="3.24"/>
    <n v="3.2484299999999999"/>
    <n v="4.32"/>
    <n v="31"/>
    <n v="30"/>
    <n v="2330"/>
    <n v="2172"/>
    <n v="7055.59"/>
    <n v="75"/>
    <n v="2097"/>
    <n v="11.09"/>
    <n v="3"/>
    <n v="742"/>
    <n v="3205.44"/>
    <n v="0"/>
    <x v="0"/>
    <s v="OK"/>
  </r>
  <r>
    <s v="IT-10039"/>
    <s v="Pillow block 20-39"/>
    <x v="0"/>
    <x v="0"/>
    <x v="1"/>
    <s v="2025-01"/>
    <n v="2.98"/>
    <n v="3.2"/>
    <n v="3.2484310000000001"/>
    <n v="4.32"/>
    <n v="31"/>
    <m/>
    <n v="0"/>
    <n v="835"/>
    <n v="2712.44"/>
    <n v="75"/>
    <n v="760"/>
    <n v="3.34"/>
    <n v="3"/>
    <n v="1337"/>
    <n v="5775.84"/>
    <n v="0"/>
    <x v="0"/>
    <s v="OK"/>
  </r>
  <r>
    <s v="IT-10039"/>
    <s v="Pillow block 20-39"/>
    <x v="0"/>
    <x v="0"/>
    <x v="1"/>
    <s v="2025-02"/>
    <n v="3.01"/>
    <n v="3.24"/>
    <n v="3.243271"/>
    <n v="4.4400000000000004"/>
    <n v="31"/>
    <n v="34"/>
    <n v="1318"/>
    <n v="1550"/>
    <n v="5027.07"/>
    <n v="338"/>
    <n v="1212"/>
    <n v="7.43"/>
    <n v="1"/>
    <n v="603"/>
    <n v="2677.32"/>
    <n v="0"/>
    <x v="0"/>
    <s v="OK"/>
  </r>
  <r>
    <s v="IT-10039"/>
    <s v="Pillow block 20-39"/>
    <x v="0"/>
    <x v="0"/>
    <x v="1"/>
    <s v="2025-03"/>
    <n v="2.98"/>
    <n v="3.2"/>
    <n v="3.2207919999999999"/>
    <n v="4.4400000000000004"/>
    <n v="31"/>
    <n v="30"/>
    <n v="1676"/>
    <n v="2173"/>
    <n v="6998.78"/>
    <n v="263"/>
    <n v="1910"/>
    <n v="9.33"/>
    <n v="0"/>
    <n v="1053"/>
    <n v="4675.32"/>
    <n v="0"/>
    <x v="0"/>
    <s v="OK"/>
  </r>
  <r>
    <s v="IT-10039"/>
    <s v="Pillow block 20-39"/>
    <x v="0"/>
    <x v="0"/>
    <x v="1"/>
    <s v="2025-04"/>
    <n v="3.16"/>
    <n v="3.4"/>
    <n v="3.2207919999999999"/>
    <n v="4.4400000000000004"/>
    <n v="31"/>
    <m/>
    <n v="0"/>
    <n v="2173"/>
    <n v="6998.78"/>
    <n v="300"/>
    <n v="1873"/>
    <n v="16.68"/>
    <n v="30"/>
    <n v="0"/>
    <n v="0"/>
    <n v="0"/>
    <x v="0"/>
    <s v="OK"/>
  </r>
  <r>
    <s v="IT-10039"/>
    <s v="Pillow block 20-39"/>
    <x v="0"/>
    <x v="0"/>
    <x v="1"/>
    <s v="2025-05"/>
    <n v="3.12"/>
    <n v="3.35"/>
    <n v="3.274343"/>
    <n v="4.4400000000000004"/>
    <n v="31"/>
    <n v="53"/>
    <n v="1538"/>
    <n v="2443"/>
    <n v="7999.22"/>
    <n v="113"/>
    <n v="2330"/>
    <n v="13.83"/>
    <n v="0"/>
    <n v="1268"/>
    <n v="5629.92"/>
    <n v="0"/>
    <x v="0"/>
    <s v="OK"/>
  </r>
  <r>
    <s v="IT-10039"/>
    <s v="Pillow block 20-39"/>
    <x v="0"/>
    <x v="0"/>
    <x v="1"/>
    <s v="2025-06"/>
    <n v="3.17"/>
    <n v="3.41"/>
    <n v="3.2825329999999999"/>
    <n v="4.4400000000000004"/>
    <n v="31"/>
    <n v="29"/>
    <n v="157"/>
    <n v="1678"/>
    <n v="5508.09"/>
    <n v="113"/>
    <n v="1565"/>
    <n v="9.9600000000000009"/>
    <n v="0"/>
    <n v="922"/>
    <n v="4093.68"/>
    <n v="0"/>
    <x v="0"/>
    <s v="OK"/>
  </r>
  <r>
    <s v="IT-10039"/>
    <s v="Pillow block 20-39"/>
    <x v="0"/>
    <x v="0"/>
    <x v="1"/>
    <s v="2025-07"/>
    <n v="3.07"/>
    <n v="3.3"/>
    <n v="3.2825329999999999"/>
    <n v="4.4400000000000004"/>
    <n v="31"/>
    <m/>
    <n v="0"/>
    <n v="0"/>
    <n v="0"/>
    <n v="0"/>
    <n v="0"/>
    <n v="0"/>
    <n v="0"/>
    <n v="1678"/>
    <n v="7450.32"/>
    <n v="106"/>
    <x v="1"/>
    <s v="OK"/>
  </r>
  <r>
    <s v="IT-10039"/>
    <s v="Pillow block 20-39"/>
    <x v="0"/>
    <x v="0"/>
    <x v="1"/>
    <s v="2025-08"/>
    <n v="3.07"/>
    <n v="3.3"/>
    <n v="3.3"/>
    <n v="4.4400000000000004"/>
    <n v="31"/>
    <n v="47"/>
    <n v="596"/>
    <n v="354"/>
    <n v="1168.2"/>
    <n v="338"/>
    <n v="16"/>
    <n v="1.64"/>
    <n v="3"/>
    <n v="242"/>
    <n v="1074.48"/>
    <n v="0"/>
    <x v="0"/>
    <s v="OK"/>
  </r>
  <r>
    <s v="IT-10039"/>
    <s v="Pillow block 20-39"/>
    <x v="0"/>
    <x v="0"/>
    <x v="1"/>
    <s v="2025-09"/>
    <n v="3.15"/>
    <n v="3.39"/>
    <n v="3.379375"/>
    <n v="4.4400000000000004"/>
    <n v="31"/>
    <n v="50"/>
    <n v="2645"/>
    <n v="2561"/>
    <n v="8654.58"/>
    <n v="225"/>
    <n v="2336"/>
    <n v="14.27"/>
    <n v="2"/>
    <n v="438"/>
    <n v="1944.72"/>
    <n v="0"/>
    <x v="0"/>
    <s v="OK"/>
  </r>
  <r>
    <s v="IT-10039"/>
    <s v="Pillow block 20-39"/>
    <x v="0"/>
    <x v="0"/>
    <x v="1"/>
    <s v="2025-10"/>
    <n v="3.07"/>
    <n v="3.3"/>
    <n v="3.370269"/>
    <n v="4.4400000000000004"/>
    <n v="31"/>
    <n v="28"/>
    <n v="332"/>
    <n v="1411"/>
    <n v="4755.45"/>
    <n v="375"/>
    <n v="1036"/>
    <n v="8.58"/>
    <n v="4"/>
    <n v="1482"/>
    <n v="6580.08"/>
    <n v="0"/>
    <x v="0"/>
    <s v="OK"/>
  </r>
  <r>
    <s v="IT-10039"/>
    <s v="Pillow block 20-39"/>
    <x v="0"/>
    <x v="0"/>
    <x v="1"/>
    <s v="2025-11"/>
    <n v="3.18"/>
    <n v="3.42"/>
    <n v="3.3798490000000001"/>
    <n v="4.4400000000000004"/>
    <n v="31"/>
    <n v="29"/>
    <n v="337"/>
    <n v="597"/>
    <n v="2017.77"/>
    <n v="225"/>
    <n v="372"/>
    <n v="2.5299999999999998"/>
    <n v="1"/>
    <n v="1151"/>
    <n v="5110.4399999999996"/>
    <n v="0"/>
    <x v="0"/>
    <s v="OK"/>
  </r>
  <r>
    <s v="IT-10039"/>
    <s v="Pillow block 20-39"/>
    <x v="0"/>
    <x v="0"/>
    <x v="1"/>
    <s v="2025-12"/>
    <n v="3.18"/>
    <n v="3.42"/>
    <n v="3.410228"/>
    <n v="4.4400000000000004"/>
    <n v="31"/>
    <n v="29"/>
    <n v="1856"/>
    <n v="569"/>
    <n v="1940.42"/>
    <n v="188"/>
    <n v="381"/>
    <n v="1.66"/>
    <n v="0"/>
    <n v="1884"/>
    <n v="8364.9599999999991"/>
    <n v="0"/>
    <x v="0"/>
    <s v="OK"/>
  </r>
  <r>
    <s v="IT-10039"/>
    <s v="Pillow block 20-39"/>
    <x v="0"/>
    <x v="0"/>
    <x v="1"/>
    <s v="2026-01"/>
    <n v="3.18"/>
    <n v="3.42"/>
    <n v="3.4187240000000001"/>
    <n v="4.4400000000000004"/>
    <n v="31"/>
    <n v="29"/>
    <n v="3792"/>
    <n v="3253"/>
    <n v="11121.11"/>
    <n v="225"/>
    <n v="3028"/>
    <n v="10.32"/>
    <n v="0"/>
    <n v="1108"/>
    <n v="4919.5200000000004"/>
    <n v="0"/>
    <x v="0"/>
    <s v="OK"/>
  </r>
  <r>
    <s v="IT-10039"/>
    <s v="Pillow block 20-39"/>
    <x v="0"/>
    <x v="0"/>
    <x v="1"/>
    <s v="2026-02"/>
    <n v="3.18"/>
    <n v="3.42"/>
    <n v="3.4187249999999998"/>
    <n v="4.57"/>
    <n v="31"/>
    <m/>
    <n v="0"/>
    <n v="1498"/>
    <n v="5121.25"/>
    <n v="338"/>
    <n v="1160"/>
    <n v="4.0599999999999996"/>
    <n v="2"/>
    <n v="1755"/>
    <n v="8020.35"/>
    <n v="0"/>
    <x v="0"/>
    <s v="OK"/>
  </r>
  <r>
    <s v="IT-10039"/>
    <s v="Pillow block 20-39"/>
    <x v="0"/>
    <x v="0"/>
    <x v="1"/>
    <s v="2026-03"/>
    <n v="3.07"/>
    <n v="3.3"/>
    <n v="3.3725930000000002"/>
    <n v="4.57"/>
    <n v="31"/>
    <n v="29"/>
    <n v="952"/>
    <n v="1431"/>
    <n v="4826.18"/>
    <n v="300"/>
    <n v="1131"/>
    <n v="4.74"/>
    <n v="0"/>
    <n v="1019"/>
    <n v="4656.83"/>
    <n v="0"/>
    <x v="0"/>
    <s v="OK"/>
  </r>
  <r>
    <s v="IT-10039"/>
    <s v="Pillow block 20-39"/>
    <x v="0"/>
    <x v="0"/>
    <x v="1"/>
    <s v="2026-04"/>
    <n v="3.23"/>
    <n v="3.47"/>
    <n v="3.3725839999999998"/>
    <n v="4.57"/>
    <n v="31"/>
    <m/>
    <n v="0"/>
    <n v="538"/>
    <n v="1814.45"/>
    <n v="300"/>
    <n v="238"/>
    <n v="1.87"/>
    <n v="0"/>
    <n v="893"/>
    <n v="4081.01"/>
    <n v="0"/>
    <x v="0"/>
    <s v="OK"/>
  </r>
  <r>
    <s v="IT-10039"/>
    <s v="Pillow block 20-39"/>
    <x v="0"/>
    <x v="0"/>
    <x v="1"/>
    <s v="2026-05"/>
    <n v="3.21"/>
    <n v="3.45"/>
    <n v="3.430034"/>
    <n v="4.57"/>
    <n v="31"/>
    <n v="31"/>
    <n v="1548"/>
    <n v="0"/>
    <n v="0"/>
    <n v="0"/>
    <n v="0"/>
    <n v="0"/>
    <n v="0"/>
    <n v="2086"/>
    <n v="9533.02"/>
    <n v="205"/>
    <x v="1"/>
    <s v="OK"/>
  </r>
  <r>
    <s v="IT-10039"/>
    <s v="Pillow block 20-39"/>
    <x v="0"/>
    <x v="0"/>
    <x v="1"/>
    <s v="2026-06"/>
    <n v="3.22"/>
    <n v="3.46"/>
    <n v="3.46"/>
    <n v="4.57"/>
    <n v="31"/>
    <n v="29"/>
    <n v="2973"/>
    <n v="1332"/>
    <n v="4608.72"/>
    <n v="188"/>
    <n v="1144"/>
    <n v="3.75"/>
    <n v="2"/>
    <n v="1641"/>
    <n v="7499.37"/>
    <n v="0"/>
    <x v="0"/>
    <s v="OK"/>
  </r>
  <r>
    <s v="IT-10039"/>
    <s v="Pillow block 20-39"/>
    <x v="0"/>
    <x v="0"/>
    <x v="1"/>
    <s v="2026-07"/>
    <n v="3.15"/>
    <n v="3.39"/>
    <n v="3.4202520000000001"/>
    <n v="4.57"/>
    <n v="31"/>
    <n v="30"/>
    <n v="1750"/>
    <n v="1189"/>
    <n v="4066.68"/>
    <n v="375"/>
    <n v="814"/>
    <n v="2.78"/>
    <n v="1"/>
    <n v="1893"/>
    <n v="8651.01"/>
    <n v="0"/>
    <x v="0"/>
    <s v="OK"/>
  </r>
  <r>
    <s v="IT-10039"/>
    <s v="Pillow block 20-39"/>
    <x v="0"/>
    <x v="0"/>
    <x v="1"/>
    <s v="2026-08"/>
    <n v="3.23"/>
    <n v="3.47"/>
    <n v="3.4202590000000002"/>
    <n v="4.57"/>
    <n v="31"/>
    <m/>
    <n v="0"/>
    <n v="463"/>
    <n v="1583.58"/>
    <n v="225"/>
    <n v="238"/>
    <n v="1.43"/>
    <n v="0"/>
    <n v="726"/>
    <n v="3317.82"/>
    <n v="0"/>
    <x v="0"/>
    <s v="OK"/>
  </r>
  <r>
    <s v="IT-10040"/>
    <s v="Ball bearing A-40"/>
    <x v="0"/>
    <x v="0"/>
    <x v="1"/>
    <s v="2024-09"/>
    <n v="207.1"/>
    <n v="221.6"/>
    <n v="220.0008"/>
    <n v="284.17"/>
    <n v="54"/>
    <n v="92"/>
    <n v="57"/>
    <n v="50"/>
    <n v="11000.04"/>
    <n v="7"/>
    <n v="43"/>
    <n v="5.82"/>
    <n v="15"/>
    <n v="31"/>
    <n v="8809.27"/>
    <n v="0"/>
    <x v="0"/>
    <s v="OK"/>
  </r>
  <r>
    <s v="IT-10040"/>
    <s v="Ball bearing A-40"/>
    <x v="0"/>
    <x v="0"/>
    <x v="1"/>
    <s v="2024-10"/>
    <n v="208.5"/>
    <n v="223.09"/>
    <n v="221.79202100000001"/>
    <n v="284.17"/>
    <n v="54"/>
    <n v="53"/>
    <n v="69"/>
    <n v="94"/>
    <n v="20848.45"/>
    <n v="9"/>
    <n v="85"/>
    <n v="14.2"/>
    <n v="4"/>
    <n v="25"/>
    <n v="7104.25"/>
    <n v="0"/>
    <x v="0"/>
    <s v="OK"/>
  </r>
  <r>
    <s v="IT-10040"/>
    <s v="Ball bearing A-40"/>
    <x v="0"/>
    <x v="0"/>
    <x v="1"/>
    <s v="2024-11"/>
    <n v="205.04"/>
    <n v="219.39"/>
    <n v="221.42409599999999"/>
    <n v="284.17"/>
    <n v="54"/>
    <n v="50"/>
    <n v="17"/>
    <n v="83"/>
    <n v="18378.2"/>
    <n v="5"/>
    <n v="78"/>
    <n v="12.85"/>
    <n v="4"/>
    <n v="28"/>
    <n v="7956.76"/>
    <n v="0"/>
    <x v="0"/>
    <s v="OK"/>
  </r>
  <r>
    <s v="IT-10040"/>
    <s v="Ball bearing A-40"/>
    <x v="0"/>
    <x v="0"/>
    <x v="1"/>
    <s v="2024-12"/>
    <n v="206.09"/>
    <n v="220.52"/>
    <n v="221.424127"/>
    <n v="284.17"/>
    <n v="54"/>
    <m/>
    <n v="0"/>
    <n v="63"/>
    <n v="13949.72"/>
    <n v="8"/>
    <n v="55"/>
    <n v="11.34"/>
    <n v="20"/>
    <n v="20"/>
    <n v="5683.4"/>
    <n v="0"/>
    <x v="0"/>
    <s v="OK"/>
  </r>
  <r>
    <s v="IT-10040"/>
    <s v="Ball bearing A-40"/>
    <x v="0"/>
    <x v="0"/>
    <x v="1"/>
    <s v="2025-01"/>
    <n v="207.14"/>
    <n v="221.64"/>
    <n v="221.55906999999999"/>
    <n v="284.17"/>
    <n v="54"/>
    <n v="54"/>
    <n v="105"/>
    <n v="129"/>
    <n v="28581.119999999999"/>
    <n v="6"/>
    <n v="123"/>
    <n v="19.489999999999998"/>
    <n v="4"/>
    <n v="39"/>
    <n v="11082.63"/>
    <n v="0"/>
    <x v="0"/>
    <s v="OK"/>
  </r>
  <r>
    <s v="IT-10040"/>
    <s v="Ball bearing A-40"/>
    <x v="0"/>
    <x v="0"/>
    <x v="1"/>
    <s v="2025-02"/>
    <n v="202.68"/>
    <n v="216.87"/>
    <n v="221.55911800000001"/>
    <n v="296.02"/>
    <n v="54"/>
    <m/>
    <n v="0"/>
    <n v="102"/>
    <n v="22599.03"/>
    <n v="5"/>
    <n v="97"/>
    <n v="15.25"/>
    <n v="0"/>
    <n v="27"/>
    <n v="7992.54"/>
    <n v="0"/>
    <x v="0"/>
    <s v="OK"/>
  </r>
  <r>
    <s v="IT-10040"/>
    <s v="Ball bearing A-40"/>
    <x v="0"/>
    <x v="0"/>
    <x v="1"/>
    <s v="2025-03"/>
    <n v="203.41"/>
    <n v="217.65"/>
    <n v="221.559123"/>
    <n v="296.02"/>
    <n v="54"/>
    <m/>
    <n v="0"/>
    <n v="57"/>
    <n v="12628.87"/>
    <n v="3"/>
    <n v="54"/>
    <n v="6.6"/>
    <n v="0"/>
    <n v="45"/>
    <n v="13320.9"/>
    <n v="0"/>
    <x v="0"/>
    <s v="OK"/>
  </r>
  <r>
    <s v="IT-10040"/>
    <s v="Ball bearing A-40"/>
    <x v="0"/>
    <x v="0"/>
    <x v="1"/>
    <s v="2025-04"/>
    <n v="214.82"/>
    <n v="229.86"/>
    <n v="225.78117599999999"/>
    <n v="296.02"/>
    <n v="54"/>
    <n v="60"/>
    <n v="59"/>
    <n v="85"/>
    <n v="19191.400000000001"/>
    <n v="8"/>
    <n v="77"/>
    <n v="10.49"/>
    <n v="2"/>
    <n v="31"/>
    <n v="9176.6200000000008"/>
    <n v="0"/>
    <x v="0"/>
    <s v="OK"/>
  </r>
  <r>
    <s v="IT-10040"/>
    <s v="Ball bearing A-40"/>
    <x v="0"/>
    <x v="0"/>
    <x v="1"/>
    <s v="2025-05"/>
    <n v="208.15"/>
    <n v="222.72"/>
    <n v="225.78127699999999"/>
    <n v="296.02"/>
    <n v="54"/>
    <m/>
    <n v="0"/>
    <n v="47"/>
    <n v="10611.72"/>
    <n v="4"/>
    <n v="43"/>
    <n v="5.42"/>
    <n v="2"/>
    <n v="38"/>
    <n v="11248.76"/>
    <n v="0"/>
    <x v="0"/>
    <s v="OK"/>
  </r>
  <r>
    <s v="IT-10040"/>
    <s v="Ball bearing A-40"/>
    <x v="0"/>
    <x v="0"/>
    <x v="1"/>
    <s v="2025-06"/>
    <n v="206.53"/>
    <n v="220.99"/>
    <n v="225.78149999999999"/>
    <n v="296.02"/>
    <n v="54"/>
    <m/>
    <n v="0"/>
    <n v="20"/>
    <n v="4515.63"/>
    <n v="7"/>
    <n v="13"/>
    <n v="2.71"/>
    <n v="1"/>
    <n v="27"/>
    <n v="7992.54"/>
    <n v="0"/>
    <x v="0"/>
    <s v="OK"/>
  </r>
  <r>
    <s v="IT-10040"/>
    <s v="Ball bearing A-40"/>
    <x v="0"/>
    <x v="0"/>
    <x v="1"/>
    <s v="2025-07"/>
    <n v="212.45"/>
    <n v="227.32"/>
    <n v="227.018272"/>
    <n v="296.02"/>
    <n v="54"/>
    <n v="48"/>
    <n v="82"/>
    <n v="81"/>
    <n v="18388.48"/>
    <n v="6"/>
    <n v="75"/>
    <n v="12.38"/>
    <n v="3"/>
    <n v="21"/>
    <n v="6216.42"/>
    <n v="0"/>
    <x v="0"/>
    <s v="OK"/>
  </r>
  <r>
    <s v="IT-10040"/>
    <s v="Ball bearing A-40"/>
    <x v="0"/>
    <x v="0"/>
    <x v="1"/>
    <s v="2025-08"/>
    <n v="213.53"/>
    <n v="228.48"/>
    <n v="227.259412"/>
    <n v="296.02"/>
    <n v="54"/>
    <n v="52"/>
    <n v="16"/>
    <n v="51"/>
    <n v="11590.23"/>
    <n v="8"/>
    <n v="43"/>
    <n v="7.13"/>
    <n v="0"/>
    <n v="46"/>
    <n v="13616.92"/>
    <n v="0"/>
    <x v="0"/>
    <s v="OK"/>
  </r>
  <r>
    <s v="IT-10040"/>
    <s v="Ball bearing A-40"/>
    <x v="0"/>
    <x v="0"/>
    <x v="1"/>
    <s v="2025-09"/>
    <n v="208.13"/>
    <n v="222.7"/>
    <n v="224.873178"/>
    <n v="296.02"/>
    <n v="54"/>
    <n v="50"/>
    <n v="56"/>
    <n v="107"/>
    <n v="24061.43"/>
    <n v="3"/>
    <n v="104"/>
    <n v="20.99"/>
    <n v="30"/>
    <n v="0"/>
    <n v="0"/>
    <n v="0"/>
    <x v="0"/>
    <s v="OK"/>
  </r>
  <r>
    <s v="IT-10040"/>
    <s v="Ball bearing A-40"/>
    <x v="0"/>
    <x v="0"/>
    <x v="1"/>
    <s v="2025-10"/>
    <n v="211.3"/>
    <n v="226.09"/>
    <n v="225.14650900000001"/>
    <n v="296.02"/>
    <n v="54"/>
    <n v="51"/>
    <n v="31"/>
    <n v="106"/>
    <n v="23865.53"/>
    <n v="6"/>
    <n v="100"/>
    <n v="17.86"/>
    <n v="1"/>
    <n v="32"/>
    <n v="9472.64"/>
    <n v="0"/>
    <x v="0"/>
    <s v="OK"/>
  </r>
  <r>
    <s v="IT-10040"/>
    <s v="Ball bearing A-40"/>
    <x v="0"/>
    <x v="0"/>
    <x v="1"/>
    <s v="2025-11"/>
    <n v="212.69"/>
    <n v="227.58"/>
    <n v="225.146545"/>
    <n v="296.02"/>
    <n v="54"/>
    <m/>
    <n v="0"/>
    <n v="55"/>
    <n v="12383.06"/>
    <n v="10"/>
    <n v="45"/>
    <n v="8.61"/>
    <n v="2"/>
    <n v="51"/>
    <n v="15097.02"/>
    <n v="0"/>
    <x v="0"/>
    <s v="OK"/>
  </r>
  <r>
    <s v="IT-10040"/>
    <s v="Ball bearing A-40"/>
    <x v="0"/>
    <x v="0"/>
    <x v="1"/>
    <s v="2025-12"/>
    <n v="211.24"/>
    <n v="226.03"/>
    <n v="225.63494399999999"/>
    <n v="296.02"/>
    <n v="54"/>
    <n v="48"/>
    <n v="68"/>
    <n v="89"/>
    <n v="20081.509999999998"/>
    <n v="8"/>
    <n v="81"/>
    <n v="10"/>
    <n v="2"/>
    <n v="34"/>
    <n v="10064.68"/>
    <n v="0"/>
    <x v="0"/>
    <s v="OK"/>
  </r>
  <r>
    <s v="IT-10040"/>
    <s v="Ball bearing A-40"/>
    <x v="0"/>
    <x v="0"/>
    <x v="1"/>
    <s v="2026-01"/>
    <n v="214"/>
    <n v="228.98"/>
    <n v="225.63491200000001"/>
    <n v="296.02"/>
    <n v="54"/>
    <m/>
    <n v="0"/>
    <n v="57"/>
    <n v="12861.19"/>
    <n v="10"/>
    <n v="47"/>
    <n v="6.4"/>
    <n v="0"/>
    <n v="32"/>
    <n v="9472.64"/>
    <n v="0"/>
    <x v="0"/>
    <s v="OK"/>
  </r>
  <r>
    <s v="IT-10040"/>
    <s v="Ball bearing A-40"/>
    <x v="0"/>
    <x v="0"/>
    <x v="1"/>
    <s v="2026-02"/>
    <n v="208.58"/>
    <n v="223.18"/>
    <n v="225.17895799999999"/>
    <n v="308.36"/>
    <n v="54"/>
    <n v="51"/>
    <n v="13"/>
    <n v="48"/>
    <n v="10808.59"/>
    <n v="3"/>
    <n v="45"/>
    <n v="7.01"/>
    <n v="0"/>
    <n v="22"/>
    <n v="6783.92"/>
    <n v="0"/>
    <x v="0"/>
    <s v="OK"/>
  </r>
  <r>
    <s v="IT-10040"/>
    <s v="Ball bearing A-40"/>
    <x v="0"/>
    <x v="0"/>
    <x v="1"/>
    <s v="2026-03"/>
    <n v="208.81"/>
    <n v="223.43"/>
    <n v="224.14146099999999"/>
    <n v="308.36"/>
    <n v="54"/>
    <n v="53"/>
    <n v="70"/>
    <n v="89"/>
    <n v="19948.59"/>
    <n v="10"/>
    <n v="79"/>
    <n v="13.79"/>
    <n v="0"/>
    <n v="29"/>
    <n v="8942.44"/>
    <n v="0"/>
    <x v="0"/>
    <s v="OK"/>
  </r>
  <r>
    <s v="IT-10040"/>
    <s v="Ball bearing A-40"/>
    <x v="0"/>
    <x v="0"/>
    <x v="1"/>
    <s v="2026-04"/>
    <n v="213.48"/>
    <n v="228.42"/>
    <n v="225.53522699999999"/>
    <n v="308.36"/>
    <n v="54"/>
    <n v="54"/>
    <n v="43"/>
    <n v="88"/>
    <n v="19847.099999999999"/>
    <n v="5"/>
    <n v="83"/>
    <n v="11.78"/>
    <n v="2"/>
    <n v="44"/>
    <n v="13567.84"/>
    <n v="0"/>
    <x v="0"/>
    <s v="OK"/>
  </r>
  <r>
    <s v="IT-10040"/>
    <s v="Ball bearing A-40"/>
    <x v="0"/>
    <x v="0"/>
    <x v="1"/>
    <s v="2026-05"/>
    <n v="218.08"/>
    <n v="233.34"/>
    <n v="227.20770300000001"/>
    <n v="308.36"/>
    <n v="54"/>
    <n v="51"/>
    <n v="24"/>
    <n v="74"/>
    <n v="16813.37"/>
    <n v="7"/>
    <n v="67"/>
    <n v="8.76"/>
    <n v="2"/>
    <n v="38"/>
    <n v="11717.68"/>
    <n v="0"/>
    <x v="0"/>
    <s v="OK"/>
  </r>
  <r>
    <s v="IT-10040"/>
    <s v="Ball bearing A-40"/>
    <x v="0"/>
    <x v="0"/>
    <x v="1"/>
    <s v="2026-06"/>
    <n v="216.63"/>
    <n v="231.79"/>
    <n v="227.207742"/>
    <n v="308.36"/>
    <n v="54"/>
    <m/>
    <n v="0"/>
    <n v="31"/>
    <n v="7043.44"/>
    <n v="9"/>
    <n v="22"/>
    <n v="3.22"/>
    <n v="2"/>
    <n v="43"/>
    <n v="13259.48"/>
    <n v="0"/>
    <x v="0"/>
    <s v="OK"/>
  </r>
  <r>
    <s v="IT-10040"/>
    <s v="Ball bearing A-40"/>
    <x v="0"/>
    <x v="0"/>
    <x v="1"/>
    <s v="2026-07"/>
    <n v="215.48"/>
    <n v="230.56"/>
    <n v="229.379167"/>
    <n v="308.36"/>
    <n v="54"/>
    <n v="47"/>
    <n v="57"/>
    <n v="48"/>
    <n v="11010.2"/>
    <n v="4"/>
    <n v="44"/>
    <n v="5.21"/>
    <n v="12"/>
    <n v="40"/>
    <n v="12334.4"/>
    <n v="0"/>
    <x v="0"/>
    <s v="OK"/>
  </r>
  <r>
    <s v="IT-10040"/>
    <s v="Ball bearing A-40"/>
    <x v="0"/>
    <x v="0"/>
    <x v="1"/>
    <s v="2026-08"/>
    <n v="213.38"/>
    <n v="228.32"/>
    <n v="228.872623"/>
    <n v="308.36"/>
    <n v="54"/>
    <n v="48"/>
    <n v="44"/>
    <n v="61"/>
    <n v="13961.23"/>
    <n v="3"/>
    <n v="58"/>
    <n v="7.03"/>
    <n v="12"/>
    <n v="31"/>
    <n v="9559.16"/>
    <n v="0"/>
    <x v="0"/>
    <s v="OK"/>
  </r>
  <r>
    <s v="IT-10041"/>
    <s v="Sensor unit A-41"/>
    <x v="3"/>
    <x v="3"/>
    <x v="0"/>
    <s v="2024-09"/>
    <n v="3.04"/>
    <n v="3.04"/>
    <n v="2.9633989999999999"/>
    <n v="4.1399999999999997"/>
    <n v="43"/>
    <n v="38"/>
    <n v="100"/>
    <n v="1480"/>
    <n v="4385.83"/>
    <n v="151"/>
    <n v="1329"/>
    <n v="12.04"/>
    <n v="1"/>
    <n v="443"/>
    <n v="1834.02"/>
    <n v="0"/>
    <x v="0"/>
    <s v="OK"/>
  </r>
  <r>
    <s v="IT-10041"/>
    <s v="Sensor unit A-41"/>
    <x v="3"/>
    <x v="3"/>
    <x v="0"/>
    <s v="2024-10"/>
    <n v="3"/>
    <n v="3"/>
    <n v="2.963403"/>
    <n v="4.1399999999999997"/>
    <n v="43"/>
    <m/>
    <n v="0"/>
    <n v="717"/>
    <n v="2124.7600000000002"/>
    <n v="113"/>
    <n v="604"/>
    <n v="4.97"/>
    <n v="0"/>
    <n v="763"/>
    <n v="3158.82"/>
    <n v="0"/>
    <x v="0"/>
    <s v="OK"/>
  </r>
  <r>
    <s v="IT-10041"/>
    <s v="Sensor unit A-41"/>
    <x v="3"/>
    <x v="3"/>
    <x v="0"/>
    <s v="2024-11"/>
    <n v="2.98"/>
    <n v="2.98"/>
    <n v="2.9724279999999998"/>
    <n v="4.1399999999999997"/>
    <n v="43"/>
    <n v="42"/>
    <n v="854"/>
    <n v="1075"/>
    <n v="3195.36"/>
    <n v="75"/>
    <n v="1000"/>
    <n v="8.2100000000000009"/>
    <n v="0"/>
    <n v="496"/>
    <n v="2053.44"/>
    <n v="0"/>
    <x v="0"/>
    <s v="OK"/>
  </r>
  <r>
    <s v="IT-10041"/>
    <s v="Sensor unit A-41"/>
    <x v="3"/>
    <x v="3"/>
    <x v="0"/>
    <s v="2024-12"/>
    <n v="2.98"/>
    <n v="2.98"/>
    <n v="2.9754119999999999"/>
    <n v="4.1399999999999997"/>
    <n v="43"/>
    <n v="37"/>
    <n v="700"/>
    <n v="1567"/>
    <n v="4662.47"/>
    <n v="132"/>
    <n v="1435"/>
    <n v="14.04"/>
    <n v="2"/>
    <n v="208"/>
    <n v="861.12"/>
    <n v="0"/>
    <x v="0"/>
    <s v="OK"/>
  </r>
  <r>
    <s v="IT-10041"/>
    <s v="Sensor unit A-41"/>
    <x v="3"/>
    <x v="3"/>
    <x v="0"/>
    <s v="2025-01"/>
    <n v="3"/>
    <n v="3"/>
    <n v="2.9799060000000002"/>
    <n v="4.1399999999999997"/>
    <n v="43"/>
    <n v="37"/>
    <n v="350"/>
    <n v="954"/>
    <n v="2842.83"/>
    <n v="151"/>
    <n v="803"/>
    <n v="7.52"/>
    <n v="0"/>
    <n v="963"/>
    <n v="3986.82"/>
    <n v="0"/>
    <x v="0"/>
    <s v="OK"/>
  </r>
  <r>
    <s v="IT-10041"/>
    <s v="Sensor unit A-41"/>
    <x v="3"/>
    <x v="3"/>
    <x v="0"/>
    <s v="2025-02"/>
    <n v="3.03"/>
    <n v="3.03"/>
    <n v="2.9799359999999999"/>
    <n v="4.3"/>
    <n v="43"/>
    <m/>
    <n v="0"/>
    <n v="157"/>
    <n v="467.85"/>
    <n v="157"/>
    <n v="0"/>
    <n v="1.03"/>
    <n v="0"/>
    <n v="797"/>
    <n v="3427.1"/>
    <n v="0"/>
    <x v="0"/>
    <s v="OK"/>
  </r>
  <r>
    <s v="IT-10041"/>
    <s v="Sensor unit A-41"/>
    <x v="3"/>
    <x v="3"/>
    <x v="0"/>
    <s v="2025-03"/>
    <n v="3.14"/>
    <n v="3.14"/>
    <n v="3.1286900000000002"/>
    <n v="4.3"/>
    <n v="43"/>
    <n v="39"/>
    <n v="2065"/>
    <n v="1733"/>
    <n v="5422.02"/>
    <n v="57"/>
    <n v="1676"/>
    <n v="9.91"/>
    <n v="0"/>
    <n v="489"/>
    <n v="2102.6999999999998"/>
    <n v="0"/>
    <x v="0"/>
    <s v="OK"/>
  </r>
  <r>
    <s v="IT-10041"/>
    <s v="Sensor unit A-41"/>
    <x v="3"/>
    <x v="3"/>
    <x v="0"/>
    <s v="2025-04"/>
    <n v="3.18"/>
    <n v="3.18"/>
    <n v="3.1286900000000002"/>
    <n v="4.3"/>
    <n v="43"/>
    <m/>
    <n v="0"/>
    <n v="916"/>
    <n v="2865.88"/>
    <n v="94"/>
    <n v="822"/>
    <n v="5.54"/>
    <n v="0"/>
    <n v="817"/>
    <n v="3513.1"/>
    <n v="0"/>
    <x v="0"/>
    <s v="OK"/>
  </r>
  <r>
    <s v="IT-10041"/>
    <s v="Sensor unit A-41"/>
    <x v="3"/>
    <x v="3"/>
    <x v="0"/>
    <s v="2025-05"/>
    <n v="3.16"/>
    <n v="3.16"/>
    <n v="3.1459839999999999"/>
    <n v="4.3"/>
    <n v="43"/>
    <n v="39"/>
    <n v="1130"/>
    <n v="1723"/>
    <n v="5420.53"/>
    <n v="151"/>
    <n v="1572"/>
    <n v="13.9"/>
    <n v="0"/>
    <n v="323"/>
    <n v="1388.9"/>
    <n v="0"/>
    <x v="0"/>
    <s v="OK"/>
  </r>
  <r>
    <s v="IT-10041"/>
    <s v="Sensor unit A-41"/>
    <x v="3"/>
    <x v="3"/>
    <x v="0"/>
    <s v="2025-06"/>
    <n v="3.18"/>
    <n v="3.18"/>
    <n v="3.1478489999999999"/>
    <n v="4.3"/>
    <n v="43"/>
    <n v="40"/>
    <n v="100"/>
    <n v="1190"/>
    <n v="3745.94"/>
    <n v="113"/>
    <n v="1077"/>
    <n v="8.73"/>
    <n v="0"/>
    <n v="633"/>
    <n v="2721.9"/>
    <n v="0"/>
    <x v="0"/>
    <s v="OK"/>
  </r>
  <r>
    <s v="IT-10041"/>
    <s v="Sensor unit A-41"/>
    <x v="3"/>
    <x v="3"/>
    <x v="0"/>
    <s v="2025-07"/>
    <n v="3.16"/>
    <n v="3.16"/>
    <n v="3.1478449999999998"/>
    <n v="4.3"/>
    <n v="43"/>
    <m/>
    <n v="0"/>
    <n v="942"/>
    <n v="2965.27"/>
    <n v="94"/>
    <n v="848"/>
    <n v="10.28"/>
    <n v="2"/>
    <n v="248"/>
    <n v="1066.4000000000001"/>
    <n v="0"/>
    <x v="0"/>
    <s v="OK"/>
  </r>
  <r>
    <s v="IT-10041"/>
    <s v="Sensor unit A-41"/>
    <x v="3"/>
    <x v="3"/>
    <x v="0"/>
    <s v="2025-08"/>
    <n v="3.19"/>
    <n v="3.19"/>
    <n v="3.1729400000000001"/>
    <n v="4.3"/>
    <n v="43"/>
    <n v="39"/>
    <n v="1386"/>
    <n v="1745"/>
    <n v="5536.78"/>
    <n v="38"/>
    <n v="1707"/>
    <n v="15.67"/>
    <n v="1"/>
    <n v="583"/>
    <n v="2506.9"/>
    <n v="0"/>
    <x v="0"/>
    <s v="OK"/>
  </r>
  <r>
    <s v="IT-10041"/>
    <s v="Sensor unit A-41"/>
    <x v="3"/>
    <x v="3"/>
    <x v="0"/>
    <s v="2025-09"/>
    <n v="3.19"/>
    <n v="3.19"/>
    <n v="3.1729370000000001"/>
    <n v="4.3"/>
    <n v="43"/>
    <m/>
    <n v="0"/>
    <n v="1260"/>
    <n v="3997.9"/>
    <n v="170"/>
    <n v="1090"/>
    <n v="12.58"/>
    <n v="0"/>
    <n v="485"/>
    <n v="2085.5"/>
    <n v="0"/>
    <x v="0"/>
    <s v="OK"/>
  </r>
  <r>
    <s v="IT-10041"/>
    <s v="Sensor unit A-41"/>
    <x v="3"/>
    <x v="3"/>
    <x v="0"/>
    <s v="2025-10"/>
    <n v="3.13"/>
    <n v="3.13"/>
    <n v="3.16405"/>
    <n v="4.3"/>
    <n v="43"/>
    <n v="40"/>
    <n v="329"/>
    <n v="800"/>
    <n v="2531.2399999999998"/>
    <n v="75"/>
    <n v="725"/>
    <n v="5.66"/>
    <n v="0"/>
    <n v="789"/>
    <n v="3392.7"/>
    <n v="0"/>
    <x v="0"/>
    <s v="OK"/>
  </r>
  <r>
    <s v="IT-10041"/>
    <s v="Sensor unit A-41"/>
    <x v="3"/>
    <x v="3"/>
    <x v="0"/>
    <s v="2025-11"/>
    <n v="3.23"/>
    <n v="3.23"/>
    <n v="3.1640519999999999"/>
    <n v="4.3"/>
    <n v="43"/>
    <m/>
    <n v="0"/>
    <n v="580"/>
    <n v="1835.15"/>
    <n v="94"/>
    <n v="486"/>
    <n v="5.05"/>
    <n v="1"/>
    <n v="220"/>
    <n v="946"/>
    <n v="0"/>
    <x v="0"/>
    <s v="OK"/>
  </r>
  <r>
    <s v="IT-10041"/>
    <s v="Sensor unit A-41"/>
    <x v="3"/>
    <x v="3"/>
    <x v="0"/>
    <s v="2025-12"/>
    <n v="3.2"/>
    <n v="3.2"/>
    <n v="3.1918829999999998"/>
    <n v="4.3"/>
    <n v="43"/>
    <n v="38"/>
    <n v="1988"/>
    <n v="2321"/>
    <n v="7408.36"/>
    <n v="170"/>
    <n v="2151"/>
    <n v="24.29"/>
    <n v="4"/>
    <n v="247"/>
    <n v="1062.0999999999999"/>
    <n v="0"/>
    <x v="0"/>
    <s v="OK"/>
  </r>
  <r>
    <s v="IT-10041"/>
    <s v="Sensor unit A-41"/>
    <x v="3"/>
    <x v="3"/>
    <x v="0"/>
    <s v="2026-01"/>
    <n v="3.2"/>
    <n v="3.2"/>
    <n v="3.1918850000000001"/>
    <n v="4.3"/>
    <n v="43"/>
    <m/>
    <n v="0"/>
    <n v="1846"/>
    <n v="5892.22"/>
    <n v="170"/>
    <n v="1676"/>
    <n v="25.76"/>
    <n v="0"/>
    <n v="475"/>
    <n v="2042.5"/>
    <n v="0"/>
    <x v="0"/>
    <s v="OK"/>
  </r>
  <r>
    <s v="IT-10041"/>
    <s v="Sensor unit A-41"/>
    <x v="3"/>
    <x v="3"/>
    <x v="0"/>
    <s v="2026-02"/>
    <n v="3.2"/>
    <n v="3.2"/>
    <n v="3.1931319999999999"/>
    <n v="4.46"/>
    <n v="43"/>
    <n v="42"/>
    <n v="336"/>
    <n v="1791"/>
    <n v="5718.9"/>
    <n v="94"/>
    <n v="1697"/>
    <n v="20.69"/>
    <n v="3"/>
    <n v="391"/>
    <n v="1743.86"/>
    <n v="0"/>
    <x v="0"/>
    <s v="OK"/>
  </r>
  <r>
    <s v="IT-10041"/>
    <s v="Sensor unit A-41"/>
    <x v="3"/>
    <x v="3"/>
    <x v="0"/>
    <s v="2026-03"/>
    <n v="3.38"/>
    <n v="3.38"/>
    <n v="3.244227"/>
    <n v="4.46"/>
    <n v="43"/>
    <n v="39"/>
    <n v="674"/>
    <n v="2465"/>
    <n v="7997.02"/>
    <n v="189"/>
    <n v="2276"/>
    <n v="36.6"/>
    <n v="34"/>
    <n v="0"/>
    <n v="0"/>
    <n v="0"/>
    <x v="0"/>
    <s v="OK"/>
  </r>
  <r>
    <s v="IT-10041"/>
    <s v="Sensor unit A-41"/>
    <x v="3"/>
    <x v="3"/>
    <x v="0"/>
    <s v="2026-04"/>
    <n v="3.35"/>
    <n v="3.35"/>
    <n v="3.2442250000000001"/>
    <n v="4.46"/>
    <n v="43"/>
    <m/>
    <n v="0"/>
    <n v="1943"/>
    <n v="6303.53"/>
    <n v="170"/>
    <n v="1773"/>
    <n v="27.06"/>
    <n v="0"/>
    <n v="522"/>
    <n v="2328.12"/>
    <n v="0"/>
    <x v="0"/>
    <s v="OK"/>
  </r>
  <r>
    <s v="IT-10041"/>
    <s v="Sensor unit A-41"/>
    <x v="3"/>
    <x v="3"/>
    <x v="0"/>
    <s v="2026-05"/>
    <n v="3.31"/>
    <n v="3.31"/>
    <n v="3.2442280000000001"/>
    <n v="4.46"/>
    <n v="43"/>
    <m/>
    <n v="0"/>
    <n v="1450"/>
    <n v="4704.13"/>
    <n v="38"/>
    <n v="1412"/>
    <n v="18.78"/>
    <n v="1"/>
    <n v="493"/>
    <n v="2198.7800000000002"/>
    <n v="0"/>
    <x v="0"/>
    <s v="OK"/>
  </r>
  <r>
    <s v="IT-10041"/>
    <s v="Sensor unit A-41"/>
    <x v="3"/>
    <x v="3"/>
    <x v="0"/>
    <s v="2026-06"/>
    <n v="3.39"/>
    <n v="3.39"/>
    <n v="3.26789"/>
    <n v="4.46"/>
    <n v="43"/>
    <n v="39"/>
    <n v="281"/>
    <n v="1033"/>
    <n v="3375.73"/>
    <n v="38"/>
    <n v="995"/>
    <n v="7.84"/>
    <n v="0"/>
    <n v="698"/>
    <n v="3113.08"/>
    <n v="0"/>
    <x v="0"/>
    <s v="OK"/>
  </r>
  <r>
    <s v="IT-10041"/>
    <s v="Sensor unit A-41"/>
    <x v="3"/>
    <x v="3"/>
    <x v="0"/>
    <s v="2026-07"/>
    <n v="3.39"/>
    <n v="3.39"/>
    <n v="3.3000859999999999"/>
    <n v="4.46"/>
    <n v="43"/>
    <n v="59"/>
    <n v="370"/>
    <n v="697"/>
    <n v="2300.16"/>
    <n v="94"/>
    <n v="603"/>
    <n v="4.83"/>
    <n v="2"/>
    <n v="706"/>
    <n v="3148.76"/>
    <n v="0"/>
    <x v="0"/>
    <s v="OK"/>
  </r>
  <r>
    <s v="IT-10041"/>
    <s v="Sensor unit A-41"/>
    <x v="3"/>
    <x v="3"/>
    <x v="0"/>
    <s v="2026-08"/>
    <n v="3.31"/>
    <n v="3.31"/>
    <n v="3.3069380000000002"/>
    <n v="4.46"/>
    <n v="43"/>
    <n v="55"/>
    <n v="1560"/>
    <n v="1832"/>
    <n v="6058.31"/>
    <n v="57"/>
    <n v="1775"/>
    <n v="13.16"/>
    <n v="0"/>
    <n v="425"/>
    <n v="1895.5"/>
    <n v="0"/>
    <x v="0"/>
    <s v="OK"/>
  </r>
  <r>
    <s v="IT-10042"/>
    <s v="Roller bearing L-42"/>
    <x v="0"/>
    <x v="0"/>
    <x v="0"/>
    <s v="2024-09"/>
    <n v="286.26"/>
    <n v="286.26"/>
    <n v="285.84621600000003"/>
    <n v="398.32"/>
    <n v="32"/>
    <n v="29"/>
    <n v="86"/>
    <n v="74"/>
    <n v="21152.62"/>
    <n v="6"/>
    <n v="68"/>
    <n v="8.84"/>
    <n v="0"/>
    <n v="30"/>
    <n v="11949.6"/>
    <n v="0"/>
    <x v="0"/>
    <s v="OK"/>
  </r>
  <r>
    <s v="IT-10042"/>
    <s v="Roller bearing L-42"/>
    <x v="0"/>
    <x v="0"/>
    <x v="0"/>
    <s v="2024-10"/>
    <n v="286.10000000000002"/>
    <n v="286.10000000000002"/>
    <n v="285.90015199999999"/>
    <n v="398.32"/>
    <n v="32"/>
    <n v="29"/>
    <n v="20"/>
    <n v="66"/>
    <n v="18869.41"/>
    <n v="2"/>
    <n v="64"/>
    <n v="8.5"/>
    <n v="0"/>
    <n v="28"/>
    <n v="11152.96"/>
    <n v="0"/>
    <x v="0"/>
    <s v="OK"/>
  </r>
  <r>
    <s v="IT-10042"/>
    <s v="Roller bearing L-42"/>
    <x v="0"/>
    <x v="0"/>
    <x v="0"/>
    <s v="2024-11"/>
    <n v="285.57"/>
    <n v="285.57"/>
    <n v="285.76460500000002"/>
    <n v="398.32"/>
    <n v="32"/>
    <n v="29"/>
    <n v="46"/>
    <n v="76"/>
    <n v="21718.11"/>
    <n v="7"/>
    <n v="69"/>
    <n v="10.51"/>
    <n v="0"/>
    <n v="36"/>
    <n v="14339.52"/>
    <n v="0"/>
    <x v="0"/>
    <s v="OK"/>
  </r>
  <r>
    <s v="IT-10042"/>
    <s v="Roller bearing L-42"/>
    <x v="0"/>
    <x v="0"/>
    <x v="0"/>
    <s v="2024-12"/>
    <n v="291.88"/>
    <n v="291.88"/>
    <n v="285.76452399999999"/>
    <n v="398.32"/>
    <n v="32"/>
    <m/>
    <n v="0"/>
    <n v="42"/>
    <n v="12002.11"/>
    <n v="6"/>
    <n v="36"/>
    <n v="5.63"/>
    <n v="10"/>
    <n v="34"/>
    <n v="13542.88"/>
    <n v="0"/>
    <x v="0"/>
    <s v="OK"/>
  </r>
  <r>
    <s v="IT-10042"/>
    <s v="Roller bearing L-42"/>
    <x v="0"/>
    <x v="0"/>
    <x v="0"/>
    <s v="2025-01"/>
    <n v="291.29000000000002"/>
    <n v="291.29000000000002"/>
    <n v="288.19583299999999"/>
    <n v="398.32"/>
    <n v="32"/>
    <n v="54"/>
    <n v="33"/>
    <n v="48"/>
    <n v="13833.4"/>
    <n v="5"/>
    <n v="43"/>
    <n v="6.5"/>
    <n v="2"/>
    <n v="27"/>
    <n v="10754.64"/>
    <n v="0"/>
    <x v="0"/>
    <s v="OK"/>
  </r>
  <r>
    <s v="IT-10042"/>
    <s v="Roller bearing L-42"/>
    <x v="0"/>
    <x v="0"/>
    <x v="0"/>
    <s v="2025-02"/>
    <n v="289.52"/>
    <n v="289.52"/>
    <n v="288.19566700000001"/>
    <n v="415.27"/>
    <n v="32"/>
    <m/>
    <n v="0"/>
    <n v="30"/>
    <n v="8645.8700000000008"/>
    <n v="5"/>
    <n v="25"/>
    <n v="4.88"/>
    <n v="2"/>
    <n v="18"/>
    <n v="7474.86"/>
    <n v="0"/>
    <x v="0"/>
    <s v="OK"/>
  </r>
  <r>
    <s v="IT-10042"/>
    <s v="Roller bearing L-42"/>
    <x v="0"/>
    <x v="0"/>
    <x v="0"/>
    <s v="2025-03"/>
    <n v="285.7"/>
    <n v="285.7"/>
    <n v="286.76944400000002"/>
    <n v="415.27"/>
    <n v="32"/>
    <n v="31"/>
    <n v="40"/>
    <n v="36"/>
    <n v="10323.700000000001"/>
    <n v="3"/>
    <n v="33"/>
    <n v="5.86"/>
    <n v="1"/>
    <n v="34"/>
    <n v="14119.18"/>
    <n v="0"/>
    <x v="0"/>
    <s v="OK"/>
  </r>
  <r>
    <s v="IT-10042"/>
    <s v="Roller bearing L-42"/>
    <x v="0"/>
    <x v="0"/>
    <x v="0"/>
    <s v="2025-04"/>
    <n v="293.3"/>
    <n v="293.3"/>
    <n v="290.4674"/>
    <n v="415.27"/>
    <n v="32"/>
    <n v="30"/>
    <n v="47"/>
    <n v="50"/>
    <n v="14523.37"/>
    <n v="9"/>
    <n v="41"/>
    <n v="7.48"/>
    <n v="7"/>
    <n v="33"/>
    <n v="13703.91"/>
    <n v="0"/>
    <x v="0"/>
    <s v="OK"/>
  </r>
  <r>
    <s v="IT-10042"/>
    <s v="Roller bearing L-42"/>
    <x v="0"/>
    <x v="0"/>
    <x v="0"/>
    <s v="2025-05"/>
    <n v="297.27999999999997"/>
    <n v="297.27999999999997"/>
    <n v="290.46749999999997"/>
    <n v="415.27"/>
    <n v="32"/>
    <m/>
    <n v="0"/>
    <n v="28"/>
    <n v="8133.09"/>
    <n v="7"/>
    <n v="21"/>
    <n v="4.13"/>
    <n v="10"/>
    <n v="22"/>
    <n v="9135.94"/>
    <n v="0"/>
    <x v="0"/>
    <s v="OK"/>
  </r>
  <r>
    <s v="IT-10042"/>
    <s v="Roller bearing L-42"/>
    <x v="0"/>
    <x v="0"/>
    <x v="0"/>
    <s v="2025-06"/>
    <n v="297.93"/>
    <n v="297.93"/>
    <n v="295.52830999999998"/>
    <n v="415.27"/>
    <n v="32"/>
    <n v="28"/>
    <n v="59"/>
    <n v="71"/>
    <n v="20982.51"/>
    <n v="5"/>
    <n v="66"/>
    <n v="13"/>
    <n v="6"/>
    <n v="16"/>
    <n v="6644.32"/>
    <n v="0"/>
    <x v="0"/>
    <s v="OK"/>
  </r>
  <r>
    <s v="IT-10042"/>
    <s v="Roller bearing L-42"/>
    <x v="0"/>
    <x v="0"/>
    <x v="0"/>
    <s v="2025-07"/>
    <n v="290.64"/>
    <n v="290.64"/>
    <n v="294.110725"/>
    <n v="415.27"/>
    <n v="32"/>
    <n v="27"/>
    <n v="29"/>
    <n v="69"/>
    <n v="20293.64"/>
    <n v="8"/>
    <n v="61"/>
    <n v="13.14"/>
    <n v="4"/>
    <n v="31"/>
    <n v="12873.37"/>
    <n v="0"/>
    <x v="0"/>
    <s v="OK"/>
  </r>
  <r>
    <s v="IT-10042"/>
    <s v="Roller bearing L-42"/>
    <x v="0"/>
    <x v="0"/>
    <x v="0"/>
    <s v="2025-08"/>
    <n v="298.62"/>
    <n v="298.62"/>
    <n v="295.12396799999999"/>
    <n v="415.27"/>
    <n v="32"/>
    <n v="28"/>
    <n v="20"/>
    <n v="63"/>
    <n v="18592.810000000001"/>
    <n v="9"/>
    <n v="54"/>
    <n v="11.34"/>
    <n v="8"/>
    <n v="26"/>
    <n v="10797.02"/>
    <n v="0"/>
    <x v="0"/>
    <s v="OK"/>
  </r>
  <r>
    <s v="IT-10042"/>
    <s v="Roller bearing L-42"/>
    <x v="0"/>
    <x v="0"/>
    <x v="0"/>
    <s v="2025-09"/>
    <n v="289.91000000000003"/>
    <n v="289.91000000000003"/>
    <n v="295.123898"/>
    <n v="415.27"/>
    <n v="32"/>
    <m/>
    <n v="0"/>
    <n v="59"/>
    <n v="17412.310000000001"/>
    <n v="2"/>
    <n v="57"/>
    <n v="12.71"/>
    <n v="14"/>
    <n v="4"/>
    <n v="1661.08"/>
    <n v="0"/>
    <x v="0"/>
    <s v="OK"/>
  </r>
  <r>
    <s v="IT-10042"/>
    <s v="Roller bearing L-42"/>
    <x v="0"/>
    <x v="0"/>
    <x v="0"/>
    <s v="2025-10"/>
    <n v="299.67"/>
    <n v="299.67"/>
    <n v="295.12392899999998"/>
    <n v="415.27"/>
    <n v="32"/>
    <m/>
    <n v="0"/>
    <n v="28"/>
    <n v="8263.4699999999993"/>
    <n v="8"/>
    <n v="20"/>
    <n v="6.03"/>
    <n v="7"/>
    <n v="31"/>
    <n v="12873.37"/>
    <n v="0"/>
    <x v="0"/>
    <s v="OK"/>
  </r>
  <r>
    <s v="IT-10042"/>
    <s v="Roller bearing L-42"/>
    <x v="0"/>
    <x v="0"/>
    <x v="0"/>
    <s v="2025-11"/>
    <n v="293.98"/>
    <n v="293.98"/>
    <n v="294.32804900000002"/>
    <n v="415.27"/>
    <n v="32"/>
    <n v="29"/>
    <n v="64"/>
    <n v="41"/>
    <n v="12067.45"/>
    <n v="3"/>
    <n v="38"/>
    <n v="6.2"/>
    <n v="4"/>
    <n v="51"/>
    <n v="21178.77"/>
    <n v="0"/>
    <x v="0"/>
    <s v="OK"/>
  </r>
  <r>
    <s v="IT-10042"/>
    <s v="Roller bearing L-42"/>
    <x v="0"/>
    <x v="0"/>
    <x v="0"/>
    <s v="2025-12"/>
    <n v="295.93"/>
    <n v="295.93"/>
    <n v="294.32818200000003"/>
    <n v="415.27"/>
    <n v="32"/>
    <m/>
    <n v="0"/>
    <n v="11"/>
    <n v="3237.61"/>
    <n v="2"/>
    <n v="9"/>
    <n v="1.29"/>
    <n v="0"/>
    <n v="30"/>
    <n v="12458.1"/>
    <n v="0"/>
    <x v="0"/>
    <s v="OK"/>
  </r>
  <r>
    <s v="IT-10042"/>
    <s v="Roller bearing L-42"/>
    <x v="0"/>
    <x v="0"/>
    <x v="0"/>
    <s v="2026-01"/>
    <n v="294.48"/>
    <n v="294.48"/>
    <n v="294.45966099999998"/>
    <n v="415.27"/>
    <n v="32"/>
    <n v="31"/>
    <n v="71"/>
    <n v="59"/>
    <n v="17373.12"/>
    <n v="3"/>
    <n v="56"/>
    <n v="7.46"/>
    <n v="1"/>
    <n v="23"/>
    <n v="9551.2099999999991"/>
    <n v="0"/>
    <x v="0"/>
    <s v="OK"/>
  </r>
  <r>
    <s v="IT-10042"/>
    <s v="Roller bearing L-42"/>
    <x v="0"/>
    <x v="0"/>
    <x v="0"/>
    <s v="2026-02"/>
    <n v="297.48"/>
    <n v="297.48"/>
    <n v="295.22428600000001"/>
    <n v="432.94"/>
    <n v="32"/>
    <n v="28"/>
    <n v="20"/>
    <n v="56"/>
    <n v="16532.560000000001"/>
    <n v="5"/>
    <n v="51"/>
    <n v="9.4700000000000006"/>
    <n v="2"/>
    <n v="23"/>
    <n v="9957.6200000000008"/>
    <n v="0"/>
    <x v="0"/>
    <s v="OK"/>
  </r>
  <r>
    <s v="IT-10042"/>
    <s v="Roller bearing L-42"/>
    <x v="0"/>
    <x v="0"/>
    <x v="0"/>
    <s v="2026-03"/>
    <n v="295.95999999999998"/>
    <n v="295.95999999999998"/>
    <n v="295.22428600000001"/>
    <n v="432.94"/>
    <n v="32"/>
    <m/>
    <n v="0"/>
    <n v="14"/>
    <n v="4133.1400000000003"/>
    <n v="5"/>
    <n v="9"/>
    <n v="2.0499999999999998"/>
    <n v="2"/>
    <n v="42"/>
    <n v="18183.48"/>
    <n v="0"/>
    <x v="0"/>
    <s v="OK"/>
  </r>
  <r>
    <s v="IT-10042"/>
    <s v="Roller bearing L-42"/>
    <x v="0"/>
    <x v="0"/>
    <x v="0"/>
    <s v="2026-04"/>
    <n v="304.08"/>
    <n v="304.08"/>
    <n v="300.43363599999998"/>
    <n v="432.94"/>
    <n v="32"/>
    <n v="32"/>
    <n v="20"/>
    <n v="11"/>
    <n v="3304.77"/>
    <n v="5"/>
    <n v="6"/>
    <n v="1.59"/>
    <n v="2"/>
    <n v="23"/>
    <n v="9957.6200000000008"/>
    <n v="0"/>
    <x v="0"/>
    <s v="OK"/>
  </r>
  <r>
    <s v="IT-10042"/>
    <s v="Roller bearing L-42"/>
    <x v="0"/>
    <x v="0"/>
    <x v="0"/>
    <s v="2026-05"/>
    <n v="300.27999999999997"/>
    <n v="300.27999999999997"/>
    <n v="300.2962"/>
    <n v="432.94"/>
    <n v="32"/>
    <n v="28"/>
    <n v="93"/>
    <n v="50"/>
    <n v="15014.81"/>
    <n v="8"/>
    <n v="42"/>
    <n v="5.52"/>
    <n v="2"/>
    <n v="54"/>
    <n v="23378.76"/>
    <n v="0"/>
    <x v="0"/>
    <s v="OK"/>
  </r>
  <r>
    <s v="IT-10042"/>
    <s v="Roller bearing L-42"/>
    <x v="0"/>
    <x v="0"/>
    <x v="0"/>
    <s v="2026-06"/>
    <n v="300.11"/>
    <n v="300.11"/>
    <n v="300.29624999999999"/>
    <n v="432.94"/>
    <n v="32"/>
    <m/>
    <n v="0"/>
    <n v="32"/>
    <n v="9609.48"/>
    <n v="5"/>
    <n v="27"/>
    <n v="4.38"/>
    <n v="4"/>
    <n v="18"/>
    <n v="7792.92"/>
    <n v="0"/>
    <x v="0"/>
    <s v="OK"/>
  </r>
  <r>
    <s v="IT-10042"/>
    <s v="Roller bearing L-42"/>
    <x v="0"/>
    <x v="0"/>
    <x v="0"/>
    <s v="2026-07"/>
    <n v="299.38"/>
    <n v="299.38"/>
    <n v="299.63057099999997"/>
    <n v="432.94"/>
    <n v="32"/>
    <n v="31"/>
    <n v="85"/>
    <n v="105"/>
    <n v="31461.21"/>
    <n v="8"/>
    <n v="97"/>
    <n v="16.43"/>
    <n v="2"/>
    <n v="12"/>
    <n v="5195.28"/>
    <n v="0"/>
    <x v="0"/>
    <s v="OK"/>
  </r>
  <r>
    <s v="IT-10042"/>
    <s v="Roller bearing L-42"/>
    <x v="0"/>
    <x v="0"/>
    <x v="0"/>
    <s v="2026-08"/>
    <n v="303.64"/>
    <n v="303.64"/>
    <n v="299.63057099999997"/>
    <n v="432.94"/>
    <n v="32"/>
    <m/>
    <n v="0"/>
    <n v="70"/>
    <n v="20974.14"/>
    <n v="4"/>
    <n v="66"/>
    <n v="14.15"/>
    <n v="0"/>
    <n v="35"/>
    <n v="15152.9"/>
    <n v="0"/>
    <x v="0"/>
    <s v="OK"/>
  </r>
  <r>
    <s v="IT-10043"/>
    <s v="Control switch S-43"/>
    <x v="3"/>
    <x v="3"/>
    <x v="1"/>
    <s v="2024-09"/>
    <n v="3.21"/>
    <n v="3.21"/>
    <n v="3.242915"/>
    <n v="4.3899999999999997"/>
    <n v="22"/>
    <n v="19"/>
    <n v="2135"/>
    <n v="3369"/>
    <n v="10925.38"/>
    <n v="215"/>
    <n v="3154"/>
    <n v="14.81"/>
    <n v="2"/>
    <n v="547"/>
    <n v="2401.33"/>
    <n v="0"/>
    <x v="0"/>
    <s v="OK"/>
  </r>
  <r>
    <s v="IT-10043"/>
    <s v="Control switch S-43"/>
    <x v="3"/>
    <x v="3"/>
    <x v="1"/>
    <s v="2024-10"/>
    <n v="3.32"/>
    <n v="3.32"/>
    <n v="3.2500559999999998"/>
    <n v="4.3899999999999997"/>
    <n v="22"/>
    <n v="20"/>
    <n v="344"/>
    <n v="2658"/>
    <n v="8638.65"/>
    <n v="359"/>
    <n v="2299"/>
    <n v="10.49"/>
    <n v="0"/>
    <n v="1055"/>
    <n v="4631.45"/>
    <n v="0"/>
    <x v="0"/>
    <s v="OK"/>
  </r>
  <r>
    <s v="IT-10043"/>
    <s v="Control switch S-43"/>
    <x v="3"/>
    <x v="3"/>
    <x v="1"/>
    <s v="2024-11"/>
    <n v="3.21"/>
    <n v="3.21"/>
    <n v="3.2500640000000001"/>
    <n v="4.3899999999999997"/>
    <n v="22"/>
    <m/>
    <n v="0"/>
    <n v="467"/>
    <n v="1517.78"/>
    <n v="108"/>
    <n v="359"/>
    <n v="1.6"/>
    <n v="0"/>
    <n v="2191"/>
    <n v="9618.49"/>
    <n v="0"/>
    <x v="0"/>
    <s v="OK"/>
  </r>
  <r>
    <s v="IT-10043"/>
    <s v="Control switch S-43"/>
    <x v="3"/>
    <x v="3"/>
    <x v="1"/>
    <s v="2024-12"/>
    <n v="3.23"/>
    <n v="3.23"/>
    <n v="3.2453099999999999"/>
    <n v="4.3899999999999997"/>
    <n v="22"/>
    <n v="38"/>
    <n v="145"/>
    <n v="0"/>
    <n v="0"/>
    <n v="0"/>
    <n v="0"/>
    <n v="0"/>
    <n v="0"/>
    <n v="612"/>
    <n v="2686.68"/>
    <n v="1048"/>
    <x v="1"/>
    <s v="OK"/>
  </r>
  <r>
    <s v="IT-10043"/>
    <s v="Control switch S-43"/>
    <x v="3"/>
    <x v="3"/>
    <x v="1"/>
    <s v="2025-01"/>
    <n v="3.23"/>
    <n v="3.23"/>
    <n v="3.23"/>
    <n v="4.3899999999999997"/>
    <n v="22"/>
    <n v="21"/>
    <n v="2953"/>
    <n v="1512"/>
    <n v="4883.76"/>
    <n v="359"/>
    <n v="1153"/>
    <n v="4.68"/>
    <n v="0"/>
    <n v="1441"/>
    <n v="6325.99"/>
    <n v="0"/>
    <x v="0"/>
    <s v="OK"/>
  </r>
  <r>
    <s v="IT-10043"/>
    <s v="Control switch S-43"/>
    <x v="3"/>
    <x v="3"/>
    <x v="1"/>
    <s v="2025-02"/>
    <n v="3.33"/>
    <n v="3.33"/>
    <n v="3.2822300000000002"/>
    <n v="4.5999999999999996"/>
    <n v="22"/>
    <n v="21"/>
    <n v="1653"/>
    <n v="1749"/>
    <n v="5740.62"/>
    <n v="144"/>
    <n v="1605"/>
    <n v="6.48"/>
    <n v="0"/>
    <n v="1416"/>
    <n v="6513.6"/>
    <n v="0"/>
    <x v="0"/>
    <s v="OK"/>
  </r>
  <r>
    <s v="IT-10043"/>
    <s v="Control switch S-43"/>
    <x v="3"/>
    <x v="3"/>
    <x v="1"/>
    <s v="2025-03"/>
    <n v="3.46"/>
    <n v="3.46"/>
    <n v="3.3835500000000001"/>
    <n v="4.5999999999999996"/>
    <n v="22"/>
    <n v="21"/>
    <n v="2318"/>
    <n v="2882"/>
    <n v="9751.39"/>
    <n v="287"/>
    <n v="2595"/>
    <n v="9.17"/>
    <n v="0"/>
    <n v="1185"/>
    <n v="5451"/>
    <n v="0"/>
    <x v="0"/>
    <s v="OK"/>
  </r>
  <r>
    <s v="IT-10043"/>
    <s v="Control switch S-43"/>
    <x v="3"/>
    <x v="3"/>
    <x v="1"/>
    <s v="2025-04"/>
    <n v="3.46"/>
    <n v="3.46"/>
    <n v="3.3835489999999999"/>
    <n v="4.5999999999999996"/>
    <n v="22"/>
    <m/>
    <n v="0"/>
    <n v="2068"/>
    <n v="6997.18"/>
    <n v="323"/>
    <n v="1745"/>
    <n v="7.7"/>
    <n v="0"/>
    <n v="814"/>
    <n v="3744.4"/>
    <n v="0"/>
    <x v="0"/>
    <s v="OK"/>
  </r>
  <r>
    <s v="IT-10043"/>
    <s v="Control switch S-43"/>
    <x v="3"/>
    <x v="3"/>
    <x v="1"/>
    <s v="2025-05"/>
    <n v="3.42"/>
    <n v="3.42"/>
    <n v="3.3912059999999999"/>
    <n v="4.5999999999999996"/>
    <n v="22"/>
    <n v="20"/>
    <n v="550"/>
    <n v="929"/>
    <n v="3150.43"/>
    <n v="215"/>
    <n v="714"/>
    <n v="3.31"/>
    <n v="0"/>
    <n v="1689"/>
    <n v="7769.4"/>
    <n v="0"/>
    <x v="0"/>
    <s v="OK"/>
  </r>
  <r>
    <s v="IT-10043"/>
    <s v="Control switch S-43"/>
    <x v="3"/>
    <x v="3"/>
    <x v="1"/>
    <s v="2025-06"/>
    <n v="3.46"/>
    <n v="3.46"/>
    <n v="3.4332919999999998"/>
    <n v="4.5999999999999996"/>
    <n v="22"/>
    <n v="21"/>
    <n v="1464"/>
    <n v="1917"/>
    <n v="6581.62"/>
    <n v="323"/>
    <n v="1594"/>
    <n v="8.3699999999999992"/>
    <n v="0"/>
    <n v="476"/>
    <n v="2189.6"/>
    <n v="0"/>
    <x v="0"/>
    <s v="OK"/>
  </r>
  <r>
    <s v="IT-10043"/>
    <s v="Control switch S-43"/>
    <x v="3"/>
    <x v="3"/>
    <x v="1"/>
    <s v="2025-07"/>
    <n v="3.45"/>
    <n v="3.45"/>
    <n v="3.4426060000000001"/>
    <n v="4.5999999999999996"/>
    <n v="22"/>
    <n v="22"/>
    <n v="2415"/>
    <n v="3281"/>
    <n v="11295.19"/>
    <n v="359"/>
    <n v="2922"/>
    <n v="13.41"/>
    <n v="0"/>
    <n v="1051"/>
    <n v="4834.6000000000004"/>
    <n v="0"/>
    <x v="0"/>
    <s v="OK"/>
  </r>
  <r>
    <s v="IT-10043"/>
    <s v="Control switch S-43"/>
    <x v="3"/>
    <x v="3"/>
    <x v="1"/>
    <s v="2025-08"/>
    <n v="3.45"/>
    <n v="3.45"/>
    <n v="3.4442940000000002"/>
    <n v="4.5999999999999996"/>
    <n v="22"/>
    <n v="21"/>
    <n v="971"/>
    <n v="3421"/>
    <n v="11782.93"/>
    <n v="251"/>
    <n v="3170"/>
    <n v="19.07"/>
    <n v="0"/>
    <n v="831"/>
    <n v="3822.6"/>
    <n v="0"/>
    <x v="0"/>
    <s v="OK"/>
  </r>
  <r>
    <s v="IT-10043"/>
    <s v="Control switch S-43"/>
    <x v="3"/>
    <x v="3"/>
    <x v="1"/>
    <s v="2025-09"/>
    <n v="3.49"/>
    <n v="3.49"/>
    <n v="3.444293"/>
    <n v="4.5999999999999996"/>
    <n v="22"/>
    <m/>
    <n v="0"/>
    <n v="2986"/>
    <n v="10284.66"/>
    <n v="72"/>
    <n v="2914"/>
    <n v="16.940000000000001"/>
    <n v="0"/>
    <n v="435"/>
    <n v="2001"/>
    <n v="0"/>
    <x v="0"/>
    <s v="OK"/>
  </r>
  <r>
    <s v="IT-10043"/>
    <s v="Control switch S-43"/>
    <x v="3"/>
    <x v="3"/>
    <x v="1"/>
    <s v="2025-10"/>
    <n v="3.52"/>
    <n v="3.52"/>
    <n v="3.4467219999999998"/>
    <n v="4.5999999999999996"/>
    <n v="22"/>
    <n v="22"/>
    <n v="99"/>
    <n v="2904"/>
    <n v="10009.280000000001"/>
    <n v="108"/>
    <n v="2796"/>
    <n v="26.38"/>
    <n v="2"/>
    <n v="181"/>
    <n v="832.6"/>
    <n v="0"/>
    <x v="0"/>
    <s v="OK"/>
  </r>
  <r>
    <s v="IT-10043"/>
    <s v="Control switch S-43"/>
    <x v="3"/>
    <x v="3"/>
    <x v="1"/>
    <s v="2025-11"/>
    <n v="3.5"/>
    <n v="3.5"/>
    <n v="3.4525429999999999"/>
    <n v="4.5999999999999996"/>
    <n v="22"/>
    <n v="21"/>
    <n v="356"/>
    <n v="1699"/>
    <n v="5865.87"/>
    <n v="72"/>
    <n v="1627"/>
    <n v="10.15"/>
    <n v="2"/>
    <n v="1561"/>
    <n v="7180.6"/>
    <n v="0"/>
    <x v="0"/>
    <s v="OK"/>
  </r>
  <r>
    <s v="IT-10043"/>
    <s v="Control switch S-43"/>
    <x v="3"/>
    <x v="3"/>
    <x v="1"/>
    <s v="2025-12"/>
    <n v="3.5"/>
    <n v="3.5"/>
    <n v="3.4525929999999998"/>
    <n v="4.5999999999999996"/>
    <n v="22"/>
    <m/>
    <n v="0"/>
    <n v="54"/>
    <n v="186.44"/>
    <n v="54"/>
    <n v="0"/>
    <n v="0.21"/>
    <n v="0"/>
    <n v="1645"/>
    <n v="7567"/>
    <n v="0"/>
    <x v="0"/>
    <s v="OK"/>
  </r>
  <r>
    <s v="IT-10043"/>
    <s v="Control switch S-43"/>
    <x v="3"/>
    <x v="3"/>
    <x v="1"/>
    <s v="2026-01"/>
    <n v="3.42"/>
    <n v="3.42"/>
    <n v="3.4204680000000001"/>
    <n v="4.5999999999999996"/>
    <n v="22"/>
    <n v="30"/>
    <n v="3701"/>
    <n v="2609"/>
    <n v="8924"/>
    <n v="251"/>
    <n v="2358"/>
    <n v="7.88"/>
    <n v="0"/>
    <n v="1146"/>
    <n v="5271.6"/>
    <n v="0"/>
    <x v="0"/>
    <s v="OK"/>
  </r>
  <r>
    <s v="IT-10043"/>
    <s v="Control switch S-43"/>
    <x v="3"/>
    <x v="3"/>
    <x v="1"/>
    <s v="2026-02"/>
    <n v="3.47"/>
    <n v="3.47"/>
    <n v="3.437932"/>
    <n v="4.82"/>
    <n v="22"/>
    <n v="22"/>
    <n v="1421"/>
    <n v="2863"/>
    <n v="9842.7999999999993"/>
    <n v="180"/>
    <n v="2683"/>
    <n v="9.3000000000000007"/>
    <n v="0"/>
    <n v="1167"/>
    <n v="5624.94"/>
    <n v="0"/>
    <x v="0"/>
    <s v="OK"/>
  </r>
  <r>
    <s v="IT-10043"/>
    <s v="Control switch S-43"/>
    <x v="3"/>
    <x v="3"/>
    <x v="1"/>
    <s v="2026-03"/>
    <n v="3.74"/>
    <n v="3.74"/>
    <n v="3.5123549999999999"/>
    <n v="4.82"/>
    <n v="22"/>
    <n v="19"/>
    <n v="936"/>
    <n v="2157"/>
    <n v="7576.15"/>
    <n v="359"/>
    <n v="1798"/>
    <n v="7.01"/>
    <n v="0"/>
    <n v="1642"/>
    <n v="7914.44"/>
    <n v="0"/>
    <x v="0"/>
    <s v="OK"/>
  </r>
  <r>
    <s v="IT-10043"/>
    <s v="Control switch S-43"/>
    <x v="3"/>
    <x v="3"/>
    <x v="1"/>
    <s v="2026-04"/>
    <n v="3.62"/>
    <n v="3.62"/>
    <n v="3.543069"/>
    <n v="4.82"/>
    <n v="22"/>
    <n v="28"/>
    <n v="861"/>
    <n v="1007"/>
    <n v="3567.87"/>
    <n v="251"/>
    <n v="756"/>
    <n v="2.66"/>
    <n v="2"/>
    <n v="2011"/>
    <n v="9693.02"/>
    <n v="0"/>
    <x v="0"/>
    <s v="OK"/>
  </r>
  <r>
    <s v="IT-10043"/>
    <s v="Control switch S-43"/>
    <x v="3"/>
    <x v="3"/>
    <x v="1"/>
    <s v="2026-05"/>
    <n v="3.74"/>
    <n v="3.74"/>
    <n v="3.6791659999999999"/>
    <n v="4.82"/>
    <n v="22"/>
    <n v="22"/>
    <n v="2253"/>
    <n v="1546"/>
    <n v="5687.99"/>
    <n v="359"/>
    <n v="1187"/>
    <n v="3.79"/>
    <n v="0"/>
    <n v="1714"/>
    <n v="8261.48"/>
    <n v="0"/>
    <x v="0"/>
    <s v="OK"/>
  </r>
  <r>
    <s v="IT-10043"/>
    <s v="Control switch S-43"/>
    <x v="3"/>
    <x v="3"/>
    <x v="1"/>
    <s v="2026-06"/>
    <n v="3.7"/>
    <n v="3.7"/>
    <n v="3.6891639999999999"/>
    <n v="4.82"/>
    <n v="22"/>
    <n v="19"/>
    <n v="1426"/>
    <n v="2296"/>
    <n v="8470.32"/>
    <n v="180"/>
    <n v="2116"/>
    <n v="6.78"/>
    <n v="0"/>
    <n v="676"/>
    <n v="3258.32"/>
    <n v="0"/>
    <x v="0"/>
    <s v="OK"/>
  </r>
  <r>
    <s v="IT-10043"/>
    <s v="Control switch S-43"/>
    <x v="3"/>
    <x v="3"/>
    <x v="1"/>
    <s v="2026-07"/>
    <n v="3.74"/>
    <n v="3.74"/>
    <n v="3.7091129999999999"/>
    <n v="4.82"/>
    <n v="22"/>
    <n v="22"/>
    <n v="1483"/>
    <n v="2988"/>
    <n v="11082.83"/>
    <n v="287"/>
    <n v="2701"/>
    <n v="12.35"/>
    <n v="0"/>
    <n v="791"/>
    <n v="3812.62"/>
    <n v="0"/>
    <x v="0"/>
    <s v="OK"/>
  </r>
  <r>
    <s v="IT-10043"/>
    <s v="Control switch S-43"/>
    <x v="3"/>
    <x v="3"/>
    <x v="1"/>
    <s v="2026-08"/>
    <n v="3.6"/>
    <n v="3.6"/>
    <n v="3.7049340000000002"/>
    <n v="4.82"/>
    <n v="22"/>
    <n v="20"/>
    <n v="119"/>
    <n v="2667"/>
    <n v="9881.06"/>
    <n v="215"/>
    <n v="2452"/>
    <n v="18.38"/>
    <n v="1"/>
    <n v="440"/>
    <n v="2120.8000000000002"/>
    <n v="0"/>
    <x v="0"/>
    <s v="OK"/>
  </r>
  <r>
    <s v="IT-10044"/>
    <s v="Gear set L-44"/>
    <x v="4"/>
    <x v="4"/>
    <x v="1"/>
    <s v="2024-09"/>
    <n v="3.01"/>
    <n v="3.01"/>
    <n v="3.0223179999999998"/>
    <n v="4.4000000000000004"/>
    <n v="28"/>
    <n v="44"/>
    <n v="206"/>
    <n v="617"/>
    <n v="1864.77"/>
    <n v="70"/>
    <n v="547"/>
    <n v="2.06"/>
    <n v="1"/>
    <n v="1467"/>
    <n v="6454.8"/>
    <n v="0"/>
    <x v="0"/>
    <s v="OK"/>
  </r>
  <r>
    <s v="IT-10044"/>
    <s v="Gear set L-44"/>
    <x v="4"/>
    <x v="4"/>
    <x v="1"/>
    <s v="2024-10"/>
    <n v="3.24"/>
    <n v="3.24"/>
    <n v="3.2092160000000001"/>
    <n v="4.4000000000000004"/>
    <n v="28"/>
    <n v="25"/>
    <n v="3746"/>
    <n v="2846"/>
    <n v="9133.43"/>
    <n v="349"/>
    <n v="2497"/>
    <n v="7.65"/>
    <n v="1"/>
    <n v="1517"/>
    <n v="6674.8"/>
    <n v="0"/>
    <x v="0"/>
    <s v="OK"/>
  </r>
  <r>
    <s v="IT-10044"/>
    <s v="Gear set L-44"/>
    <x v="4"/>
    <x v="4"/>
    <x v="1"/>
    <s v="2024-11"/>
    <n v="3.25"/>
    <n v="3.25"/>
    <n v="3.2251189999999998"/>
    <n v="4.4000000000000004"/>
    <n v="28"/>
    <n v="24"/>
    <n v="1819"/>
    <n v="2553"/>
    <n v="8233.73"/>
    <n v="314"/>
    <n v="2239"/>
    <n v="6.51"/>
    <n v="0"/>
    <n v="2112"/>
    <n v="9292.7999999999993"/>
    <n v="0"/>
    <x v="0"/>
    <s v="OK"/>
  </r>
  <r>
    <s v="IT-10044"/>
    <s v="Gear set L-44"/>
    <x v="4"/>
    <x v="4"/>
    <x v="1"/>
    <s v="2024-12"/>
    <n v="3.2"/>
    <n v="3.2"/>
    <n v="3.2251210000000001"/>
    <n v="4.4000000000000004"/>
    <n v="28"/>
    <m/>
    <n v="0"/>
    <n v="2115"/>
    <n v="6821.13"/>
    <n v="279"/>
    <n v="1836"/>
    <n v="6.83"/>
    <n v="1"/>
    <n v="438"/>
    <n v="1927.2"/>
    <n v="0"/>
    <x v="0"/>
    <s v="OK"/>
  </r>
  <r>
    <s v="IT-10044"/>
    <s v="Gear set L-44"/>
    <x v="4"/>
    <x v="4"/>
    <x v="1"/>
    <s v="2025-01"/>
    <n v="3.26"/>
    <n v="3.26"/>
    <n v="3.2397830000000001"/>
    <n v="4.4000000000000004"/>
    <n v="28"/>
    <n v="44"/>
    <n v="1534"/>
    <n v="2258"/>
    <n v="7315.43"/>
    <n v="314"/>
    <n v="1944"/>
    <n v="7.53"/>
    <n v="2"/>
    <n v="1391"/>
    <n v="6120.4"/>
    <n v="0"/>
    <x v="0"/>
    <s v="OK"/>
  </r>
  <r>
    <s v="IT-10044"/>
    <s v="Gear set L-44"/>
    <x v="4"/>
    <x v="4"/>
    <x v="1"/>
    <s v="2025-02"/>
    <n v="3.24"/>
    <n v="3.24"/>
    <n v="3.239878"/>
    <n v="4.5199999999999996"/>
    <n v="28"/>
    <n v="27"/>
    <n v="1772"/>
    <n v="3365"/>
    <n v="10902.19"/>
    <n v="244"/>
    <n v="3121"/>
    <n v="17.350000000000001"/>
    <n v="2"/>
    <n v="665"/>
    <n v="3005.8"/>
    <n v="0"/>
    <x v="0"/>
    <s v="OK"/>
  </r>
  <r>
    <s v="IT-10044"/>
    <s v="Gear set L-44"/>
    <x v="4"/>
    <x v="4"/>
    <x v="1"/>
    <s v="2025-03"/>
    <n v="3.18"/>
    <n v="3.18"/>
    <n v="3.2398760000000002"/>
    <n v="4.5199999999999996"/>
    <n v="28"/>
    <m/>
    <n v="0"/>
    <n v="1694"/>
    <n v="5488.35"/>
    <n v="279"/>
    <n v="1415"/>
    <n v="5.84"/>
    <n v="0"/>
    <n v="1671"/>
    <n v="7552.92"/>
    <n v="0"/>
    <x v="0"/>
    <s v="OK"/>
  </r>
  <r>
    <s v="IT-10044"/>
    <s v="Gear set L-44"/>
    <x v="4"/>
    <x v="4"/>
    <x v="1"/>
    <s v="2025-04"/>
    <n v="3.18"/>
    <n v="3.18"/>
    <n v="3.222"/>
    <n v="4.5199999999999996"/>
    <n v="28"/>
    <n v="39"/>
    <n v="721"/>
    <n v="970"/>
    <n v="3125.34"/>
    <n v="314"/>
    <n v="656"/>
    <n v="3.26"/>
    <n v="0"/>
    <n v="1445"/>
    <n v="6531.4"/>
    <n v="0"/>
    <x v="0"/>
    <s v="OK"/>
  </r>
  <r>
    <s v="IT-10044"/>
    <s v="Gear set L-44"/>
    <x v="4"/>
    <x v="4"/>
    <x v="1"/>
    <s v="2025-05"/>
    <n v="3.24"/>
    <n v="3.24"/>
    <n v="3.2358250000000002"/>
    <n v="4.5199999999999996"/>
    <n v="28"/>
    <n v="24"/>
    <n v="3210"/>
    <n v="2795"/>
    <n v="9044.1299999999992"/>
    <n v="349"/>
    <n v="2446"/>
    <n v="8.16"/>
    <n v="0"/>
    <n v="1385"/>
    <n v="6260.2"/>
    <n v="0"/>
    <x v="0"/>
    <s v="OK"/>
  </r>
  <r>
    <s v="IT-10044"/>
    <s v="Gear set L-44"/>
    <x v="4"/>
    <x v="4"/>
    <x v="1"/>
    <s v="2025-06"/>
    <n v="3.19"/>
    <n v="3.19"/>
    <n v="3.2161550000000001"/>
    <n v="4.5199999999999996"/>
    <n v="28"/>
    <n v="24"/>
    <n v="2102"/>
    <n v="4263"/>
    <n v="13710.47"/>
    <n v="209"/>
    <n v="4054"/>
    <n v="16"/>
    <n v="2"/>
    <n v="634"/>
    <n v="2865.68"/>
    <n v="0"/>
    <x v="0"/>
    <s v="OK"/>
  </r>
  <r>
    <s v="IT-10044"/>
    <s v="Gear set L-44"/>
    <x v="4"/>
    <x v="4"/>
    <x v="1"/>
    <s v="2025-07"/>
    <n v="3.21"/>
    <n v="3.21"/>
    <n v="3.2161559999999998"/>
    <n v="4.5199999999999996"/>
    <n v="28"/>
    <m/>
    <n v="0"/>
    <n v="2997"/>
    <n v="9638.82"/>
    <n v="279"/>
    <n v="2718"/>
    <n v="11.99"/>
    <n v="1"/>
    <n v="1266"/>
    <n v="5722.32"/>
    <n v="0"/>
    <x v="0"/>
    <s v="OK"/>
  </r>
  <r>
    <s v="IT-10044"/>
    <s v="Gear set L-44"/>
    <x v="4"/>
    <x v="4"/>
    <x v="1"/>
    <s v="2025-08"/>
    <n v="3.21"/>
    <n v="3.21"/>
    <n v="3.2136719999999999"/>
    <n v="4.5199999999999996"/>
    <n v="28"/>
    <n v="25"/>
    <n v="2029"/>
    <n v="3516"/>
    <n v="11299.27"/>
    <n v="209"/>
    <n v="3307"/>
    <n v="13.55"/>
    <n v="0"/>
    <n v="1510"/>
    <n v="6825.2"/>
    <n v="0"/>
    <x v="0"/>
    <s v="OK"/>
  </r>
  <r>
    <s v="IT-10044"/>
    <s v="Gear set L-44"/>
    <x v="4"/>
    <x v="4"/>
    <x v="1"/>
    <s v="2025-09"/>
    <n v="3.21"/>
    <n v="3.21"/>
    <n v="3.2136710000000002"/>
    <n v="4.5199999999999996"/>
    <n v="28"/>
    <m/>
    <n v="0"/>
    <n v="2397"/>
    <n v="7703.17"/>
    <n v="105"/>
    <n v="2292"/>
    <n v="8.09"/>
    <n v="2"/>
    <n v="1119"/>
    <n v="5057.88"/>
    <n v="0"/>
    <x v="0"/>
    <s v="OK"/>
  </r>
  <r>
    <s v="IT-10044"/>
    <s v="Gear set L-44"/>
    <x v="4"/>
    <x v="4"/>
    <x v="1"/>
    <s v="2025-10"/>
    <n v="3.41"/>
    <n v="3.41"/>
    <n v="3.3094000000000001"/>
    <n v="4.5199999999999996"/>
    <n v="28"/>
    <n v="25"/>
    <n v="2281"/>
    <n v="4353"/>
    <n v="14405.82"/>
    <n v="244"/>
    <n v="4109"/>
    <n v="19.37"/>
    <n v="0"/>
    <n v="325"/>
    <n v="1469"/>
    <n v="0"/>
    <x v="0"/>
    <s v="OK"/>
  </r>
  <r>
    <s v="IT-10044"/>
    <s v="Gear set L-44"/>
    <x v="4"/>
    <x v="4"/>
    <x v="1"/>
    <s v="2025-11"/>
    <n v="3.38"/>
    <n v="3.38"/>
    <n v="3.309402"/>
    <n v="4.5199999999999996"/>
    <n v="28"/>
    <m/>
    <n v="0"/>
    <n v="3193"/>
    <n v="10566.92"/>
    <n v="105"/>
    <n v="3088"/>
    <n v="15.94"/>
    <n v="1"/>
    <n v="1160"/>
    <n v="5243.2"/>
    <n v="0"/>
    <x v="0"/>
    <s v="OK"/>
  </r>
  <r>
    <s v="IT-10044"/>
    <s v="Gear set L-44"/>
    <x v="4"/>
    <x v="4"/>
    <x v="1"/>
    <s v="2025-12"/>
    <n v="3.49"/>
    <n v="3.49"/>
    <n v="3.3610519999999999"/>
    <n v="4.5199999999999996"/>
    <n v="28"/>
    <n v="24"/>
    <n v="1279"/>
    <n v="3696"/>
    <n v="12422.45"/>
    <n v="209"/>
    <n v="3487"/>
    <n v="21.48"/>
    <n v="0"/>
    <n v="776"/>
    <n v="3507.52"/>
    <n v="0"/>
    <x v="0"/>
    <s v="OK"/>
  </r>
  <r>
    <s v="IT-10044"/>
    <s v="Gear set L-44"/>
    <x v="4"/>
    <x v="4"/>
    <x v="1"/>
    <s v="2026-01"/>
    <n v="3.44"/>
    <n v="3.44"/>
    <n v="3.3781789999999998"/>
    <n v="4.5199999999999996"/>
    <n v="28"/>
    <n v="26"/>
    <n v="1024"/>
    <n v="3806"/>
    <n v="12857.35"/>
    <n v="279"/>
    <n v="3527"/>
    <n v="17.55"/>
    <n v="1"/>
    <n v="914"/>
    <n v="4131.28"/>
    <n v="0"/>
    <x v="0"/>
    <s v="OK"/>
  </r>
  <r>
    <s v="IT-10044"/>
    <s v="Gear set L-44"/>
    <x v="4"/>
    <x v="4"/>
    <x v="1"/>
    <s v="2026-02"/>
    <n v="3.44"/>
    <n v="3.44"/>
    <n v="3.3781789999999998"/>
    <n v="4.6500000000000004"/>
    <n v="28"/>
    <m/>
    <n v="0"/>
    <n v="3344"/>
    <n v="11296.63"/>
    <n v="175"/>
    <n v="3169"/>
    <n v="19.98"/>
    <n v="0"/>
    <n v="462"/>
    <n v="2148.3000000000002"/>
    <n v="0"/>
    <x v="0"/>
    <s v="OK"/>
  </r>
  <r>
    <s v="IT-10044"/>
    <s v="Gear set L-44"/>
    <x v="4"/>
    <x v="4"/>
    <x v="1"/>
    <s v="2026-03"/>
    <n v="3.45"/>
    <n v="3.45"/>
    <n v="3.3877950000000001"/>
    <n v="4.6500000000000004"/>
    <n v="28"/>
    <n v="26"/>
    <n v="517"/>
    <n v="3374"/>
    <n v="11430.42"/>
    <n v="314"/>
    <n v="3060"/>
    <n v="23.29"/>
    <n v="0"/>
    <n v="487"/>
    <n v="2264.5500000000002"/>
    <n v="0"/>
    <x v="0"/>
    <s v="OK"/>
  </r>
  <r>
    <s v="IT-10044"/>
    <s v="Gear set L-44"/>
    <x v="4"/>
    <x v="4"/>
    <x v="1"/>
    <s v="2026-04"/>
    <n v="3.36"/>
    <n v="3.36"/>
    <n v="3.387794"/>
    <n v="4.6500000000000004"/>
    <n v="28"/>
    <m/>
    <n v="0"/>
    <n v="2099"/>
    <n v="7110.98"/>
    <n v="209"/>
    <n v="1890"/>
    <n v="12"/>
    <n v="1"/>
    <n v="1275"/>
    <n v="5928.75"/>
    <n v="0"/>
    <x v="0"/>
    <s v="OK"/>
  </r>
  <r>
    <s v="IT-10044"/>
    <s v="Gear set L-44"/>
    <x v="4"/>
    <x v="4"/>
    <x v="1"/>
    <s v="2026-05"/>
    <n v="3.42"/>
    <n v="3.42"/>
    <n v="3.3937580000000001"/>
    <n v="4.6500000000000004"/>
    <n v="28"/>
    <n v="34"/>
    <n v="477"/>
    <n v="1687"/>
    <n v="5725.27"/>
    <n v="349"/>
    <n v="1338"/>
    <n v="8.36"/>
    <n v="0"/>
    <n v="889"/>
    <n v="4133.8500000000004"/>
    <n v="0"/>
    <x v="0"/>
    <s v="OK"/>
  </r>
  <r>
    <s v="IT-10044"/>
    <s v="Gear set L-44"/>
    <x v="4"/>
    <x v="4"/>
    <x v="1"/>
    <s v="2026-06"/>
    <n v="3.38"/>
    <n v="3.38"/>
    <n v="3.3851070000000001"/>
    <n v="4.6500000000000004"/>
    <n v="28"/>
    <n v="26"/>
    <n v="2858"/>
    <n v="3554"/>
    <n v="12030.67"/>
    <n v="140"/>
    <n v="3414"/>
    <n v="14.64"/>
    <n v="0"/>
    <n v="991"/>
    <n v="4608.1499999999996"/>
    <n v="0"/>
    <x v="0"/>
    <s v="OK"/>
  </r>
  <r>
    <s v="IT-10044"/>
    <s v="Gear set L-44"/>
    <x v="4"/>
    <x v="4"/>
    <x v="1"/>
    <s v="2026-07"/>
    <n v="3.42"/>
    <n v="3.42"/>
    <n v="3.3891610000000001"/>
    <n v="4.6500000000000004"/>
    <n v="28"/>
    <n v="27"/>
    <n v="467"/>
    <n v="3134"/>
    <n v="10621.63"/>
    <n v="70"/>
    <n v="3064"/>
    <n v="14.89"/>
    <n v="0"/>
    <n v="887"/>
    <n v="4124.55"/>
    <n v="0"/>
    <x v="0"/>
    <s v="OK"/>
  </r>
  <r>
    <s v="IT-10044"/>
    <s v="Gear set L-44"/>
    <x v="4"/>
    <x v="4"/>
    <x v="1"/>
    <s v="2026-08"/>
    <n v="3.48"/>
    <n v="3.48"/>
    <n v="3.4019780000000002"/>
    <n v="4.6500000000000004"/>
    <n v="28"/>
    <n v="26"/>
    <n v="515"/>
    <n v="1567"/>
    <n v="5330.9"/>
    <n v="314"/>
    <n v="1253"/>
    <n v="5.2"/>
    <n v="0"/>
    <n v="2082"/>
    <n v="9681.2999999999993"/>
    <n v="0"/>
    <x v="0"/>
    <s v="OK"/>
  </r>
  <r>
    <s v="IT-10045"/>
    <s v="Anchor bolt 10-45"/>
    <x v="2"/>
    <x v="2"/>
    <x v="0"/>
    <s v="2024-09"/>
    <n v="1.37"/>
    <n v="1.37"/>
    <n v="1.357491"/>
    <n v="1.93"/>
    <n v="26"/>
    <n v="38"/>
    <n v="693"/>
    <n v="574"/>
    <n v="779.2"/>
    <n v="104"/>
    <n v="470"/>
    <n v="3.51"/>
    <n v="0"/>
    <n v="635"/>
    <n v="1225.55"/>
    <n v="0"/>
    <x v="0"/>
    <s v="OK"/>
  </r>
  <r>
    <s v="IT-10045"/>
    <s v="Anchor bolt 10-45"/>
    <x v="2"/>
    <x v="2"/>
    <x v="0"/>
    <s v="2024-10"/>
    <n v="1.35"/>
    <n v="1.35"/>
    <n v="1.352169"/>
    <n v="1.93"/>
    <n v="26"/>
    <n v="26"/>
    <n v="1408"/>
    <n v="1263"/>
    <n v="1707.79"/>
    <n v="104"/>
    <n v="1159"/>
    <n v="8.32"/>
    <n v="1"/>
    <n v="719"/>
    <n v="1387.67"/>
    <n v="0"/>
    <x v="0"/>
    <s v="OK"/>
  </r>
  <r>
    <s v="IT-10045"/>
    <s v="Anchor bolt 10-45"/>
    <x v="2"/>
    <x v="2"/>
    <x v="0"/>
    <s v="2024-11"/>
    <n v="1.37"/>
    <n v="1.37"/>
    <n v="1.360841"/>
    <n v="1.93"/>
    <n v="26"/>
    <n v="25"/>
    <n v="1196"/>
    <n v="1450"/>
    <n v="1973.22"/>
    <n v="145"/>
    <n v="1305"/>
    <n v="7.98"/>
    <n v="1"/>
    <n v="1009"/>
    <n v="1947.37"/>
    <n v="0"/>
    <x v="0"/>
    <s v="OK"/>
  </r>
  <r>
    <s v="IT-10045"/>
    <s v="Anchor bolt 10-45"/>
    <x v="2"/>
    <x v="2"/>
    <x v="0"/>
    <s v="2024-12"/>
    <n v="1.42"/>
    <n v="1.42"/>
    <n v="1.3608370000000001"/>
    <n v="1.93"/>
    <n v="26"/>
    <m/>
    <n v="0"/>
    <n v="1123"/>
    <n v="1528.22"/>
    <n v="62"/>
    <n v="1061"/>
    <n v="7.18"/>
    <n v="0"/>
    <n v="327"/>
    <n v="631.11"/>
    <n v="0"/>
    <x v="0"/>
    <s v="OK"/>
  </r>
  <r>
    <s v="IT-10045"/>
    <s v="Anchor bolt 10-45"/>
    <x v="2"/>
    <x v="2"/>
    <x v="0"/>
    <s v="2025-01"/>
    <n v="1.41"/>
    <n v="1.41"/>
    <n v="1.3851"/>
    <n v="1.93"/>
    <n v="26"/>
    <n v="24"/>
    <n v="1094"/>
    <n v="1655"/>
    <n v="2292.34"/>
    <n v="62"/>
    <n v="1593"/>
    <n v="11.46"/>
    <n v="0"/>
    <n v="562"/>
    <n v="1084.6600000000001"/>
    <n v="0"/>
    <x v="0"/>
    <s v="OK"/>
  </r>
  <r>
    <s v="IT-10045"/>
    <s v="Anchor bolt 10-45"/>
    <x v="2"/>
    <x v="2"/>
    <x v="0"/>
    <s v="2025-02"/>
    <n v="1.42"/>
    <n v="1.42"/>
    <n v="1.3905259999999999"/>
    <n v="2"/>
    <n v="26"/>
    <n v="26"/>
    <n v="305"/>
    <n v="1121"/>
    <n v="1558.78"/>
    <n v="62"/>
    <n v="1059"/>
    <n v="8.34"/>
    <n v="0"/>
    <n v="839"/>
    <n v="1678"/>
    <n v="0"/>
    <x v="0"/>
    <s v="OK"/>
  </r>
  <r>
    <s v="IT-10045"/>
    <s v="Anchor bolt 10-45"/>
    <x v="2"/>
    <x v="2"/>
    <x v="0"/>
    <s v="2025-03"/>
    <n v="1.38"/>
    <n v="1.38"/>
    <n v="1.386269"/>
    <n v="2"/>
    <n v="26"/>
    <n v="31"/>
    <n v="760"/>
    <n v="796"/>
    <n v="1103.47"/>
    <n v="166"/>
    <n v="630"/>
    <n v="4.12"/>
    <n v="0"/>
    <n v="1085"/>
    <n v="2170"/>
    <n v="0"/>
    <x v="0"/>
    <s v="OK"/>
  </r>
  <r>
    <s v="IT-10045"/>
    <s v="Anchor bolt 10-45"/>
    <x v="2"/>
    <x v="2"/>
    <x v="0"/>
    <s v="2025-04"/>
    <n v="1.38"/>
    <n v="1.38"/>
    <n v="1.3862699999999999"/>
    <n v="2"/>
    <n v="26"/>
    <m/>
    <n v="0"/>
    <n v="488"/>
    <n v="676.5"/>
    <n v="208"/>
    <n v="280"/>
    <n v="2.78"/>
    <n v="5"/>
    <n v="308"/>
    <n v="616"/>
    <n v="0"/>
    <x v="0"/>
    <s v="OK"/>
  </r>
  <r>
    <s v="IT-10045"/>
    <s v="Anchor bolt 10-45"/>
    <x v="2"/>
    <x v="2"/>
    <x v="0"/>
    <s v="2025-05"/>
    <n v="1.41"/>
    <n v="1.41"/>
    <n v="1.4054819999999999"/>
    <n v="2"/>
    <n v="26"/>
    <n v="43"/>
    <n v="2075"/>
    <n v="1868"/>
    <n v="2625.44"/>
    <n v="104"/>
    <n v="1764"/>
    <n v="11.76"/>
    <n v="1"/>
    <n v="695"/>
    <n v="1390"/>
    <n v="0"/>
    <x v="0"/>
    <s v="OK"/>
  </r>
  <r>
    <s v="IT-10045"/>
    <s v="Anchor bolt 10-45"/>
    <x v="2"/>
    <x v="2"/>
    <x v="0"/>
    <s v="2025-06"/>
    <n v="1.38"/>
    <n v="1.38"/>
    <n v="1.4012800000000001"/>
    <n v="2"/>
    <n v="26"/>
    <n v="25"/>
    <n v="369"/>
    <n v="1336"/>
    <n v="1872.11"/>
    <n v="208"/>
    <n v="1128"/>
    <n v="9.1199999999999992"/>
    <n v="0"/>
    <n v="901"/>
    <n v="1802"/>
    <n v="0"/>
    <x v="0"/>
    <s v="OK"/>
  </r>
  <r>
    <s v="IT-10045"/>
    <s v="Anchor bolt 10-45"/>
    <x v="2"/>
    <x v="2"/>
    <x v="0"/>
    <s v="2025-07"/>
    <n v="1.37"/>
    <n v="1.37"/>
    <n v="1.4012789999999999"/>
    <n v="2"/>
    <n v="26"/>
    <m/>
    <n v="0"/>
    <n v="477"/>
    <n v="668.41"/>
    <n v="145"/>
    <n v="332"/>
    <n v="2.5499999999999998"/>
    <n v="0"/>
    <n v="859"/>
    <n v="1718"/>
    <n v="0"/>
    <x v="0"/>
    <s v="OK"/>
  </r>
  <r>
    <s v="IT-10045"/>
    <s v="Anchor bolt 10-45"/>
    <x v="2"/>
    <x v="2"/>
    <x v="0"/>
    <s v="2025-08"/>
    <n v="1.38"/>
    <n v="1.38"/>
    <n v="1.3840520000000001"/>
    <n v="2"/>
    <n v="26"/>
    <n v="24"/>
    <n v="2029"/>
    <n v="2394"/>
    <n v="3313.42"/>
    <n v="42"/>
    <n v="2352"/>
    <n v="16.809999999999999"/>
    <n v="2"/>
    <n v="112"/>
    <n v="224"/>
    <n v="0"/>
    <x v="0"/>
    <s v="OK"/>
  </r>
  <r>
    <s v="IT-10045"/>
    <s v="Anchor bolt 10-45"/>
    <x v="2"/>
    <x v="2"/>
    <x v="0"/>
    <s v="2025-09"/>
    <n v="1.41"/>
    <n v="1.41"/>
    <n v="1.3840539999999999"/>
    <n v="2"/>
    <n v="26"/>
    <m/>
    <n v="0"/>
    <n v="1924"/>
    <n v="2662.92"/>
    <n v="125"/>
    <n v="1799"/>
    <n v="17.55"/>
    <n v="1"/>
    <n v="470"/>
    <n v="940"/>
    <n v="0"/>
    <x v="0"/>
    <s v="OK"/>
  </r>
  <r>
    <s v="IT-10045"/>
    <s v="Anchor bolt 10-45"/>
    <x v="2"/>
    <x v="2"/>
    <x v="0"/>
    <s v="2025-10"/>
    <n v="1.38"/>
    <n v="1.38"/>
    <n v="1.3828879999999999"/>
    <n v="2"/>
    <n v="26"/>
    <n v="24"/>
    <n v="777"/>
    <n v="1991"/>
    <n v="2753.33"/>
    <n v="166"/>
    <n v="1825"/>
    <n v="20.25"/>
    <n v="0"/>
    <n v="710"/>
    <n v="1420"/>
    <n v="0"/>
    <x v="0"/>
    <s v="OK"/>
  </r>
  <r>
    <s v="IT-10045"/>
    <s v="Anchor bolt 10-45"/>
    <x v="2"/>
    <x v="2"/>
    <x v="0"/>
    <s v="2025-11"/>
    <n v="1.42"/>
    <n v="1.42"/>
    <n v="1.393845"/>
    <n v="2"/>
    <n v="26"/>
    <n v="24"/>
    <n v="834"/>
    <n v="2458"/>
    <n v="3426.07"/>
    <n v="42"/>
    <n v="2416"/>
    <n v="20.66"/>
    <n v="0"/>
    <n v="367"/>
    <n v="734"/>
    <n v="0"/>
    <x v="0"/>
    <s v="OK"/>
  </r>
  <r>
    <s v="IT-10045"/>
    <s v="Anchor bolt 10-45"/>
    <x v="2"/>
    <x v="2"/>
    <x v="0"/>
    <s v="2025-12"/>
    <n v="1.44"/>
    <n v="1.44"/>
    <n v="1.3938470000000001"/>
    <n v="2"/>
    <n v="26"/>
    <m/>
    <n v="0"/>
    <n v="1721"/>
    <n v="2398.81"/>
    <n v="145"/>
    <n v="1576"/>
    <n v="12.47"/>
    <n v="1"/>
    <n v="737"/>
    <n v="1474"/>
    <n v="0"/>
    <x v="0"/>
    <s v="OK"/>
  </r>
  <r>
    <s v="IT-10045"/>
    <s v="Anchor bolt 10-45"/>
    <x v="2"/>
    <x v="2"/>
    <x v="0"/>
    <s v="2026-01"/>
    <n v="1.47"/>
    <n v="1.47"/>
    <n v="1.399195"/>
    <n v="2"/>
    <n v="26"/>
    <n v="33"/>
    <n v="130"/>
    <n v="1553"/>
    <n v="2172.9499999999998"/>
    <n v="145"/>
    <n v="1408"/>
    <n v="14.56"/>
    <n v="6"/>
    <n v="298"/>
    <n v="596"/>
    <n v="0"/>
    <x v="0"/>
    <s v="OK"/>
  </r>
  <r>
    <s v="IT-10045"/>
    <s v="Anchor bolt 10-45"/>
    <x v="2"/>
    <x v="2"/>
    <x v="0"/>
    <s v="2026-02"/>
    <n v="1.43"/>
    <n v="1.43"/>
    <n v="1.4086920000000001"/>
    <n v="2.0699999999999998"/>
    <n v="26"/>
    <n v="38"/>
    <n v="692"/>
    <n v="1728"/>
    <n v="2434.2199999999998"/>
    <n v="83"/>
    <n v="1645"/>
    <n v="14.32"/>
    <n v="0"/>
    <n v="517"/>
    <n v="1070.19"/>
    <n v="0"/>
    <x v="0"/>
    <s v="OK"/>
  </r>
  <r>
    <s v="IT-10045"/>
    <s v="Anchor bolt 10-45"/>
    <x v="2"/>
    <x v="2"/>
    <x v="0"/>
    <s v="2026-03"/>
    <n v="1.42"/>
    <n v="1.42"/>
    <n v="1.41164"/>
    <n v="2.0699999999999998"/>
    <n v="26"/>
    <n v="23"/>
    <n v="609"/>
    <n v="1494"/>
    <n v="2108.9899999999998"/>
    <n v="83"/>
    <n v="1411"/>
    <n v="11.59"/>
    <n v="0"/>
    <n v="843"/>
    <n v="1745.01"/>
    <n v="0"/>
    <x v="0"/>
    <s v="OK"/>
  </r>
  <r>
    <s v="IT-10045"/>
    <s v="Anchor bolt 10-45"/>
    <x v="2"/>
    <x v="2"/>
    <x v="0"/>
    <s v="2026-04"/>
    <n v="1.45"/>
    <n v="1.45"/>
    <n v="1.4116409999999999"/>
    <n v="2.0699999999999998"/>
    <n v="26"/>
    <m/>
    <n v="0"/>
    <n v="1048"/>
    <n v="1479.4"/>
    <n v="187"/>
    <n v="861"/>
    <n v="7.38"/>
    <n v="0"/>
    <n v="446"/>
    <n v="923.22"/>
    <n v="0"/>
    <x v="0"/>
    <s v="OK"/>
  </r>
  <r>
    <s v="IT-10045"/>
    <s v="Anchor bolt 10-45"/>
    <x v="2"/>
    <x v="2"/>
    <x v="0"/>
    <s v="2026-05"/>
    <n v="1.43"/>
    <n v="1.43"/>
    <n v="1.413416"/>
    <n v="2.0699999999999998"/>
    <n v="26"/>
    <n v="34"/>
    <n v="112"/>
    <n v="966"/>
    <n v="1365.36"/>
    <n v="83"/>
    <n v="883"/>
    <n v="8.56"/>
    <n v="1"/>
    <n v="194"/>
    <n v="401.58"/>
    <n v="0"/>
    <x v="0"/>
    <s v="OK"/>
  </r>
  <r>
    <s v="IT-10045"/>
    <s v="Anchor bolt 10-45"/>
    <x v="2"/>
    <x v="2"/>
    <x v="0"/>
    <s v="2026-06"/>
    <n v="1.47"/>
    <n v="1.47"/>
    <n v="1.413416"/>
    <n v="2.0699999999999998"/>
    <n v="26"/>
    <m/>
    <n v="0"/>
    <n v="0"/>
    <n v="0"/>
    <n v="0"/>
    <n v="0"/>
    <n v="0"/>
    <n v="0"/>
    <n v="966"/>
    <n v="1999.62"/>
    <n v="124"/>
    <x v="1"/>
    <s v="OK"/>
  </r>
  <r>
    <s v="IT-10045"/>
    <s v="Anchor bolt 10-45"/>
    <x v="2"/>
    <x v="2"/>
    <x v="0"/>
    <s v="2026-07"/>
    <n v="1.42"/>
    <n v="1.42"/>
    <n v="1.42"/>
    <n v="2.0699999999999998"/>
    <n v="26"/>
    <n v="45"/>
    <n v="1361"/>
    <n v="908"/>
    <n v="1289.3599999999999"/>
    <n v="42"/>
    <n v="866"/>
    <n v="7.4"/>
    <n v="1"/>
    <n v="453"/>
    <n v="937.71"/>
    <n v="0"/>
    <x v="0"/>
    <s v="OK"/>
  </r>
  <r>
    <s v="IT-10045"/>
    <s v="Anchor bolt 10-45"/>
    <x v="2"/>
    <x v="2"/>
    <x v="0"/>
    <s v="2026-08"/>
    <n v="1.44"/>
    <n v="1.44"/>
    <n v="1.430879"/>
    <n v="2.0699999999999998"/>
    <n v="26"/>
    <n v="44"/>
    <n v="1083"/>
    <n v="1706"/>
    <n v="2441.08"/>
    <n v="208"/>
    <n v="1498"/>
    <n v="13.16"/>
    <n v="6"/>
    <n v="285"/>
    <n v="589.95000000000005"/>
    <n v="0"/>
    <x v="0"/>
    <s v="OK"/>
  </r>
  <r>
    <s v="IT-10046"/>
    <s v="Pillow block A-46"/>
    <x v="0"/>
    <x v="0"/>
    <x v="0"/>
    <s v="2024-09"/>
    <n v="6.14"/>
    <n v="6.69"/>
    <n v="6.6447260000000004"/>
    <n v="9.16"/>
    <n v="30"/>
    <n v="36"/>
    <n v="1867"/>
    <n v="3610"/>
    <n v="23987.46"/>
    <n v="221"/>
    <n v="3389"/>
    <n v="15.83"/>
    <n v="0"/>
    <n v="1045"/>
    <n v="9572.2000000000007"/>
    <n v="0"/>
    <x v="0"/>
    <s v="OK"/>
  </r>
  <r>
    <s v="IT-10046"/>
    <s v="Pillow block A-46"/>
    <x v="0"/>
    <x v="0"/>
    <x v="0"/>
    <s v="2024-10"/>
    <n v="6.1"/>
    <n v="6.65"/>
    <n v="6.6464429999999997"/>
    <n v="9.16"/>
    <n v="30"/>
    <n v="29"/>
    <n v="1742"/>
    <n v="3649"/>
    <n v="24252.87"/>
    <n v="147"/>
    <n v="3502"/>
    <n v="13.61"/>
    <n v="1"/>
    <n v="1703"/>
    <n v="15599.48"/>
    <n v="0"/>
    <x v="0"/>
    <s v="OK"/>
  </r>
  <r>
    <s v="IT-10046"/>
    <s v="Pillow block A-46"/>
    <x v="0"/>
    <x v="0"/>
    <x v="0"/>
    <s v="2024-11"/>
    <n v="6"/>
    <n v="6.54"/>
    <n v="6.6176349999999999"/>
    <n v="9.16"/>
    <n v="30"/>
    <n v="29"/>
    <n v="1354"/>
    <n v="4422"/>
    <n v="29263.18"/>
    <n v="295"/>
    <n v="4127"/>
    <n v="17.27"/>
    <n v="0"/>
    <n v="581"/>
    <n v="5321.96"/>
    <n v="0"/>
    <x v="0"/>
    <s v="OK"/>
  </r>
  <r>
    <s v="IT-10046"/>
    <s v="Pillow block A-46"/>
    <x v="0"/>
    <x v="0"/>
    <x v="0"/>
    <s v="2024-12"/>
    <n v="6.08"/>
    <n v="6.63"/>
    <n v="6.6176329999999997"/>
    <n v="9.16"/>
    <n v="30"/>
    <m/>
    <n v="0"/>
    <n v="2484"/>
    <n v="16438.2"/>
    <n v="147"/>
    <n v="2337"/>
    <n v="7.73"/>
    <n v="1"/>
    <n v="1938"/>
    <n v="17752.080000000002"/>
    <n v="0"/>
    <x v="0"/>
    <s v="OK"/>
  </r>
  <r>
    <s v="IT-10046"/>
    <s v="Pillow block A-46"/>
    <x v="0"/>
    <x v="0"/>
    <x v="0"/>
    <s v="2025-01"/>
    <n v="6.15"/>
    <n v="6.7"/>
    <n v="6.6671069999999997"/>
    <n v="9.16"/>
    <n v="30"/>
    <n v="28"/>
    <n v="3736"/>
    <n v="4310"/>
    <n v="28735.23"/>
    <n v="221"/>
    <n v="4089"/>
    <n v="12.79"/>
    <n v="2"/>
    <n v="1910"/>
    <n v="17495.599999999999"/>
    <n v="0"/>
    <x v="0"/>
    <s v="OK"/>
  </r>
  <r>
    <s v="IT-10046"/>
    <s v="Pillow block A-46"/>
    <x v="0"/>
    <x v="0"/>
    <x v="0"/>
    <s v="2025-02"/>
    <n v="6.13"/>
    <n v="6.68"/>
    <n v="6.6671069999999997"/>
    <n v="9.44"/>
    <n v="30"/>
    <m/>
    <n v="0"/>
    <n v="4241"/>
    <n v="28275.200000000001"/>
    <n v="258"/>
    <n v="3983"/>
    <n v="13.92"/>
    <n v="2"/>
    <n v="69"/>
    <n v="651.36"/>
    <n v="0"/>
    <x v="0"/>
    <s v="OK"/>
  </r>
  <r>
    <s v="IT-10046"/>
    <s v="Pillow block A-46"/>
    <x v="0"/>
    <x v="0"/>
    <x v="0"/>
    <s v="2025-03"/>
    <n v="5.96"/>
    <n v="6.5"/>
    <n v="6.616028"/>
    <n v="9.44"/>
    <n v="30"/>
    <n v="29"/>
    <n v="1867"/>
    <n v="5144"/>
    <n v="34032.85"/>
    <n v="258"/>
    <n v="4886"/>
    <n v="22.47"/>
    <n v="0"/>
    <n v="964"/>
    <n v="9100.16"/>
    <n v="0"/>
    <x v="0"/>
    <s v="OK"/>
  </r>
  <r>
    <s v="IT-10046"/>
    <s v="Pillow block A-46"/>
    <x v="0"/>
    <x v="0"/>
    <x v="0"/>
    <s v="2025-04"/>
    <n v="6.29"/>
    <n v="6.86"/>
    <n v="6.616028"/>
    <n v="9.44"/>
    <n v="30"/>
    <m/>
    <n v="0"/>
    <n v="4534"/>
    <n v="29997.07"/>
    <n v="74"/>
    <n v="4460"/>
    <n v="35.090000000000003"/>
    <n v="1"/>
    <n v="610"/>
    <n v="5758.4"/>
    <n v="0"/>
    <x v="0"/>
    <s v="OK"/>
  </r>
  <r>
    <s v="IT-10046"/>
    <s v="Pillow block A-46"/>
    <x v="0"/>
    <x v="0"/>
    <x v="0"/>
    <s v="2025-05"/>
    <n v="6.24"/>
    <n v="6.8"/>
    <n v="6.6426759999999998"/>
    <n v="9.44"/>
    <n v="30"/>
    <n v="26"/>
    <n v="768"/>
    <n v="3972"/>
    <n v="26384.71"/>
    <n v="368"/>
    <n v="3604"/>
    <n v="17.98"/>
    <n v="0"/>
    <n v="1330"/>
    <n v="12555.2"/>
    <n v="0"/>
    <x v="0"/>
    <s v="OK"/>
  </r>
  <r>
    <s v="IT-10046"/>
    <s v="Pillow block A-46"/>
    <x v="0"/>
    <x v="0"/>
    <x v="0"/>
    <s v="2025-06"/>
    <n v="6.29"/>
    <n v="6.86"/>
    <n v="6.6426780000000001"/>
    <n v="9.44"/>
    <n v="30"/>
    <m/>
    <n v="0"/>
    <n v="3014"/>
    <n v="20021.03"/>
    <n v="147"/>
    <n v="2867"/>
    <n v="13.52"/>
    <n v="4"/>
    <n v="958"/>
    <n v="9043.52"/>
    <n v="0"/>
    <x v="0"/>
    <s v="OK"/>
  </r>
  <r>
    <s v="IT-10046"/>
    <s v="Pillow block A-46"/>
    <x v="0"/>
    <x v="0"/>
    <x v="0"/>
    <s v="2025-07"/>
    <n v="6.35"/>
    <n v="6.92"/>
    <n v="6.716234"/>
    <n v="9.44"/>
    <n v="30"/>
    <n v="30"/>
    <n v="1088"/>
    <n v="3582"/>
    <n v="24057.55"/>
    <n v="331"/>
    <n v="3251"/>
    <n v="16.77"/>
    <n v="3"/>
    <n v="520"/>
    <n v="4908.8"/>
    <n v="0"/>
    <x v="0"/>
    <s v="OK"/>
  </r>
  <r>
    <s v="IT-10046"/>
    <s v="Pillow block A-46"/>
    <x v="0"/>
    <x v="0"/>
    <x v="0"/>
    <s v="2025-08"/>
    <n v="6.13"/>
    <n v="6.68"/>
    <n v="6.701956"/>
    <n v="9.44"/>
    <n v="30"/>
    <n v="30"/>
    <n v="2329"/>
    <n v="4442"/>
    <n v="29770.09"/>
    <n v="368"/>
    <n v="4074"/>
    <n v="19.809999999999999"/>
    <n v="0"/>
    <n v="1469"/>
    <n v="13867.36"/>
    <n v="0"/>
    <x v="0"/>
    <s v="OK"/>
  </r>
  <r>
    <s v="IT-10046"/>
    <s v="Pillow block A-46"/>
    <x v="0"/>
    <x v="0"/>
    <x v="0"/>
    <s v="2025-09"/>
    <n v="6.12"/>
    <n v="6.67"/>
    <n v="6.7019570000000002"/>
    <n v="9.44"/>
    <n v="30"/>
    <m/>
    <n v="0"/>
    <n v="3112"/>
    <n v="20856.490000000002"/>
    <n v="258"/>
    <n v="2854"/>
    <n v="12.32"/>
    <n v="0"/>
    <n v="1330"/>
    <n v="12555.2"/>
    <n v="0"/>
    <x v="0"/>
    <s v="OK"/>
  </r>
  <r>
    <s v="IT-10046"/>
    <s v="Pillow block A-46"/>
    <x v="0"/>
    <x v="0"/>
    <x v="0"/>
    <s v="2025-10"/>
    <n v="6.2"/>
    <n v="6.76"/>
    <n v="6.7228709999999996"/>
    <n v="9.44"/>
    <n v="30"/>
    <n v="27"/>
    <n v="1753"/>
    <n v="3633"/>
    <n v="24424.19"/>
    <n v="184"/>
    <n v="3449"/>
    <n v="11.85"/>
    <n v="1"/>
    <n v="1232"/>
    <n v="11630.08"/>
    <n v="0"/>
    <x v="0"/>
    <s v="OK"/>
  </r>
  <r>
    <s v="IT-10046"/>
    <s v="Pillow block A-46"/>
    <x v="0"/>
    <x v="0"/>
    <x v="0"/>
    <s v="2025-11"/>
    <n v="6.35"/>
    <n v="6.92"/>
    <n v="6.7916999999999996"/>
    <n v="9.44"/>
    <n v="30"/>
    <n v="28"/>
    <n v="1949"/>
    <n v="4211"/>
    <n v="28599.85"/>
    <n v="184"/>
    <n v="4027"/>
    <n v="13.92"/>
    <n v="1"/>
    <n v="1371"/>
    <n v="12942.24"/>
    <n v="0"/>
    <x v="0"/>
    <s v="OK"/>
  </r>
  <r>
    <s v="IT-10046"/>
    <s v="Pillow block A-46"/>
    <x v="0"/>
    <x v="0"/>
    <x v="0"/>
    <s v="2025-12"/>
    <n v="6.34"/>
    <n v="6.91"/>
    <n v="6.8178679999999998"/>
    <n v="9.44"/>
    <n v="30"/>
    <n v="26"/>
    <n v="1196"/>
    <n v="4540"/>
    <n v="30953.119999999999"/>
    <n v="258"/>
    <n v="4282"/>
    <n v="17.2"/>
    <n v="0"/>
    <n v="867"/>
    <n v="8184.48"/>
    <n v="0"/>
    <x v="0"/>
    <s v="OK"/>
  </r>
  <r>
    <s v="IT-10046"/>
    <s v="Pillow block A-46"/>
    <x v="0"/>
    <x v="0"/>
    <x v="0"/>
    <s v="2026-01"/>
    <n v="6.15"/>
    <n v="6.7"/>
    <n v="6.8178669999999997"/>
    <n v="9.44"/>
    <n v="30"/>
    <m/>
    <n v="0"/>
    <n v="2953"/>
    <n v="20133.16"/>
    <n v="147"/>
    <n v="2806"/>
    <n v="10.15"/>
    <n v="0"/>
    <n v="1587"/>
    <n v="14981.28"/>
    <n v="0"/>
    <x v="0"/>
    <s v="OK"/>
  </r>
  <r>
    <s v="IT-10046"/>
    <s v="Pillow block A-46"/>
    <x v="0"/>
    <x v="0"/>
    <x v="0"/>
    <s v="2026-02"/>
    <n v="6.3"/>
    <n v="6.87"/>
    <n v="6.8469699999999998"/>
    <n v="9.7200000000000006"/>
    <n v="30"/>
    <n v="27"/>
    <n v="3732"/>
    <n v="5519"/>
    <n v="37788.43"/>
    <n v="221"/>
    <n v="5298"/>
    <n v="19.600000000000001"/>
    <n v="0"/>
    <n v="1166"/>
    <n v="11333.52"/>
    <n v="0"/>
    <x v="0"/>
    <s v="OK"/>
  </r>
  <r>
    <s v="IT-10046"/>
    <s v="Pillow block A-46"/>
    <x v="0"/>
    <x v="0"/>
    <x v="0"/>
    <s v="2026-03"/>
    <n v="6.26"/>
    <n v="6.82"/>
    <n v="6.8469709999999999"/>
    <n v="9.7200000000000006"/>
    <n v="30"/>
    <m/>
    <n v="0"/>
    <n v="3516"/>
    <n v="24073.95"/>
    <n v="331"/>
    <n v="3185"/>
    <n v="9.5"/>
    <n v="0"/>
    <n v="2003"/>
    <n v="19469.16"/>
    <n v="0"/>
    <x v="0"/>
    <s v="OK"/>
  </r>
  <r>
    <s v="IT-10046"/>
    <s v="Pillow block A-46"/>
    <x v="0"/>
    <x v="0"/>
    <x v="0"/>
    <s v="2026-04"/>
    <n v="6.44"/>
    <n v="7.02"/>
    <n v="6.9177179999999998"/>
    <n v="9.7200000000000006"/>
    <n v="30"/>
    <n v="30"/>
    <n v="2432"/>
    <n v="4846"/>
    <n v="33523.26"/>
    <n v="368"/>
    <n v="4478"/>
    <n v="14.43"/>
    <n v="0"/>
    <n v="1102"/>
    <n v="10711.44"/>
    <n v="0"/>
    <x v="0"/>
    <s v="OK"/>
  </r>
  <r>
    <s v="IT-10046"/>
    <s v="Pillow block A-46"/>
    <x v="0"/>
    <x v="0"/>
    <x v="0"/>
    <s v="2026-05"/>
    <n v="6.45"/>
    <n v="7.03"/>
    <n v="6.9195190000000002"/>
    <n v="9.7200000000000006"/>
    <n v="30"/>
    <n v="28"/>
    <n v="79"/>
    <n v="2887"/>
    <n v="19976.650000000001"/>
    <n v="331"/>
    <n v="2556"/>
    <n v="7.38"/>
    <n v="0"/>
    <n v="2038"/>
    <n v="19809.36"/>
    <n v="0"/>
    <x v="0"/>
    <s v="OK"/>
  </r>
  <r>
    <s v="IT-10046"/>
    <s v="Pillow block A-46"/>
    <x v="0"/>
    <x v="0"/>
    <x v="0"/>
    <s v="2026-06"/>
    <n v="6.41"/>
    <n v="6.99"/>
    <n v="6.9411440000000004"/>
    <n v="9.7200000000000006"/>
    <n v="30"/>
    <n v="27"/>
    <n v="1278"/>
    <n v="2534"/>
    <n v="17588.86"/>
    <n v="258"/>
    <n v="2276"/>
    <n v="6.9"/>
    <n v="0"/>
    <n v="1631"/>
    <n v="15853.32"/>
    <n v="0"/>
    <x v="0"/>
    <s v="OK"/>
  </r>
  <r>
    <s v="IT-10046"/>
    <s v="Pillow block A-46"/>
    <x v="0"/>
    <x v="0"/>
    <x v="0"/>
    <s v="2026-07"/>
    <n v="6.45"/>
    <n v="7.03"/>
    <n v="6.9843669999999998"/>
    <n v="9.7200000000000006"/>
    <n v="30"/>
    <n v="26"/>
    <n v="2400"/>
    <n v="3813"/>
    <n v="26631.39"/>
    <n v="147"/>
    <n v="3666"/>
    <n v="10.46"/>
    <n v="1"/>
    <n v="1121"/>
    <n v="10896.12"/>
    <n v="0"/>
    <x v="0"/>
    <s v="OK"/>
  </r>
  <r>
    <s v="IT-10046"/>
    <s v="Pillow block A-46"/>
    <x v="0"/>
    <x v="0"/>
    <x v="0"/>
    <s v="2026-08"/>
    <n v="6.47"/>
    <n v="7.05"/>
    <n v="6.9865620000000002"/>
    <n v="9.7200000000000006"/>
    <n v="30"/>
    <n v="28"/>
    <n v="132"/>
    <n v="2481"/>
    <n v="17333.66"/>
    <n v="258"/>
    <n v="2223"/>
    <n v="7.73"/>
    <n v="1"/>
    <n v="1464"/>
    <n v="14230.08"/>
    <n v="0"/>
    <x v="0"/>
    <s v="OK"/>
  </r>
  <r>
    <s v="IT-10047"/>
    <s v="Sprocket B-47"/>
    <x v="4"/>
    <x v="4"/>
    <x v="0"/>
    <s v="2024-09"/>
    <n v="19.04"/>
    <n v="19.04"/>
    <n v="19.108637999999999"/>
    <n v="25.99"/>
    <n v="36"/>
    <n v="52"/>
    <n v="100"/>
    <n v="257"/>
    <n v="4910.92"/>
    <n v="44"/>
    <n v="213"/>
    <n v="8.98"/>
    <n v="2"/>
    <n v="179"/>
    <n v="4652.21"/>
    <n v="0"/>
    <x v="0"/>
    <s v="OK"/>
  </r>
  <r>
    <s v="IT-10047"/>
    <s v="Sprocket B-47"/>
    <x v="4"/>
    <x v="4"/>
    <x v="0"/>
    <s v="2024-10"/>
    <n v="20.69"/>
    <n v="20.69"/>
    <n v="19.108649"/>
    <n v="25.99"/>
    <n v="36"/>
    <m/>
    <n v="0"/>
    <n v="185"/>
    <n v="3535.1"/>
    <n v="24"/>
    <n v="161"/>
    <n v="6.77"/>
    <n v="0"/>
    <n v="72"/>
    <n v="1871.28"/>
    <n v="0"/>
    <x v="0"/>
    <s v="OK"/>
  </r>
  <r>
    <s v="IT-10047"/>
    <s v="Sprocket B-47"/>
    <x v="4"/>
    <x v="4"/>
    <x v="0"/>
    <s v="2024-11"/>
    <n v="20.2"/>
    <n v="20.2"/>
    <n v="19.491568999999998"/>
    <n v="25.99"/>
    <n v="36"/>
    <n v="50"/>
    <n v="100"/>
    <n v="153"/>
    <n v="2982.21"/>
    <n v="34"/>
    <n v="119"/>
    <n v="5.19"/>
    <n v="1"/>
    <n v="132"/>
    <n v="3430.68"/>
    <n v="0"/>
    <x v="0"/>
    <s v="OK"/>
  </r>
  <r>
    <s v="IT-10047"/>
    <s v="Sprocket B-47"/>
    <x v="4"/>
    <x v="4"/>
    <x v="0"/>
    <s v="2024-12"/>
    <n v="20.43"/>
    <n v="20.43"/>
    <n v="19.907857"/>
    <n v="25.99"/>
    <n v="36"/>
    <n v="33"/>
    <n v="122"/>
    <n v="98"/>
    <n v="1950.97"/>
    <n v="19"/>
    <n v="79"/>
    <n v="3.38"/>
    <n v="2"/>
    <n v="177"/>
    <n v="4600.2299999999996"/>
    <n v="0"/>
    <x v="0"/>
    <s v="OK"/>
  </r>
  <r>
    <s v="IT-10047"/>
    <s v="Sprocket B-47"/>
    <x v="4"/>
    <x v="4"/>
    <x v="0"/>
    <s v="2025-01"/>
    <n v="20.239999999999998"/>
    <n v="20.239999999999998"/>
    <n v="20.163405000000001"/>
    <n v="25.99"/>
    <n v="36"/>
    <n v="57"/>
    <n v="327"/>
    <n v="232"/>
    <n v="4677.91"/>
    <n v="34"/>
    <n v="198"/>
    <n v="6.07"/>
    <n v="1"/>
    <n v="193"/>
    <n v="5016.07"/>
    <n v="0"/>
    <x v="0"/>
    <s v="OK"/>
  </r>
  <r>
    <s v="IT-10047"/>
    <s v="Sprocket B-47"/>
    <x v="4"/>
    <x v="4"/>
    <x v="0"/>
    <s v="2025-02"/>
    <n v="20.27"/>
    <n v="20.27"/>
    <n v="20.201495000000001"/>
    <n v="26.67"/>
    <n v="36"/>
    <n v="45"/>
    <n v="129"/>
    <n v="321"/>
    <n v="6484.68"/>
    <n v="15"/>
    <n v="306"/>
    <n v="10.07"/>
    <n v="0"/>
    <n v="40"/>
    <n v="1066.8"/>
    <n v="0"/>
    <x v="0"/>
    <s v="OK"/>
  </r>
  <r>
    <s v="IT-10047"/>
    <s v="Sprocket B-47"/>
    <x v="4"/>
    <x v="4"/>
    <x v="0"/>
    <s v="2025-03"/>
    <n v="20.010000000000002"/>
    <n v="20.010000000000002"/>
    <n v="20.156020000000002"/>
    <n v="26.67"/>
    <n v="36"/>
    <n v="35"/>
    <n v="100"/>
    <n v="304"/>
    <n v="6127.43"/>
    <n v="44"/>
    <n v="260"/>
    <n v="11.17"/>
    <n v="2"/>
    <n v="117"/>
    <n v="3120.39"/>
    <n v="0"/>
    <x v="0"/>
    <s v="OK"/>
  </r>
  <r>
    <s v="IT-10047"/>
    <s v="Sprocket B-47"/>
    <x v="4"/>
    <x v="4"/>
    <x v="0"/>
    <s v="2025-04"/>
    <n v="19.940000000000001"/>
    <n v="19.940000000000001"/>
    <n v="20.10257"/>
    <n v="26.67"/>
    <n v="36"/>
    <n v="55"/>
    <n v="100"/>
    <n v="214"/>
    <n v="4301.95"/>
    <n v="19"/>
    <n v="195"/>
    <n v="7.84"/>
    <n v="0"/>
    <n v="190"/>
    <n v="5067.3"/>
    <n v="0"/>
    <x v="0"/>
    <s v="OK"/>
  </r>
  <r>
    <s v="IT-10047"/>
    <s v="Sprocket B-47"/>
    <x v="4"/>
    <x v="4"/>
    <x v="0"/>
    <s v="2025-05"/>
    <n v="20.69"/>
    <n v="20.69"/>
    <n v="20.102523000000001"/>
    <n v="26.67"/>
    <n v="36"/>
    <m/>
    <n v="0"/>
    <n v="107"/>
    <n v="2150.9699999999998"/>
    <n v="24"/>
    <n v="83"/>
    <n v="3.4"/>
    <n v="0"/>
    <n v="107"/>
    <n v="2853.69"/>
    <n v="0"/>
    <x v="0"/>
    <s v="OK"/>
  </r>
  <r>
    <s v="IT-10047"/>
    <s v="Sprocket B-47"/>
    <x v="4"/>
    <x v="4"/>
    <x v="0"/>
    <s v="2025-06"/>
    <n v="20.37"/>
    <n v="20.37"/>
    <n v="20.286788000000001"/>
    <n v="26.67"/>
    <n v="36"/>
    <n v="55"/>
    <n v="237"/>
    <n v="165"/>
    <n v="3347.32"/>
    <n v="15"/>
    <n v="150"/>
    <n v="4.51"/>
    <n v="3"/>
    <n v="179"/>
    <n v="4773.93"/>
    <n v="0"/>
    <x v="0"/>
    <s v="OK"/>
  </r>
  <r>
    <s v="IT-10047"/>
    <s v="Sprocket B-47"/>
    <x v="4"/>
    <x v="4"/>
    <x v="0"/>
    <s v="2025-07"/>
    <n v="19.98"/>
    <n v="19.98"/>
    <n v="20.286788000000001"/>
    <n v="26.67"/>
    <n v="36"/>
    <m/>
    <n v="0"/>
    <n v="0"/>
    <n v="0"/>
    <n v="0"/>
    <n v="0"/>
    <n v="0"/>
    <n v="0"/>
    <n v="165"/>
    <n v="4400.55"/>
    <n v="63"/>
    <x v="1"/>
    <s v="OK"/>
  </r>
  <r>
    <s v="IT-10047"/>
    <s v="Sprocket B-47"/>
    <x v="4"/>
    <x v="4"/>
    <x v="0"/>
    <s v="2025-08"/>
    <n v="20.43"/>
    <n v="20.43"/>
    <n v="20.286788000000001"/>
    <n v="26.67"/>
    <n v="36"/>
    <m/>
    <n v="0"/>
    <n v="0"/>
    <n v="0"/>
    <n v="0"/>
    <n v="0"/>
    <n v="0"/>
    <n v="31"/>
    <n v="0"/>
    <n v="0"/>
    <n v="89"/>
    <x v="1"/>
    <s v="OK"/>
  </r>
  <r>
    <s v="IT-10047"/>
    <s v="Sprocket B-47"/>
    <x v="4"/>
    <x v="4"/>
    <x v="0"/>
    <s v="2025-09"/>
    <n v="20.309999999999999"/>
    <n v="20.309999999999999"/>
    <n v="20.309999999999999"/>
    <n v="26.67"/>
    <n v="36"/>
    <n v="36"/>
    <n v="326"/>
    <n v="217"/>
    <n v="4407.2700000000004"/>
    <n v="19"/>
    <n v="198"/>
    <n v="10.41"/>
    <n v="3"/>
    <n v="109"/>
    <n v="2907.03"/>
    <n v="0"/>
    <x v="0"/>
    <s v="OK"/>
  </r>
  <r>
    <s v="IT-10047"/>
    <s v="Sprocket B-47"/>
    <x v="4"/>
    <x v="4"/>
    <x v="0"/>
    <s v="2025-10"/>
    <n v="21.34"/>
    <n v="21.34"/>
    <n v="20.801411999999999"/>
    <n v="26.67"/>
    <n v="36"/>
    <n v="33"/>
    <n v="198"/>
    <n v="255"/>
    <n v="5304.36"/>
    <n v="24"/>
    <n v="231"/>
    <n v="12.46"/>
    <n v="1"/>
    <n v="160"/>
    <n v="4267.2"/>
    <n v="0"/>
    <x v="0"/>
    <s v="OK"/>
  </r>
  <r>
    <s v="IT-10047"/>
    <s v="Sprocket B-47"/>
    <x v="4"/>
    <x v="4"/>
    <x v="0"/>
    <s v="2025-11"/>
    <n v="21.82"/>
    <n v="21.82"/>
    <n v="21.181818"/>
    <n v="26.67"/>
    <n v="36"/>
    <n v="32"/>
    <n v="152"/>
    <n v="407"/>
    <n v="8621"/>
    <n v="44"/>
    <n v="363"/>
    <n v="19.670000000000002"/>
    <n v="31"/>
    <n v="0"/>
    <n v="0"/>
    <n v="0"/>
    <x v="0"/>
    <s v="OK"/>
  </r>
  <r>
    <s v="IT-10047"/>
    <s v="Sprocket B-47"/>
    <x v="4"/>
    <x v="4"/>
    <x v="0"/>
    <s v="2025-12"/>
    <n v="21.55"/>
    <n v="21.55"/>
    <n v="21.181826000000001"/>
    <n v="26.67"/>
    <n v="36"/>
    <m/>
    <n v="0"/>
    <n v="219"/>
    <n v="4638.82"/>
    <n v="19"/>
    <n v="200"/>
    <n v="8.27"/>
    <n v="1"/>
    <n v="188"/>
    <n v="5013.96"/>
    <n v="0"/>
    <x v="0"/>
    <s v="OK"/>
  </r>
  <r>
    <s v="IT-10047"/>
    <s v="Sprocket B-47"/>
    <x v="4"/>
    <x v="4"/>
    <x v="0"/>
    <s v="2026-01"/>
    <n v="21.41"/>
    <n v="21.41"/>
    <n v="21.253360000000001"/>
    <n v="26.67"/>
    <n v="36"/>
    <n v="54"/>
    <n v="100"/>
    <n v="253"/>
    <n v="5377.1"/>
    <n v="15"/>
    <n v="238"/>
    <n v="13.09"/>
    <n v="3"/>
    <n v="66"/>
    <n v="1760.22"/>
    <n v="0"/>
    <x v="0"/>
    <s v="OK"/>
  </r>
  <r>
    <s v="IT-10047"/>
    <s v="Sprocket B-47"/>
    <x v="4"/>
    <x v="4"/>
    <x v="0"/>
    <s v="2026-02"/>
    <n v="21.44"/>
    <n v="21.44"/>
    <n v="21.334354999999999"/>
    <n v="27.36"/>
    <n v="36"/>
    <n v="36"/>
    <n v="194"/>
    <n v="248"/>
    <n v="5290.92"/>
    <n v="44"/>
    <n v="204"/>
    <n v="7.04"/>
    <n v="2"/>
    <n v="199"/>
    <n v="5444.64"/>
    <n v="0"/>
    <x v="0"/>
    <s v="OK"/>
  </r>
  <r>
    <s v="IT-10047"/>
    <s v="Sprocket B-47"/>
    <x v="4"/>
    <x v="4"/>
    <x v="0"/>
    <s v="2026-03"/>
    <n v="21.26"/>
    <n v="21.26"/>
    <n v="21.334367"/>
    <n v="27.36"/>
    <n v="36"/>
    <m/>
    <n v="0"/>
    <n v="158"/>
    <n v="3370.83"/>
    <n v="19"/>
    <n v="139"/>
    <n v="5.72"/>
    <n v="0"/>
    <n v="90"/>
    <n v="2462.4"/>
    <n v="0"/>
    <x v="0"/>
    <s v="OK"/>
  </r>
  <r>
    <s v="IT-10047"/>
    <s v="Sprocket B-47"/>
    <x v="4"/>
    <x v="4"/>
    <x v="0"/>
    <s v="2026-04"/>
    <n v="21.44"/>
    <n v="21.44"/>
    <n v="21.393789000000002"/>
    <n v="27.36"/>
    <n v="36"/>
    <n v="33"/>
    <n v="203"/>
    <n v="190"/>
    <n v="4064.82"/>
    <n v="15"/>
    <n v="175"/>
    <n v="5.25"/>
    <n v="0"/>
    <n v="171"/>
    <n v="4678.5600000000004"/>
    <n v="0"/>
    <x v="0"/>
    <s v="OK"/>
  </r>
  <r>
    <s v="IT-10047"/>
    <s v="Sprocket B-47"/>
    <x v="4"/>
    <x v="4"/>
    <x v="0"/>
    <s v="2026-05"/>
    <n v="21.6"/>
    <n v="21.6"/>
    <n v="21.464887000000001"/>
    <n v="27.36"/>
    <n v="36"/>
    <n v="31"/>
    <n v="100"/>
    <n v="221"/>
    <n v="4743.74"/>
    <n v="29"/>
    <n v="192"/>
    <n v="8.8000000000000007"/>
    <n v="2"/>
    <n v="69"/>
    <n v="1887.84"/>
    <n v="0"/>
    <x v="0"/>
    <s v="OK"/>
  </r>
  <r>
    <s v="IT-10047"/>
    <s v="Sprocket B-47"/>
    <x v="4"/>
    <x v="4"/>
    <x v="0"/>
    <s v="2026-06"/>
    <n v="21.1"/>
    <n v="21.1"/>
    <n v="21.339299"/>
    <n v="27.36"/>
    <n v="36"/>
    <n v="32"/>
    <n v="116"/>
    <n v="271"/>
    <n v="5782.95"/>
    <n v="34"/>
    <n v="237"/>
    <n v="11.51"/>
    <n v="8"/>
    <n v="66"/>
    <n v="1805.76"/>
    <n v="0"/>
    <x v="0"/>
    <s v="OK"/>
  </r>
  <r>
    <s v="IT-10047"/>
    <s v="Sprocket B-47"/>
    <x v="4"/>
    <x v="4"/>
    <x v="0"/>
    <s v="2026-07"/>
    <n v="21.65"/>
    <n v="21.65"/>
    <n v="21.454629000000001"/>
    <n v="27.36"/>
    <n v="36"/>
    <n v="35"/>
    <n v="160"/>
    <n v="283"/>
    <n v="6071.66"/>
    <n v="44"/>
    <n v="239"/>
    <n v="13.14"/>
    <n v="1"/>
    <n v="148"/>
    <n v="4049.28"/>
    <n v="0"/>
    <x v="0"/>
    <s v="OK"/>
  </r>
  <r>
    <s v="IT-10047"/>
    <s v="Sprocket B-47"/>
    <x v="4"/>
    <x v="4"/>
    <x v="0"/>
    <s v="2026-08"/>
    <n v="21.53"/>
    <n v="21.53"/>
    <n v="21.474305000000001"/>
    <n v="27.36"/>
    <n v="36"/>
    <n v="55"/>
    <n v="100"/>
    <n v="295"/>
    <n v="6334.92"/>
    <n v="19"/>
    <n v="276"/>
    <n v="12.84"/>
    <n v="0"/>
    <n v="88"/>
    <n v="2407.6799999999998"/>
    <n v="0"/>
    <x v="0"/>
    <s v="OK"/>
  </r>
  <r>
    <s v="IT-10048"/>
    <s v="Gear set 20-48"/>
    <x v="4"/>
    <x v="4"/>
    <x v="1"/>
    <s v="2024-09"/>
    <n v="16.79"/>
    <n v="17.84"/>
    <n v="18.014289999999999"/>
    <n v="25.79"/>
    <n v="16"/>
    <n v="14"/>
    <n v="507"/>
    <n v="725"/>
    <n v="13060.36"/>
    <n v="89"/>
    <n v="636"/>
    <n v="12.22"/>
    <n v="1"/>
    <n v="232"/>
    <n v="5983.28"/>
    <n v="0"/>
    <x v="0"/>
    <s v="OK"/>
  </r>
  <r>
    <s v="IT-10048"/>
    <s v="Gear set 20-48"/>
    <x v="4"/>
    <x v="4"/>
    <x v="1"/>
    <s v="2024-10"/>
    <n v="17.579999999999998"/>
    <n v="18.68"/>
    <n v="18.014292000000001"/>
    <n v="25.79"/>
    <n v="16"/>
    <m/>
    <n v="0"/>
    <n v="643"/>
    <n v="11583.19"/>
    <n v="89"/>
    <n v="554"/>
    <n v="15.14"/>
    <n v="0"/>
    <n v="82"/>
    <n v="2114.7800000000002"/>
    <n v="0"/>
    <x v="0"/>
    <s v="OK"/>
  </r>
  <r>
    <s v="IT-10048"/>
    <s v="Gear set 20-48"/>
    <x v="4"/>
    <x v="4"/>
    <x v="1"/>
    <s v="2024-11"/>
    <n v="17.690000000000001"/>
    <n v="18.8"/>
    <n v="18.181632"/>
    <n v="25.79"/>
    <n v="16"/>
    <n v="15"/>
    <n v="174"/>
    <n v="527"/>
    <n v="9581.7199999999993"/>
    <n v="53"/>
    <n v="474"/>
    <n v="11.34"/>
    <n v="0"/>
    <n v="290"/>
    <n v="7479.1"/>
    <n v="0"/>
    <x v="0"/>
    <s v="OK"/>
  </r>
  <r>
    <s v="IT-10048"/>
    <s v="Gear set 20-48"/>
    <x v="4"/>
    <x v="4"/>
    <x v="1"/>
    <s v="2024-12"/>
    <n v="17.670000000000002"/>
    <n v="18.78"/>
    <n v="18.200339"/>
    <n v="25.79"/>
    <n v="16"/>
    <n v="16"/>
    <n v="17"/>
    <n v="443"/>
    <n v="8062.75"/>
    <n v="44"/>
    <n v="399"/>
    <n v="12.31"/>
    <n v="5"/>
    <n v="101"/>
    <n v="2604.79"/>
    <n v="0"/>
    <x v="0"/>
    <s v="OK"/>
  </r>
  <r>
    <s v="IT-10048"/>
    <s v="Gear set 20-48"/>
    <x v="4"/>
    <x v="4"/>
    <x v="1"/>
    <s v="2025-01"/>
    <n v="17.62"/>
    <n v="18.72"/>
    <n v="18.378443999999998"/>
    <n v="25.79"/>
    <n v="16"/>
    <n v="14"/>
    <n v="231"/>
    <n v="405"/>
    <n v="7443.27"/>
    <n v="53"/>
    <n v="352"/>
    <n v="8.06"/>
    <n v="1"/>
    <n v="269"/>
    <n v="6937.51"/>
    <n v="0"/>
    <x v="0"/>
    <s v="OK"/>
  </r>
  <r>
    <s v="IT-10048"/>
    <s v="Gear set 20-48"/>
    <x v="4"/>
    <x v="4"/>
    <x v="1"/>
    <s v="2025-02"/>
    <n v="18.239999999999998"/>
    <n v="19.38"/>
    <n v="18.733053999999999"/>
    <n v="26.45"/>
    <n v="16"/>
    <n v="14"/>
    <n v="222"/>
    <n v="298"/>
    <n v="5582.45"/>
    <n v="62"/>
    <n v="236"/>
    <n v="5.48"/>
    <n v="0"/>
    <n v="329"/>
    <n v="8702.0499999999993"/>
    <n v="0"/>
    <x v="0"/>
    <s v="OK"/>
  </r>
  <r>
    <s v="IT-10048"/>
    <s v="Gear set 20-48"/>
    <x v="4"/>
    <x v="4"/>
    <x v="1"/>
    <s v="2025-03"/>
    <n v="18.25"/>
    <n v="19.39"/>
    <n v="19.115038999999999"/>
    <n v="26.45"/>
    <n v="16"/>
    <n v="15"/>
    <n v="414"/>
    <n v="510"/>
    <n v="9748.67"/>
    <n v="53"/>
    <n v="457"/>
    <n v="8.1999999999999993"/>
    <n v="0"/>
    <n v="202"/>
    <n v="5342.9"/>
    <n v="0"/>
    <x v="0"/>
    <s v="OK"/>
  </r>
  <r>
    <s v="IT-10048"/>
    <s v="Gear set 20-48"/>
    <x v="4"/>
    <x v="4"/>
    <x v="1"/>
    <s v="2025-04"/>
    <n v="17.670000000000002"/>
    <n v="18.78"/>
    <n v="18.974384000000001"/>
    <n v="26.45"/>
    <n v="16"/>
    <n v="20"/>
    <n v="369"/>
    <n v="666"/>
    <n v="12636.94"/>
    <n v="27"/>
    <n v="639"/>
    <n v="11.38"/>
    <n v="3"/>
    <n v="213"/>
    <n v="5633.85"/>
    <n v="0"/>
    <x v="0"/>
    <s v="OK"/>
  </r>
  <r>
    <s v="IT-10048"/>
    <s v="Gear set 20-48"/>
    <x v="4"/>
    <x v="4"/>
    <x v="1"/>
    <s v="2025-05"/>
    <n v="18.07"/>
    <n v="19.2"/>
    <n v="18.974374999999998"/>
    <n v="26.45"/>
    <n v="16"/>
    <m/>
    <n v="0"/>
    <n v="480"/>
    <n v="9107.7000000000007"/>
    <n v="18"/>
    <n v="462"/>
    <n v="10.5"/>
    <n v="0"/>
    <n v="186"/>
    <n v="4919.7"/>
    <n v="0"/>
    <x v="0"/>
    <s v="OK"/>
  </r>
  <r>
    <s v="IT-10048"/>
    <s v="Gear set 20-48"/>
    <x v="4"/>
    <x v="4"/>
    <x v="1"/>
    <s v="2025-06"/>
    <n v="18.22"/>
    <n v="19.36"/>
    <n v="19.074788000000002"/>
    <n v="26.45"/>
    <n v="16"/>
    <n v="15"/>
    <n v="169"/>
    <n v="589"/>
    <n v="11235.05"/>
    <n v="36"/>
    <n v="553"/>
    <n v="16.68"/>
    <n v="1"/>
    <n v="60"/>
    <n v="1587"/>
    <n v="0"/>
    <x v="0"/>
    <s v="OK"/>
  </r>
  <r>
    <s v="IT-10048"/>
    <s v="Gear set 20-48"/>
    <x v="4"/>
    <x v="4"/>
    <x v="1"/>
    <s v="2025-07"/>
    <n v="17.829999999999998"/>
    <n v="18.95"/>
    <n v="19.069154999999999"/>
    <n v="26.45"/>
    <n v="16"/>
    <n v="26"/>
    <n v="28"/>
    <n v="71"/>
    <n v="1353.91"/>
    <n v="18"/>
    <n v="53"/>
    <n v="1.18"/>
    <n v="2"/>
    <n v="546"/>
    <n v="14441.7"/>
    <n v="0"/>
    <x v="0"/>
    <s v="OK"/>
  </r>
  <r>
    <s v="IT-10048"/>
    <s v="Gear set 20-48"/>
    <x v="4"/>
    <x v="4"/>
    <x v="1"/>
    <s v="2025-08"/>
    <n v="17.78"/>
    <n v="18.89"/>
    <n v="18.911735"/>
    <n v="26.45"/>
    <n v="16"/>
    <n v="14"/>
    <n v="514"/>
    <n v="415"/>
    <n v="7848.37"/>
    <n v="62"/>
    <n v="353"/>
    <n v="7.03"/>
    <n v="1"/>
    <n v="170"/>
    <n v="4496.5"/>
    <n v="0"/>
    <x v="0"/>
    <s v="OK"/>
  </r>
  <r>
    <s v="IT-10048"/>
    <s v="Gear set 20-48"/>
    <x v="4"/>
    <x v="4"/>
    <x v="1"/>
    <s v="2025-09"/>
    <n v="17.829999999999998"/>
    <n v="18.95"/>
    <n v="18.933104"/>
    <n v="26.45"/>
    <n v="16"/>
    <n v="14"/>
    <n v="525"/>
    <n v="596"/>
    <n v="11284.13"/>
    <n v="80"/>
    <n v="516"/>
    <n v="7.39"/>
    <n v="0"/>
    <n v="344"/>
    <n v="9098.7999999999993"/>
    <n v="0"/>
    <x v="0"/>
    <s v="OK"/>
  </r>
  <r>
    <s v="IT-10048"/>
    <s v="Gear set 20-48"/>
    <x v="4"/>
    <x v="4"/>
    <x v="1"/>
    <s v="2025-10"/>
    <n v="18.809999999999999"/>
    <n v="19.989999999999998"/>
    <n v="19.276624000000002"/>
    <n v="26.45"/>
    <n v="16"/>
    <n v="14"/>
    <n v="287"/>
    <n v="859"/>
    <n v="16558.62"/>
    <n v="89"/>
    <n v="770"/>
    <n v="20.98"/>
    <n v="11"/>
    <n v="24"/>
    <n v="634.79999999999995"/>
    <n v="0"/>
    <x v="0"/>
    <s v="OK"/>
  </r>
  <r>
    <s v="IT-10048"/>
    <s v="Gear set 20-48"/>
    <x v="4"/>
    <x v="4"/>
    <x v="1"/>
    <s v="2025-11"/>
    <n v="18.920000000000002"/>
    <n v="20.100000000000001"/>
    <n v="19.276622"/>
    <n v="26.45"/>
    <n v="16"/>
    <m/>
    <n v="0"/>
    <n v="592"/>
    <n v="11411.76"/>
    <n v="89"/>
    <n v="503"/>
    <n v="12.12"/>
    <n v="1"/>
    <n v="267"/>
    <n v="7062.15"/>
    <n v="0"/>
    <x v="0"/>
    <s v="OK"/>
  </r>
  <r>
    <s v="IT-10048"/>
    <s v="Gear set 20-48"/>
    <x v="4"/>
    <x v="4"/>
    <x v="1"/>
    <s v="2025-12"/>
    <n v="18.63"/>
    <n v="19.8"/>
    <n v="19.474195999999999"/>
    <n v="26.45"/>
    <n v="16"/>
    <n v="14"/>
    <n v="359"/>
    <n v="765"/>
    <n v="14897.76"/>
    <n v="62"/>
    <n v="703"/>
    <n v="21.08"/>
    <n v="4"/>
    <n v="186"/>
    <n v="4919.7"/>
    <n v="0"/>
    <x v="0"/>
    <s v="OK"/>
  </r>
  <r>
    <s v="IT-10048"/>
    <s v="Gear set 20-48"/>
    <x v="4"/>
    <x v="4"/>
    <x v="1"/>
    <s v="2026-01"/>
    <n v="19.16"/>
    <n v="20.36"/>
    <n v="19.533611000000001"/>
    <n v="26.45"/>
    <n v="16"/>
    <n v="23"/>
    <n v="55"/>
    <n v="540"/>
    <n v="10548.15"/>
    <n v="36"/>
    <n v="504"/>
    <n v="9.68"/>
    <n v="0"/>
    <n v="280"/>
    <n v="7406"/>
    <n v="0"/>
    <x v="0"/>
    <s v="OK"/>
  </r>
  <r>
    <s v="IT-10048"/>
    <s v="Gear set 20-48"/>
    <x v="4"/>
    <x v="4"/>
    <x v="1"/>
    <s v="2026-02"/>
    <n v="18.63"/>
    <n v="19.8"/>
    <n v="19.609729000000002"/>
    <n v="27.12"/>
    <n v="16"/>
    <n v="28"/>
    <n v="216"/>
    <n v="479"/>
    <n v="9393.06"/>
    <n v="18"/>
    <n v="461"/>
    <n v="8.2899999999999991"/>
    <n v="2"/>
    <n v="277"/>
    <n v="7512.24"/>
    <n v="0"/>
    <x v="0"/>
    <s v="OK"/>
  </r>
  <r>
    <s v="IT-10048"/>
    <s v="Gear set 20-48"/>
    <x v="4"/>
    <x v="4"/>
    <x v="1"/>
    <s v="2026-03"/>
    <n v="19.28"/>
    <n v="20.49"/>
    <n v="19.920973"/>
    <n v="27.12"/>
    <n v="16"/>
    <n v="15"/>
    <n v="262"/>
    <n v="678"/>
    <n v="13506.42"/>
    <n v="53"/>
    <n v="625"/>
    <n v="14.06"/>
    <n v="2"/>
    <n v="63"/>
    <n v="1708.56"/>
    <n v="0"/>
    <x v="0"/>
    <s v="OK"/>
  </r>
  <r>
    <s v="IT-10048"/>
    <s v="Gear set 20-48"/>
    <x v="4"/>
    <x v="4"/>
    <x v="1"/>
    <s v="2026-04"/>
    <n v="19.2"/>
    <n v="20.399999999999999"/>
    <n v="19.999032"/>
    <n v="27.12"/>
    <n v="16"/>
    <n v="14"/>
    <n v="132"/>
    <n v="630"/>
    <n v="12599.39"/>
    <n v="27"/>
    <n v="603"/>
    <n v="15.4"/>
    <n v="7"/>
    <n v="180"/>
    <n v="4881.6000000000004"/>
    <n v="0"/>
    <x v="0"/>
    <s v="OK"/>
  </r>
  <r>
    <s v="IT-10048"/>
    <s v="Gear set 20-48"/>
    <x v="4"/>
    <x v="4"/>
    <x v="1"/>
    <s v="2026-05"/>
    <n v="19.059999999999999"/>
    <n v="20.25"/>
    <n v="19.999034999999999"/>
    <n v="27.12"/>
    <n v="16"/>
    <m/>
    <n v="0"/>
    <n v="342"/>
    <n v="6839.67"/>
    <n v="71"/>
    <n v="271"/>
    <n v="8.4600000000000009"/>
    <n v="0"/>
    <n v="288"/>
    <n v="7810.56"/>
    <n v="0"/>
    <x v="0"/>
    <s v="OK"/>
  </r>
  <r>
    <s v="IT-10048"/>
    <s v="Gear set 20-48"/>
    <x v="4"/>
    <x v="4"/>
    <x v="1"/>
    <s v="2026-06"/>
    <n v="19.16"/>
    <n v="20.36"/>
    <n v="20.154256"/>
    <n v="27.12"/>
    <n v="16"/>
    <n v="23"/>
    <n v="258"/>
    <n v="336"/>
    <n v="6771.83"/>
    <n v="27"/>
    <n v="309"/>
    <n v="5.97"/>
    <n v="5"/>
    <n v="264"/>
    <n v="7159.68"/>
    <n v="0"/>
    <x v="0"/>
    <s v="OK"/>
  </r>
  <r>
    <s v="IT-10048"/>
    <s v="Gear set 20-48"/>
    <x v="4"/>
    <x v="4"/>
    <x v="1"/>
    <s v="2026-07"/>
    <n v="19.18"/>
    <n v="20.38"/>
    <n v="20.227682999999999"/>
    <n v="27.12"/>
    <n v="16"/>
    <n v="19"/>
    <n v="162"/>
    <n v="423"/>
    <n v="8556.31"/>
    <n v="62"/>
    <n v="361"/>
    <n v="8.8699999999999992"/>
    <n v="1"/>
    <n v="75"/>
    <n v="2034"/>
    <n v="0"/>
    <x v="0"/>
    <s v="OK"/>
  </r>
  <r>
    <s v="IT-10048"/>
    <s v="Gear set 20-48"/>
    <x v="4"/>
    <x v="4"/>
    <x v="1"/>
    <s v="2026-08"/>
    <n v="19.09"/>
    <n v="20.28"/>
    <n v="20.247204"/>
    <n v="27.12"/>
    <n v="16"/>
    <n v="14"/>
    <n v="252"/>
    <n v="329"/>
    <n v="6661.33"/>
    <n v="89"/>
    <n v="240"/>
    <n v="6.31"/>
    <n v="0"/>
    <n v="346"/>
    <n v="9383.52"/>
    <n v="0"/>
    <x v="0"/>
    <s v="OK"/>
  </r>
  <r>
    <s v="IT-10049"/>
    <s v="Relay L-49"/>
    <x v="3"/>
    <x v="3"/>
    <x v="0"/>
    <s v="2024-09"/>
    <n v="3.74"/>
    <n v="3.74"/>
    <n v="3.672552"/>
    <n v="5.15"/>
    <n v="32"/>
    <m/>
    <n v="0"/>
    <n v="529"/>
    <n v="1942.78"/>
    <n v="29"/>
    <n v="500"/>
    <n v="8.73"/>
    <n v="1"/>
    <n v="245"/>
    <n v="1261.75"/>
    <n v="0"/>
    <x v="0"/>
    <s v="OK"/>
  </r>
  <r>
    <s v="IT-10049"/>
    <s v="Relay L-49"/>
    <x v="3"/>
    <x v="3"/>
    <x v="0"/>
    <s v="2024-10"/>
    <n v="3.63"/>
    <n v="3.63"/>
    <n v="3.6594540000000002"/>
    <n v="5.15"/>
    <n v="32"/>
    <n v="31"/>
    <n v="235"/>
    <n v="421"/>
    <n v="1540.63"/>
    <n v="39"/>
    <n v="382"/>
    <n v="5.57"/>
    <n v="9"/>
    <n v="343"/>
    <n v="1766.45"/>
    <n v="0"/>
    <x v="0"/>
    <s v="OK"/>
  </r>
  <r>
    <s v="IT-10049"/>
    <s v="Relay L-49"/>
    <x v="3"/>
    <x v="3"/>
    <x v="0"/>
    <s v="2024-11"/>
    <n v="3.71"/>
    <n v="3.71"/>
    <n v="3.6594120000000001"/>
    <n v="5.15"/>
    <n v="32"/>
    <m/>
    <n v="0"/>
    <n v="85"/>
    <n v="311.05"/>
    <n v="48"/>
    <n v="37"/>
    <n v="1.2"/>
    <n v="0"/>
    <n v="336"/>
    <n v="1730.4"/>
    <n v="0"/>
    <x v="0"/>
    <s v="OK"/>
  </r>
  <r>
    <s v="IT-10049"/>
    <s v="Relay L-49"/>
    <x v="3"/>
    <x v="3"/>
    <x v="0"/>
    <s v="2024-12"/>
    <n v="3.63"/>
    <n v="3.63"/>
    <n v="3.631939"/>
    <n v="5.15"/>
    <n v="32"/>
    <n v="40"/>
    <n v="1206"/>
    <n v="949"/>
    <n v="3446.71"/>
    <n v="68"/>
    <n v="881"/>
    <n v="12.22"/>
    <n v="3"/>
    <n v="342"/>
    <n v="1761.3"/>
    <n v="0"/>
    <x v="0"/>
    <s v="OK"/>
  </r>
  <r>
    <s v="IT-10049"/>
    <s v="Relay L-49"/>
    <x v="3"/>
    <x v="3"/>
    <x v="0"/>
    <s v="2025-01"/>
    <n v="3.73"/>
    <n v="3.73"/>
    <n v="3.6346500000000002"/>
    <n v="5.15"/>
    <n v="32"/>
    <n v="31"/>
    <n v="27"/>
    <n v="585"/>
    <n v="2126.27"/>
    <n v="97"/>
    <n v="488"/>
    <n v="7.19"/>
    <n v="0"/>
    <n v="391"/>
    <n v="2013.65"/>
    <n v="0"/>
    <x v="0"/>
    <s v="OK"/>
  </r>
  <r>
    <s v="IT-10049"/>
    <s v="Relay L-49"/>
    <x v="3"/>
    <x v="3"/>
    <x v="0"/>
    <s v="2025-02"/>
    <n v="3.69"/>
    <n v="3.69"/>
    <n v="3.634649"/>
    <n v="5.38"/>
    <n v="32"/>
    <m/>
    <n v="0"/>
    <n v="185"/>
    <n v="672.41"/>
    <n v="68"/>
    <n v="117"/>
    <n v="2.1"/>
    <n v="0"/>
    <n v="400"/>
    <n v="2152"/>
    <n v="0"/>
    <x v="0"/>
    <s v="OK"/>
  </r>
  <r>
    <s v="IT-10049"/>
    <s v="Relay L-49"/>
    <x v="3"/>
    <x v="3"/>
    <x v="0"/>
    <s v="2025-03"/>
    <n v="3.86"/>
    <n v="3.86"/>
    <n v="3.774041"/>
    <n v="5.38"/>
    <n v="32"/>
    <n v="47"/>
    <n v="300"/>
    <n v="0"/>
    <n v="0"/>
    <n v="0"/>
    <n v="0"/>
    <n v="0"/>
    <n v="1"/>
    <n v="485"/>
    <n v="2609.3000000000002"/>
    <n v="16"/>
    <x v="1"/>
    <s v="OK"/>
  </r>
  <r>
    <s v="IT-10049"/>
    <s v="Relay L-49"/>
    <x v="3"/>
    <x v="3"/>
    <x v="0"/>
    <s v="2025-04"/>
    <n v="3.97"/>
    <n v="3.97"/>
    <n v="3.97"/>
    <n v="5.38"/>
    <n v="32"/>
    <n v="47"/>
    <n v="696"/>
    <n v="374"/>
    <n v="1484.78"/>
    <n v="77"/>
    <n v="297"/>
    <n v="3.94"/>
    <n v="1"/>
    <n v="322"/>
    <n v="1732.36"/>
    <n v="0"/>
    <x v="0"/>
    <s v="OK"/>
  </r>
  <r>
    <s v="IT-10049"/>
    <s v="Relay L-49"/>
    <x v="3"/>
    <x v="3"/>
    <x v="0"/>
    <s v="2025-05"/>
    <n v="3.93"/>
    <n v="3.93"/>
    <n v="3.9421439999999999"/>
    <n v="5.38"/>
    <n v="32"/>
    <n v="31"/>
    <n v="858"/>
    <n v="821"/>
    <n v="3236.5"/>
    <n v="19"/>
    <n v="802"/>
    <n v="8.86"/>
    <n v="1"/>
    <n v="411"/>
    <n v="2211.1799999999998"/>
    <n v="0"/>
    <x v="0"/>
    <s v="OK"/>
  </r>
  <r>
    <s v="IT-10049"/>
    <s v="Relay L-49"/>
    <x v="3"/>
    <x v="3"/>
    <x v="0"/>
    <s v="2025-06"/>
    <n v="3.93"/>
    <n v="3.93"/>
    <n v="3.9421460000000002"/>
    <n v="5.38"/>
    <n v="32"/>
    <m/>
    <n v="0"/>
    <n v="522"/>
    <n v="2057.8000000000002"/>
    <n v="19"/>
    <n v="503"/>
    <n v="6.58"/>
    <n v="0"/>
    <n v="299"/>
    <n v="1608.62"/>
    <n v="0"/>
    <x v="0"/>
    <s v="OK"/>
  </r>
  <r>
    <s v="IT-10049"/>
    <s v="Relay L-49"/>
    <x v="3"/>
    <x v="3"/>
    <x v="0"/>
    <s v="2025-07"/>
    <n v="4"/>
    <n v="4"/>
    <n v="3.9760170000000001"/>
    <n v="5.38"/>
    <n v="32"/>
    <n v="31"/>
    <n v="737"/>
    <n v="964"/>
    <n v="3832.88"/>
    <n v="87"/>
    <n v="877"/>
    <n v="12.61"/>
    <n v="2"/>
    <n v="295"/>
    <n v="1587.1"/>
    <n v="0"/>
    <x v="0"/>
    <s v="OK"/>
  </r>
  <r>
    <s v="IT-10049"/>
    <s v="Relay L-49"/>
    <x v="3"/>
    <x v="3"/>
    <x v="0"/>
    <s v="2025-08"/>
    <n v="3.85"/>
    <n v="3.85"/>
    <n v="3.947422"/>
    <n v="5.38"/>
    <n v="32"/>
    <n v="31"/>
    <n v="283"/>
    <n v="741"/>
    <n v="2925.04"/>
    <n v="87"/>
    <n v="654"/>
    <n v="8.85"/>
    <n v="0"/>
    <n v="506"/>
    <n v="2722.28"/>
    <n v="0"/>
    <x v="0"/>
    <s v="OK"/>
  </r>
  <r>
    <s v="IT-10049"/>
    <s v="Relay L-49"/>
    <x v="3"/>
    <x v="3"/>
    <x v="0"/>
    <s v="2025-09"/>
    <n v="3.92"/>
    <n v="3.92"/>
    <n v="3.947416"/>
    <n v="5.38"/>
    <n v="32"/>
    <m/>
    <n v="0"/>
    <n v="534"/>
    <n v="2107.92"/>
    <n v="58"/>
    <n v="476"/>
    <n v="6.96"/>
    <n v="0"/>
    <n v="207"/>
    <n v="1113.6600000000001"/>
    <n v="0"/>
    <x v="0"/>
    <s v="OK"/>
  </r>
  <r>
    <s v="IT-10049"/>
    <s v="Relay L-49"/>
    <x v="3"/>
    <x v="3"/>
    <x v="0"/>
    <s v="2025-10"/>
    <n v="3.9"/>
    <n v="3.9"/>
    <n v="3.9228670000000001"/>
    <n v="5.38"/>
    <n v="32"/>
    <n v="31"/>
    <n v="573"/>
    <n v="715"/>
    <n v="2804.85"/>
    <n v="39"/>
    <n v="676"/>
    <n v="8.5"/>
    <n v="1"/>
    <n v="392"/>
    <n v="2108.96"/>
    <n v="0"/>
    <x v="0"/>
    <s v="OK"/>
  </r>
  <r>
    <s v="IT-10049"/>
    <s v="Relay L-49"/>
    <x v="3"/>
    <x v="3"/>
    <x v="0"/>
    <s v="2025-11"/>
    <n v="3.85"/>
    <n v="3.85"/>
    <n v="3.8885070000000002"/>
    <n v="5.38"/>
    <n v="32"/>
    <n v="28"/>
    <n v="638"/>
    <n v="1018"/>
    <n v="3958.5"/>
    <n v="39"/>
    <n v="979"/>
    <n v="14.17"/>
    <n v="2"/>
    <n v="335"/>
    <n v="1802.3"/>
    <n v="0"/>
    <x v="0"/>
    <s v="OK"/>
  </r>
  <r>
    <s v="IT-10049"/>
    <s v="Relay L-49"/>
    <x v="3"/>
    <x v="3"/>
    <x v="0"/>
    <s v="2025-12"/>
    <n v="3.95"/>
    <n v="3.95"/>
    <n v="3.9079600000000001"/>
    <n v="5.38"/>
    <n v="32"/>
    <n v="30"/>
    <n v="471"/>
    <n v="1137"/>
    <n v="4443.3500000000004"/>
    <n v="77"/>
    <n v="1060"/>
    <n v="13.85"/>
    <n v="2"/>
    <n v="352"/>
    <n v="1893.76"/>
    <n v="0"/>
    <x v="0"/>
    <s v="OK"/>
  </r>
  <r>
    <s v="IT-10049"/>
    <s v="Relay L-49"/>
    <x v="3"/>
    <x v="3"/>
    <x v="0"/>
    <s v="2026-01"/>
    <n v="3.96"/>
    <n v="3.96"/>
    <n v="3.9161700000000002"/>
    <n v="5.38"/>
    <n v="32"/>
    <n v="27"/>
    <n v="213"/>
    <n v="974"/>
    <n v="3814.35"/>
    <n v="19"/>
    <n v="955"/>
    <n v="12.04"/>
    <n v="1"/>
    <n v="376"/>
    <n v="2022.88"/>
    <n v="0"/>
    <x v="0"/>
    <s v="OK"/>
  </r>
  <r>
    <s v="IT-10049"/>
    <s v="Relay L-49"/>
    <x v="3"/>
    <x v="3"/>
    <x v="0"/>
    <s v="2026-02"/>
    <n v="3.94"/>
    <n v="3.94"/>
    <n v="3.9161640000000002"/>
    <n v="5.62"/>
    <n v="32"/>
    <m/>
    <n v="0"/>
    <n v="709"/>
    <n v="2776.56"/>
    <n v="68"/>
    <n v="641"/>
    <n v="9.18"/>
    <n v="4"/>
    <n v="265"/>
    <n v="1489.3"/>
    <n v="0"/>
    <x v="0"/>
    <s v="OK"/>
  </r>
  <r>
    <s v="IT-10049"/>
    <s v="Relay L-49"/>
    <x v="3"/>
    <x v="3"/>
    <x v="0"/>
    <s v="2026-03"/>
    <n v="4.2"/>
    <n v="4.2"/>
    <n v="3.9888349999999999"/>
    <n v="5.62"/>
    <n v="32"/>
    <n v="45"/>
    <n v="244"/>
    <n v="661"/>
    <n v="2636.62"/>
    <n v="58"/>
    <n v="603"/>
    <n v="9.11"/>
    <n v="0"/>
    <n v="292"/>
    <n v="1641.04"/>
    <n v="0"/>
    <x v="0"/>
    <s v="OK"/>
  </r>
  <r>
    <s v="IT-10049"/>
    <s v="Relay L-49"/>
    <x v="3"/>
    <x v="3"/>
    <x v="0"/>
    <s v="2026-04"/>
    <n v="4.13"/>
    <n v="4.13"/>
    <n v="4.0551089999999999"/>
    <n v="5.62"/>
    <n v="32"/>
    <n v="28"/>
    <n v="585"/>
    <n v="918"/>
    <n v="3722.59"/>
    <n v="87"/>
    <n v="831"/>
    <n v="13.19"/>
    <n v="0"/>
    <n v="328"/>
    <n v="1843.36"/>
    <n v="0"/>
    <x v="0"/>
    <s v="OK"/>
  </r>
  <r>
    <s v="IT-10049"/>
    <s v="Relay L-49"/>
    <x v="3"/>
    <x v="3"/>
    <x v="0"/>
    <s v="2026-05"/>
    <n v="4.12"/>
    <n v="4.12"/>
    <n v="4.0551019999999998"/>
    <n v="5.62"/>
    <n v="32"/>
    <m/>
    <n v="0"/>
    <n v="688"/>
    <n v="2789.91"/>
    <n v="68"/>
    <n v="620"/>
    <n v="10.64"/>
    <n v="0"/>
    <n v="230"/>
    <n v="1292.5999999999999"/>
    <n v="0"/>
    <x v="0"/>
    <s v="OK"/>
  </r>
  <r>
    <s v="IT-10049"/>
    <s v="Relay L-49"/>
    <x v="3"/>
    <x v="3"/>
    <x v="0"/>
    <s v="2026-06"/>
    <n v="4.17"/>
    <n v="4.17"/>
    <n v="4.1116599999999996"/>
    <n v="5.62"/>
    <n v="32"/>
    <n v="46"/>
    <n v="667"/>
    <n v="970"/>
    <n v="3988.31"/>
    <n v="39"/>
    <n v="931"/>
    <n v="13.37"/>
    <n v="1"/>
    <n v="385"/>
    <n v="2163.6999999999998"/>
    <n v="0"/>
    <x v="0"/>
    <s v="OK"/>
  </r>
  <r>
    <s v="IT-10049"/>
    <s v="Relay L-49"/>
    <x v="3"/>
    <x v="3"/>
    <x v="0"/>
    <s v="2026-07"/>
    <n v="4.1900000000000004"/>
    <n v="4.1900000000000004"/>
    <n v="4.1382709999999996"/>
    <n v="5.62"/>
    <n v="32"/>
    <n v="29"/>
    <n v="499"/>
    <n v="1261"/>
    <n v="5218.3599999999997"/>
    <n v="77"/>
    <n v="1184"/>
    <n v="20.14"/>
    <n v="2"/>
    <n v="208"/>
    <n v="1168.96"/>
    <n v="0"/>
    <x v="0"/>
    <s v="OK"/>
  </r>
  <r>
    <s v="IT-10049"/>
    <s v="Relay L-49"/>
    <x v="3"/>
    <x v="3"/>
    <x v="0"/>
    <s v="2026-08"/>
    <n v="4.22"/>
    <n v="4.22"/>
    <n v="4.1382719999999997"/>
    <n v="5.62"/>
    <n v="32"/>
    <m/>
    <n v="0"/>
    <n v="949"/>
    <n v="3927.22"/>
    <n v="39"/>
    <n v="910"/>
    <n v="13.78"/>
    <n v="0"/>
    <n v="312"/>
    <n v="1753.44"/>
    <n v="0"/>
    <x v="0"/>
    <s v="OK"/>
  </r>
  <r>
    <s v="IT-10050"/>
    <s v="Relay S-50"/>
    <x v="3"/>
    <x v="3"/>
    <x v="0"/>
    <s v="2024-09"/>
    <n v="2.76"/>
    <n v="2.76"/>
    <n v="2.740599"/>
    <n v="3.72"/>
    <n v="25"/>
    <n v="25"/>
    <n v="414"/>
    <n v="968"/>
    <n v="2652.9"/>
    <n v="34"/>
    <n v="934"/>
    <n v="15.18"/>
    <n v="2"/>
    <n v="244"/>
    <n v="907.68"/>
    <n v="0"/>
    <x v="0"/>
    <s v="OK"/>
  </r>
  <r>
    <s v="IT-10050"/>
    <s v="Relay S-50"/>
    <x v="3"/>
    <x v="3"/>
    <x v="0"/>
    <s v="2024-10"/>
    <n v="2.82"/>
    <n v="2.82"/>
    <n v="2.7473559999999999"/>
    <n v="3.72"/>
    <n v="25"/>
    <n v="23"/>
    <n v="90"/>
    <n v="571"/>
    <n v="1568.74"/>
    <n v="45"/>
    <n v="526"/>
    <n v="6.77"/>
    <n v="3"/>
    <n v="487"/>
    <n v="1811.64"/>
    <n v="0"/>
    <x v="0"/>
    <s v="OK"/>
  </r>
  <r>
    <s v="IT-10050"/>
    <s v="Relay S-50"/>
    <x v="3"/>
    <x v="3"/>
    <x v="0"/>
    <s v="2024-11"/>
    <n v="2.82"/>
    <n v="2.82"/>
    <n v="2.770562"/>
    <n v="3.72"/>
    <n v="25"/>
    <n v="23"/>
    <n v="268"/>
    <n v="427"/>
    <n v="1183.03"/>
    <n v="56"/>
    <n v="371"/>
    <n v="4.8600000000000003"/>
    <n v="9"/>
    <n v="412"/>
    <n v="1532.64"/>
    <n v="0"/>
    <x v="0"/>
    <s v="OK"/>
  </r>
  <r>
    <s v="IT-10050"/>
    <s v="Relay S-50"/>
    <x v="3"/>
    <x v="3"/>
    <x v="0"/>
    <s v="2024-12"/>
    <n v="2.72"/>
    <n v="2.72"/>
    <n v="2.7386279999999998"/>
    <n v="3.72"/>
    <n v="25"/>
    <n v="23"/>
    <n v="732"/>
    <n v="787"/>
    <n v="2155.3000000000002"/>
    <n v="34"/>
    <n v="753"/>
    <n v="8.14"/>
    <n v="4"/>
    <n v="372"/>
    <n v="1383.84"/>
    <n v="0"/>
    <x v="0"/>
    <s v="OK"/>
  </r>
  <r>
    <s v="IT-10050"/>
    <s v="Relay S-50"/>
    <x v="3"/>
    <x v="3"/>
    <x v="0"/>
    <s v="2025-01"/>
    <n v="2.74"/>
    <n v="2.74"/>
    <n v="2.7392970000000001"/>
    <n v="3.72"/>
    <n v="25"/>
    <n v="21"/>
    <n v="741"/>
    <n v="911"/>
    <n v="2495.5"/>
    <n v="67"/>
    <n v="844"/>
    <n v="8.5500000000000007"/>
    <n v="0"/>
    <n v="617"/>
    <n v="2295.2399999999998"/>
    <n v="0"/>
    <x v="0"/>
    <s v="OK"/>
  </r>
  <r>
    <s v="IT-10050"/>
    <s v="Relay S-50"/>
    <x v="3"/>
    <x v="3"/>
    <x v="0"/>
    <s v="2025-02"/>
    <n v="2.72"/>
    <n v="2.72"/>
    <n v="2.7363219999999999"/>
    <n v="3.87"/>
    <n v="25"/>
    <n v="22"/>
    <n v="166"/>
    <n v="802"/>
    <n v="2194.5300000000002"/>
    <n v="22"/>
    <n v="780"/>
    <n v="8.16"/>
    <n v="3"/>
    <n v="275"/>
    <n v="1064.25"/>
    <n v="0"/>
    <x v="0"/>
    <s v="OK"/>
  </r>
  <r>
    <s v="IT-10050"/>
    <s v="Relay S-50"/>
    <x v="3"/>
    <x v="3"/>
    <x v="0"/>
    <s v="2025-03"/>
    <n v="2.96"/>
    <n v="2.96"/>
    <n v="2.811617"/>
    <n v="3.87"/>
    <n v="25"/>
    <n v="22"/>
    <n v="407"/>
    <n v="983"/>
    <n v="2763.82"/>
    <n v="112"/>
    <n v="871"/>
    <n v="11.3"/>
    <n v="0"/>
    <n v="226"/>
    <n v="874.62"/>
    <n v="0"/>
    <x v="0"/>
    <s v="OK"/>
  </r>
  <r>
    <s v="IT-10050"/>
    <s v="Relay S-50"/>
    <x v="3"/>
    <x v="3"/>
    <x v="0"/>
    <s v="2025-04"/>
    <n v="2.93"/>
    <n v="2.93"/>
    <n v="2.8505090000000002"/>
    <n v="3.87"/>
    <n v="25"/>
    <n v="25"/>
    <n v="481"/>
    <n v="1160"/>
    <n v="3306.59"/>
    <n v="22"/>
    <n v="1138"/>
    <n v="18.32"/>
    <n v="0"/>
    <n v="304"/>
    <n v="1176.48"/>
    <n v="0"/>
    <x v="0"/>
    <s v="OK"/>
  </r>
  <r>
    <s v="IT-10050"/>
    <s v="Relay S-50"/>
    <x v="3"/>
    <x v="3"/>
    <x v="0"/>
    <s v="2025-05"/>
    <n v="2.94"/>
    <n v="2.94"/>
    <n v="2.8520249999999998"/>
    <n v="3.87"/>
    <n v="25"/>
    <n v="31"/>
    <n v="20"/>
    <n v="953"/>
    <n v="2717.98"/>
    <n v="90"/>
    <n v="863"/>
    <n v="16.55"/>
    <n v="5"/>
    <n v="227"/>
    <n v="878.49"/>
    <n v="0"/>
    <x v="0"/>
    <s v="OK"/>
  </r>
  <r>
    <s v="IT-10050"/>
    <s v="Relay S-50"/>
    <x v="3"/>
    <x v="3"/>
    <x v="0"/>
    <s v="2025-06"/>
    <n v="2.91"/>
    <n v="2.91"/>
    <n v="2.8733110000000002"/>
    <n v="3.87"/>
    <n v="25"/>
    <n v="22"/>
    <n v="553"/>
    <n v="1184"/>
    <n v="3402"/>
    <n v="22"/>
    <n v="1162"/>
    <n v="18.04"/>
    <n v="0"/>
    <n v="322"/>
    <n v="1246.1400000000001"/>
    <n v="0"/>
    <x v="0"/>
    <s v="OK"/>
  </r>
  <r>
    <s v="IT-10050"/>
    <s v="Relay S-50"/>
    <x v="3"/>
    <x v="3"/>
    <x v="0"/>
    <s v="2025-07"/>
    <n v="2.89"/>
    <n v="2.89"/>
    <n v="2.8733140000000001"/>
    <n v="3.87"/>
    <n v="25"/>
    <m/>
    <n v="0"/>
    <n v="1029"/>
    <n v="2956.64"/>
    <n v="22"/>
    <n v="1007"/>
    <n v="19.21"/>
    <n v="2"/>
    <n v="155"/>
    <n v="599.85"/>
    <n v="0"/>
    <x v="0"/>
    <s v="OK"/>
  </r>
  <r>
    <s v="IT-10050"/>
    <s v="Relay S-50"/>
    <x v="3"/>
    <x v="3"/>
    <x v="0"/>
    <s v="2025-08"/>
    <n v="2.96"/>
    <n v="2.96"/>
    <n v="2.87331"/>
    <n v="3.87"/>
    <n v="25"/>
    <m/>
    <n v="0"/>
    <n v="713"/>
    <n v="2048.67"/>
    <n v="101"/>
    <n v="612"/>
    <n v="11.82"/>
    <n v="0"/>
    <n v="316"/>
    <n v="1222.92"/>
    <n v="0"/>
    <x v="0"/>
    <s v="OK"/>
  </r>
  <r>
    <s v="IT-10050"/>
    <s v="Relay S-50"/>
    <x v="3"/>
    <x v="3"/>
    <x v="0"/>
    <s v="2025-09"/>
    <n v="2.96"/>
    <n v="2.96"/>
    <n v="2.9039570000000001"/>
    <n v="3.87"/>
    <n v="25"/>
    <n v="22"/>
    <n v="390"/>
    <n v="657"/>
    <n v="1907.9"/>
    <n v="101"/>
    <n v="556"/>
    <n v="9.42"/>
    <n v="2"/>
    <n v="446"/>
    <n v="1726.02"/>
    <n v="0"/>
    <x v="0"/>
    <s v="OK"/>
  </r>
  <r>
    <s v="IT-10050"/>
    <s v="Relay S-50"/>
    <x v="3"/>
    <x v="3"/>
    <x v="0"/>
    <s v="2025-10"/>
    <n v="2.99"/>
    <n v="2.99"/>
    <n v="2.9349029999999998"/>
    <n v="3.87"/>
    <n v="25"/>
    <n v="21"/>
    <n v="369"/>
    <n v="826"/>
    <n v="2424.23"/>
    <n v="22"/>
    <n v="804"/>
    <n v="11.28"/>
    <n v="0"/>
    <n v="200"/>
    <n v="774"/>
    <n v="0"/>
    <x v="0"/>
    <s v="OK"/>
  </r>
  <r>
    <s v="IT-10050"/>
    <s v="Relay S-50"/>
    <x v="3"/>
    <x v="3"/>
    <x v="0"/>
    <s v="2025-11"/>
    <n v="2.9"/>
    <n v="2.9"/>
    <n v="2.9202180000000002"/>
    <n v="3.87"/>
    <n v="25"/>
    <n v="25"/>
    <n v="600"/>
    <n v="1330"/>
    <n v="3883.89"/>
    <n v="45"/>
    <n v="1285"/>
    <n v="23.3"/>
    <n v="2"/>
    <n v="96"/>
    <n v="371.52"/>
    <n v="0"/>
    <x v="0"/>
    <s v="OK"/>
  </r>
  <r>
    <s v="IT-10050"/>
    <s v="Relay S-50"/>
    <x v="3"/>
    <x v="3"/>
    <x v="0"/>
    <s v="2025-12"/>
    <n v="2.92"/>
    <n v="2.92"/>
    <n v="2.92022"/>
    <n v="3.87"/>
    <n v="25"/>
    <m/>
    <n v="0"/>
    <n v="727"/>
    <n v="2123"/>
    <n v="101"/>
    <n v="626"/>
    <n v="10.63"/>
    <n v="2"/>
    <n v="603"/>
    <n v="2333.61"/>
    <n v="0"/>
    <x v="0"/>
    <s v="OK"/>
  </r>
  <r>
    <s v="IT-10050"/>
    <s v="Relay S-50"/>
    <x v="3"/>
    <x v="3"/>
    <x v="0"/>
    <s v="2026-01"/>
    <n v="2.88"/>
    <n v="2.88"/>
    <n v="2.9130790000000002"/>
    <n v="3.87"/>
    <n v="25"/>
    <n v="25"/>
    <n v="157"/>
    <n v="341"/>
    <n v="993.36"/>
    <n v="22"/>
    <n v="319"/>
    <n v="3.61"/>
    <n v="1"/>
    <n v="543"/>
    <n v="2101.41"/>
    <n v="0"/>
    <x v="0"/>
    <s v="OK"/>
  </r>
  <r>
    <s v="IT-10050"/>
    <s v="Relay S-50"/>
    <x v="3"/>
    <x v="3"/>
    <x v="0"/>
    <s v="2026-02"/>
    <n v="3"/>
    <n v="3"/>
    <n v="2.981681"/>
    <n v="4.0199999999999996"/>
    <n v="25"/>
    <n v="23"/>
    <n v="1277"/>
    <n v="1261"/>
    <n v="3759.9"/>
    <n v="112"/>
    <n v="1149"/>
    <n v="10.79"/>
    <n v="0"/>
    <n v="357"/>
    <n v="1435.14"/>
    <n v="0"/>
    <x v="0"/>
    <s v="OK"/>
  </r>
  <r>
    <s v="IT-10050"/>
    <s v="Relay S-50"/>
    <x v="3"/>
    <x v="3"/>
    <x v="0"/>
    <s v="2026-03"/>
    <n v="3.17"/>
    <n v="3.17"/>
    <n v="2.981684"/>
    <n v="4.0199999999999996"/>
    <n v="25"/>
    <m/>
    <n v="0"/>
    <n v="843"/>
    <n v="2513.56"/>
    <n v="101"/>
    <n v="742"/>
    <n v="8.2200000000000006"/>
    <n v="3"/>
    <n v="418"/>
    <n v="1680.36"/>
    <n v="0"/>
    <x v="0"/>
    <s v="OK"/>
  </r>
  <r>
    <s v="IT-10050"/>
    <s v="Relay S-50"/>
    <x v="3"/>
    <x v="3"/>
    <x v="0"/>
    <s v="2026-04"/>
    <n v="3.17"/>
    <n v="3.17"/>
    <n v="3.013757"/>
    <n v="4.0199999999999996"/>
    <n v="25"/>
    <n v="23"/>
    <n v="173"/>
    <n v="370"/>
    <n v="1115.0899999999999"/>
    <n v="34"/>
    <n v="336"/>
    <n v="3.31"/>
    <n v="1"/>
    <n v="646"/>
    <n v="2596.92"/>
    <n v="0"/>
    <x v="0"/>
    <s v="OK"/>
  </r>
  <r>
    <s v="IT-10050"/>
    <s v="Relay S-50"/>
    <x v="3"/>
    <x v="3"/>
    <x v="0"/>
    <s v="2026-05"/>
    <n v="3.09"/>
    <n v="3.09"/>
    <n v="3.0605850000000001"/>
    <n v="4.0199999999999996"/>
    <n v="25"/>
    <n v="23"/>
    <n v="589"/>
    <n v="838"/>
    <n v="2564.77"/>
    <n v="22"/>
    <n v="816"/>
    <n v="9.2899999999999991"/>
    <n v="2"/>
    <n v="121"/>
    <n v="486.42"/>
    <n v="0"/>
    <x v="0"/>
    <s v="OK"/>
  </r>
  <r>
    <s v="IT-10050"/>
    <s v="Relay S-50"/>
    <x v="3"/>
    <x v="3"/>
    <x v="0"/>
    <s v="2026-06"/>
    <n v="3.16"/>
    <n v="3.16"/>
    <n v="3.094503"/>
    <n v="4.0199999999999996"/>
    <n v="25"/>
    <n v="24"/>
    <n v="434"/>
    <n v="715"/>
    <n v="2212.5700000000002"/>
    <n v="101"/>
    <n v="614"/>
    <n v="7.02"/>
    <n v="3"/>
    <n v="557"/>
    <n v="2239.14"/>
    <n v="0"/>
    <x v="0"/>
    <s v="OK"/>
  </r>
  <r>
    <s v="IT-10050"/>
    <s v="Relay S-50"/>
    <x v="3"/>
    <x v="3"/>
    <x v="0"/>
    <s v="2026-07"/>
    <n v="3.11"/>
    <n v="3.11"/>
    <n v="3.0944929999999999"/>
    <n v="4.0199999999999996"/>
    <n v="25"/>
    <m/>
    <n v="0"/>
    <n v="276"/>
    <n v="854.08"/>
    <n v="101"/>
    <n v="175"/>
    <n v="3.25"/>
    <n v="1"/>
    <n v="439"/>
    <n v="1764.78"/>
    <n v="0"/>
    <x v="0"/>
    <s v="OK"/>
  </r>
  <r>
    <s v="IT-10050"/>
    <s v="Relay S-50"/>
    <x v="3"/>
    <x v="3"/>
    <x v="0"/>
    <s v="2026-08"/>
    <n v="3.09"/>
    <n v="3.09"/>
    <n v="3.0909520000000001"/>
    <n v="4.0199999999999996"/>
    <n v="25"/>
    <n v="25"/>
    <n v="1034"/>
    <n v="756"/>
    <n v="2336.7600000000002"/>
    <n v="45"/>
    <n v="711"/>
    <n v="6.41"/>
    <n v="0"/>
    <n v="554"/>
    <n v="2227.08"/>
    <n v="0"/>
    <x v="0"/>
    <s v="OK"/>
  </r>
  <r>
    <s v="IT-10051"/>
    <s v="Ball bearing 10-51"/>
    <x v="0"/>
    <x v="0"/>
    <x v="0"/>
    <s v="2024-09"/>
    <n v="34.83"/>
    <n v="34.83"/>
    <n v="34.83"/>
    <n v="48.42"/>
    <n v="38"/>
    <n v="35"/>
    <n v="81"/>
    <n v="0"/>
    <n v="0"/>
    <n v="0"/>
    <n v="0"/>
    <n v="0"/>
    <n v="7"/>
    <n v="81"/>
    <n v="3922.02"/>
    <n v="74"/>
    <x v="1"/>
    <s v="OK"/>
  </r>
  <r>
    <s v="IT-10051"/>
    <s v="Ball bearing 10-51"/>
    <x v="0"/>
    <x v="0"/>
    <x v="0"/>
    <s v="2024-10"/>
    <n v="34.97"/>
    <n v="34.97"/>
    <n v="34.97"/>
    <n v="48.42"/>
    <n v="38"/>
    <n v="34"/>
    <n v="453"/>
    <n v="307"/>
    <n v="10735.79"/>
    <n v="16"/>
    <n v="291"/>
    <n v="9.91"/>
    <n v="1"/>
    <n v="146"/>
    <n v="7069.32"/>
    <n v="0"/>
    <x v="0"/>
    <s v="OK"/>
  </r>
  <r>
    <s v="IT-10051"/>
    <s v="Ball bearing 10-51"/>
    <x v="0"/>
    <x v="0"/>
    <x v="0"/>
    <s v="2024-11"/>
    <n v="35.659999999999997"/>
    <n v="35.659999999999997"/>
    <n v="35.01417"/>
    <n v="48.42"/>
    <n v="38"/>
    <n v="37"/>
    <n v="21"/>
    <n v="235"/>
    <n v="8228.33"/>
    <n v="52"/>
    <n v="183"/>
    <n v="9.5500000000000007"/>
    <n v="0"/>
    <n v="93"/>
    <n v="4503.0600000000004"/>
    <n v="0"/>
    <x v="0"/>
    <s v="OK"/>
  </r>
  <r>
    <s v="IT-10051"/>
    <s v="Ball bearing 10-51"/>
    <x v="0"/>
    <x v="0"/>
    <x v="0"/>
    <s v="2024-12"/>
    <n v="34.520000000000003"/>
    <n v="34.520000000000003"/>
    <n v="34.894626000000002"/>
    <n v="48.42"/>
    <n v="38"/>
    <n v="34"/>
    <n v="75"/>
    <n v="147"/>
    <n v="5129.51"/>
    <n v="26"/>
    <n v="121"/>
    <n v="4.8099999999999996"/>
    <n v="0"/>
    <n v="163"/>
    <n v="7892.46"/>
    <n v="0"/>
    <x v="0"/>
    <s v="OK"/>
  </r>
  <r>
    <s v="IT-10051"/>
    <s v="Ball bearing 10-51"/>
    <x v="0"/>
    <x v="0"/>
    <x v="0"/>
    <s v="2025-01"/>
    <n v="34.93"/>
    <n v="34.93"/>
    <n v="34.894626000000002"/>
    <n v="48.42"/>
    <n v="38"/>
    <m/>
    <n v="0"/>
    <n v="0"/>
    <n v="0"/>
    <n v="0"/>
    <n v="0"/>
    <n v="0"/>
    <n v="3"/>
    <n v="147"/>
    <n v="7117.74"/>
    <n v="4"/>
    <x v="1"/>
    <s v="OK"/>
  </r>
  <r>
    <s v="IT-10051"/>
    <s v="Ball bearing 10-51"/>
    <x v="0"/>
    <x v="0"/>
    <x v="0"/>
    <s v="2025-02"/>
    <n v="35.68"/>
    <n v="35.68"/>
    <n v="35.68"/>
    <n v="50.99"/>
    <n v="38"/>
    <n v="33"/>
    <n v="163"/>
    <n v="110"/>
    <n v="3924.8"/>
    <n v="16"/>
    <n v="94"/>
    <n v="3.9"/>
    <n v="4"/>
    <n v="53"/>
    <n v="2702.47"/>
    <n v="0"/>
    <x v="0"/>
    <s v="OK"/>
  </r>
  <r>
    <s v="IT-10051"/>
    <s v="Ball bearing 10-51"/>
    <x v="0"/>
    <x v="0"/>
    <x v="0"/>
    <s v="2025-03"/>
    <n v="35.590000000000003"/>
    <n v="35.590000000000003"/>
    <n v="35.627926000000002"/>
    <n v="50.99"/>
    <n v="38"/>
    <n v="37"/>
    <n v="151"/>
    <n v="188"/>
    <n v="6698.05"/>
    <n v="47"/>
    <n v="141"/>
    <n v="8.85"/>
    <n v="1"/>
    <n v="73"/>
    <n v="3722.27"/>
    <n v="0"/>
    <x v="0"/>
    <s v="OK"/>
  </r>
  <r>
    <s v="IT-10051"/>
    <s v="Ball bearing 10-51"/>
    <x v="0"/>
    <x v="0"/>
    <x v="0"/>
    <s v="2025-04"/>
    <n v="36.47"/>
    <n v="36.47"/>
    <n v="36.054504999999999"/>
    <n v="50.99"/>
    <n v="38"/>
    <n v="34"/>
    <n v="193"/>
    <n v="202"/>
    <n v="7283.01"/>
    <n v="21"/>
    <n v="181"/>
    <n v="8.42"/>
    <n v="2"/>
    <n v="179"/>
    <n v="9127.2099999999991"/>
    <n v="0"/>
    <x v="0"/>
    <s v="OK"/>
  </r>
  <r>
    <s v="IT-10051"/>
    <s v="Ball bearing 10-51"/>
    <x v="0"/>
    <x v="0"/>
    <x v="0"/>
    <s v="2025-05"/>
    <n v="36.11"/>
    <n v="36.11"/>
    <n v="36.067500000000003"/>
    <n v="50.99"/>
    <n v="38"/>
    <n v="35"/>
    <n v="62"/>
    <n v="96"/>
    <n v="3462.48"/>
    <n v="21"/>
    <n v="75"/>
    <n v="3"/>
    <n v="2"/>
    <n v="168"/>
    <n v="8566.32"/>
    <n v="0"/>
    <x v="0"/>
    <s v="OK"/>
  </r>
  <r>
    <s v="IT-10051"/>
    <s v="Ball bearing 10-51"/>
    <x v="0"/>
    <x v="0"/>
    <x v="0"/>
    <s v="2025-06"/>
    <n v="35.619999999999997"/>
    <n v="35.619999999999997"/>
    <n v="36.067500000000003"/>
    <n v="50.99"/>
    <n v="38"/>
    <m/>
    <n v="0"/>
    <n v="0"/>
    <n v="0"/>
    <n v="0"/>
    <n v="0"/>
    <n v="0"/>
    <n v="1"/>
    <n v="96"/>
    <n v="4895.04"/>
    <n v="14"/>
    <x v="1"/>
    <s v="OK"/>
  </r>
  <r>
    <s v="IT-10051"/>
    <s v="Ball bearing 10-51"/>
    <x v="0"/>
    <x v="0"/>
    <x v="0"/>
    <s v="2025-07"/>
    <n v="36.51"/>
    <n v="36.51"/>
    <n v="36.51"/>
    <n v="50.99"/>
    <n v="38"/>
    <n v="37"/>
    <n v="168"/>
    <n v="0"/>
    <n v="0"/>
    <n v="0"/>
    <n v="0"/>
    <n v="0"/>
    <n v="0"/>
    <n v="168"/>
    <n v="8566.32"/>
    <n v="46"/>
    <x v="1"/>
    <s v="OK"/>
  </r>
  <r>
    <s v="IT-10051"/>
    <s v="Ball bearing 10-51"/>
    <x v="0"/>
    <x v="0"/>
    <x v="0"/>
    <s v="2025-08"/>
    <n v="36.53"/>
    <n v="36.53"/>
    <n v="36.51"/>
    <n v="50.99"/>
    <n v="38"/>
    <m/>
    <n v="0"/>
    <n v="0"/>
    <n v="0"/>
    <n v="0"/>
    <n v="0"/>
    <n v="0"/>
    <n v="31"/>
    <n v="0"/>
    <n v="0"/>
    <n v="172"/>
    <x v="1"/>
    <s v="OK"/>
  </r>
  <r>
    <s v="IT-10051"/>
    <s v="Ball bearing 10-51"/>
    <x v="0"/>
    <x v="0"/>
    <x v="0"/>
    <s v="2025-09"/>
    <n v="36.369999999999997"/>
    <n v="36.369999999999997"/>
    <n v="36.369999999999997"/>
    <n v="50.99"/>
    <n v="38"/>
    <n v="43"/>
    <n v="362"/>
    <n v="174"/>
    <n v="6328.38"/>
    <n v="42"/>
    <n v="132"/>
    <n v="6.42"/>
    <n v="3"/>
    <n v="188"/>
    <n v="9586.1200000000008"/>
    <n v="0"/>
    <x v="0"/>
    <s v="OK"/>
  </r>
  <r>
    <s v="IT-10051"/>
    <s v="Ball bearing 10-51"/>
    <x v="0"/>
    <x v="0"/>
    <x v="0"/>
    <s v="2025-10"/>
    <n v="35.61"/>
    <n v="35.61"/>
    <n v="36.369999999999997"/>
    <n v="50.99"/>
    <n v="38"/>
    <m/>
    <n v="0"/>
    <n v="89"/>
    <n v="3236.93"/>
    <n v="26"/>
    <n v="63"/>
    <n v="4.28"/>
    <n v="1"/>
    <n v="85"/>
    <n v="4334.1499999999996"/>
    <n v="0"/>
    <x v="0"/>
    <s v="OK"/>
  </r>
  <r>
    <s v="IT-10051"/>
    <s v="Ball bearing 10-51"/>
    <x v="0"/>
    <x v="0"/>
    <x v="0"/>
    <s v="2025-11"/>
    <n v="36.76"/>
    <n v="36.76"/>
    <n v="36.650187000000003"/>
    <n v="50.99"/>
    <n v="38"/>
    <n v="60"/>
    <n v="227"/>
    <n v="107"/>
    <n v="3921.57"/>
    <n v="47"/>
    <n v="60"/>
    <n v="2.89"/>
    <n v="0"/>
    <n v="209"/>
    <n v="10656.91"/>
    <n v="0"/>
    <x v="0"/>
    <s v="OK"/>
  </r>
  <r>
    <s v="IT-10051"/>
    <s v="Ball bearing 10-51"/>
    <x v="0"/>
    <x v="0"/>
    <x v="0"/>
    <s v="2025-12"/>
    <n v="36.590000000000003"/>
    <n v="36.590000000000003"/>
    <n v="36.650187000000003"/>
    <n v="50.99"/>
    <n v="38"/>
    <m/>
    <n v="0"/>
    <n v="0"/>
    <n v="0"/>
    <n v="0"/>
    <n v="0"/>
    <n v="0"/>
    <n v="2"/>
    <n v="107"/>
    <n v="5455.93"/>
    <n v="84"/>
    <x v="1"/>
    <s v="OK"/>
  </r>
  <r>
    <s v="IT-10051"/>
    <s v="Ball bearing 10-51"/>
    <x v="0"/>
    <x v="0"/>
    <x v="0"/>
    <s v="2026-01"/>
    <n v="35.630000000000003"/>
    <n v="35.630000000000003"/>
    <n v="35.630000000000003"/>
    <n v="50.99"/>
    <n v="38"/>
    <n v="37"/>
    <n v="368"/>
    <n v="137"/>
    <n v="4881.3100000000004"/>
    <n v="21"/>
    <n v="116"/>
    <n v="3.29"/>
    <n v="0"/>
    <n v="231"/>
    <n v="11778.69"/>
    <n v="0"/>
    <x v="0"/>
    <s v="OK"/>
  </r>
  <r>
    <s v="IT-10051"/>
    <s v="Ball bearing 10-51"/>
    <x v="0"/>
    <x v="0"/>
    <x v="0"/>
    <s v="2026-02"/>
    <n v="36.01"/>
    <n v="36.01"/>
    <n v="35.816471"/>
    <n v="53.69"/>
    <n v="38"/>
    <n v="49"/>
    <n v="132"/>
    <n v="17"/>
    <n v="608.88"/>
    <n v="17"/>
    <n v="0"/>
    <n v="0.37"/>
    <n v="3"/>
    <n v="252"/>
    <n v="13529.88"/>
    <n v="0"/>
    <x v="0"/>
    <s v="OK"/>
  </r>
  <r>
    <s v="IT-10051"/>
    <s v="Ball bearing 10-51"/>
    <x v="0"/>
    <x v="0"/>
    <x v="0"/>
    <s v="2026-03"/>
    <n v="36.69"/>
    <n v="36.69"/>
    <n v="36.367173999999999"/>
    <n v="53.69"/>
    <n v="38"/>
    <n v="33"/>
    <n v="29"/>
    <n v="0"/>
    <n v="0"/>
    <n v="0"/>
    <n v="0"/>
    <n v="0"/>
    <n v="0"/>
    <n v="46"/>
    <n v="2469.7399999999998"/>
    <n v="97"/>
    <x v="1"/>
    <s v="OK"/>
  </r>
  <r>
    <s v="IT-10051"/>
    <s v="Ball bearing 10-51"/>
    <x v="0"/>
    <x v="0"/>
    <x v="0"/>
    <s v="2026-04"/>
    <n v="37.380000000000003"/>
    <n v="37.380000000000003"/>
    <n v="37.380000000000003"/>
    <n v="53.69"/>
    <n v="38"/>
    <n v="38"/>
    <n v="284"/>
    <n v="155"/>
    <n v="5793.9"/>
    <n v="37"/>
    <n v="118"/>
    <n v="4.62"/>
    <n v="3"/>
    <n v="129"/>
    <n v="6926.01"/>
    <n v="0"/>
    <x v="0"/>
    <s v="OK"/>
  </r>
  <r>
    <s v="IT-10051"/>
    <s v="Ball bearing 10-51"/>
    <x v="0"/>
    <x v="0"/>
    <x v="0"/>
    <s v="2026-05"/>
    <n v="36.56"/>
    <n v="36.56"/>
    <n v="37.380000000000003"/>
    <n v="53.69"/>
    <n v="38"/>
    <m/>
    <n v="0"/>
    <n v="37"/>
    <n v="1383.06"/>
    <n v="37"/>
    <n v="0"/>
    <n v="1.66"/>
    <n v="1"/>
    <n v="118"/>
    <n v="6335.42"/>
    <n v="0"/>
    <x v="0"/>
    <s v="OK"/>
  </r>
  <r>
    <s v="IT-10051"/>
    <s v="Ball bearing 10-51"/>
    <x v="0"/>
    <x v="0"/>
    <x v="0"/>
    <s v="2026-06"/>
    <n v="37.33"/>
    <n v="37.33"/>
    <n v="37.345812000000002"/>
    <n v="53.69"/>
    <n v="38"/>
    <n v="33"/>
    <n v="80"/>
    <n v="0"/>
    <n v="0"/>
    <n v="0"/>
    <n v="0"/>
    <n v="0"/>
    <n v="0"/>
    <n v="117"/>
    <n v="6281.73"/>
    <n v="68"/>
    <x v="1"/>
    <s v="OK"/>
  </r>
  <r>
    <s v="IT-10051"/>
    <s v="Ball bearing 10-51"/>
    <x v="0"/>
    <x v="0"/>
    <x v="0"/>
    <s v="2026-07"/>
    <n v="36.840000000000003"/>
    <n v="36.840000000000003"/>
    <n v="36.840000000000003"/>
    <n v="53.69"/>
    <n v="38"/>
    <n v="37"/>
    <n v="362"/>
    <n v="245"/>
    <n v="9025.7999999999993"/>
    <n v="31"/>
    <n v="214"/>
    <n v="9.15"/>
    <n v="2"/>
    <n v="117"/>
    <n v="6281.73"/>
    <n v="0"/>
    <x v="0"/>
    <s v="OK"/>
  </r>
  <r>
    <s v="IT-10051"/>
    <s v="Ball bearing 10-51"/>
    <x v="0"/>
    <x v="0"/>
    <x v="0"/>
    <s v="2026-08"/>
    <n v="36.46"/>
    <n v="36.46"/>
    <n v="36.807380999999999"/>
    <n v="53.69"/>
    <n v="38"/>
    <n v="33"/>
    <n v="23"/>
    <n v="126"/>
    <n v="4637.7299999999996"/>
    <n v="37"/>
    <n v="89"/>
    <n v="4.4000000000000004"/>
    <n v="2"/>
    <n v="142"/>
    <n v="7623.98"/>
    <n v="0"/>
    <x v="0"/>
    <s v="OK"/>
  </r>
  <r>
    <s v="IT-10052"/>
    <s v="Gear set A-52"/>
    <x v="4"/>
    <x v="4"/>
    <x v="0"/>
    <s v="2024-09"/>
    <n v="18.73"/>
    <n v="18.73"/>
    <n v="18.740100999999999"/>
    <n v="25.85"/>
    <n v="48"/>
    <n v="48"/>
    <n v="232"/>
    <n v="199"/>
    <n v="3729.28"/>
    <n v="14"/>
    <n v="185"/>
    <n v="8.25"/>
    <n v="3"/>
    <n v="126"/>
    <n v="3257.1"/>
    <n v="0"/>
    <x v="0"/>
    <s v="OK"/>
  </r>
  <r>
    <s v="IT-10052"/>
    <s v="Gear set A-52"/>
    <x v="4"/>
    <x v="4"/>
    <x v="0"/>
    <s v="2024-10"/>
    <n v="19.690000000000001"/>
    <n v="19.690000000000001"/>
    <n v="19.014883999999999"/>
    <n v="25.85"/>
    <n v="48"/>
    <n v="43"/>
    <n v="81"/>
    <n v="129"/>
    <n v="2452.92"/>
    <n v="16"/>
    <n v="113"/>
    <n v="4.76"/>
    <n v="8"/>
    <n v="151"/>
    <n v="3903.35"/>
    <n v="0"/>
    <x v="0"/>
    <s v="OK"/>
  </r>
  <r>
    <s v="IT-10052"/>
    <s v="Gear set A-52"/>
    <x v="4"/>
    <x v="4"/>
    <x v="0"/>
    <s v="2024-11"/>
    <n v="19.760000000000002"/>
    <n v="19.760000000000002"/>
    <n v="19.014800000000001"/>
    <n v="25.85"/>
    <n v="48"/>
    <m/>
    <n v="0"/>
    <n v="50"/>
    <n v="950.74"/>
    <n v="27"/>
    <n v="23"/>
    <n v="1.83"/>
    <n v="2"/>
    <n v="79"/>
    <n v="2042.15"/>
    <n v="0"/>
    <x v="0"/>
    <s v="OK"/>
  </r>
  <r>
    <s v="IT-10052"/>
    <s v="Gear set A-52"/>
    <x v="4"/>
    <x v="4"/>
    <x v="0"/>
    <s v="2024-12"/>
    <n v="19.64"/>
    <n v="19.64"/>
    <n v="19.014800000000001"/>
    <n v="25.85"/>
    <n v="48"/>
    <m/>
    <n v="0"/>
    <n v="0"/>
    <n v="0"/>
    <n v="0"/>
    <n v="0"/>
    <n v="0"/>
    <n v="4"/>
    <n v="50"/>
    <n v="1292.5"/>
    <n v="18"/>
    <x v="1"/>
    <s v="OK"/>
  </r>
  <r>
    <s v="IT-10052"/>
    <s v="Gear set A-52"/>
    <x v="4"/>
    <x v="4"/>
    <x v="0"/>
    <s v="2025-01"/>
    <n v="19.91"/>
    <n v="19.91"/>
    <n v="19.91"/>
    <n v="25.85"/>
    <n v="48"/>
    <n v="74"/>
    <n v="161"/>
    <n v="35"/>
    <n v="696.85"/>
    <n v="11"/>
    <n v="24"/>
    <n v="1.8"/>
    <n v="2"/>
    <n v="126"/>
    <n v="3257.1"/>
    <n v="0"/>
    <x v="0"/>
    <s v="OK"/>
  </r>
  <r>
    <s v="IT-10052"/>
    <s v="Gear set A-52"/>
    <x v="4"/>
    <x v="4"/>
    <x v="0"/>
    <s v="2025-02"/>
    <n v="19.77"/>
    <n v="19.77"/>
    <n v="19.791892000000001"/>
    <n v="27.21"/>
    <n v="48"/>
    <n v="47"/>
    <n v="189"/>
    <n v="148"/>
    <n v="2929.2"/>
    <n v="27"/>
    <n v="121"/>
    <n v="7.55"/>
    <n v="0"/>
    <n v="76"/>
    <n v="2067.96"/>
    <n v="0"/>
    <x v="0"/>
    <s v="OK"/>
  </r>
  <r>
    <s v="IT-10052"/>
    <s v="Gear set A-52"/>
    <x v="4"/>
    <x v="4"/>
    <x v="0"/>
    <s v="2025-03"/>
    <n v="19.95"/>
    <n v="19.95"/>
    <n v="19.791817999999999"/>
    <n v="27.21"/>
    <n v="48"/>
    <m/>
    <n v="0"/>
    <n v="44"/>
    <n v="870.84"/>
    <n v="16"/>
    <n v="28"/>
    <n v="1.85"/>
    <n v="6"/>
    <n v="104"/>
    <n v="2829.84"/>
    <n v="0"/>
    <x v="0"/>
    <s v="OK"/>
  </r>
  <r>
    <s v="IT-10052"/>
    <s v="Gear set A-52"/>
    <x v="4"/>
    <x v="4"/>
    <x v="0"/>
    <s v="2025-04"/>
    <n v="20.13"/>
    <n v="20.13"/>
    <n v="19.886066"/>
    <n v="27.21"/>
    <n v="48"/>
    <n v="62"/>
    <n v="17"/>
    <n v="0"/>
    <n v="0"/>
    <n v="0"/>
    <n v="0"/>
    <n v="0"/>
    <n v="2"/>
    <n v="61"/>
    <n v="1659.81"/>
    <n v="20"/>
    <x v="1"/>
    <s v="OK"/>
  </r>
  <r>
    <s v="IT-10052"/>
    <s v="Gear set A-52"/>
    <x v="4"/>
    <x v="4"/>
    <x v="0"/>
    <s v="2025-05"/>
    <n v="20.16"/>
    <n v="20.16"/>
    <n v="20.16"/>
    <n v="27.21"/>
    <n v="48"/>
    <n v="84"/>
    <n v="18"/>
    <n v="0"/>
    <n v="0"/>
    <n v="0"/>
    <n v="0"/>
    <n v="0"/>
    <n v="0"/>
    <n v="18"/>
    <n v="489.78"/>
    <n v="102"/>
    <x v="1"/>
    <s v="OK"/>
  </r>
  <r>
    <s v="IT-10052"/>
    <s v="Gear set A-52"/>
    <x v="4"/>
    <x v="4"/>
    <x v="0"/>
    <s v="2025-06"/>
    <n v="19.84"/>
    <n v="19.84"/>
    <n v="19.84"/>
    <n v="27.21"/>
    <n v="48"/>
    <n v="44"/>
    <n v="360"/>
    <n v="231"/>
    <n v="4583.04"/>
    <n v="19"/>
    <n v="212"/>
    <n v="14.44"/>
    <n v="2"/>
    <n v="129"/>
    <n v="3510.09"/>
    <n v="0"/>
    <x v="0"/>
    <s v="OK"/>
  </r>
  <r>
    <s v="IT-10052"/>
    <s v="Gear set A-52"/>
    <x v="4"/>
    <x v="4"/>
    <x v="0"/>
    <s v="2025-07"/>
    <n v="19.71"/>
    <n v="19.71"/>
    <n v="19.84"/>
    <n v="27.21"/>
    <n v="48"/>
    <m/>
    <n v="0"/>
    <n v="152"/>
    <n v="3015.68"/>
    <n v="5"/>
    <n v="147"/>
    <n v="8.84"/>
    <n v="1"/>
    <n v="79"/>
    <n v="2149.59"/>
    <n v="0"/>
    <x v="0"/>
    <s v="OK"/>
  </r>
  <r>
    <s v="IT-10052"/>
    <s v="Gear set A-52"/>
    <x v="4"/>
    <x v="4"/>
    <x v="0"/>
    <s v="2025-08"/>
    <n v="19.989999999999998"/>
    <n v="19.989999999999998"/>
    <n v="19.84"/>
    <n v="27.21"/>
    <n v="48"/>
    <m/>
    <n v="0"/>
    <n v="101"/>
    <n v="2003.84"/>
    <n v="8"/>
    <n v="93"/>
    <n v="5.13"/>
    <n v="3"/>
    <n v="51"/>
    <n v="1387.71"/>
    <n v="0"/>
    <x v="0"/>
    <s v="OK"/>
  </r>
  <r>
    <s v="IT-10052"/>
    <s v="Gear set A-52"/>
    <x v="4"/>
    <x v="4"/>
    <x v="0"/>
    <s v="2025-09"/>
    <n v="19.690000000000001"/>
    <n v="19.690000000000001"/>
    <n v="19.743732000000001"/>
    <n v="27.21"/>
    <n v="48"/>
    <n v="48"/>
    <n v="181"/>
    <n v="209"/>
    <n v="4126.4399999999996"/>
    <n v="5"/>
    <n v="204"/>
    <n v="13.53"/>
    <n v="1"/>
    <n v="73"/>
    <n v="1986.33"/>
    <n v="0"/>
    <x v="0"/>
    <s v="OK"/>
  </r>
  <r>
    <s v="IT-10052"/>
    <s v="Gear set A-52"/>
    <x v="4"/>
    <x v="4"/>
    <x v="0"/>
    <s v="2025-10"/>
    <n v="21.07"/>
    <n v="21.07"/>
    <n v="19.743739999999999"/>
    <n v="27.21"/>
    <n v="48"/>
    <m/>
    <n v="0"/>
    <n v="131"/>
    <n v="2586.4299999999998"/>
    <n v="19"/>
    <n v="112"/>
    <n v="8.52"/>
    <n v="1"/>
    <n v="78"/>
    <n v="2122.38"/>
    <n v="0"/>
    <x v="0"/>
    <s v="OK"/>
  </r>
  <r>
    <s v="IT-10052"/>
    <s v="Gear set A-52"/>
    <x v="4"/>
    <x v="4"/>
    <x v="0"/>
    <s v="2025-11"/>
    <n v="20.82"/>
    <n v="20.82"/>
    <n v="20.340423000000001"/>
    <n v="27.21"/>
    <n v="48"/>
    <n v="80"/>
    <n v="163"/>
    <n v="213"/>
    <n v="4332.51"/>
    <n v="11"/>
    <n v="202"/>
    <n v="11.94"/>
    <n v="0"/>
    <n v="81"/>
    <n v="2204.0100000000002"/>
    <n v="0"/>
    <x v="0"/>
    <s v="OK"/>
  </r>
  <r>
    <s v="IT-10052"/>
    <s v="Gear set A-52"/>
    <x v="4"/>
    <x v="4"/>
    <x v="0"/>
    <s v="2025-12"/>
    <n v="20.82"/>
    <n v="20.82"/>
    <n v="20.381564999999998"/>
    <n v="27.21"/>
    <n v="48"/>
    <n v="43"/>
    <n v="20"/>
    <n v="147"/>
    <n v="2996.09"/>
    <n v="19"/>
    <n v="128"/>
    <n v="7.89"/>
    <n v="7"/>
    <n v="86"/>
    <n v="2340.06"/>
    <n v="0"/>
    <x v="0"/>
    <s v="OK"/>
  </r>
  <r>
    <s v="IT-10052"/>
    <s v="Gear set A-52"/>
    <x v="4"/>
    <x v="4"/>
    <x v="0"/>
    <s v="2026-01"/>
    <n v="20.87"/>
    <n v="20.87"/>
    <n v="20.549486999999999"/>
    <n v="27.21"/>
    <n v="48"/>
    <n v="42"/>
    <n v="77"/>
    <n v="117"/>
    <n v="2404.29"/>
    <n v="19"/>
    <n v="98"/>
    <n v="5.61"/>
    <n v="2"/>
    <n v="107"/>
    <n v="2911.47"/>
    <n v="0"/>
    <x v="0"/>
    <s v="OK"/>
  </r>
  <r>
    <s v="IT-10052"/>
    <s v="Gear set A-52"/>
    <x v="4"/>
    <x v="4"/>
    <x v="0"/>
    <s v="2026-02"/>
    <n v="21.36"/>
    <n v="21.36"/>
    <n v="20.824242000000002"/>
    <n v="28.64"/>
    <n v="48"/>
    <n v="57"/>
    <n v="60"/>
    <n v="132"/>
    <n v="2748.8"/>
    <n v="5"/>
    <n v="127"/>
    <n v="7.13"/>
    <n v="0"/>
    <n v="45"/>
    <n v="1288.8"/>
    <n v="0"/>
    <x v="0"/>
    <s v="OK"/>
  </r>
  <r>
    <s v="IT-10052"/>
    <s v="Gear set A-52"/>
    <x v="4"/>
    <x v="4"/>
    <x v="0"/>
    <s v="2026-03"/>
    <n v="21.02"/>
    <n v="21.02"/>
    <n v="20.913198000000001"/>
    <n v="28.64"/>
    <n v="48"/>
    <n v="47"/>
    <n v="110"/>
    <n v="172"/>
    <n v="3597.07"/>
    <n v="27"/>
    <n v="145"/>
    <n v="9.9600000000000009"/>
    <n v="9"/>
    <n v="70"/>
    <n v="2004.8"/>
    <n v="0"/>
    <x v="0"/>
    <s v="OK"/>
  </r>
  <r>
    <s v="IT-10052"/>
    <s v="Gear set A-52"/>
    <x v="4"/>
    <x v="4"/>
    <x v="0"/>
    <s v="2026-04"/>
    <n v="20.86"/>
    <n v="20.86"/>
    <n v="20.905943000000001"/>
    <n v="28.64"/>
    <n v="48"/>
    <n v="45"/>
    <n v="27"/>
    <n v="106"/>
    <n v="2216.0300000000002"/>
    <n v="19"/>
    <n v="87"/>
    <n v="6.48"/>
    <n v="4"/>
    <n v="93"/>
    <n v="2663.52"/>
    <n v="0"/>
    <x v="0"/>
    <s v="OK"/>
  </r>
  <r>
    <s v="IT-10052"/>
    <s v="Gear set A-52"/>
    <x v="4"/>
    <x v="4"/>
    <x v="0"/>
    <s v="2026-05"/>
    <n v="20.73"/>
    <n v="20.73"/>
    <n v="20.905943000000001"/>
    <n v="28.64"/>
    <n v="48"/>
    <m/>
    <n v="0"/>
    <n v="0"/>
    <n v="0"/>
    <n v="0"/>
    <n v="0"/>
    <n v="0"/>
    <n v="0"/>
    <n v="106"/>
    <n v="3035.84"/>
    <n v="12"/>
    <x v="1"/>
    <s v="OK"/>
  </r>
  <r>
    <s v="IT-10052"/>
    <s v="Gear set A-52"/>
    <x v="4"/>
    <x v="4"/>
    <x v="0"/>
    <s v="2026-06"/>
    <n v="21.28"/>
    <n v="21.28"/>
    <n v="21.28"/>
    <n v="28.64"/>
    <n v="48"/>
    <n v="44"/>
    <n v="65"/>
    <n v="11"/>
    <n v="234.08"/>
    <n v="11"/>
    <n v="0"/>
    <n v="0.56999999999999995"/>
    <n v="1"/>
    <n v="54"/>
    <n v="1546.56"/>
    <n v="0"/>
    <x v="0"/>
    <s v="OK"/>
  </r>
  <r>
    <s v="IT-10052"/>
    <s v="Gear set A-52"/>
    <x v="4"/>
    <x v="4"/>
    <x v="0"/>
    <s v="2026-07"/>
    <n v="21.38"/>
    <n v="21.38"/>
    <n v="21.28"/>
    <n v="28.64"/>
    <n v="48"/>
    <m/>
    <n v="0"/>
    <n v="0"/>
    <n v="0"/>
    <n v="0"/>
    <n v="0"/>
    <n v="0"/>
    <n v="9"/>
    <n v="11"/>
    <n v="315.04000000000002"/>
    <n v="71"/>
    <x v="1"/>
    <s v="OK"/>
  </r>
  <r>
    <s v="IT-10052"/>
    <s v="Gear set A-52"/>
    <x v="4"/>
    <x v="4"/>
    <x v="0"/>
    <s v="2026-08"/>
    <n v="21.01"/>
    <n v="21.01"/>
    <n v="21.01"/>
    <n v="28.64"/>
    <n v="48"/>
    <n v="41"/>
    <n v="349"/>
    <n v="209"/>
    <n v="4391.09"/>
    <n v="19"/>
    <n v="190"/>
    <n v="13.4"/>
    <n v="0"/>
    <n v="140"/>
    <n v="4009.6"/>
    <n v="0"/>
    <x v="0"/>
    <s v="OK"/>
  </r>
  <r>
    <s v="IT-10053"/>
    <s v="Relay B-53"/>
    <x v="3"/>
    <x v="3"/>
    <x v="1"/>
    <s v="2024-09"/>
    <n v="2.85"/>
    <n v="2.85"/>
    <n v="2.7575980000000002"/>
    <n v="3.78"/>
    <n v="59"/>
    <m/>
    <n v="0"/>
    <n v="254"/>
    <n v="700.43"/>
    <n v="167"/>
    <n v="87"/>
    <n v="0.77"/>
    <n v="0"/>
    <n v="1167"/>
    <n v="4411.26"/>
    <n v="0"/>
    <x v="0"/>
    <s v="OK"/>
  </r>
  <r>
    <s v="IT-10053"/>
    <s v="Relay B-53"/>
    <x v="3"/>
    <x v="3"/>
    <x v="1"/>
    <s v="2024-10"/>
    <n v="2.79"/>
    <n v="2.79"/>
    <n v="2.785425"/>
    <n v="3.78"/>
    <n v="59"/>
    <n v="95"/>
    <n v="1546"/>
    <n v="953"/>
    <n v="2654.51"/>
    <n v="335"/>
    <n v="618"/>
    <n v="2.98"/>
    <n v="0"/>
    <n v="847"/>
    <n v="3201.66"/>
    <n v="0"/>
    <x v="0"/>
    <s v="OK"/>
  </r>
  <r>
    <s v="IT-10053"/>
    <s v="Relay B-53"/>
    <x v="3"/>
    <x v="3"/>
    <x v="1"/>
    <s v="2024-11"/>
    <n v="2.82"/>
    <n v="2.82"/>
    <n v="2.8109380000000002"/>
    <n v="3.78"/>
    <n v="59"/>
    <n v="71"/>
    <n v="2683"/>
    <n v="3304"/>
    <n v="9287.34"/>
    <n v="100"/>
    <n v="3204"/>
    <n v="18.309999999999999"/>
    <n v="0"/>
    <n v="332"/>
    <n v="1254.96"/>
    <n v="0"/>
    <x v="0"/>
    <s v="OK"/>
  </r>
  <r>
    <s v="IT-10053"/>
    <s v="Relay B-53"/>
    <x v="3"/>
    <x v="3"/>
    <x v="1"/>
    <s v="2024-12"/>
    <n v="2.8"/>
    <n v="2.8"/>
    <n v="2.806737"/>
    <n v="3.78"/>
    <n v="59"/>
    <n v="81"/>
    <n v="2060"/>
    <n v="3926"/>
    <n v="11019.25"/>
    <n v="234"/>
    <n v="3692"/>
    <n v="19.72"/>
    <n v="0"/>
    <n v="1438"/>
    <n v="5435.64"/>
    <n v="0"/>
    <x v="0"/>
    <s v="OK"/>
  </r>
  <r>
    <s v="IT-10053"/>
    <s v="Relay B-53"/>
    <x v="3"/>
    <x v="3"/>
    <x v="1"/>
    <s v="2025-01"/>
    <n v="2.8"/>
    <n v="2.8"/>
    <n v="2.806184"/>
    <n v="3.78"/>
    <n v="59"/>
    <n v="73"/>
    <n v="351"/>
    <n v="3485"/>
    <n v="9779.5499999999993"/>
    <n v="268"/>
    <n v="3217"/>
    <n v="17.88"/>
    <n v="0"/>
    <n v="792"/>
    <n v="2993.76"/>
    <n v="0"/>
    <x v="0"/>
    <s v="OK"/>
  </r>
  <r>
    <s v="IT-10053"/>
    <s v="Relay B-53"/>
    <x v="3"/>
    <x v="3"/>
    <x v="1"/>
    <s v="2025-02"/>
    <n v="2.81"/>
    <n v="2.81"/>
    <n v="2.8073809999999999"/>
    <n v="3.98"/>
    <n v="59"/>
    <n v="51"/>
    <n v="1594"/>
    <n v="4459"/>
    <n v="12518.11"/>
    <n v="167"/>
    <n v="4292"/>
    <n v="20.12"/>
    <n v="0"/>
    <n v="620"/>
    <n v="2467.6"/>
    <n v="0"/>
    <x v="0"/>
    <s v="OK"/>
  </r>
  <r>
    <s v="IT-10053"/>
    <s v="Relay B-53"/>
    <x v="3"/>
    <x v="3"/>
    <x v="1"/>
    <s v="2025-03"/>
    <n v="2.94"/>
    <n v="2.94"/>
    <n v="2.8252630000000001"/>
    <n v="3.98"/>
    <n v="59"/>
    <n v="51"/>
    <n v="695"/>
    <n v="4085"/>
    <n v="11541.2"/>
    <n v="301"/>
    <n v="3784"/>
    <n v="21.17"/>
    <n v="1"/>
    <n v="1069"/>
    <n v="4254.62"/>
    <n v="0"/>
    <x v="0"/>
    <s v="OK"/>
  </r>
  <r>
    <s v="IT-10053"/>
    <s v="Relay B-53"/>
    <x v="3"/>
    <x v="3"/>
    <x v="1"/>
    <s v="2025-04"/>
    <n v="3"/>
    <n v="3"/>
    <n v="2.8252619999999999"/>
    <n v="3.98"/>
    <n v="59"/>
    <m/>
    <n v="0"/>
    <n v="3189"/>
    <n v="9009.76"/>
    <n v="335"/>
    <n v="2854"/>
    <n v="15.69"/>
    <n v="2"/>
    <n v="896"/>
    <n v="3566.08"/>
    <n v="0"/>
    <x v="0"/>
    <s v="OK"/>
  </r>
  <r>
    <s v="IT-10053"/>
    <s v="Relay B-53"/>
    <x v="3"/>
    <x v="3"/>
    <x v="1"/>
    <s v="2025-05"/>
    <n v="2.94"/>
    <n v="2.94"/>
    <n v="2.8598300000000001"/>
    <n v="3.98"/>
    <n v="59"/>
    <n v="55"/>
    <n v="1375"/>
    <n v="3421"/>
    <n v="9783.48"/>
    <n v="335"/>
    <n v="3086"/>
    <n v="14.47"/>
    <n v="0"/>
    <n v="1143"/>
    <n v="4549.1400000000003"/>
    <n v="0"/>
    <x v="0"/>
    <s v="OK"/>
  </r>
  <r>
    <s v="IT-10053"/>
    <s v="Relay B-53"/>
    <x v="3"/>
    <x v="3"/>
    <x v="1"/>
    <s v="2025-06"/>
    <n v="2.92"/>
    <n v="2.92"/>
    <n v="2.8807550000000002"/>
    <n v="3.98"/>
    <n v="59"/>
    <n v="57"/>
    <n v="1824"/>
    <n v="4121"/>
    <n v="11871.59"/>
    <n v="134"/>
    <n v="3987"/>
    <n v="16.940000000000001"/>
    <n v="0"/>
    <n v="1124"/>
    <n v="4473.5200000000004"/>
    <n v="0"/>
    <x v="0"/>
    <s v="OK"/>
  </r>
  <r>
    <s v="IT-10053"/>
    <s v="Relay B-53"/>
    <x v="3"/>
    <x v="3"/>
    <x v="1"/>
    <s v="2025-07"/>
    <n v="3"/>
    <n v="3"/>
    <n v="2.8807559999999999"/>
    <n v="3.98"/>
    <n v="59"/>
    <m/>
    <n v="0"/>
    <n v="3572"/>
    <n v="10290.06"/>
    <n v="301"/>
    <n v="3271"/>
    <n v="16.670000000000002"/>
    <n v="1"/>
    <n v="549"/>
    <n v="2185.02"/>
    <n v="0"/>
    <x v="0"/>
    <s v="OK"/>
  </r>
  <r>
    <s v="IT-10053"/>
    <s v="Relay B-53"/>
    <x v="3"/>
    <x v="3"/>
    <x v="1"/>
    <s v="2025-08"/>
    <n v="2.93"/>
    <n v="2.93"/>
    <n v="2.8807559999999999"/>
    <n v="3.98"/>
    <n v="59"/>
    <m/>
    <n v="0"/>
    <n v="2540"/>
    <n v="7317.12"/>
    <n v="268"/>
    <n v="2272"/>
    <n v="12.34"/>
    <n v="0"/>
    <n v="1032"/>
    <n v="4107.3599999999997"/>
    <n v="0"/>
    <x v="0"/>
    <s v="OK"/>
  </r>
  <r>
    <s v="IT-10053"/>
    <s v="Relay B-53"/>
    <x v="3"/>
    <x v="3"/>
    <x v="1"/>
    <s v="2025-09"/>
    <n v="2.91"/>
    <n v="2.91"/>
    <n v="2.8915639999999998"/>
    <n v="3.98"/>
    <n v="59"/>
    <n v="53"/>
    <n v="1489"/>
    <n v="2443"/>
    <n v="7064.09"/>
    <n v="67"/>
    <n v="2376"/>
    <n v="10.14"/>
    <n v="0"/>
    <n v="1586"/>
    <n v="6312.28"/>
    <n v="0"/>
    <x v="0"/>
    <s v="OK"/>
  </r>
  <r>
    <s v="IT-10053"/>
    <s v="Relay B-53"/>
    <x v="3"/>
    <x v="3"/>
    <x v="1"/>
    <s v="2025-10"/>
    <n v="2.94"/>
    <n v="2.94"/>
    <n v="2.8915630000000001"/>
    <n v="3.98"/>
    <n v="59"/>
    <m/>
    <n v="0"/>
    <n v="2041"/>
    <n v="5901.68"/>
    <n v="268"/>
    <n v="1773"/>
    <n v="8.8800000000000008"/>
    <n v="2"/>
    <n v="402"/>
    <n v="1599.96"/>
    <n v="0"/>
    <x v="0"/>
    <s v="OK"/>
  </r>
  <r>
    <s v="IT-10053"/>
    <s v="Relay B-53"/>
    <x v="3"/>
    <x v="3"/>
    <x v="1"/>
    <s v="2025-11"/>
    <n v="2.92"/>
    <n v="2.92"/>
    <n v="2.89845"/>
    <n v="3.98"/>
    <n v="59"/>
    <n v="77"/>
    <n v="652"/>
    <n v="1864"/>
    <n v="5402.71"/>
    <n v="67"/>
    <n v="1797"/>
    <n v="8.6"/>
    <n v="0"/>
    <n v="829"/>
    <n v="3299.42"/>
    <n v="0"/>
    <x v="0"/>
    <s v="OK"/>
  </r>
  <r>
    <s v="IT-10053"/>
    <s v="Relay B-53"/>
    <x v="3"/>
    <x v="3"/>
    <x v="1"/>
    <s v="2025-12"/>
    <n v="2.99"/>
    <n v="2.99"/>
    <n v="2.9199440000000001"/>
    <n v="3.98"/>
    <n v="59"/>
    <n v="54"/>
    <n v="572"/>
    <n v="1617"/>
    <n v="4721.55"/>
    <n v="100"/>
    <n v="1517"/>
    <n v="10.37"/>
    <n v="0"/>
    <n v="819"/>
    <n v="3259.62"/>
    <n v="0"/>
    <x v="0"/>
    <s v="OK"/>
  </r>
  <r>
    <s v="IT-10053"/>
    <s v="Relay B-53"/>
    <x v="3"/>
    <x v="3"/>
    <x v="1"/>
    <s v="2026-01"/>
    <n v="3.02"/>
    <n v="3.02"/>
    <n v="2.9734699999999998"/>
    <n v="3.98"/>
    <n v="59"/>
    <n v="101"/>
    <n v="1860"/>
    <n v="3058"/>
    <n v="9092.8700000000008"/>
    <n v="67"/>
    <n v="2991"/>
    <n v="19.440000000000001"/>
    <n v="0"/>
    <n v="419"/>
    <n v="1667.62"/>
    <n v="0"/>
    <x v="0"/>
    <s v="OK"/>
  </r>
  <r>
    <s v="IT-10053"/>
    <s v="Relay B-53"/>
    <x v="3"/>
    <x v="3"/>
    <x v="1"/>
    <s v="2026-02"/>
    <n v="2.94"/>
    <n v="2.94"/>
    <n v="2.9569510000000001"/>
    <n v="4.1900000000000004"/>
    <n v="59"/>
    <n v="52"/>
    <n v="2980"/>
    <n v="4992"/>
    <n v="14761.1"/>
    <n v="100"/>
    <n v="4892"/>
    <n v="28.1"/>
    <n v="3"/>
    <n v="1046"/>
    <n v="4382.74"/>
    <n v="0"/>
    <x v="0"/>
    <s v="OK"/>
  </r>
  <r>
    <s v="IT-10053"/>
    <s v="Relay B-53"/>
    <x v="3"/>
    <x v="3"/>
    <x v="1"/>
    <s v="2026-03"/>
    <n v="3.09"/>
    <n v="3.09"/>
    <n v="2.9569510000000001"/>
    <n v="4.1900000000000004"/>
    <n v="59"/>
    <m/>
    <n v="0"/>
    <n v="4779"/>
    <n v="14131.27"/>
    <n v="201"/>
    <n v="4578"/>
    <n v="36.619999999999997"/>
    <n v="1"/>
    <n v="213"/>
    <n v="892.47"/>
    <n v="0"/>
    <x v="0"/>
    <s v="OK"/>
  </r>
  <r>
    <s v="IT-10053"/>
    <s v="Relay B-53"/>
    <x v="3"/>
    <x v="3"/>
    <x v="1"/>
    <s v="2026-04"/>
    <n v="3.14"/>
    <n v="3.14"/>
    <n v="2.9999440000000002"/>
    <n v="4.1900000000000004"/>
    <n v="59"/>
    <n v="55"/>
    <n v="1467"/>
    <n v="5317"/>
    <n v="15950.7"/>
    <n v="268"/>
    <n v="5049"/>
    <n v="30.9"/>
    <n v="0"/>
    <n v="929"/>
    <n v="3892.51"/>
    <n v="0"/>
    <x v="0"/>
    <s v="OK"/>
  </r>
  <r>
    <s v="IT-10053"/>
    <s v="Relay B-53"/>
    <x v="3"/>
    <x v="3"/>
    <x v="1"/>
    <s v="2026-05"/>
    <n v="3.12"/>
    <n v="3.12"/>
    <n v="3.0123899999999999"/>
    <n v="4.1900000000000004"/>
    <n v="59"/>
    <n v="56"/>
    <n v="615"/>
    <n v="5005"/>
    <n v="15077.01"/>
    <n v="268"/>
    <n v="4737"/>
    <n v="31.79"/>
    <n v="0"/>
    <n v="927"/>
    <n v="3884.13"/>
    <n v="0"/>
    <x v="0"/>
    <s v="OK"/>
  </r>
  <r>
    <s v="IT-10053"/>
    <s v="Relay B-53"/>
    <x v="3"/>
    <x v="3"/>
    <x v="1"/>
    <s v="2026-06"/>
    <n v="3.1"/>
    <n v="3.1"/>
    <n v="3.0123890000000002"/>
    <n v="4.1900000000000004"/>
    <n v="59"/>
    <m/>
    <n v="0"/>
    <n v="4524"/>
    <n v="13628.05"/>
    <n v="335"/>
    <n v="4189"/>
    <n v="25.17"/>
    <n v="0"/>
    <n v="481"/>
    <n v="2015.39"/>
    <n v="0"/>
    <x v="0"/>
    <s v="OK"/>
  </r>
  <r>
    <s v="IT-10053"/>
    <s v="Relay B-53"/>
    <x v="3"/>
    <x v="3"/>
    <x v="1"/>
    <s v="2026-07"/>
    <n v="3.18"/>
    <n v="3.18"/>
    <n v="3.0528379999999999"/>
    <n v="4.1900000000000004"/>
    <n v="59"/>
    <n v="55"/>
    <n v="1439"/>
    <n v="5334"/>
    <n v="16283.84"/>
    <n v="67"/>
    <n v="5267"/>
    <n v="34.42"/>
    <n v="1"/>
    <n v="629"/>
    <n v="2635.51"/>
    <n v="0"/>
    <x v="0"/>
    <s v="OK"/>
  </r>
  <r>
    <s v="IT-10053"/>
    <s v="Relay B-53"/>
    <x v="3"/>
    <x v="3"/>
    <x v="1"/>
    <s v="2026-08"/>
    <n v="3.14"/>
    <n v="3.14"/>
    <n v="3.0528379999999999"/>
    <n v="4.1900000000000004"/>
    <n v="59"/>
    <m/>
    <n v="0"/>
    <n v="4539"/>
    <n v="13856.83"/>
    <n v="100"/>
    <n v="4439"/>
    <n v="31.32"/>
    <n v="0"/>
    <n v="795"/>
    <n v="3331.05"/>
    <n v="0"/>
    <x v="0"/>
    <s v="OK"/>
  </r>
  <r>
    <s v="IT-10054"/>
    <s v="Hydraulic hose 20-54"/>
    <x v="1"/>
    <x v="1"/>
    <x v="1"/>
    <s v="2024-09"/>
    <n v="4.24"/>
    <n v="4.24"/>
    <n v="4.2451559999999997"/>
    <n v="5.7"/>
    <n v="17"/>
    <n v="24"/>
    <n v="415"/>
    <n v="1055"/>
    <n v="4478.6400000000003"/>
    <n v="95"/>
    <n v="960"/>
    <n v="13.26"/>
    <n v="0"/>
    <n v="230"/>
    <n v="1311"/>
    <n v="0"/>
    <x v="0"/>
    <s v="OK"/>
  </r>
  <r>
    <s v="IT-10054"/>
    <s v="Hydraulic hose 20-54"/>
    <x v="1"/>
    <x v="1"/>
    <x v="1"/>
    <s v="2024-10"/>
    <n v="4.22"/>
    <n v="4.22"/>
    <n v="4.2408299999999999"/>
    <n v="5.7"/>
    <n v="17"/>
    <n v="23"/>
    <n v="219"/>
    <n v="1036"/>
    <n v="4393.5"/>
    <n v="81"/>
    <n v="955"/>
    <n v="15.11"/>
    <n v="2"/>
    <n v="238"/>
    <n v="1356.6"/>
    <n v="0"/>
    <x v="0"/>
    <s v="OK"/>
  </r>
  <r>
    <s v="IT-10054"/>
    <s v="Hydraulic hose 20-54"/>
    <x v="1"/>
    <x v="1"/>
    <x v="1"/>
    <s v="2024-11"/>
    <n v="4.17"/>
    <n v="4.17"/>
    <n v="4.2055689999999997"/>
    <n v="5.7"/>
    <n v="17"/>
    <n v="29"/>
    <n v="1027"/>
    <n v="1783"/>
    <n v="7498.53"/>
    <n v="122"/>
    <n v="1661"/>
    <n v="30.99"/>
    <n v="0"/>
    <n v="280"/>
    <n v="1596"/>
    <n v="0"/>
    <x v="0"/>
    <s v="OK"/>
  </r>
  <r>
    <s v="IT-10054"/>
    <s v="Hydraulic hose 20-54"/>
    <x v="1"/>
    <x v="1"/>
    <x v="1"/>
    <s v="2024-12"/>
    <n v="4.3"/>
    <n v="4.3"/>
    <n v="4.2055680000000004"/>
    <n v="5.7"/>
    <n v="17"/>
    <m/>
    <n v="0"/>
    <n v="1514"/>
    <n v="6367.23"/>
    <n v="135"/>
    <n v="1379"/>
    <n v="25.28"/>
    <n v="1"/>
    <n v="269"/>
    <n v="1533.3"/>
    <n v="0"/>
    <x v="0"/>
    <s v="OK"/>
  </r>
  <r>
    <s v="IT-10054"/>
    <s v="Hydraulic hose 20-54"/>
    <x v="1"/>
    <x v="1"/>
    <x v="1"/>
    <s v="2025-01"/>
    <n v="4.33"/>
    <n v="4.33"/>
    <n v="4.2126229999999998"/>
    <n v="5.7"/>
    <n v="17"/>
    <n v="15"/>
    <n v="91"/>
    <n v="1079"/>
    <n v="4545.42"/>
    <n v="54"/>
    <n v="1025"/>
    <n v="13.19"/>
    <n v="1"/>
    <n v="526"/>
    <n v="2998.2"/>
    <n v="0"/>
    <x v="0"/>
    <s v="OK"/>
  </r>
  <r>
    <s v="IT-10054"/>
    <s v="Hydraulic hose 20-54"/>
    <x v="1"/>
    <x v="1"/>
    <x v="1"/>
    <s v="2025-02"/>
    <n v="4.47"/>
    <n v="4.47"/>
    <n v="4.2126270000000003"/>
    <n v="5.85"/>
    <n v="17"/>
    <m/>
    <n v="0"/>
    <n v="708"/>
    <n v="2982.54"/>
    <n v="41"/>
    <n v="667"/>
    <n v="7.81"/>
    <n v="0"/>
    <n v="371"/>
    <n v="2170.35"/>
    <n v="0"/>
    <x v="0"/>
    <s v="OK"/>
  </r>
  <r>
    <s v="IT-10054"/>
    <s v="Hydraulic hose 20-54"/>
    <x v="1"/>
    <x v="1"/>
    <x v="1"/>
    <s v="2025-03"/>
    <n v="4.4000000000000004"/>
    <n v="4.4000000000000004"/>
    <n v="4.2978759999999996"/>
    <n v="5.85"/>
    <n v="17"/>
    <n v="24"/>
    <n v="591"/>
    <n v="1031"/>
    <n v="4431.1099999999997"/>
    <n v="41"/>
    <n v="990"/>
    <n v="11.38"/>
    <n v="0"/>
    <n v="268"/>
    <n v="1567.8"/>
    <n v="0"/>
    <x v="0"/>
    <s v="OK"/>
  </r>
  <r>
    <s v="IT-10054"/>
    <s v="Hydraulic hose 20-54"/>
    <x v="1"/>
    <x v="1"/>
    <x v="1"/>
    <s v="2025-04"/>
    <n v="4.43"/>
    <n v="4.43"/>
    <n v="4.3264860000000001"/>
    <n v="5.85"/>
    <n v="17"/>
    <n v="17"/>
    <n v="285"/>
    <n v="1124"/>
    <n v="4862.97"/>
    <n v="41"/>
    <n v="1083"/>
    <n v="17.2"/>
    <n v="0"/>
    <n v="192"/>
    <n v="1123.2"/>
    <n v="0"/>
    <x v="0"/>
    <s v="OK"/>
  </r>
  <r>
    <s v="IT-10054"/>
    <s v="Hydraulic hose 20-54"/>
    <x v="1"/>
    <x v="1"/>
    <x v="1"/>
    <s v="2025-05"/>
    <n v="4.4800000000000004"/>
    <n v="4.4800000000000004"/>
    <n v="4.3332759999999997"/>
    <n v="5.85"/>
    <n v="17"/>
    <n v="21"/>
    <n v="52"/>
    <n v="980"/>
    <n v="4246.6099999999997"/>
    <n v="95"/>
    <n v="885"/>
    <n v="19.63"/>
    <n v="0"/>
    <n v="196"/>
    <n v="1146.5999999999999"/>
    <n v="0"/>
    <x v="0"/>
    <s v="OK"/>
  </r>
  <r>
    <s v="IT-10054"/>
    <s v="Hydraulic hose 20-54"/>
    <x v="1"/>
    <x v="1"/>
    <x v="1"/>
    <s v="2025-06"/>
    <n v="4.4400000000000004"/>
    <n v="4.4400000000000004"/>
    <n v="4.3694730000000002"/>
    <n v="5.85"/>
    <n v="17"/>
    <n v="20"/>
    <n v="503"/>
    <n v="987"/>
    <n v="4312.67"/>
    <n v="95"/>
    <n v="892"/>
    <n v="14.51"/>
    <n v="2"/>
    <n v="496"/>
    <n v="2901.6"/>
    <n v="0"/>
    <x v="0"/>
    <s v="OK"/>
  </r>
  <r>
    <s v="IT-10054"/>
    <s v="Hydraulic hose 20-54"/>
    <x v="1"/>
    <x v="1"/>
    <x v="1"/>
    <s v="2025-07"/>
    <n v="4.3499999999999996"/>
    <n v="4.3499999999999996"/>
    <n v="4.3620419999999998"/>
    <n v="5.85"/>
    <n v="17"/>
    <n v="17"/>
    <n v="609"/>
    <n v="1156"/>
    <n v="5042.5200000000004"/>
    <n v="81"/>
    <n v="1075"/>
    <n v="13.42"/>
    <n v="0"/>
    <n v="440"/>
    <n v="2574"/>
    <n v="0"/>
    <x v="0"/>
    <s v="OK"/>
  </r>
  <r>
    <s v="IT-10054"/>
    <s v="Hydraulic hose 20-54"/>
    <x v="1"/>
    <x v="1"/>
    <x v="1"/>
    <s v="2025-08"/>
    <n v="4.3600000000000003"/>
    <n v="4.3600000000000003"/>
    <n v="4.3615589999999997"/>
    <n v="5.85"/>
    <n v="17"/>
    <n v="17"/>
    <n v="357"/>
    <n v="1135"/>
    <n v="4950.37"/>
    <n v="108"/>
    <n v="1027"/>
    <n v="11.35"/>
    <n v="0"/>
    <n v="378"/>
    <n v="2211.3000000000002"/>
    <n v="0"/>
    <x v="0"/>
    <s v="OK"/>
  </r>
  <r>
    <s v="IT-10054"/>
    <s v="Hydraulic hose 20-54"/>
    <x v="1"/>
    <x v="1"/>
    <x v="1"/>
    <s v="2025-09"/>
    <n v="4.4400000000000004"/>
    <n v="4.4400000000000004"/>
    <n v="4.3687230000000001"/>
    <n v="5.85"/>
    <n v="17"/>
    <n v="27"/>
    <n v="114"/>
    <n v="1206"/>
    <n v="5268.68"/>
    <n v="27"/>
    <n v="1179"/>
    <n v="18.41"/>
    <n v="6"/>
    <n v="43"/>
    <n v="251.55"/>
    <n v="0"/>
    <x v="0"/>
    <s v="OK"/>
  </r>
  <r>
    <s v="IT-10054"/>
    <s v="Hydraulic hose 20-54"/>
    <x v="1"/>
    <x v="1"/>
    <x v="1"/>
    <s v="2025-10"/>
    <n v="4.4400000000000004"/>
    <n v="4.4400000000000004"/>
    <n v="4.3760440000000003"/>
    <n v="5.85"/>
    <n v="17"/>
    <n v="25"/>
    <n v="138"/>
    <n v="991"/>
    <n v="4336.66"/>
    <n v="41"/>
    <n v="950"/>
    <n v="16.829999999999998"/>
    <n v="0"/>
    <n v="353"/>
    <n v="2065.0500000000002"/>
    <n v="0"/>
    <x v="0"/>
    <s v="OK"/>
  </r>
  <r>
    <s v="IT-10054"/>
    <s v="Hydraulic hose 20-54"/>
    <x v="1"/>
    <x v="1"/>
    <x v="1"/>
    <s v="2025-11"/>
    <n v="4.3899999999999997"/>
    <n v="4.3899999999999997"/>
    <n v="4.3820189999999997"/>
    <n v="5.85"/>
    <n v="17"/>
    <n v="29"/>
    <n v="742"/>
    <n v="1288"/>
    <n v="5644.04"/>
    <n v="108"/>
    <n v="1180"/>
    <n v="19.91"/>
    <n v="3"/>
    <n v="445"/>
    <n v="2603.25"/>
    <n v="0"/>
    <x v="0"/>
    <s v="OK"/>
  </r>
  <r>
    <s v="IT-10054"/>
    <s v="Hydraulic hose 20-54"/>
    <x v="1"/>
    <x v="1"/>
    <x v="1"/>
    <s v="2025-12"/>
    <n v="4.34"/>
    <n v="4.34"/>
    <n v="4.381697"/>
    <n v="5.85"/>
    <n v="17"/>
    <n v="16"/>
    <n v="10"/>
    <n v="766"/>
    <n v="3356.38"/>
    <n v="108"/>
    <n v="658"/>
    <n v="7.57"/>
    <n v="5"/>
    <n v="532"/>
    <n v="3112.2"/>
    <n v="0"/>
    <x v="0"/>
    <s v="OK"/>
  </r>
  <r>
    <s v="IT-10054"/>
    <s v="Hydraulic hose 20-54"/>
    <x v="1"/>
    <x v="1"/>
    <x v="1"/>
    <s v="2026-01"/>
    <n v="4.5999999999999996"/>
    <n v="4.5999999999999996"/>
    <n v="4.4524109999999997"/>
    <n v="5.85"/>
    <n v="17"/>
    <n v="23"/>
    <n v="367"/>
    <n v="875"/>
    <n v="3895.86"/>
    <n v="41"/>
    <n v="834"/>
    <n v="9.31"/>
    <n v="2"/>
    <n v="258"/>
    <n v="1509.3"/>
    <n v="0"/>
    <x v="0"/>
    <s v="OK"/>
  </r>
  <r>
    <s v="IT-10054"/>
    <s v="Hydraulic hose 20-54"/>
    <x v="1"/>
    <x v="1"/>
    <x v="1"/>
    <s v="2026-02"/>
    <n v="4.49"/>
    <n v="4.49"/>
    <n v="4.4639850000000001"/>
    <n v="6.01"/>
    <n v="17"/>
    <n v="17"/>
    <n v="389"/>
    <n v="537"/>
    <n v="2397.16"/>
    <n v="108"/>
    <n v="429"/>
    <n v="4.55"/>
    <n v="2"/>
    <n v="727"/>
    <n v="4369.2700000000004"/>
    <n v="0"/>
    <x v="0"/>
    <s v="OK"/>
  </r>
  <r>
    <s v="IT-10054"/>
    <s v="Hydraulic hose 20-54"/>
    <x v="1"/>
    <x v="1"/>
    <x v="1"/>
    <s v="2026-03"/>
    <n v="4.5"/>
    <n v="4.5"/>
    <n v="4.4820789999999997"/>
    <n v="6.01"/>
    <n v="17"/>
    <n v="30"/>
    <n v="542"/>
    <n v="433"/>
    <n v="1940.74"/>
    <n v="54"/>
    <n v="379"/>
    <n v="3.41"/>
    <n v="1"/>
    <n v="646"/>
    <n v="3882.46"/>
    <n v="0"/>
    <x v="0"/>
    <s v="OK"/>
  </r>
  <r>
    <s v="IT-10054"/>
    <s v="Hydraulic hose 20-54"/>
    <x v="1"/>
    <x v="1"/>
    <x v="1"/>
    <s v="2026-04"/>
    <n v="4.5599999999999996"/>
    <n v="4.5599999999999996"/>
    <n v="4.5276740000000002"/>
    <n v="6.01"/>
    <n v="17"/>
    <n v="17"/>
    <n v="611"/>
    <n v="516"/>
    <n v="2336.2800000000002"/>
    <n v="122"/>
    <n v="394"/>
    <n v="3.45"/>
    <n v="0"/>
    <n v="528"/>
    <n v="3173.28"/>
    <n v="0"/>
    <x v="0"/>
    <s v="OK"/>
  </r>
  <r>
    <s v="IT-10054"/>
    <s v="Hydraulic hose 20-54"/>
    <x v="1"/>
    <x v="1"/>
    <x v="1"/>
    <s v="2026-05"/>
    <n v="4.5599999999999996"/>
    <n v="4.5599999999999996"/>
    <n v="4.5489050000000004"/>
    <n v="6.01"/>
    <n v="17"/>
    <n v="15"/>
    <n v="987"/>
    <n v="1406"/>
    <n v="6395.76"/>
    <n v="27"/>
    <n v="1379"/>
    <n v="14.54"/>
    <n v="0"/>
    <n v="97"/>
    <n v="582.97"/>
    <n v="0"/>
    <x v="0"/>
    <s v="OK"/>
  </r>
  <r>
    <s v="IT-10054"/>
    <s v="Hydraulic hose 20-54"/>
    <x v="1"/>
    <x v="1"/>
    <x v="1"/>
    <s v="2026-06"/>
    <n v="4.66"/>
    <n v="4.66"/>
    <n v="4.548908"/>
    <n v="6.01"/>
    <n v="17"/>
    <m/>
    <n v="0"/>
    <n v="1172"/>
    <n v="5331.32"/>
    <n v="108"/>
    <n v="1064"/>
    <n v="17.739999999999998"/>
    <n v="0"/>
    <n v="234"/>
    <n v="1406.34"/>
    <n v="0"/>
    <x v="0"/>
    <s v="OK"/>
  </r>
  <r>
    <s v="IT-10054"/>
    <s v="Hydraulic hose 20-54"/>
    <x v="1"/>
    <x v="1"/>
    <x v="1"/>
    <s v="2026-07"/>
    <n v="4.55"/>
    <n v="4.55"/>
    <n v="4.5489220000000001"/>
    <n v="6.01"/>
    <n v="17"/>
    <n v="15"/>
    <n v="10"/>
    <n v="835"/>
    <n v="3798.35"/>
    <n v="54"/>
    <n v="781"/>
    <n v="16.190000000000001"/>
    <n v="1"/>
    <n v="347"/>
    <n v="2085.4699999999998"/>
    <n v="0"/>
    <x v="0"/>
    <s v="OK"/>
  </r>
  <r>
    <s v="IT-10054"/>
    <s v="Hydraulic hose 20-54"/>
    <x v="1"/>
    <x v="1"/>
    <x v="1"/>
    <s v="2026-08"/>
    <n v="4.5999999999999996"/>
    <n v="4.5999999999999996"/>
    <n v="4.560943"/>
    <n v="6.01"/>
    <n v="17"/>
    <n v="21"/>
    <n v="257"/>
    <n v="1092"/>
    <n v="4980.55"/>
    <n v="81"/>
    <n v="1011"/>
    <n v="24.7"/>
    <n v="32"/>
    <n v="0"/>
    <n v="0"/>
    <n v="0"/>
    <x v="0"/>
    <s v="OK"/>
  </r>
  <r>
    <s v="IT-10055"/>
    <s v="Control switch L-55"/>
    <x v="3"/>
    <x v="3"/>
    <x v="1"/>
    <s v="2024-09"/>
    <n v="548.66"/>
    <n v="548.66"/>
    <n v="551.02089899999999"/>
    <n v="817.51"/>
    <n v="60"/>
    <n v="60"/>
    <n v="68"/>
    <n v="89"/>
    <n v="49040.86"/>
    <n v="2"/>
    <n v="87"/>
    <n v="13.93"/>
    <n v="3"/>
    <n v="36"/>
    <n v="29430.36"/>
    <n v="0"/>
    <x v="0"/>
    <s v="OK"/>
  </r>
  <r>
    <s v="IT-10055"/>
    <s v="Control switch L-55"/>
    <x v="3"/>
    <x v="3"/>
    <x v="1"/>
    <s v="2024-10"/>
    <n v="553.89"/>
    <n v="553.89"/>
    <n v="551.54739099999995"/>
    <n v="817.51"/>
    <n v="60"/>
    <n v="105"/>
    <n v="20"/>
    <n v="92"/>
    <n v="50742.36"/>
    <n v="6"/>
    <n v="86"/>
    <n v="17.27"/>
    <n v="15"/>
    <n v="17"/>
    <n v="13897.67"/>
    <n v="0"/>
    <x v="0"/>
    <s v="OK"/>
  </r>
  <r>
    <s v="IT-10055"/>
    <s v="Control switch L-55"/>
    <x v="3"/>
    <x v="3"/>
    <x v="1"/>
    <s v="2024-11"/>
    <n v="559.5"/>
    <n v="559.5"/>
    <n v="553.29968099999996"/>
    <n v="817.51"/>
    <n v="60"/>
    <n v="55"/>
    <n v="26"/>
    <n v="94"/>
    <n v="52010.17"/>
    <n v="7"/>
    <n v="87"/>
    <n v="15.87"/>
    <n v="0"/>
    <n v="24"/>
    <n v="19620.240000000002"/>
    <n v="0"/>
    <x v="0"/>
    <s v="OK"/>
  </r>
  <r>
    <s v="IT-10055"/>
    <s v="Control switch L-55"/>
    <x v="3"/>
    <x v="3"/>
    <x v="1"/>
    <s v="2024-12"/>
    <n v="559.82000000000005"/>
    <n v="559.82000000000005"/>
    <n v="553.29963399999997"/>
    <n v="817.51"/>
    <n v="60"/>
    <m/>
    <n v="0"/>
    <n v="82"/>
    <n v="45370.57"/>
    <n v="7"/>
    <n v="75"/>
    <n v="20.329999999999998"/>
    <n v="3"/>
    <n v="12"/>
    <n v="9810.1200000000008"/>
    <n v="0"/>
    <x v="0"/>
    <s v="OK"/>
  </r>
  <r>
    <s v="IT-10055"/>
    <s v="Control switch L-55"/>
    <x v="3"/>
    <x v="3"/>
    <x v="1"/>
    <s v="2025-01"/>
    <n v="564.42999999999995"/>
    <n v="564.42999999999995"/>
    <n v="556.69536600000004"/>
    <n v="817.51"/>
    <n v="60"/>
    <n v="80"/>
    <n v="36"/>
    <n v="82"/>
    <n v="45649.02"/>
    <n v="2"/>
    <n v="80"/>
    <n v="14.97"/>
    <n v="1"/>
    <n v="36"/>
    <n v="29430.36"/>
    <n v="0"/>
    <x v="0"/>
    <s v="OK"/>
  </r>
  <r>
    <s v="IT-10055"/>
    <s v="Control switch L-55"/>
    <x v="3"/>
    <x v="3"/>
    <x v="1"/>
    <s v="2025-02"/>
    <n v="567.04"/>
    <n v="567.04"/>
    <n v="556.69535699999994"/>
    <n v="860.78"/>
    <n v="60"/>
    <m/>
    <n v="0"/>
    <n v="56"/>
    <n v="31174.94"/>
    <n v="2"/>
    <n v="54"/>
    <n v="9.73"/>
    <n v="1"/>
    <n v="26"/>
    <n v="22380.28"/>
    <n v="0"/>
    <x v="0"/>
    <s v="OK"/>
  </r>
  <r>
    <s v="IT-10055"/>
    <s v="Control switch L-55"/>
    <x v="3"/>
    <x v="3"/>
    <x v="1"/>
    <s v="2025-03"/>
    <n v="597.23"/>
    <n v="597.23"/>
    <n v="577.14209300000005"/>
    <n v="860.78"/>
    <n v="60"/>
    <n v="59"/>
    <n v="57"/>
    <n v="86"/>
    <n v="49634.22"/>
    <n v="3"/>
    <n v="83"/>
    <n v="12.42"/>
    <n v="8"/>
    <n v="27"/>
    <n v="23241.06"/>
    <n v="0"/>
    <x v="0"/>
    <s v="OK"/>
  </r>
  <r>
    <s v="IT-10055"/>
    <s v="Control switch L-55"/>
    <x v="3"/>
    <x v="3"/>
    <x v="1"/>
    <s v="2025-04"/>
    <n v="596.80999999999995"/>
    <n v="596.80999999999995"/>
    <n v="577.14202699999998"/>
    <n v="860.78"/>
    <n v="60"/>
    <m/>
    <n v="0"/>
    <n v="74"/>
    <n v="42708.51"/>
    <n v="3"/>
    <n v="71"/>
    <n v="14.47"/>
    <n v="1"/>
    <n v="12"/>
    <n v="10329.36"/>
    <n v="0"/>
    <x v="0"/>
    <s v="OK"/>
  </r>
  <r>
    <s v="IT-10055"/>
    <s v="Control switch L-55"/>
    <x v="3"/>
    <x v="3"/>
    <x v="1"/>
    <s v="2025-05"/>
    <n v="598.48"/>
    <n v="598.48"/>
    <n v="581.68200000000002"/>
    <n v="860.78"/>
    <n v="60"/>
    <n v="51"/>
    <n v="20"/>
    <n v="55"/>
    <n v="31992.51"/>
    <n v="4"/>
    <n v="51"/>
    <n v="9.27"/>
    <n v="3"/>
    <n v="39"/>
    <n v="33570.42"/>
    <n v="0"/>
    <x v="0"/>
    <s v="OK"/>
  </r>
  <r>
    <s v="IT-10055"/>
    <s v="Control switch L-55"/>
    <x v="3"/>
    <x v="3"/>
    <x v="1"/>
    <s v="2025-06"/>
    <n v="582.25"/>
    <n v="582.25"/>
    <n v="581.83339599999999"/>
    <n v="860.78"/>
    <n v="60"/>
    <n v="58"/>
    <n v="20"/>
    <n v="53"/>
    <n v="30837.17"/>
    <n v="8"/>
    <n v="45"/>
    <n v="9.44"/>
    <n v="2"/>
    <n v="22"/>
    <n v="18937.16"/>
    <n v="0"/>
    <x v="0"/>
    <s v="OK"/>
  </r>
  <r>
    <s v="IT-10055"/>
    <s v="Control switch L-55"/>
    <x v="3"/>
    <x v="3"/>
    <x v="1"/>
    <s v="2025-07"/>
    <n v="599.30999999999995"/>
    <n v="599.30999999999995"/>
    <n v="592.016569"/>
    <n v="860.78"/>
    <n v="60"/>
    <n v="55"/>
    <n v="74"/>
    <n v="102"/>
    <n v="60385.69"/>
    <n v="8"/>
    <n v="94"/>
    <n v="15.59"/>
    <n v="0"/>
    <n v="25"/>
    <n v="21519.5"/>
    <n v="0"/>
    <x v="0"/>
    <s v="OK"/>
  </r>
  <r>
    <s v="IT-10055"/>
    <s v="Control switch L-55"/>
    <x v="3"/>
    <x v="3"/>
    <x v="1"/>
    <s v="2025-08"/>
    <n v="591.15"/>
    <n v="591.15"/>
    <n v="591.87449400000003"/>
    <n v="860.78"/>
    <n v="60"/>
    <n v="56"/>
    <n v="20"/>
    <n v="89"/>
    <n v="52676.83"/>
    <n v="2"/>
    <n v="87"/>
    <n v="14.62"/>
    <n v="3"/>
    <n v="33"/>
    <n v="28405.74"/>
    <n v="0"/>
    <x v="0"/>
    <s v="OK"/>
  </r>
  <r>
    <s v="IT-10055"/>
    <s v="Control switch L-55"/>
    <x v="3"/>
    <x v="3"/>
    <x v="1"/>
    <s v="2025-09"/>
    <n v="586.52"/>
    <n v="586.52"/>
    <n v="590.70031300000005"/>
    <n v="860.78"/>
    <n v="60"/>
    <n v="55"/>
    <n v="25"/>
    <n v="96"/>
    <n v="56707.23"/>
    <n v="8"/>
    <n v="88"/>
    <n v="16.600000000000001"/>
    <n v="5"/>
    <n v="18"/>
    <n v="15494.04"/>
    <n v="0"/>
    <x v="0"/>
    <s v="OK"/>
  </r>
  <r>
    <s v="IT-10055"/>
    <s v="Control switch L-55"/>
    <x v="3"/>
    <x v="3"/>
    <x v="1"/>
    <s v="2025-10"/>
    <n v="587.96"/>
    <n v="587.96"/>
    <n v="590.22789499999999"/>
    <n v="860.78"/>
    <n v="60"/>
    <n v="59"/>
    <n v="20"/>
    <n v="95"/>
    <n v="56071.65"/>
    <n v="6"/>
    <n v="89"/>
    <n v="17.34"/>
    <n v="4"/>
    <n v="21"/>
    <n v="18076.38"/>
    <n v="0"/>
    <x v="0"/>
    <s v="OK"/>
  </r>
  <r>
    <s v="IT-10055"/>
    <s v="Control switch L-55"/>
    <x v="3"/>
    <x v="3"/>
    <x v="1"/>
    <s v="2025-11"/>
    <n v="598.26"/>
    <n v="598.26"/>
    <n v="591.62480000000005"/>
    <n v="860.78"/>
    <n v="60"/>
    <n v="54"/>
    <n v="20"/>
    <n v="100"/>
    <n v="59162.48"/>
    <n v="5"/>
    <n v="95"/>
    <n v="24.07"/>
    <n v="11"/>
    <n v="15"/>
    <n v="12911.7"/>
    <n v="0"/>
    <x v="0"/>
    <s v="OK"/>
  </r>
  <r>
    <s v="IT-10055"/>
    <s v="Control switch L-55"/>
    <x v="3"/>
    <x v="3"/>
    <x v="1"/>
    <s v="2025-12"/>
    <n v="594.46"/>
    <n v="594.46"/>
    <n v="591.62478899999996"/>
    <n v="860.78"/>
    <n v="60"/>
    <m/>
    <n v="0"/>
    <n v="71"/>
    <n v="42005.36"/>
    <n v="4"/>
    <n v="67"/>
    <n v="14.36"/>
    <n v="6"/>
    <n v="29"/>
    <n v="24962.62"/>
    <n v="0"/>
    <x v="0"/>
    <s v="OK"/>
  </r>
  <r>
    <s v="IT-10055"/>
    <s v="Control switch L-55"/>
    <x v="3"/>
    <x v="3"/>
    <x v="1"/>
    <s v="2026-01"/>
    <n v="598.44000000000005"/>
    <n v="598.44000000000005"/>
    <n v="593.12267599999996"/>
    <n v="860.78"/>
    <n v="60"/>
    <n v="52"/>
    <n v="20"/>
    <n v="71"/>
    <n v="42111.71"/>
    <n v="2"/>
    <n v="69"/>
    <n v="14.58"/>
    <n v="0"/>
    <n v="20"/>
    <n v="17215.599999999999"/>
    <n v="0"/>
    <x v="0"/>
    <s v="OK"/>
  </r>
  <r>
    <s v="IT-10055"/>
    <s v="Control switch L-55"/>
    <x v="3"/>
    <x v="3"/>
    <x v="1"/>
    <s v="2026-02"/>
    <n v="599.62"/>
    <n v="599.62"/>
    <n v="595.14125000000001"/>
    <n v="906.34"/>
    <n v="60"/>
    <n v="52"/>
    <n v="32"/>
    <n v="80"/>
    <n v="47611.3"/>
    <n v="8"/>
    <n v="72"/>
    <n v="14.29"/>
    <n v="3"/>
    <n v="23"/>
    <n v="20845.82"/>
    <n v="0"/>
    <x v="0"/>
    <s v="OK"/>
  </r>
  <r>
    <s v="IT-10055"/>
    <s v="Control switch L-55"/>
    <x v="3"/>
    <x v="3"/>
    <x v="1"/>
    <s v="2026-03"/>
    <n v="621.35"/>
    <n v="621.35"/>
    <n v="600.38302299999998"/>
    <n v="906.34"/>
    <n v="60"/>
    <n v="53"/>
    <n v="20"/>
    <n v="86"/>
    <n v="51632.94"/>
    <n v="6"/>
    <n v="80"/>
    <n v="19.399999999999999"/>
    <n v="12"/>
    <n v="14"/>
    <n v="12688.76"/>
    <n v="0"/>
    <x v="0"/>
    <s v="OK"/>
  </r>
  <r>
    <s v="IT-10055"/>
    <s v="Control switch L-55"/>
    <x v="3"/>
    <x v="3"/>
    <x v="1"/>
    <s v="2026-04"/>
    <n v="617.52"/>
    <n v="617.52"/>
    <n v="605.538095"/>
    <n v="906.34"/>
    <n v="60"/>
    <n v="54"/>
    <n v="37"/>
    <n v="105"/>
    <n v="63581.5"/>
    <n v="3"/>
    <n v="102"/>
    <n v="24.27"/>
    <n v="1"/>
    <n v="18"/>
    <n v="16314.12"/>
    <n v="0"/>
    <x v="0"/>
    <s v="OK"/>
  </r>
  <r>
    <s v="IT-10055"/>
    <s v="Control switch L-55"/>
    <x v="3"/>
    <x v="3"/>
    <x v="1"/>
    <s v="2026-05"/>
    <n v="638.28"/>
    <n v="638.28"/>
    <n v="612.03653499999996"/>
    <n v="906.34"/>
    <n v="60"/>
    <n v="56"/>
    <n v="26"/>
    <n v="101"/>
    <n v="61815.69"/>
    <n v="6"/>
    <n v="95"/>
    <n v="21.41"/>
    <n v="2"/>
    <n v="30"/>
    <n v="27190.2"/>
    <n v="0"/>
    <x v="0"/>
    <s v="OK"/>
  </r>
  <r>
    <s v="IT-10055"/>
    <s v="Control switch L-55"/>
    <x v="3"/>
    <x v="3"/>
    <x v="1"/>
    <s v="2026-06"/>
    <n v="627.67999999999995"/>
    <n v="627.67999999999995"/>
    <n v="612.03658800000005"/>
    <n v="906.34"/>
    <n v="60"/>
    <m/>
    <n v="0"/>
    <n v="85"/>
    <n v="52023.11"/>
    <n v="3"/>
    <n v="82"/>
    <n v="17.27"/>
    <n v="9"/>
    <n v="16"/>
    <n v="14501.44"/>
    <n v="0"/>
    <x v="0"/>
    <s v="OK"/>
  </r>
  <r>
    <s v="IT-10055"/>
    <s v="Control switch L-55"/>
    <x v="3"/>
    <x v="3"/>
    <x v="1"/>
    <s v="2026-07"/>
    <n v="627.15"/>
    <n v="627.15"/>
    <n v="616.26322200000004"/>
    <n v="906.34"/>
    <n v="60"/>
    <n v="55"/>
    <n v="33"/>
    <n v="90"/>
    <n v="55463.69"/>
    <n v="6"/>
    <n v="84"/>
    <n v="15.98"/>
    <n v="2"/>
    <n v="28"/>
    <n v="25377.52"/>
    <n v="0"/>
    <x v="0"/>
    <s v="OK"/>
  </r>
  <r>
    <s v="IT-10055"/>
    <s v="Control switch L-55"/>
    <x v="3"/>
    <x v="3"/>
    <x v="1"/>
    <s v="2026-08"/>
    <n v="627.96"/>
    <n v="627.96"/>
    <n v="616.263148"/>
    <n v="906.34"/>
    <n v="60"/>
    <m/>
    <n v="0"/>
    <n v="54"/>
    <n v="33278.21"/>
    <n v="6"/>
    <n v="48"/>
    <n v="8.8699999999999992"/>
    <n v="2"/>
    <n v="36"/>
    <n v="32628.240000000002"/>
    <n v="0"/>
    <x v="0"/>
    <s v="OK"/>
  </r>
  <r>
    <s v="IT-10056"/>
    <s v="Sensor unit 10-56"/>
    <x v="3"/>
    <x v="3"/>
    <x v="0"/>
    <s v="2024-09"/>
    <n v="70.33"/>
    <n v="76.209999999999994"/>
    <n v="76.068213999999998"/>
    <n v="100.81"/>
    <n v="23"/>
    <n v="20"/>
    <n v="750"/>
    <n v="459"/>
    <n v="34915.31"/>
    <n v="65"/>
    <n v="394"/>
    <n v="7.3"/>
    <n v="0"/>
    <n v="391"/>
    <n v="39416.71"/>
    <n v="0"/>
    <x v="0"/>
    <s v="OK"/>
  </r>
  <r>
    <s v="IT-10056"/>
    <s v="Sensor unit 10-56"/>
    <x v="3"/>
    <x v="3"/>
    <x v="0"/>
    <s v="2024-10"/>
    <n v="69.97"/>
    <n v="75.819999999999993"/>
    <n v="75.974376000000007"/>
    <n v="100.81"/>
    <n v="23"/>
    <n v="22"/>
    <n v="279"/>
    <n v="505"/>
    <n v="38367.06"/>
    <n v="65"/>
    <n v="440"/>
    <n v="7.14"/>
    <n v="0"/>
    <n v="233"/>
    <n v="23488.73"/>
    <n v="0"/>
    <x v="0"/>
    <s v="OK"/>
  </r>
  <r>
    <s v="IT-10056"/>
    <s v="Sensor unit 10-56"/>
    <x v="3"/>
    <x v="3"/>
    <x v="0"/>
    <s v="2024-11"/>
    <n v="69.900000000000006"/>
    <n v="75.75"/>
    <n v="75.974377000000004"/>
    <n v="100.81"/>
    <n v="23"/>
    <m/>
    <n v="0"/>
    <n v="313"/>
    <n v="23779.98"/>
    <n v="65"/>
    <n v="248"/>
    <n v="4.99"/>
    <n v="4"/>
    <n v="192"/>
    <n v="19355.52"/>
    <n v="0"/>
    <x v="0"/>
    <s v="OK"/>
  </r>
  <r>
    <s v="IT-10056"/>
    <s v="Sensor unit 10-56"/>
    <x v="3"/>
    <x v="3"/>
    <x v="0"/>
    <s v="2024-12"/>
    <n v="70.430000000000007"/>
    <n v="76.319999999999993"/>
    <n v="76.111969000000002"/>
    <n v="100.81"/>
    <n v="23"/>
    <n v="20"/>
    <n v="207"/>
    <n v="457"/>
    <n v="34783.17"/>
    <n v="65"/>
    <n v="392"/>
    <n v="12.31"/>
    <n v="0"/>
    <n v="63"/>
    <n v="6351.03"/>
    <n v="0"/>
    <x v="0"/>
    <s v="OK"/>
  </r>
  <r>
    <s v="IT-10056"/>
    <s v="Sensor unit 10-56"/>
    <x v="3"/>
    <x v="3"/>
    <x v="0"/>
    <s v="2025-01"/>
    <n v="68.84"/>
    <n v="74.599999999999994"/>
    <n v="76.111951000000005"/>
    <n v="100.81"/>
    <n v="23"/>
    <m/>
    <n v="0"/>
    <n v="205"/>
    <n v="15602.95"/>
    <n v="65"/>
    <n v="140"/>
    <n v="5.31"/>
    <n v="4"/>
    <n v="252"/>
    <n v="25404.12"/>
    <n v="0"/>
    <x v="0"/>
    <s v="OK"/>
  </r>
  <r>
    <s v="IT-10056"/>
    <s v="Sensor unit 10-56"/>
    <x v="3"/>
    <x v="3"/>
    <x v="0"/>
    <s v="2025-02"/>
    <n v="69.069999999999993"/>
    <n v="74.849999999999994"/>
    <n v="75.306262000000004"/>
    <n v="106.64"/>
    <n v="23"/>
    <n v="20"/>
    <n v="362"/>
    <n v="305"/>
    <n v="22968.41"/>
    <n v="40"/>
    <n v="265"/>
    <n v="6.8"/>
    <n v="1"/>
    <n v="262"/>
    <n v="27939.68"/>
    <n v="0"/>
    <x v="0"/>
    <s v="OK"/>
  </r>
  <r>
    <s v="IT-10056"/>
    <s v="Sensor unit 10-56"/>
    <x v="3"/>
    <x v="3"/>
    <x v="0"/>
    <s v="2025-03"/>
    <n v="73.97"/>
    <n v="80.16"/>
    <n v="77.251546000000005"/>
    <n v="106.64"/>
    <n v="23"/>
    <n v="21"/>
    <n v="204"/>
    <n v="97"/>
    <n v="7493.4"/>
    <n v="56"/>
    <n v="41"/>
    <n v="1.35"/>
    <n v="0"/>
    <n v="412"/>
    <n v="43935.68"/>
    <n v="0"/>
    <x v="0"/>
    <s v="OK"/>
  </r>
  <r>
    <s v="IT-10056"/>
    <s v="Sensor unit 10-56"/>
    <x v="3"/>
    <x v="3"/>
    <x v="0"/>
    <s v="2025-04"/>
    <n v="73.62"/>
    <n v="79.78"/>
    <n v="79.102475999999996"/>
    <n v="106.64"/>
    <n v="23"/>
    <n v="21"/>
    <n v="265"/>
    <n v="105"/>
    <n v="8305.76"/>
    <n v="24"/>
    <n v="81"/>
    <n v="1.43"/>
    <n v="0"/>
    <n v="257"/>
    <n v="27406.48"/>
    <n v="0"/>
    <x v="0"/>
    <s v="OK"/>
  </r>
  <r>
    <s v="IT-10056"/>
    <s v="Sensor unit 10-56"/>
    <x v="3"/>
    <x v="3"/>
    <x v="0"/>
    <s v="2025-05"/>
    <n v="73.97"/>
    <n v="80.16"/>
    <n v="80.024420000000006"/>
    <n v="106.64"/>
    <n v="23"/>
    <n v="21"/>
    <n v="714"/>
    <n v="500"/>
    <n v="40012.21"/>
    <n v="24"/>
    <n v="476"/>
    <n v="6.65"/>
    <n v="0"/>
    <n v="319"/>
    <n v="34018.160000000003"/>
    <n v="0"/>
    <x v="0"/>
    <s v="OK"/>
  </r>
  <r>
    <s v="IT-10056"/>
    <s v="Sensor unit 10-56"/>
    <x v="3"/>
    <x v="3"/>
    <x v="0"/>
    <s v="2025-06"/>
    <n v="74.61"/>
    <n v="80.849999999999994"/>
    <n v="80.024428"/>
    <n v="106.64"/>
    <n v="23"/>
    <m/>
    <n v="0"/>
    <n v="402"/>
    <n v="32169.82"/>
    <n v="40"/>
    <n v="362"/>
    <n v="7.75"/>
    <n v="0"/>
    <n v="98"/>
    <n v="10450.719999999999"/>
    <n v="0"/>
    <x v="0"/>
    <s v="OK"/>
  </r>
  <r>
    <s v="IT-10056"/>
    <s v="Sensor unit 10-56"/>
    <x v="3"/>
    <x v="3"/>
    <x v="0"/>
    <s v="2025-07"/>
    <n v="73.540000000000006"/>
    <n v="79.69"/>
    <n v="79.961590000000001"/>
    <n v="106.64"/>
    <n v="23"/>
    <n v="23"/>
    <n v="93"/>
    <n v="239"/>
    <n v="19110.82"/>
    <n v="24"/>
    <n v="215"/>
    <n v="4.67"/>
    <n v="3"/>
    <n v="256"/>
    <n v="27299.84"/>
    <n v="0"/>
    <x v="0"/>
    <s v="OK"/>
  </r>
  <r>
    <s v="IT-10056"/>
    <s v="Sensor unit 10-56"/>
    <x v="3"/>
    <x v="3"/>
    <x v="0"/>
    <s v="2025-08"/>
    <n v="73.55"/>
    <n v="79.7"/>
    <n v="79.810068999999999"/>
    <n v="106.64"/>
    <n v="23"/>
    <n v="27"/>
    <n v="329"/>
    <n v="437"/>
    <n v="34877"/>
    <n v="73"/>
    <n v="364"/>
    <n v="11.84"/>
    <n v="0"/>
    <n v="131"/>
    <n v="13969.84"/>
    <n v="0"/>
    <x v="0"/>
    <s v="OK"/>
  </r>
  <r>
    <s v="IT-10056"/>
    <s v="Sensor unit 10-56"/>
    <x v="3"/>
    <x v="3"/>
    <x v="0"/>
    <s v="2025-09"/>
    <n v="72.91"/>
    <n v="79.010000000000005"/>
    <n v="79.810062000000002"/>
    <n v="106.64"/>
    <n v="23"/>
    <m/>
    <n v="0"/>
    <n v="162"/>
    <n v="12929.23"/>
    <n v="81"/>
    <n v="81"/>
    <n v="3.22"/>
    <n v="0"/>
    <n v="275"/>
    <n v="29326"/>
    <n v="0"/>
    <x v="0"/>
    <s v="OK"/>
  </r>
  <r>
    <s v="IT-10056"/>
    <s v="Sensor unit 10-56"/>
    <x v="3"/>
    <x v="3"/>
    <x v="0"/>
    <s v="2025-10"/>
    <n v="73.59"/>
    <n v="79.739999999999995"/>
    <n v="79.760875999999996"/>
    <n v="106.64"/>
    <n v="23"/>
    <n v="22"/>
    <n v="382"/>
    <n v="354"/>
    <n v="28235.35"/>
    <n v="65"/>
    <n v="289"/>
    <n v="7.81"/>
    <n v="0"/>
    <n v="190"/>
    <n v="20261.599999999999"/>
    <n v="0"/>
    <x v="0"/>
    <s v="OK"/>
  </r>
  <r>
    <s v="IT-10056"/>
    <s v="Sensor unit 10-56"/>
    <x v="3"/>
    <x v="3"/>
    <x v="0"/>
    <s v="2025-11"/>
    <n v="72.12"/>
    <n v="78.150000000000006"/>
    <n v="79.031369999999995"/>
    <n v="106.64"/>
    <n v="23"/>
    <n v="22"/>
    <n v="293"/>
    <n v="292"/>
    <n v="23077.16"/>
    <n v="32"/>
    <n v="260"/>
    <n v="4.63"/>
    <n v="2"/>
    <n v="355"/>
    <n v="37857.199999999997"/>
    <n v="0"/>
    <x v="0"/>
    <s v="OK"/>
  </r>
  <r>
    <s v="IT-10056"/>
    <s v="Sensor unit 10-56"/>
    <x v="3"/>
    <x v="3"/>
    <x v="0"/>
    <s v="2025-12"/>
    <n v="73.11"/>
    <n v="79.22"/>
    <n v="79.080832999999998"/>
    <n v="106.64"/>
    <n v="23"/>
    <n v="21"/>
    <n v="104"/>
    <n v="24"/>
    <n v="1897.94"/>
    <n v="24"/>
    <n v="0"/>
    <n v="0.34"/>
    <n v="1"/>
    <n v="372"/>
    <n v="39670.080000000002"/>
    <n v="0"/>
    <x v="0"/>
    <s v="OK"/>
  </r>
  <r>
    <s v="IT-10056"/>
    <s v="Sensor unit 10-56"/>
    <x v="3"/>
    <x v="3"/>
    <x v="0"/>
    <s v="2026-01"/>
    <n v="73.87"/>
    <n v="80.05"/>
    <n v="80.007223999999994"/>
    <n v="106.64"/>
    <n v="23"/>
    <n v="21"/>
    <n v="520"/>
    <n v="245"/>
    <n v="19601.77"/>
    <n v="73"/>
    <n v="172"/>
    <n v="3.14"/>
    <n v="0"/>
    <n v="299"/>
    <n v="31885.360000000001"/>
    <n v="0"/>
    <x v="0"/>
    <s v="OK"/>
  </r>
  <r>
    <s v="IT-10056"/>
    <s v="Sensor unit 10-56"/>
    <x v="3"/>
    <x v="3"/>
    <x v="0"/>
    <s v="2026-02"/>
    <n v="72.88"/>
    <n v="78.98"/>
    <n v="79.472492000000003"/>
    <n v="112.8"/>
    <n v="23"/>
    <n v="21"/>
    <n v="266"/>
    <n v="325"/>
    <n v="25828.560000000001"/>
    <n v="65"/>
    <n v="260"/>
    <n v="4.88"/>
    <n v="3"/>
    <n v="186"/>
    <n v="20980.799999999999"/>
    <n v="0"/>
    <x v="0"/>
    <s v="OK"/>
  </r>
  <r>
    <s v="IT-10056"/>
    <s v="Sensor unit 10-56"/>
    <x v="3"/>
    <x v="3"/>
    <x v="0"/>
    <s v="2026-03"/>
    <n v="77.239999999999995"/>
    <n v="83.7"/>
    <n v="80.555985000000007"/>
    <n v="112.8"/>
    <n v="23"/>
    <n v="30"/>
    <n v="112"/>
    <n v="137"/>
    <n v="11036.17"/>
    <n v="65"/>
    <n v="72"/>
    <n v="2.2400000000000002"/>
    <n v="1"/>
    <n v="300"/>
    <n v="33840"/>
    <n v="0"/>
    <x v="0"/>
    <s v="OK"/>
  </r>
  <r>
    <s v="IT-10056"/>
    <s v="Sensor unit 10-56"/>
    <x v="3"/>
    <x v="3"/>
    <x v="0"/>
    <s v="2026-04"/>
    <n v="78.06"/>
    <n v="84.59"/>
    <n v="83.473522000000003"/>
    <n v="112.8"/>
    <n v="23"/>
    <n v="27"/>
    <n v="358"/>
    <n v="301"/>
    <n v="25125.53"/>
    <n v="56"/>
    <n v="245"/>
    <n v="5.63"/>
    <n v="0"/>
    <n v="194"/>
    <n v="21883.200000000001"/>
    <n v="0"/>
    <x v="0"/>
    <s v="OK"/>
  </r>
  <r>
    <s v="IT-10056"/>
    <s v="Sensor unit 10-56"/>
    <x v="3"/>
    <x v="3"/>
    <x v="0"/>
    <s v="2026-05"/>
    <n v="78.44"/>
    <n v="85"/>
    <n v="83.586236999999997"/>
    <n v="112.8"/>
    <n v="23"/>
    <n v="21"/>
    <n v="24"/>
    <n v="287"/>
    <n v="23989.25"/>
    <n v="81"/>
    <n v="206"/>
    <n v="7.09"/>
    <n v="4"/>
    <n v="38"/>
    <n v="4286.3999999999996"/>
    <n v="0"/>
    <x v="0"/>
    <s v="OK"/>
  </r>
  <r>
    <s v="IT-10056"/>
    <s v="Sensor unit 10-56"/>
    <x v="3"/>
    <x v="3"/>
    <x v="0"/>
    <s v="2026-06"/>
    <n v="78.66"/>
    <n v="85.24"/>
    <n v="83.586250000000007"/>
    <n v="112.8"/>
    <n v="23"/>
    <m/>
    <n v="0"/>
    <n v="88"/>
    <n v="7355.59"/>
    <n v="16"/>
    <n v="72"/>
    <n v="2.65"/>
    <n v="7"/>
    <n v="199"/>
    <n v="22447.200000000001"/>
    <n v="0"/>
    <x v="0"/>
    <s v="OK"/>
  </r>
  <r>
    <s v="IT-10056"/>
    <s v="Sensor unit 10-56"/>
    <x v="3"/>
    <x v="3"/>
    <x v="0"/>
    <s v="2026-07"/>
    <n v="77.58"/>
    <n v="84.07"/>
    <n v="83.963809999999995"/>
    <n v="112.8"/>
    <n v="23"/>
    <n v="23"/>
    <n v="313"/>
    <n v="21"/>
    <n v="1763.24"/>
    <n v="21"/>
    <n v="0"/>
    <n v="0.45"/>
    <n v="3"/>
    <n v="380"/>
    <n v="42864"/>
    <n v="0"/>
    <x v="0"/>
    <s v="OK"/>
  </r>
  <r>
    <s v="IT-10056"/>
    <s v="Sensor unit 10-56"/>
    <x v="3"/>
    <x v="3"/>
    <x v="0"/>
    <s v="2026-08"/>
    <n v="78.94"/>
    <n v="85.54"/>
    <n v="85.488366999999997"/>
    <n v="112.8"/>
    <n v="23"/>
    <n v="20"/>
    <n v="620"/>
    <n v="441"/>
    <n v="37700.370000000003"/>
    <n v="40"/>
    <n v="401"/>
    <n v="7.44"/>
    <n v="0"/>
    <n v="200"/>
    <n v="22560"/>
    <n v="0"/>
    <x v="0"/>
    <s v="OK"/>
  </r>
  <r>
    <s v="IT-10057"/>
    <s v="Drive belt 20-57"/>
    <x v="4"/>
    <x v="4"/>
    <x v="1"/>
    <s v="2024-09"/>
    <n v="55.57"/>
    <n v="55.57"/>
    <n v="55.263423000000003"/>
    <n v="80.150000000000006"/>
    <n v="47"/>
    <n v="46"/>
    <n v="50"/>
    <n v="149"/>
    <n v="8234.25"/>
    <n v="4"/>
    <n v="145"/>
    <n v="15.06"/>
    <n v="1"/>
    <n v="39"/>
    <n v="3125.85"/>
    <n v="0"/>
    <x v="0"/>
    <s v="OK"/>
  </r>
  <r>
    <s v="IT-10057"/>
    <s v="Drive belt 20-57"/>
    <x v="4"/>
    <x v="4"/>
    <x v="1"/>
    <s v="2024-10"/>
    <n v="57.29"/>
    <n v="57.29"/>
    <n v="55.263438000000001"/>
    <n v="80.150000000000006"/>
    <n v="47"/>
    <m/>
    <n v="0"/>
    <n v="64"/>
    <n v="3536.86"/>
    <n v="11"/>
    <n v="53"/>
    <n v="5.39"/>
    <n v="5"/>
    <n v="85"/>
    <n v="6812.75"/>
    <n v="0"/>
    <x v="0"/>
    <s v="OK"/>
  </r>
  <r>
    <s v="IT-10057"/>
    <s v="Drive belt 20-57"/>
    <x v="4"/>
    <x v="4"/>
    <x v="1"/>
    <s v="2024-11"/>
    <n v="58.13"/>
    <n v="58.13"/>
    <n v="56.520651999999998"/>
    <n v="80.150000000000006"/>
    <n v="47"/>
    <n v="46"/>
    <n v="50"/>
    <n v="46"/>
    <n v="2599.9499999999998"/>
    <n v="4"/>
    <n v="42"/>
    <n v="3.11"/>
    <n v="0"/>
    <n v="68"/>
    <n v="5450.2"/>
    <n v="0"/>
    <x v="0"/>
    <s v="OK"/>
  </r>
  <r>
    <s v="IT-10057"/>
    <s v="Drive belt 20-57"/>
    <x v="4"/>
    <x v="4"/>
    <x v="1"/>
    <s v="2024-12"/>
    <n v="57.03"/>
    <n v="57.03"/>
    <n v="56.520625000000003"/>
    <n v="80.150000000000006"/>
    <n v="47"/>
    <m/>
    <n v="0"/>
    <n v="16"/>
    <n v="904.33"/>
    <n v="10"/>
    <n v="6"/>
    <n v="1.1499999999999999"/>
    <n v="1"/>
    <n v="30"/>
    <n v="2404.5"/>
    <n v="0"/>
    <x v="0"/>
    <s v="OK"/>
  </r>
  <r>
    <s v="IT-10057"/>
    <s v="Drive belt 20-57"/>
    <x v="4"/>
    <x v="4"/>
    <x v="1"/>
    <s v="2025-01"/>
    <n v="58.6"/>
    <n v="58.6"/>
    <n v="58.450823999999997"/>
    <n v="80.150000000000006"/>
    <n v="47"/>
    <n v="41"/>
    <n v="207"/>
    <n v="170"/>
    <n v="9936.64"/>
    <n v="17"/>
    <n v="153"/>
    <n v="14.8"/>
    <n v="4"/>
    <n v="53"/>
    <n v="4247.95"/>
    <n v="0"/>
    <x v="0"/>
    <s v="OK"/>
  </r>
  <r>
    <s v="IT-10057"/>
    <s v="Drive belt 20-57"/>
    <x v="4"/>
    <x v="4"/>
    <x v="1"/>
    <s v="2025-02"/>
    <n v="56.98"/>
    <n v="56.98"/>
    <n v="58.450856999999999"/>
    <n v="82.22"/>
    <n v="47"/>
    <m/>
    <n v="0"/>
    <n v="140"/>
    <n v="8183.12"/>
    <n v="4"/>
    <n v="136"/>
    <n v="15.93"/>
    <n v="1"/>
    <n v="30"/>
    <n v="2466.6"/>
    <n v="0"/>
    <x v="0"/>
    <s v="OK"/>
  </r>
  <r>
    <s v="IT-10057"/>
    <s v="Drive belt 20-57"/>
    <x v="4"/>
    <x v="4"/>
    <x v="1"/>
    <s v="2025-03"/>
    <n v="57.39"/>
    <n v="57.39"/>
    <n v="58.171655999999999"/>
    <n v="82.22"/>
    <n v="47"/>
    <n v="46"/>
    <n v="50"/>
    <n v="151"/>
    <n v="8783.92"/>
    <n v="10"/>
    <n v="141"/>
    <n v="15.91"/>
    <n v="4"/>
    <n v="39"/>
    <n v="3206.58"/>
    <n v="0"/>
    <x v="0"/>
    <s v="OK"/>
  </r>
  <r>
    <s v="IT-10057"/>
    <s v="Drive belt 20-57"/>
    <x v="4"/>
    <x v="4"/>
    <x v="1"/>
    <s v="2025-04"/>
    <n v="58.56"/>
    <n v="58.56"/>
    <n v="58.171616"/>
    <n v="82.22"/>
    <n v="47"/>
    <m/>
    <n v="0"/>
    <n v="99"/>
    <n v="5758.99"/>
    <n v="4"/>
    <n v="95"/>
    <n v="10.4"/>
    <n v="2"/>
    <n v="52"/>
    <n v="4275.4399999999996"/>
    <n v="0"/>
    <x v="0"/>
    <s v="OK"/>
  </r>
  <r>
    <s v="IT-10057"/>
    <s v="Drive belt 20-57"/>
    <x v="4"/>
    <x v="4"/>
    <x v="1"/>
    <s v="2025-05"/>
    <n v="57.7"/>
    <n v="57.7"/>
    <n v="58.171666999999999"/>
    <n v="82.22"/>
    <n v="47"/>
    <m/>
    <n v="0"/>
    <n v="6"/>
    <n v="349.03"/>
    <n v="6"/>
    <n v="0"/>
    <n v="0.43"/>
    <n v="0"/>
    <n v="93"/>
    <n v="7646.46"/>
    <n v="0"/>
    <x v="0"/>
    <s v="OK"/>
  </r>
  <r>
    <s v="IT-10057"/>
    <s v="Drive belt 20-57"/>
    <x v="4"/>
    <x v="4"/>
    <x v="1"/>
    <s v="2025-06"/>
    <n v="58.07"/>
    <n v="58.07"/>
    <n v="58.171666999999999"/>
    <n v="82.22"/>
    <n v="47"/>
    <m/>
    <n v="0"/>
    <n v="0"/>
    <n v="0"/>
    <n v="0"/>
    <n v="0"/>
    <n v="0"/>
    <n v="1"/>
    <n v="6"/>
    <n v="493.32"/>
    <n v="51"/>
    <x v="1"/>
    <s v="OK"/>
  </r>
  <r>
    <s v="IT-10057"/>
    <s v="Drive belt 20-57"/>
    <x v="4"/>
    <x v="4"/>
    <x v="1"/>
    <s v="2025-07"/>
    <n v="57.2"/>
    <n v="57.2"/>
    <n v="57.2"/>
    <n v="82.22"/>
    <n v="47"/>
    <n v="81"/>
    <n v="119"/>
    <n v="45"/>
    <n v="2574"/>
    <n v="11"/>
    <n v="34"/>
    <n v="3.42"/>
    <n v="4"/>
    <n v="74"/>
    <n v="6084.28"/>
    <n v="0"/>
    <x v="0"/>
    <s v="OK"/>
  </r>
  <r>
    <s v="IT-10057"/>
    <s v="Drive belt 20-57"/>
    <x v="4"/>
    <x v="4"/>
    <x v="1"/>
    <s v="2025-08"/>
    <n v="57.66"/>
    <n v="57.66"/>
    <n v="57.551617"/>
    <n v="82.22"/>
    <n v="47"/>
    <n v="44"/>
    <n v="146"/>
    <n v="167"/>
    <n v="9611.1200000000008"/>
    <n v="11"/>
    <n v="156"/>
    <n v="21.1"/>
    <n v="4"/>
    <n v="24"/>
    <n v="1973.28"/>
    <n v="0"/>
    <x v="0"/>
    <s v="OK"/>
  </r>
  <r>
    <s v="IT-10057"/>
    <s v="Drive belt 20-57"/>
    <x v="4"/>
    <x v="4"/>
    <x v="1"/>
    <s v="2025-09"/>
    <n v="57.47"/>
    <n v="57.47"/>
    <n v="57.551591000000002"/>
    <n v="82.22"/>
    <n v="47"/>
    <m/>
    <n v="0"/>
    <n v="132"/>
    <n v="7596.81"/>
    <n v="8"/>
    <n v="124"/>
    <n v="13.04"/>
    <n v="0"/>
    <n v="35"/>
    <n v="2877.7"/>
    <n v="0"/>
    <x v="0"/>
    <s v="OK"/>
  </r>
  <r>
    <s v="IT-10057"/>
    <s v="Drive belt 20-57"/>
    <x v="4"/>
    <x v="4"/>
    <x v="1"/>
    <s v="2025-10"/>
    <n v="61.52"/>
    <n v="61.52"/>
    <n v="58.641841999999997"/>
    <n v="82.22"/>
    <n v="47"/>
    <n v="44"/>
    <n v="50"/>
    <n v="114"/>
    <n v="6685.17"/>
    <n v="10"/>
    <n v="104"/>
    <n v="11.8"/>
    <n v="1"/>
    <n v="68"/>
    <n v="5590.96"/>
    <n v="0"/>
    <x v="0"/>
    <s v="OK"/>
  </r>
  <r>
    <s v="IT-10057"/>
    <s v="Drive belt 20-57"/>
    <x v="4"/>
    <x v="4"/>
    <x v="1"/>
    <s v="2025-11"/>
    <n v="60.94"/>
    <n v="60.94"/>
    <n v="58.641832999999998"/>
    <n v="82.22"/>
    <n v="47"/>
    <m/>
    <n v="0"/>
    <n v="60"/>
    <n v="3518.51"/>
    <n v="8"/>
    <n v="52"/>
    <n v="4.97"/>
    <n v="0"/>
    <n v="54"/>
    <n v="4439.88"/>
    <n v="0"/>
    <x v="0"/>
    <s v="OK"/>
  </r>
  <r>
    <s v="IT-10057"/>
    <s v="Drive belt 20-57"/>
    <x v="4"/>
    <x v="4"/>
    <x v="1"/>
    <s v="2025-12"/>
    <n v="61.25"/>
    <n v="61.25"/>
    <n v="60.459620000000001"/>
    <n v="82.22"/>
    <n v="47"/>
    <n v="43"/>
    <n v="138"/>
    <n v="158"/>
    <n v="9552.6200000000008"/>
    <n v="8"/>
    <n v="150"/>
    <n v="12.82"/>
    <n v="1"/>
    <n v="40"/>
    <n v="3288.8"/>
    <n v="0"/>
    <x v="0"/>
    <s v="OK"/>
  </r>
  <r>
    <s v="IT-10057"/>
    <s v="Drive belt 20-57"/>
    <x v="4"/>
    <x v="4"/>
    <x v="1"/>
    <s v="2026-01"/>
    <n v="60.01"/>
    <n v="60.01"/>
    <n v="60.351556000000002"/>
    <n v="82.22"/>
    <n v="47"/>
    <n v="45"/>
    <n v="50"/>
    <n v="135"/>
    <n v="8147.46"/>
    <n v="17"/>
    <n v="118"/>
    <n v="10.62"/>
    <n v="10"/>
    <n v="73"/>
    <n v="6002.06"/>
    <n v="0"/>
    <x v="0"/>
    <s v="OK"/>
  </r>
  <r>
    <s v="IT-10057"/>
    <s v="Drive belt 20-57"/>
    <x v="4"/>
    <x v="4"/>
    <x v="1"/>
    <s v="2026-02"/>
    <n v="61.12"/>
    <n v="61.12"/>
    <n v="60.596094000000001"/>
    <n v="84.34"/>
    <n v="47"/>
    <n v="44"/>
    <n v="63"/>
    <n v="128"/>
    <n v="7756.3"/>
    <n v="19"/>
    <n v="109"/>
    <n v="8.99"/>
    <n v="0"/>
    <n v="70"/>
    <n v="5903.8"/>
    <n v="0"/>
    <x v="0"/>
    <s v="OK"/>
  </r>
  <r>
    <s v="IT-10057"/>
    <s v="Drive belt 20-57"/>
    <x v="4"/>
    <x v="4"/>
    <x v="1"/>
    <s v="2026-03"/>
    <n v="60.77"/>
    <n v="60.77"/>
    <n v="60.596043999999999"/>
    <n v="84.34"/>
    <n v="47"/>
    <m/>
    <n v="0"/>
    <n v="91"/>
    <n v="5514.24"/>
    <n v="11"/>
    <n v="80"/>
    <n v="6.5"/>
    <n v="15"/>
    <n v="37"/>
    <n v="3120.58"/>
    <n v="0"/>
    <x v="0"/>
    <s v="OK"/>
  </r>
  <r>
    <s v="IT-10057"/>
    <s v="Drive belt 20-57"/>
    <x v="4"/>
    <x v="4"/>
    <x v="1"/>
    <s v="2026-04"/>
    <n v="60.95"/>
    <n v="60.95"/>
    <n v="60.781354999999998"/>
    <n v="84.34"/>
    <n v="47"/>
    <n v="40"/>
    <n v="100"/>
    <n v="155"/>
    <n v="9421.11"/>
    <n v="13"/>
    <n v="142"/>
    <n v="13.78"/>
    <n v="2"/>
    <n v="36"/>
    <n v="3036.24"/>
    <n v="0"/>
    <x v="0"/>
    <s v="OK"/>
  </r>
  <r>
    <s v="IT-10057"/>
    <s v="Drive belt 20-57"/>
    <x v="4"/>
    <x v="4"/>
    <x v="1"/>
    <s v="2026-05"/>
    <n v="60.1"/>
    <n v="60.1"/>
    <n v="60.781323999999998"/>
    <n v="84.34"/>
    <n v="47"/>
    <m/>
    <n v="0"/>
    <n v="68"/>
    <n v="4133.13"/>
    <n v="17"/>
    <n v="51"/>
    <n v="5.59"/>
    <n v="8"/>
    <n v="87"/>
    <n v="7337.58"/>
    <n v="0"/>
    <x v="0"/>
    <s v="OK"/>
  </r>
  <r>
    <s v="IT-10057"/>
    <s v="Drive belt 20-57"/>
    <x v="4"/>
    <x v="4"/>
    <x v="1"/>
    <s v="2026-06"/>
    <n v="62.19"/>
    <n v="62.19"/>
    <n v="61.378245999999997"/>
    <n v="84.34"/>
    <n v="47"/>
    <n v="70"/>
    <n v="50"/>
    <n v="57"/>
    <n v="3498.56"/>
    <n v="15"/>
    <n v="42"/>
    <n v="4.03"/>
    <n v="2"/>
    <n v="61"/>
    <n v="5144.74"/>
    <n v="0"/>
    <x v="0"/>
    <s v="OK"/>
  </r>
  <r>
    <s v="IT-10057"/>
    <s v="Drive belt 20-57"/>
    <x v="4"/>
    <x v="4"/>
    <x v="1"/>
    <s v="2026-07"/>
    <n v="60.17"/>
    <n v="60.17"/>
    <n v="60.477483999999997"/>
    <n v="84.34"/>
    <n v="47"/>
    <n v="45"/>
    <n v="167"/>
    <n v="159"/>
    <n v="9615.92"/>
    <n v="6"/>
    <n v="153"/>
    <n v="9.81"/>
    <n v="2"/>
    <n v="65"/>
    <n v="5482.1"/>
    <n v="0"/>
    <x v="0"/>
    <s v="OK"/>
  </r>
  <r>
    <s v="IT-10057"/>
    <s v="Drive belt 20-57"/>
    <x v="4"/>
    <x v="4"/>
    <x v="1"/>
    <s v="2026-08"/>
    <n v="61.72"/>
    <n v="61.72"/>
    <n v="60.477499999999999"/>
    <n v="84.34"/>
    <n v="47"/>
    <m/>
    <n v="0"/>
    <n v="132"/>
    <n v="7983.03"/>
    <n v="8"/>
    <n v="124"/>
    <n v="11.34"/>
    <n v="1"/>
    <n v="27"/>
    <n v="2277.1799999999998"/>
    <n v="0"/>
    <x v="0"/>
    <s v="OK"/>
  </r>
  <r>
    <s v="IT-10058"/>
    <s v="Hex nut pack A-58"/>
    <x v="2"/>
    <x v="2"/>
    <x v="1"/>
    <s v="2024-09"/>
    <n v="56.3"/>
    <n v="56.3"/>
    <n v="56.524962000000002"/>
    <n v="80.760000000000005"/>
    <n v="46"/>
    <n v="45"/>
    <n v="84"/>
    <n v="260"/>
    <n v="14696.49"/>
    <n v="23"/>
    <n v="237"/>
    <n v="8.9"/>
    <n v="3"/>
    <n v="110"/>
    <n v="8883.6"/>
    <n v="0"/>
    <x v="0"/>
    <s v="OK"/>
  </r>
  <r>
    <s v="IT-10058"/>
    <s v="Hex nut pack A-58"/>
    <x v="2"/>
    <x v="2"/>
    <x v="1"/>
    <s v="2024-10"/>
    <n v="56.48"/>
    <n v="56.48"/>
    <n v="56.517716999999998"/>
    <n v="80.760000000000005"/>
    <n v="46"/>
    <n v="43"/>
    <n v="50"/>
    <n v="276"/>
    <n v="15598.89"/>
    <n v="38"/>
    <n v="238"/>
    <n v="12.96"/>
    <n v="1"/>
    <n v="34"/>
    <n v="2745.84"/>
    <n v="0"/>
    <x v="0"/>
    <s v="OK"/>
  </r>
  <r>
    <s v="IT-10058"/>
    <s v="Hex nut pack A-58"/>
    <x v="2"/>
    <x v="2"/>
    <x v="1"/>
    <s v="2024-11"/>
    <n v="55.63"/>
    <n v="55.63"/>
    <n v="56.517696999999998"/>
    <n v="80.760000000000005"/>
    <n v="46"/>
    <m/>
    <n v="0"/>
    <n v="165"/>
    <n v="9325.42"/>
    <n v="23"/>
    <n v="142"/>
    <n v="8.41"/>
    <n v="3"/>
    <n v="111"/>
    <n v="8964.36"/>
    <n v="0"/>
    <x v="0"/>
    <s v="OK"/>
  </r>
  <r>
    <s v="IT-10058"/>
    <s v="Hex nut pack A-58"/>
    <x v="2"/>
    <x v="2"/>
    <x v="1"/>
    <s v="2024-12"/>
    <n v="56.74"/>
    <n v="56.74"/>
    <n v="56.667088999999997"/>
    <n v="80.760000000000005"/>
    <n v="46"/>
    <n v="74"/>
    <n v="338"/>
    <n v="371"/>
    <n v="21023.49"/>
    <n v="11"/>
    <n v="360"/>
    <n v="17.600000000000001"/>
    <n v="8"/>
    <n v="132"/>
    <n v="10660.32"/>
    <n v="0"/>
    <x v="0"/>
    <s v="OK"/>
  </r>
  <r>
    <s v="IT-10058"/>
    <s v="Hex nut pack A-58"/>
    <x v="2"/>
    <x v="2"/>
    <x v="1"/>
    <s v="2025-01"/>
    <n v="58.56"/>
    <n v="58.56"/>
    <n v="57.155459"/>
    <n v="80.760000000000005"/>
    <n v="46"/>
    <n v="45"/>
    <n v="129"/>
    <n v="425"/>
    <n v="24291.07"/>
    <n v="34"/>
    <n v="391"/>
    <n v="17.57"/>
    <n v="6"/>
    <n v="75"/>
    <n v="6057"/>
    <n v="0"/>
    <x v="0"/>
    <s v="OK"/>
  </r>
  <r>
    <s v="IT-10058"/>
    <s v="Hex nut pack A-58"/>
    <x v="2"/>
    <x v="2"/>
    <x v="1"/>
    <s v="2025-02"/>
    <n v="58.73"/>
    <n v="58.73"/>
    <n v="57.155467999999999"/>
    <n v="84.89"/>
    <n v="46"/>
    <m/>
    <n v="0"/>
    <n v="331"/>
    <n v="18918.46"/>
    <n v="19"/>
    <n v="312"/>
    <n v="14.14"/>
    <n v="2"/>
    <n v="94"/>
    <n v="7979.66"/>
    <n v="0"/>
    <x v="0"/>
    <s v="OK"/>
  </r>
  <r>
    <s v="IT-10058"/>
    <s v="Hex nut pack A-58"/>
    <x v="2"/>
    <x v="2"/>
    <x v="1"/>
    <s v="2025-03"/>
    <n v="56.72"/>
    <n v="56.72"/>
    <n v="57.155473000000001"/>
    <n v="84.89"/>
    <n v="46"/>
    <m/>
    <n v="0"/>
    <n v="148"/>
    <n v="8459.01"/>
    <n v="38"/>
    <n v="110"/>
    <n v="5.41"/>
    <n v="0"/>
    <n v="183"/>
    <n v="15534.87"/>
    <n v="0"/>
    <x v="0"/>
    <s v="OK"/>
  </r>
  <r>
    <s v="IT-10058"/>
    <s v="Hex nut pack A-58"/>
    <x v="2"/>
    <x v="2"/>
    <x v="1"/>
    <s v="2025-04"/>
    <n v="57.5"/>
    <n v="57.5"/>
    <n v="57.372523999999999"/>
    <n v="84.89"/>
    <n v="46"/>
    <n v="61"/>
    <n v="252"/>
    <n v="206"/>
    <n v="11818.74"/>
    <n v="34"/>
    <n v="172"/>
    <n v="5.56"/>
    <n v="0"/>
    <n v="194"/>
    <n v="16468.66"/>
    <n v="0"/>
    <x v="0"/>
    <s v="OK"/>
  </r>
  <r>
    <s v="IT-10058"/>
    <s v="Hex nut pack A-58"/>
    <x v="2"/>
    <x v="2"/>
    <x v="1"/>
    <s v="2025-05"/>
    <n v="58.12"/>
    <n v="58.12"/>
    <n v="57.803829999999998"/>
    <n v="84.89"/>
    <n v="46"/>
    <n v="43"/>
    <n v="281"/>
    <n v="423"/>
    <n v="24451.02"/>
    <n v="31"/>
    <n v="392"/>
    <n v="12.61"/>
    <n v="0"/>
    <n v="64"/>
    <n v="5432.96"/>
    <n v="0"/>
    <x v="0"/>
    <s v="OK"/>
  </r>
  <r>
    <s v="IT-10058"/>
    <s v="Hex nut pack A-58"/>
    <x v="2"/>
    <x v="2"/>
    <x v="1"/>
    <s v="2025-06"/>
    <n v="57.27"/>
    <n v="57.27"/>
    <n v="57.660677999999997"/>
    <n v="84.89"/>
    <n v="46"/>
    <n v="54"/>
    <n v="155"/>
    <n v="487"/>
    <n v="28080.75"/>
    <n v="38"/>
    <n v="449"/>
    <n v="18.14"/>
    <n v="1"/>
    <n v="91"/>
    <n v="7724.99"/>
    <n v="0"/>
    <x v="0"/>
    <s v="OK"/>
  </r>
  <r>
    <s v="IT-10058"/>
    <s v="Hex nut pack A-58"/>
    <x v="2"/>
    <x v="2"/>
    <x v="1"/>
    <s v="2025-07"/>
    <n v="58.69"/>
    <n v="58.69"/>
    <n v="57.88017"/>
    <n v="84.89"/>
    <n v="46"/>
    <n v="41"/>
    <n v="132"/>
    <n v="529"/>
    <n v="30618.61"/>
    <n v="34"/>
    <n v="495"/>
    <n v="28.38"/>
    <n v="3"/>
    <n v="90"/>
    <n v="7640.1"/>
    <n v="0"/>
    <x v="0"/>
    <s v="OK"/>
  </r>
  <r>
    <s v="IT-10058"/>
    <s v="Hex nut pack A-58"/>
    <x v="2"/>
    <x v="2"/>
    <x v="1"/>
    <s v="2025-08"/>
    <n v="57.07"/>
    <n v="57.07"/>
    <n v="57.880161000000001"/>
    <n v="84.89"/>
    <n v="46"/>
    <m/>
    <n v="0"/>
    <n v="372"/>
    <n v="21531.42"/>
    <n v="8"/>
    <n v="364"/>
    <n v="14.46"/>
    <n v="2"/>
    <n v="157"/>
    <n v="13327.73"/>
    <n v="0"/>
    <x v="0"/>
    <s v="OK"/>
  </r>
  <r>
    <s v="IT-10058"/>
    <s v="Hex nut pack A-58"/>
    <x v="2"/>
    <x v="2"/>
    <x v="1"/>
    <s v="2025-09"/>
    <n v="57.5"/>
    <n v="57.5"/>
    <n v="57.821396"/>
    <n v="84.89"/>
    <n v="46"/>
    <n v="45"/>
    <n v="68"/>
    <n v="351"/>
    <n v="20295.310000000001"/>
    <n v="11"/>
    <n v="340"/>
    <n v="13.73"/>
    <n v="5"/>
    <n v="89"/>
    <n v="7555.21"/>
    <n v="0"/>
    <x v="0"/>
    <s v="OK"/>
  </r>
  <r>
    <s v="IT-10058"/>
    <s v="Hex nut pack A-58"/>
    <x v="2"/>
    <x v="2"/>
    <x v="1"/>
    <s v="2025-10"/>
    <n v="57.48"/>
    <n v="57.48"/>
    <n v="57.682076000000002"/>
    <n v="84.89"/>
    <n v="46"/>
    <n v="53"/>
    <n v="242"/>
    <n v="472"/>
    <n v="27225.94"/>
    <n v="15"/>
    <n v="457"/>
    <n v="16.899999999999999"/>
    <n v="0"/>
    <n v="121"/>
    <n v="10271.69"/>
    <n v="0"/>
    <x v="0"/>
    <s v="OK"/>
  </r>
  <r>
    <s v="IT-10058"/>
    <s v="Hex nut pack A-58"/>
    <x v="2"/>
    <x v="2"/>
    <x v="1"/>
    <s v="2025-11"/>
    <n v="56.69"/>
    <n v="56.69"/>
    <n v="57.682084000000003"/>
    <n v="84.89"/>
    <n v="46"/>
    <m/>
    <n v="0"/>
    <n v="451"/>
    <n v="26014.62"/>
    <n v="34"/>
    <n v="417"/>
    <n v="25.38"/>
    <n v="1"/>
    <n v="21"/>
    <n v="1782.69"/>
    <n v="0"/>
    <x v="0"/>
    <s v="OK"/>
  </r>
  <r>
    <s v="IT-10058"/>
    <s v="Hex nut pack A-58"/>
    <x v="2"/>
    <x v="2"/>
    <x v="1"/>
    <s v="2025-12"/>
    <n v="60.13"/>
    <n v="60.13"/>
    <n v="58.119050000000001"/>
    <n v="84.89"/>
    <n v="46"/>
    <n v="46"/>
    <n v="98"/>
    <n v="442"/>
    <n v="25688.62"/>
    <n v="15"/>
    <n v="427"/>
    <n v="23.33"/>
    <n v="9"/>
    <n v="107"/>
    <n v="9083.23"/>
    <n v="0"/>
    <x v="0"/>
    <s v="OK"/>
  </r>
  <r>
    <s v="IT-10058"/>
    <s v="Hex nut pack A-58"/>
    <x v="2"/>
    <x v="2"/>
    <x v="1"/>
    <s v="2026-01"/>
    <n v="58.34"/>
    <n v="58.34"/>
    <n v="58.119050999999999"/>
    <n v="84.89"/>
    <n v="46"/>
    <m/>
    <n v="0"/>
    <n v="432"/>
    <n v="25107.43"/>
    <n v="11"/>
    <n v="421"/>
    <n v="41.14"/>
    <n v="10"/>
    <n v="10"/>
    <n v="848.9"/>
    <n v="0"/>
    <x v="0"/>
    <s v="OK"/>
  </r>
  <r>
    <s v="IT-10058"/>
    <s v="Hex nut pack A-58"/>
    <x v="2"/>
    <x v="2"/>
    <x v="1"/>
    <s v="2026-02"/>
    <n v="58.8"/>
    <n v="58.8"/>
    <n v="58.119047999999999"/>
    <n v="89.23"/>
    <n v="46"/>
    <m/>
    <n v="0"/>
    <n v="252"/>
    <n v="14646"/>
    <n v="15"/>
    <n v="237"/>
    <n v="10.91"/>
    <n v="1"/>
    <n v="180"/>
    <n v="16061.4"/>
    <n v="0"/>
    <x v="0"/>
    <s v="OK"/>
  </r>
  <r>
    <s v="IT-10058"/>
    <s v="Hex nut pack A-58"/>
    <x v="2"/>
    <x v="2"/>
    <x v="1"/>
    <s v="2026-03"/>
    <n v="60.2"/>
    <n v="60.2"/>
    <n v="58.491849999999999"/>
    <n v="89.23"/>
    <n v="46"/>
    <n v="73"/>
    <n v="55"/>
    <n v="200"/>
    <n v="11698.37"/>
    <n v="31"/>
    <n v="169"/>
    <n v="8.66"/>
    <n v="7"/>
    <n v="107"/>
    <n v="9547.61"/>
    <n v="0"/>
    <x v="0"/>
    <s v="OK"/>
  </r>
  <r>
    <s v="IT-10058"/>
    <s v="Hex nut pack A-58"/>
    <x v="2"/>
    <x v="2"/>
    <x v="1"/>
    <s v="2026-04"/>
    <n v="58.52"/>
    <n v="58.52"/>
    <n v="58.491852000000002"/>
    <n v="89.23"/>
    <n v="46"/>
    <m/>
    <n v="0"/>
    <n v="162"/>
    <n v="9475.68"/>
    <n v="38"/>
    <n v="124"/>
    <n v="6.34"/>
    <n v="3"/>
    <n v="38"/>
    <n v="3390.74"/>
    <n v="0"/>
    <x v="0"/>
    <s v="OK"/>
  </r>
  <r>
    <s v="IT-10058"/>
    <s v="Hex nut pack A-58"/>
    <x v="2"/>
    <x v="2"/>
    <x v="1"/>
    <s v="2026-05"/>
    <n v="60.2"/>
    <n v="60.2"/>
    <n v="59.429209"/>
    <n v="89.23"/>
    <n v="46"/>
    <n v="81"/>
    <n v="197"/>
    <n v="215"/>
    <n v="12777.28"/>
    <n v="27"/>
    <n v="188"/>
    <n v="9.7799999999999994"/>
    <n v="4"/>
    <n v="144"/>
    <n v="12849.12"/>
    <n v="0"/>
    <x v="0"/>
    <s v="OK"/>
  </r>
  <r>
    <s v="IT-10058"/>
    <s v="Hex nut pack A-58"/>
    <x v="2"/>
    <x v="2"/>
    <x v="1"/>
    <s v="2026-06"/>
    <n v="60.23"/>
    <n v="60.23"/>
    <n v="59.872796999999998"/>
    <n v="89.23"/>
    <n v="46"/>
    <n v="76"/>
    <n v="267"/>
    <n v="354"/>
    <n v="21194.97"/>
    <n v="11"/>
    <n v="343"/>
    <n v="14.85"/>
    <n v="0"/>
    <n v="128"/>
    <n v="11421.44"/>
    <n v="0"/>
    <x v="0"/>
    <s v="OK"/>
  </r>
  <r>
    <s v="IT-10058"/>
    <s v="Hex nut pack A-58"/>
    <x v="2"/>
    <x v="2"/>
    <x v="1"/>
    <s v="2026-07"/>
    <n v="59.97"/>
    <n v="59.97"/>
    <n v="59.884819999999998"/>
    <n v="89.23"/>
    <n v="46"/>
    <n v="43"/>
    <n v="50"/>
    <n v="305"/>
    <n v="18264.87"/>
    <n v="23"/>
    <n v="282"/>
    <n v="10.8"/>
    <n v="0"/>
    <n v="99"/>
    <n v="8833.77"/>
    <n v="0"/>
    <x v="0"/>
    <s v="OK"/>
  </r>
  <r>
    <s v="IT-10058"/>
    <s v="Hex nut pack A-58"/>
    <x v="2"/>
    <x v="2"/>
    <x v="1"/>
    <s v="2026-08"/>
    <n v="59.66"/>
    <n v="59.66"/>
    <n v="59.792628000000001"/>
    <n v="89.23"/>
    <n v="46"/>
    <n v="45"/>
    <n v="212"/>
    <n v="468"/>
    <n v="27982.95"/>
    <n v="34"/>
    <n v="434"/>
    <n v="22.29"/>
    <n v="2"/>
    <n v="49"/>
    <n v="4372.2700000000004"/>
    <n v="0"/>
    <x v="0"/>
    <s v="OK"/>
  </r>
  <r>
    <s v="IT-10059"/>
    <s v="Hydraulic hose 10-59"/>
    <x v="1"/>
    <x v="1"/>
    <x v="1"/>
    <s v="2024-09"/>
    <n v="48.65"/>
    <n v="48.65"/>
    <n v="48.271076999999998"/>
    <n v="65.11"/>
    <n v="36"/>
    <n v="32"/>
    <n v="8"/>
    <n v="65"/>
    <n v="3137.62"/>
    <n v="8"/>
    <n v="57"/>
    <n v="14"/>
    <n v="2"/>
    <n v="22"/>
    <n v="1432.42"/>
    <n v="0"/>
    <x v="0"/>
    <s v="OK"/>
  </r>
  <r>
    <s v="IT-10059"/>
    <s v="Hydraulic hose 10-59"/>
    <x v="1"/>
    <x v="1"/>
    <x v="1"/>
    <s v="2024-10"/>
    <n v="49.52"/>
    <n v="49.52"/>
    <n v="48.960096"/>
    <n v="65.11"/>
    <n v="36"/>
    <n v="32"/>
    <n v="80"/>
    <n v="104"/>
    <n v="5091.8500000000004"/>
    <n v="16"/>
    <n v="88"/>
    <n v="13.4"/>
    <n v="3"/>
    <n v="41"/>
    <n v="2669.51"/>
    <n v="0"/>
    <x v="0"/>
    <s v="OK"/>
  </r>
  <r>
    <s v="IT-10059"/>
    <s v="Hydraulic hose 10-59"/>
    <x v="1"/>
    <x v="1"/>
    <x v="1"/>
    <s v="2024-11"/>
    <n v="48.29"/>
    <n v="48.29"/>
    <n v="48.96"/>
    <n v="65.11"/>
    <n v="36"/>
    <m/>
    <n v="0"/>
    <n v="33"/>
    <n v="1615.68"/>
    <n v="6"/>
    <n v="27"/>
    <n v="3.2"/>
    <n v="2"/>
    <n v="71"/>
    <n v="4622.8100000000004"/>
    <n v="0"/>
    <x v="0"/>
    <s v="OK"/>
  </r>
  <r>
    <s v="IT-10059"/>
    <s v="Hydraulic hose 10-59"/>
    <x v="1"/>
    <x v="1"/>
    <x v="1"/>
    <s v="2024-12"/>
    <n v="49.67"/>
    <n v="49.67"/>
    <n v="49.551053000000003"/>
    <n v="65.11"/>
    <n v="36"/>
    <n v="31"/>
    <n v="164"/>
    <n v="133"/>
    <n v="6590.29"/>
    <n v="10"/>
    <n v="123"/>
    <n v="9.93"/>
    <n v="0"/>
    <n v="64"/>
    <n v="4167.04"/>
    <n v="0"/>
    <x v="0"/>
    <s v="OK"/>
  </r>
  <r>
    <s v="IT-10059"/>
    <s v="Hydraulic hose 10-59"/>
    <x v="1"/>
    <x v="1"/>
    <x v="1"/>
    <s v="2025-01"/>
    <n v="50.1"/>
    <n v="50.1"/>
    <n v="49.551110999999999"/>
    <n v="65.11"/>
    <n v="36"/>
    <m/>
    <n v="0"/>
    <n v="81"/>
    <n v="4013.64"/>
    <n v="4"/>
    <n v="77"/>
    <n v="5.69"/>
    <n v="0"/>
    <n v="52"/>
    <n v="3385.72"/>
    <n v="0"/>
    <x v="0"/>
    <s v="OK"/>
  </r>
  <r>
    <s v="IT-10059"/>
    <s v="Hydraulic hose 10-59"/>
    <x v="1"/>
    <x v="1"/>
    <x v="1"/>
    <s v="2025-02"/>
    <n v="50.27"/>
    <n v="50.27"/>
    <n v="49.847999999999999"/>
    <n v="68.239999999999995"/>
    <n v="36"/>
    <n v="35"/>
    <n v="57"/>
    <n v="110"/>
    <n v="5483.28"/>
    <n v="20"/>
    <n v="90"/>
    <n v="9.82"/>
    <n v="3"/>
    <n v="28"/>
    <n v="1910.72"/>
    <n v="0"/>
    <x v="0"/>
    <s v="OK"/>
  </r>
  <r>
    <s v="IT-10059"/>
    <s v="Hydraulic hose 10-59"/>
    <x v="1"/>
    <x v="1"/>
    <x v="1"/>
    <s v="2025-03"/>
    <n v="49.65"/>
    <n v="49.65"/>
    <n v="49.805574"/>
    <n v="68.239999999999995"/>
    <n v="36"/>
    <n v="36"/>
    <n v="30"/>
    <n v="122"/>
    <n v="6076.28"/>
    <n v="16"/>
    <n v="106"/>
    <n v="16.010000000000002"/>
    <n v="0"/>
    <n v="18"/>
    <n v="1228.32"/>
    <n v="0"/>
    <x v="0"/>
    <s v="OK"/>
  </r>
  <r>
    <s v="IT-10059"/>
    <s v="Hydraulic hose 10-59"/>
    <x v="1"/>
    <x v="1"/>
    <x v="1"/>
    <s v="2025-04"/>
    <n v="49.64"/>
    <n v="49.64"/>
    <n v="49.805531999999999"/>
    <n v="68.239999999999995"/>
    <n v="36"/>
    <m/>
    <n v="0"/>
    <n v="47"/>
    <n v="2340.86"/>
    <n v="18"/>
    <n v="29"/>
    <n v="4.9400000000000004"/>
    <n v="9"/>
    <n v="75"/>
    <n v="5118"/>
    <n v="0"/>
    <x v="0"/>
    <s v="OK"/>
  </r>
  <r>
    <s v="IT-10059"/>
    <s v="Hydraulic hose 10-59"/>
    <x v="1"/>
    <x v="1"/>
    <x v="1"/>
    <s v="2025-05"/>
    <n v="50.95"/>
    <n v="50.95"/>
    <n v="50.333333000000003"/>
    <n v="68.239999999999995"/>
    <n v="36"/>
    <n v="34"/>
    <n v="40"/>
    <n v="3"/>
    <n v="151"/>
    <n v="3"/>
    <n v="0"/>
    <n v="0.22"/>
    <n v="2"/>
    <n v="84"/>
    <n v="5732.16"/>
    <n v="0"/>
    <x v="0"/>
    <s v="OK"/>
  </r>
  <r>
    <s v="IT-10059"/>
    <s v="Hydraulic hose 10-59"/>
    <x v="1"/>
    <x v="1"/>
    <x v="1"/>
    <s v="2025-06"/>
    <n v="51.25"/>
    <n v="51.25"/>
    <n v="51.224117999999997"/>
    <n v="68.239999999999995"/>
    <n v="36"/>
    <n v="42"/>
    <n v="104"/>
    <n v="17"/>
    <n v="870.81"/>
    <n v="17"/>
    <n v="0"/>
    <n v="0.89"/>
    <n v="0"/>
    <n v="90"/>
    <n v="6141.6"/>
    <n v="0"/>
    <x v="0"/>
    <s v="OK"/>
  </r>
  <r>
    <s v="IT-10059"/>
    <s v="Hydraulic hose 10-59"/>
    <x v="1"/>
    <x v="1"/>
    <x v="1"/>
    <s v="2025-07"/>
    <n v="49.64"/>
    <n v="49.64"/>
    <n v="49.923547999999997"/>
    <n v="68.239999999999995"/>
    <n v="36"/>
    <n v="34"/>
    <n v="78"/>
    <n v="31"/>
    <n v="1547.63"/>
    <n v="8"/>
    <n v="23"/>
    <n v="1.71"/>
    <n v="5"/>
    <n v="64"/>
    <n v="4367.3599999999997"/>
    <n v="0"/>
    <x v="0"/>
    <s v="OK"/>
  </r>
  <r>
    <s v="IT-10059"/>
    <s v="Hydraulic hose 10-59"/>
    <x v="1"/>
    <x v="1"/>
    <x v="1"/>
    <s v="2025-08"/>
    <n v="50.62"/>
    <n v="50.62"/>
    <n v="50.495154999999997"/>
    <n v="68.239999999999995"/>
    <n v="36"/>
    <n v="36"/>
    <n v="142"/>
    <n v="97"/>
    <n v="4898.03"/>
    <n v="14"/>
    <n v="83"/>
    <n v="5.54"/>
    <n v="0"/>
    <n v="76"/>
    <n v="5186.24"/>
    <n v="0"/>
    <x v="0"/>
    <s v="OK"/>
  </r>
  <r>
    <s v="IT-10059"/>
    <s v="Hydraulic hose 10-59"/>
    <x v="1"/>
    <x v="1"/>
    <x v="1"/>
    <s v="2025-09"/>
    <n v="49.69"/>
    <n v="49.69"/>
    <n v="50.440877"/>
    <n v="68.239999999999995"/>
    <n v="36"/>
    <n v="42"/>
    <n v="7"/>
    <n v="57"/>
    <n v="2875.13"/>
    <n v="10"/>
    <n v="47"/>
    <n v="4.01"/>
    <n v="5"/>
    <n v="47"/>
    <n v="3207.28"/>
    <n v="0"/>
    <x v="0"/>
    <s v="OK"/>
  </r>
  <r>
    <s v="IT-10059"/>
    <s v="Hydraulic hose 10-59"/>
    <x v="1"/>
    <x v="1"/>
    <x v="1"/>
    <s v="2025-10"/>
    <n v="49.96"/>
    <n v="49.96"/>
    <n v="50.102046999999999"/>
    <n v="68.239999999999995"/>
    <n v="36"/>
    <n v="35"/>
    <n v="136"/>
    <n v="127"/>
    <n v="6362.96"/>
    <n v="4"/>
    <n v="123"/>
    <n v="8.83"/>
    <n v="2"/>
    <n v="66"/>
    <n v="4503.84"/>
    <n v="0"/>
    <x v="0"/>
    <s v="OK"/>
  </r>
  <r>
    <s v="IT-10059"/>
    <s v="Hydraulic hose 10-59"/>
    <x v="1"/>
    <x v="1"/>
    <x v="1"/>
    <s v="2025-11"/>
    <n v="50.7"/>
    <n v="50.7"/>
    <n v="50.102093000000004"/>
    <n v="68.239999999999995"/>
    <n v="36"/>
    <m/>
    <n v="0"/>
    <n v="86"/>
    <n v="4308.78"/>
    <n v="8"/>
    <n v="78"/>
    <n v="7.26"/>
    <n v="10"/>
    <n v="41"/>
    <n v="2797.84"/>
    <n v="0"/>
    <x v="0"/>
    <s v="OK"/>
  </r>
  <r>
    <s v="IT-10059"/>
    <s v="Hydraulic hose 10-59"/>
    <x v="1"/>
    <x v="1"/>
    <x v="1"/>
    <s v="2025-12"/>
    <n v="50.07"/>
    <n v="50.07"/>
    <n v="50.085286000000004"/>
    <n v="68.239999999999995"/>
    <n v="36"/>
    <n v="35"/>
    <n v="94"/>
    <n v="70"/>
    <n v="3505.97"/>
    <n v="12"/>
    <n v="58"/>
    <n v="4.24"/>
    <n v="0"/>
    <n v="110"/>
    <n v="7506.4"/>
    <n v="0"/>
    <x v="0"/>
    <s v="OK"/>
  </r>
  <r>
    <s v="IT-10059"/>
    <s v="Hydraulic hose 10-59"/>
    <x v="1"/>
    <x v="1"/>
    <x v="1"/>
    <s v="2026-01"/>
    <n v="52.91"/>
    <n v="52.91"/>
    <n v="50.556027"/>
    <n v="68.239999999999995"/>
    <n v="36"/>
    <n v="52"/>
    <n v="14"/>
    <n v="73"/>
    <n v="3690.59"/>
    <n v="20"/>
    <n v="53"/>
    <n v="5.92"/>
    <n v="9"/>
    <n v="11"/>
    <n v="750.64"/>
    <n v="0"/>
    <x v="0"/>
    <s v="OK"/>
  </r>
  <r>
    <s v="IT-10059"/>
    <s v="Hydraulic hose 10-59"/>
    <x v="1"/>
    <x v="1"/>
    <x v="1"/>
    <s v="2026-02"/>
    <n v="52.72"/>
    <n v="52.72"/>
    <n v="51.566952000000001"/>
    <n v="71.52"/>
    <n v="36"/>
    <n v="32"/>
    <n v="64"/>
    <n v="105"/>
    <n v="5414.53"/>
    <n v="10"/>
    <n v="95"/>
    <n v="8.82"/>
    <n v="10"/>
    <n v="32"/>
    <n v="2288.64"/>
    <n v="0"/>
    <x v="0"/>
    <s v="OK"/>
  </r>
  <r>
    <s v="IT-10059"/>
    <s v="Hydraulic hose 10-59"/>
    <x v="1"/>
    <x v="1"/>
    <x v="1"/>
    <s v="2026-03"/>
    <n v="53.12"/>
    <n v="53.12"/>
    <n v="51.566957000000002"/>
    <n v="71.52"/>
    <n v="36"/>
    <m/>
    <n v="0"/>
    <n v="92"/>
    <n v="4744.16"/>
    <n v="8"/>
    <n v="84"/>
    <n v="21.12"/>
    <n v="6"/>
    <n v="13"/>
    <n v="929.76"/>
    <n v="0"/>
    <x v="0"/>
    <s v="OK"/>
  </r>
  <r>
    <s v="IT-10059"/>
    <s v="Hydraulic hose 10-59"/>
    <x v="1"/>
    <x v="1"/>
    <x v="1"/>
    <s v="2026-04"/>
    <n v="52.24"/>
    <n v="52.24"/>
    <n v="51.821596"/>
    <n v="71.52"/>
    <n v="36"/>
    <n v="32"/>
    <n v="56"/>
    <n v="94"/>
    <n v="4871.2299999999996"/>
    <n v="12"/>
    <n v="82"/>
    <n v="12.07"/>
    <n v="1"/>
    <n v="54"/>
    <n v="3862.08"/>
    <n v="0"/>
    <x v="0"/>
    <s v="OK"/>
  </r>
  <r>
    <s v="IT-10059"/>
    <s v="Hydraulic hose 10-59"/>
    <x v="1"/>
    <x v="1"/>
    <x v="1"/>
    <s v="2026-05"/>
    <n v="53.23"/>
    <n v="53.23"/>
    <n v="51.957143000000002"/>
    <n v="71.52"/>
    <n v="36"/>
    <n v="35"/>
    <n v="10"/>
    <n v="35"/>
    <n v="1818.5"/>
    <n v="16"/>
    <n v="19"/>
    <n v="3.38"/>
    <n v="0"/>
    <n v="69"/>
    <n v="4934.88"/>
    <n v="0"/>
    <x v="0"/>
    <s v="OK"/>
  </r>
  <r>
    <s v="IT-10059"/>
    <s v="Hydraulic hose 10-59"/>
    <x v="1"/>
    <x v="1"/>
    <x v="1"/>
    <s v="2026-06"/>
    <n v="53.1"/>
    <n v="53.1"/>
    <n v="52.655652000000003"/>
    <n v="71.52"/>
    <n v="36"/>
    <n v="34"/>
    <n v="55"/>
    <n v="46"/>
    <n v="2422.16"/>
    <n v="16"/>
    <n v="30"/>
    <n v="3.58"/>
    <n v="0"/>
    <n v="44"/>
    <n v="3146.88"/>
    <n v="0"/>
    <x v="0"/>
    <s v="OK"/>
  </r>
  <r>
    <s v="IT-10059"/>
    <s v="Hydraulic hose 10-59"/>
    <x v="1"/>
    <x v="1"/>
    <x v="1"/>
    <s v="2026-07"/>
    <n v="51.82"/>
    <n v="51.82"/>
    <n v="52.071232999999999"/>
    <n v="71.52"/>
    <n v="36"/>
    <n v="35"/>
    <n v="107"/>
    <n v="73"/>
    <n v="3801.2"/>
    <n v="4"/>
    <n v="69"/>
    <n v="4.97"/>
    <n v="6"/>
    <n v="80"/>
    <n v="5721.6"/>
    <n v="0"/>
    <x v="0"/>
    <s v="OK"/>
  </r>
  <r>
    <s v="IT-10059"/>
    <s v="Hydraulic hose 10-59"/>
    <x v="1"/>
    <x v="1"/>
    <x v="1"/>
    <s v="2026-08"/>
    <n v="53.38"/>
    <n v="53.38"/>
    <n v="52.786628999999998"/>
    <n v="71.52"/>
    <n v="36"/>
    <n v="60"/>
    <n v="88"/>
    <n v="89"/>
    <n v="4698.01"/>
    <n v="8"/>
    <n v="81"/>
    <n v="5.97"/>
    <n v="0"/>
    <n v="72"/>
    <n v="5149.4399999999996"/>
    <n v="0"/>
    <x v="0"/>
    <s v="OK"/>
  </r>
  <r>
    <s v="IT-10060"/>
    <s v="Control switch 10-60"/>
    <x v="3"/>
    <x v="3"/>
    <x v="1"/>
    <s v="2024-09"/>
    <n v="7.08"/>
    <n v="7.08"/>
    <n v="6.9150549999999997"/>
    <n v="9.2899999999999991"/>
    <n v="41"/>
    <n v="36"/>
    <n v="139"/>
    <n v="631"/>
    <n v="4363.3999999999996"/>
    <n v="50"/>
    <n v="581"/>
    <n v="7.81"/>
    <n v="0"/>
    <n v="177"/>
    <n v="1644.33"/>
    <n v="0"/>
    <x v="0"/>
    <s v="OK"/>
  </r>
  <r>
    <s v="IT-10060"/>
    <s v="Control switch 10-60"/>
    <x v="3"/>
    <x v="3"/>
    <x v="1"/>
    <s v="2024-10"/>
    <n v="6.88"/>
    <n v="6.88"/>
    <n v="6.8968210000000001"/>
    <n v="9.2899999999999991"/>
    <n v="41"/>
    <n v="38"/>
    <n v="684"/>
    <n v="692"/>
    <n v="4772.6000000000004"/>
    <n v="100"/>
    <n v="592"/>
    <n v="6.85"/>
    <n v="3"/>
    <n v="623"/>
    <n v="5787.67"/>
    <n v="0"/>
    <x v="0"/>
    <s v="OK"/>
  </r>
  <r>
    <s v="IT-10060"/>
    <s v="Control switch 10-60"/>
    <x v="3"/>
    <x v="3"/>
    <x v="1"/>
    <s v="2024-11"/>
    <n v="6.95"/>
    <n v="6.95"/>
    <n v="6.8968319999999999"/>
    <n v="9.2899999999999991"/>
    <n v="41"/>
    <m/>
    <n v="0"/>
    <n v="322"/>
    <n v="2220.7800000000002"/>
    <n v="50"/>
    <n v="272"/>
    <n v="3.58"/>
    <n v="0"/>
    <n v="370"/>
    <n v="3437.3"/>
    <n v="0"/>
    <x v="0"/>
    <s v="OK"/>
  </r>
  <r>
    <s v="IT-10060"/>
    <s v="Control switch 10-60"/>
    <x v="3"/>
    <x v="3"/>
    <x v="1"/>
    <s v="2024-12"/>
    <n v="6.98"/>
    <n v="6.98"/>
    <n v="6.9603210000000004"/>
    <n v="9.2899999999999991"/>
    <n v="41"/>
    <n v="39"/>
    <n v="1039"/>
    <n v="1059"/>
    <n v="7370.98"/>
    <n v="50"/>
    <n v="1009"/>
    <n v="10.75"/>
    <n v="0"/>
    <n v="302"/>
    <n v="2805.58"/>
    <n v="0"/>
    <x v="0"/>
    <s v="OK"/>
  </r>
  <r>
    <s v="IT-10060"/>
    <s v="Control switch 10-60"/>
    <x v="3"/>
    <x v="3"/>
    <x v="1"/>
    <s v="2025-01"/>
    <n v="7.03"/>
    <n v="7.03"/>
    <n v="6.9603159999999997"/>
    <n v="9.2899999999999991"/>
    <n v="41"/>
    <m/>
    <n v="0"/>
    <n v="506"/>
    <n v="3521.92"/>
    <n v="113"/>
    <n v="393"/>
    <n v="5.43"/>
    <n v="0"/>
    <n v="553"/>
    <n v="5137.37"/>
    <n v="0"/>
    <x v="0"/>
    <s v="OK"/>
  </r>
  <r>
    <s v="IT-10060"/>
    <s v="Control switch 10-60"/>
    <x v="3"/>
    <x v="3"/>
    <x v="1"/>
    <s v="2025-02"/>
    <n v="6.86"/>
    <n v="6.86"/>
    <n v="6.9603390000000003"/>
    <n v="9.74"/>
    <n v="41"/>
    <m/>
    <n v="0"/>
    <n v="59"/>
    <n v="410.66"/>
    <n v="59"/>
    <n v="0"/>
    <n v="0.57999999999999996"/>
    <n v="0"/>
    <n v="447"/>
    <n v="4353.78"/>
    <n v="0"/>
    <x v="0"/>
    <s v="OK"/>
  </r>
  <r>
    <s v="IT-10060"/>
    <s v="Control switch 10-60"/>
    <x v="3"/>
    <x v="3"/>
    <x v="1"/>
    <s v="2025-03"/>
    <n v="7.48"/>
    <n v="7.48"/>
    <n v="7.4134770000000003"/>
    <n v="9.74"/>
    <n v="41"/>
    <n v="36"/>
    <n v="402"/>
    <n v="279"/>
    <n v="2068.36"/>
    <n v="25"/>
    <n v="254"/>
    <n v="3.03"/>
    <n v="5"/>
    <n v="182"/>
    <n v="1772.68"/>
    <n v="0"/>
    <x v="0"/>
    <s v="OK"/>
  </r>
  <r>
    <s v="IT-10060"/>
    <s v="Control switch 10-60"/>
    <x v="3"/>
    <x v="3"/>
    <x v="1"/>
    <s v="2025-04"/>
    <n v="7.39"/>
    <n v="7.39"/>
    <n v="7.3959669999999997"/>
    <n v="9.74"/>
    <n v="41"/>
    <n v="40"/>
    <n v="818"/>
    <n v="724"/>
    <n v="5354.68"/>
    <n v="125"/>
    <n v="599"/>
    <n v="9.19"/>
    <n v="0"/>
    <n v="373"/>
    <n v="3633.02"/>
    <n v="0"/>
    <x v="0"/>
    <s v="OK"/>
  </r>
  <r>
    <s v="IT-10060"/>
    <s v="Control switch 10-60"/>
    <x v="3"/>
    <x v="3"/>
    <x v="1"/>
    <s v="2025-05"/>
    <n v="7.33"/>
    <n v="7.33"/>
    <n v="7.3960290000000004"/>
    <n v="9.74"/>
    <n v="41"/>
    <m/>
    <n v="0"/>
    <n v="68"/>
    <n v="502.93"/>
    <n v="68"/>
    <n v="0"/>
    <n v="0.74"/>
    <n v="0"/>
    <n v="656"/>
    <n v="6389.44"/>
    <n v="0"/>
    <x v="0"/>
    <s v="OK"/>
  </r>
  <r>
    <s v="IT-10060"/>
    <s v="Control switch 10-60"/>
    <x v="3"/>
    <x v="3"/>
    <x v="1"/>
    <s v="2025-06"/>
    <n v="7.43"/>
    <n v="7.43"/>
    <n v="7.427581"/>
    <n v="9.74"/>
    <n v="41"/>
    <n v="36"/>
    <n v="887"/>
    <n v="616"/>
    <n v="4575.3900000000003"/>
    <n v="25"/>
    <n v="591"/>
    <n v="5.85"/>
    <n v="0"/>
    <n v="339"/>
    <n v="3301.86"/>
    <n v="0"/>
    <x v="0"/>
    <s v="OK"/>
  </r>
  <r>
    <s v="IT-10060"/>
    <s v="Control switch 10-60"/>
    <x v="3"/>
    <x v="3"/>
    <x v="1"/>
    <s v="2025-07"/>
    <n v="7.41"/>
    <n v="7.41"/>
    <n v="7.4233000000000002"/>
    <n v="9.74"/>
    <n v="41"/>
    <n v="52"/>
    <n v="198"/>
    <n v="803"/>
    <n v="5960.91"/>
    <n v="50"/>
    <n v="753"/>
    <n v="10.49"/>
    <n v="1"/>
    <n v="11"/>
    <n v="107.14"/>
    <n v="0"/>
    <x v="0"/>
    <s v="OK"/>
  </r>
  <r>
    <s v="IT-10060"/>
    <s v="Control switch 10-60"/>
    <x v="3"/>
    <x v="3"/>
    <x v="1"/>
    <s v="2025-08"/>
    <n v="7.25"/>
    <n v="7.25"/>
    <n v="7.3465040000000004"/>
    <n v="9.74"/>
    <n v="41"/>
    <n v="35"/>
    <n v="639"/>
    <n v="1370"/>
    <n v="10064.709999999999"/>
    <n v="63"/>
    <n v="1307"/>
    <n v="42.67"/>
    <n v="0"/>
    <n v="72"/>
    <n v="701.28"/>
    <n v="0"/>
    <x v="0"/>
    <s v="OK"/>
  </r>
  <r>
    <s v="IT-10060"/>
    <s v="Control switch 10-60"/>
    <x v="3"/>
    <x v="3"/>
    <x v="1"/>
    <s v="2025-09"/>
    <n v="7.35"/>
    <n v="7.35"/>
    <n v="7.3465939999999996"/>
    <n v="9.74"/>
    <n v="41"/>
    <n v="40"/>
    <n v="35"/>
    <n v="966"/>
    <n v="7096.81"/>
    <n v="38"/>
    <n v="928"/>
    <n v="24.32"/>
    <n v="1"/>
    <n v="439"/>
    <n v="4275.8599999999997"/>
    <n v="0"/>
    <x v="0"/>
    <s v="OK"/>
  </r>
  <r>
    <s v="IT-10060"/>
    <s v="Control switch 10-60"/>
    <x v="3"/>
    <x v="3"/>
    <x v="1"/>
    <s v="2025-10"/>
    <n v="7.33"/>
    <n v="7.33"/>
    <n v="7.3466019999999999"/>
    <n v="9.74"/>
    <n v="41"/>
    <m/>
    <n v="0"/>
    <n v="512"/>
    <n v="3761.46"/>
    <n v="38"/>
    <n v="474"/>
    <n v="6.97"/>
    <n v="3"/>
    <n v="454"/>
    <n v="4421.96"/>
    <n v="0"/>
    <x v="0"/>
    <s v="OK"/>
  </r>
  <r>
    <s v="IT-10060"/>
    <s v="Control switch 10-60"/>
    <x v="3"/>
    <x v="3"/>
    <x v="1"/>
    <s v="2025-11"/>
    <n v="7.36"/>
    <n v="7.36"/>
    <n v="7.3512320000000004"/>
    <n v="9.74"/>
    <n v="41"/>
    <n v="41"/>
    <n v="270"/>
    <n v="357"/>
    <n v="2624.39"/>
    <n v="50"/>
    <n v="307"/>
    <n v="3.52"/>
    <n v="2"/>
    <n v="425"/>
    <n v="4139.5"/>
    <n v="0"/>
    <x v="0"/>
    <s v="OK"/>
  </r>
  <r>
    <s v="IT-10060"/>
    <s v="Control switch 10-60"/>
    <x v="3"/>
    <x v="3"/>
    <x v="1"/>
    <s v="2025-12"/>
    <n v="7.37"/>
    <n v="7.37"/>
    <n v="7.3643789999999996"/>
    <n v="9.74"/>
    <n v="41"/>
    <n v="36"/>
    <n v="835"/>
    <n v="781"/>
    <n v="5751.58"/>
    <n v="100"/>
    <n v="681"/>
    <n v="7.96"/>
    <n v="1"/>
    <n v="411"/>
    <n v="4003.14"/>
    <n v="0"/>
    <x v="0"/>
    <s v="OK"/>
  </r>
  <r>
    <s v="IT-10060"/>
    <s v="Control switch 10-60"/>
    <x v="3"/>
    <x v="3"/>
    <x v="1"/>
    <s v="2026-01"/>
    <n v="7.46"/>
    <n v="7.46"/>
    <n v="7.365926"/>
    <n v="9.74"/>
    <n v="41"/>
    <n v="38"/>
    <n v="13"/>
    <n v="243"/>
    <n v="1789.92"/>
    <n v="125"/>
    <n v="118"/>
    <n v="2.2999999999999998"/>
    <n v="1"/>
    <n v="551"/>
    <n v="5366.74"/>
    <n v="0"/>
    <x v="0"/>
    <s v="OK"/>
  </r>
  <r>
    <s v="IT-10060"/>
    <s v="Control switch 10-60"/>
    <x v="3"/>
    <x v="3"/>
    <x v="1"/>
    <s v="2026-02"/>
    <n v="7.45"/>
    <n v="7.45"/>
    <n v="7.365926"/>
    <n v="10.210000000000001"/>
    <n v="41"/>
    <m/>
    <n v="0"/>
    <n v="0"/>
    <n v="0"/>
    <n v="0"/>
    <n v="0"/>
    <n v="0"/>
    <n v="1"/>
    <n v="243"/>
    <n v="2481.0300000000002"/>
    <n v="50"/>
    <x v="1"/>
    <s v="OK"/>
  </r>
  <r>
    <s v="IT-10060"/>
    <s v="Control switch 10-60"/>
    <x v="3"/>
    <x v="3"/>
    <x v="1"/>
    <s v="2026-03"/>
    <n v="7.94"/>
    <n v="7.94"/>
    <n v="7.94"/>
    <n v="10.210000000000001"/>
    <n v="41"/>
    <n v="39"/>
    <n v="811"/>
    <n v="515"/>
    <n v="4089.1"/>
    <n v="38"/>
    <n v="477"/>
    <n v="6.07"/>
    <n v="0"/>
    <n v="296"/>
    <n v="3022.16"/>
    <n v="0"/>
    <x v="0"/>
    <s v="OK"/>
  </r>
  <r>
    <s v="IT-10060"/>
    <s v="Control switch 10-60"/>
    <x v="3"/>
    <x v="3"/>
    <x v="1"/>
    <s v="2026-04"/>
    <n v="7.79"/>
    <n v="7.79"/>
    <n v="7.851648"/>
    <n v="10.210000000000001"/>
    <n v="41"/>
    <n v="40"/>
    <n v="738"/>
    <n v="1068"/>
    <n v="8385.56"/>
    <n v="125"/>
    <n v="943"/>
    <n v="18.760000000000002"/>
    <n v="2"/>
    <n v="185"/>
    <n v="1888.85"/>
    <n v="0"/>
    <x v="0"/>
    <s v="OK"/>
  </r>
  <r>
    <s v="IT-10060"/>
    <s v="Control switch 10-60"/>
    <x v="3"/>
    <x v="3"/>
    <x v="1"/>
    <s v="2026-05"/>
    <n v="7.71"/>
    <n v="7.71"/>
    <n v="7.8459199999999996"/>
    <n v="10.210000000000001"/>
    <n v="41"/>
    <n v="56"/>
    <n v="45"/>
    <n v="799"/>
    <n v="6268.89"/>
    <n v="113"/>
    <n v="686"/>
    <n v="13.21"/>
    <n v="0"/>
    <n v="314"/>
    <n v="3205.94"/>
    <n v="0"/>
    <x v="0"/>
    <s v="OK"/>
  </r>
  <r>
    <s v="IT-10060"/>
    <s v="Control switch 10-60"/>
    <x v="3"/>
    <x v="3"/>
    <x v="1"/>
    <s v="2026-06"/>
    <n v="7.68"/>
    <n v="7.68"/>
    <n v="7.845917"/>
    <n v="10.210000000000001"/>
    <n v="41"/>
    <m/>
    <n v="0"/>
    <n v="360"/>
    <n v="2824.53"/>
    <n v="113"/>
    <n v="247"/>
    <n v="4.99"/>
    <n v="0"/>
    <n v="439"/>
    <n v="4482.1899999999996"/>
    <n v="0"/>
    <x v="0"/>
    <s v="OK"/>
  </r>
  <r>
    <s v="IT-10060"/>
    <s v="Control switch 10-60"/>
    <x v="3"/>
    <x v="3"/>
    <x v="1"/>
    <s v="2026-07"/>
    <n v="7.75"/>
    <n v="7.75"/>
    <n v="7.7791370000000004"/>
    <n v="10.210000000000001"/>
    <n v="41"/>
    <n v="60"/>
    <n v="825"/>
    <n v="649"/>
    <n v="5048.66"/>
    <n v="63"/>
    <n v="586"/>
    <n v="6.62"/>
    <n v="0"/>
    <n v="536"/>
    <n v="5472.56"/>
    <n v="0"/>
    <x v="0"/>
    <s v="OK"/>
  </r>
  <r>
    <s v="IT-10060"/>
    <s v="Control switch 10-60"/>
    <x v="3"/>
    <x v="3"/>
    <x v="1"/>
    <s v="2026-08"/>
    <n v="7.75"/>
    <n v="7.75"/>
    <n v="7.767817"/>
    <n v="10.210000000000001"/>
    <n v="41"/>
    <n v="39"/>
    <n v="412"/>
    <n v="481"/>
    <n v="3736.32"/>
    <n v="125"/>
    <n v="356"/>
    <n v="4.07"/>
    <n v="1"/>
    <n v="580"/>
    <n v="5921.8"/>
    <n v="0"/>
    <x v="0"/>
    <s v="OK"/>
  </r>
  <r>
    <s v="IT-10061"/>
    <s v="Pressure valve 20-61"/>
    <x v="1"/>
    <x v="1"/>
    <x v="0"/>
    <s v="2024-09"/>
    <n v="1.03"/>
    <n v="1.03"/>
    <n v="1.016284"/>
    <n v="1.39"/>
    <n v="36"/>
    <n v="35"/>
    <n v="511"/>
    <n v="880"/>
    <n v="894.33"/>
    <n v="310"/>
    <n v="570"/>
    <n v="4.5199999999999996"/>
    <n v="1"/>
    <n v="747"/>
    <n v="1038.33"/>
    <n v="0"/>
    <x v="0"/>
    <s v="OK"/>
  </r>
  <r>
    <s v="IT-10061"/>
    <s v="Pressure valve 20-61"/>
    <x v="1"/>
    <x v="1"/>
    <x v="0"/>
    <s v="2024-10"/>
    <n v="1.03"/>
    <n v="1.03"/>
    <n v="1.0247999999999999"/>
    <n v="1.39"/>
    <n v="36"/>
    <n v="31"/>
    <n v="1443"/>
    <n v="902"/>
    <n v="924.37"/>
    <n v="248"/>
    <n v="654"/>
    <n v="3.74"/>
    <n v="0"/>
    <n v="1421"/>
    <n v="1975.19"/>
    <n v="0"/>
    <x v="0"/>
    <s v="OK"/>
  </r>
  <r>
    <s v="IT-10061"/>
    <s v="Pressure valve 20-61"/>
    <x v="1"/>
    <x v="1"/>
    <x v="0"/>
    <s v="2024-11"/>
    <n v="1.04"/>
    <n v="1.04"/>
    <n v="1.0330760000000001"/>
    <n v="1.39"/>
    <n v="36"/>
    <n v="42"/>
    <n v="1077"/>
    <n v="790"/>
    <n v="816.13"/>
    <n v="186"/>
    <n v="604"/>
    <n v="3.06"/>
    <n v="0"/>
    <n v="1189"/>
    <n v="1652.71"/>
    <n v="0"/>
    <x v="0"/>
    <s v="OK"/>
  </r>
  <r>
    <s v="IT-10061"/>
    <s v="Pressure valve 20-61"/>
    <x v="1"/>
    <x v="1"/>
    <x v="0"/>
    <s v="2024-12"/>
    <n v="1.01"/>
    <n v="1.01"/>
    <n v="1.0180979999999999"/>
    <n v="1.39"/>
    <n v="36"/>
    <n v="44"/>
    <n v="1462"/>
    <n v="1635"/>
    <n v="1664.59"/>
    <n v="310"/>
    <n v="1325"/>
    <n v="6.66"/>
    <n v="1"/>
    <n v="617"/>
    <n v="857.63"/>
    <n v="0"/>
    <x v="0"/>
    <s v="OK"/>
  </r>
  <r>
    <s v="IT-10061"/>
    <s v="Pressure valve 20-61"/>
    <x v="1"/>
    <x v="1"/>
    <x v="0"/>
    <s v="2025-01"/>
    <n v="1.06"/>
    <n v="1.06"/>
    <n v="1.038176"/>
    <n v="1.39"/>
    <n v="36"/>
    <n v="44"/>
    <n v="1504"/>
    <n v="1639"/>
    <n v="1701.57"/>
    <n v="248"/>
    <n v="1391"/>
    <n v="6.52"/>
    <n v="0"/>
    <n v="1500"/>
    <n v="2085"/>
    <n v="0"/>
    <x v="0"/>
    <s v="OK"/>
  </r>
  <r>
    <s v="IT-10061"/>
    <s v="Pressure valve 20-61"/>
    <x v="1"/>
    <x v="1"/>
    <x v="0"/>
    <s v="2025-02"/>
    <n v="1.04"/>
    <n v="1.04"/>
    <n v="1.038178"/>
    <n v="1.45"/>
    <n v="36"/>
    <m/>
    <n v="0"/>
    <n v="1449"/>
    <n v="1504.32"/>
    <n v="217"/>
    <n v="1232"/>
    <n v="8.08"/>
    <n v="1"/>
    <n v="190"/>
    <n v="275.5"/>
    <n v="0"/>
    <x v="0"/>
    <s v="OK"/>
  </r>
  <r>
    <s v="IT-10061"/>
    <s v="Pressure valve 20-61"/>
    <x v="1"/>
    <x v="1"/>
    <x v="0"/>
    <s v="2025-03"/>
    <n v="1.05"/>
    <n v="1.05"/>
    <n v="1.0453589999999999"/>
    <n v="1.45"/>
    <n v="36"/>
    <n v="31"/>
    <n v="2241"/>
    <n v="2607"/>
    <n v="2725.25"/>
    <n v="279"/>
    <n v="2328"/>
    <n v="12.09"/>
    <n v="0"/>
    <n v="1083"/>
    <n v="1570.35"/>
    <n v="0"/>
    <x v="0"/>
    <s v="OK"/>
  </r>
  <r>
    <s v="IT-10061"/>
    <s v="Pressure valve 20-61"/>
    <x v="1"/>
    <x v="1"/>
    <x v="0"/>
    <s v="2025-04"/>
    <n v="1.05"/>
    <n v="1.05"/>
    <n v="1.0453570000000001"/>
    <n v="1.45"/>
    <n v="36"/>
    <m/>
    <n v="0"/>
    <n v="1792"/>
    <n v="1873.28"/>
    <n v="186"/>
    <n v="1606"/>
    <n v="10.91"/>
    <n v="0"/>
    <n v="815"/>
    <n v="1181.75"/>
    <n v="0"/>
    <x v="0"/>
    <s v="OK"/>
  </r>
  <r>
    <s v="IT-10061"/>
    <s v="Pressure valve 20-61"/>
    <x v="1"/>
    <x v="1"/>
    <x v="0"/>
    <s v="2025-05"/>
    <n v="1.04"/>
    <n v="1.04"/>
    <n v="1.044667"/>
    <n v="1.45"/>
    <n v="36"/>
    <n v="34"/>
    <n v="264"/>
    <n v="1425"/>
    <n v="1488.65"/>
    <n v="186"/>
    <n v="1239"/>
    <n v="7.41"/>
    <n v="0"/>
    <n v="631"/>
    <n v="914.95"/>
    <n v="0"/>
    <x v="0"/>
    <s v="OK"/>
  </r>
  <r>
    <s v="IT-10061"/>
    <s v="Pressure valve 20-61"/>
    <x v="1"/>
    <x v="1"/>
    <x v="0"/>
    <s v="2025-06"/>
    <n v="1.06"/>
    <n v="1.06"/>
    <n v="1.0454300000000001"/>
    <n v="1.45"/>
    <n v="36"/>
    <n v="40"/>
    <n v="74"/>
    <n v="372"/>
    <n v="388.9"/>
    <n v="155"/>
    <n v="217"/>
    <n v="1.88"/>
    <n v="1"/>
    <n v="1127"/>
    <n v="1634.15"/>
    <n v="0"/>
    <x v="0"/>
    <s v="OK"/>
  </r>
  <r>
    <s v="IT-10061"/>
    <s v="Pressure valve 20-61"/>
    <x v="1"/>
    <x v="1"/>
    <x v="0"/>
    <s v="2025-07"/>
    <n v="1.08"/>
    <n v="1.08"/>
    <n v="1.0734729999999999"/>
    <n v="1.45"/>
    <n v="36"/>
    <n v="61"/>
    <n v="1596"/>
    <n v="383"/>
    <n v="411.14"/>
    <n v="186"/>
    <n v="197"/>
    <n v="1.51"/>
    <n v="0"/>
    <n v="1585"/>
    <n v="2298.25"/>
    <n v="0"/>
    <x v="0"/>
    <s v="OK"/>
  </r>
  <r>
    <s v="IT-10061"/>
    <s v="Pressure valve 20-61"/>
    <x v="1"/>
    <x v="1"/>
    <x v="0"/>
    <s v="2025-08"/>
    <n v="1.08"/>
    <n v="1.08"/>
    <n v="1.0782579999999999"/>
    <n v="1.45"/>
    <n v="36"/>
    <n v="32"/>
    <n v="1079"/>
    <n v="155"/>
    <n v="167.13"/>
    <n v="155"/>
    <n v="0"/>
    <n v="0.51"/>
    <n v="1"/>
    <n v="1307"/>
    <n v="1895.15"/>
    <n v="0"/>
    <x v="0"/>
    <s v="OK"/>
  </r>
  <r>
    <s v="IT-10061"/>
    <s v="Pressure valve 20-61"/>
    <x v="1"/>
    <x v="1"/>
    <x v="0"/>
    <s v="2025-09"/>
    <n v="1.08"/>
    <n v="1.08"/>
    <n v="1.079866"/>
    <n v="1.45"/>
    <n v="36"/>
    <n v="34"/>
    <n v="1910"/>
    <n v="970"/>
    <n v="1047.47"/>
    <n v="93"/>
    <n v="877"/>
    <n v="3.2"/>
    <n v="1"/>
    <n v="1095"/>
    <n v="1587.75"/>
    <n v="0"/>
    <x v="0"/>
    <s v="OK"/>
  </r>
  <r>
    <s v="IT-10061"/>
    <s v="Pressure valve 20-61"/>
    <x v="1"/>
    <x v="1"/>
    <x v="0"/>
    <s v="2025-10"/>
    <n v="1.08"/>
    <n v="1.08"/>
    <n v="1.0799179999999999"/>
    <n v="1.45"/>
    <n v="36"/>
    <n v="55"/>
    <n v="739"/>
    <n v="489"/>
    <n v="528.08000000000004"/>
    <n v="186"/>
    <n v="303"/>
    <n v="1.77"/>
    <n v="0"/>
    <n v="1220"/>
    <n v="1769"/>
    <n v="0"/>
    <x v="0"/>
    <s v="OK"/>
  </r>
  <r>
    <s v="IT-10061"/>
    <s v="Pressure valve 20-61"/>
    <x v="1"/>
    <x v="1"/>
    <x v="0"/>
    <s v="2025-11"/>
    <n v="1.07"/>
    <n v="1.07"/>
    <n v="1.074489"/>
    <n v="1.45"/>
    <n v="36"/>
    <n v="34"/>
    <n v="591"/>
    <n v="421"/>
    <n v="452.36"/>
    <n v="186"/>
    <n v="235"/>
    <n v="1.84"/>
    <n v="3"/>
    <n v="659"/>
    <n v="955.55"/>
    <n v="0"/>
    <x v="0"/>
    <s v="OK"/>
  </r>
  <r>
    <s v="IT-10061"/>
    <s v="Pressure valve 20-61"/>
    <x v="1"/>
    <x v="1"/>
    <x v="0"/>
    <s v="2025-12"/>
    <n v="1.04"/>
    <n v="1.04"/>
    <n v="1.074489"/>
    <n v="1.45"/>
    <n v="36"/>
    <m/>
    <n v="0"/>
    <n v="0"/>
    <n v="0"/>
    <n v="0"/>
    <n v="0"/>
    <n v="0"/>
    <n v="1"/>
    <n v="421"/>
    <n v="610.45000000000005"/>
    <n v="379"/>
    <x v="1"/>
    <s v="OK"/>
  </r>
  <r>
    <s v="IT-10061"/>
    <s v="Pressure valve 20-61"/>
    <x v="1"/>
    <x v="1"/>
    <x v="0"/>
    <s v="2026-01"/>
    <n v="1.1000000000000001"/>
    <n v="1.1000000000000001"/>
    <n v="1.1000000000000001"/>
    <n v="1.45"/>
    <n v="36"/>
    <n v="34"/>
    <n v="3824"/>
    <n v="2552"/>
    <n v="2807.2"/>
    <n v="155"/>
    <n v="2397"/>
    <n v="14.26"/>
    <n v="1"/>
    <n v="1272"/>
    <n v="1844.4"/>
    <n v="0"/>
    <x v="0"/>
    <s v="OK"/>
  </r>
  <r>
    <s v="IT-10061"/>
    <s v="Pressure valve 20-61"/>
    <x v="1"/>
    <x v="1"/>
    <x v="0"/>
    <s v="2026-02"/>
    <n v="1.1100000000000001"/>
    <n v="1.1100000000000001"/>
    <n v="1.1026860000000001"/>
    <n v="1.51"/>
    <n v="36"/>
    <n v="41"/>
    <n v="937"/>
    <n v="2848"/>
    <n v="3140.45"/>
    <n v="155"/>
    <n v="2693"/>
    <n v="15.69"/>
    <n v="0"/>
    <n v="641"/>
    <n v="967.91"/>
    <n v="0"/>
    <x v="0"/>
    <s v="OK"/>
  </r>
  <r>
    <s v="IT-10061"/>
    <s v="Pressure valve 20-61"/>
    <x v="1"/>
    <x v="1"/>
    <x v="0"/>
    <s v="2026-03"/>
    <n v="1.1200000000000001"/>
    <n v="1.1200000000000001"/>
    <n v="1.102687"/>
    <n v="1.51"/>
    <n v="36"/>
    <m/>
    <n v="0"/>
    <n v="1727"/>
    <n v="1904.34"/>
    <n v="248"/>
    <n v="1479"/>
    <n v="7.32"/>
    <n v="0"/>
    <n v="1121"/>
    <n v="1692.71"/>
    <n v="0"/>
    <x v="0"/>
    <s v="OK"/>
  </r>
  <r>
    <s v="IT-10061"/>
    <s v="Pressure valve 20-61"/>
    <x v="1"/>
    <x v="1"/>
    <x v="0"/>
    <s v="2026-04"/>
    <n v="1.0900000000000001"/>
    <n v="1.0900000000000001"/>
    <n v="1.1000460000000001"/>
    <n v="1.51"/>
    <n v="36"/>
    <n v="54"/>
    <n v="454"/>
    <n v="1310"/>
    <n v="1441.06"/>
    <n v="310"/>
    <n v="1000"/>
    <n v="6.33"/>
    <n v="0"/>
    <n v="871"/>
    <n v="1315.21"/>
    <n v="0"/>
    <x v="0"/>
    <s v="OK"/>
  </r>
  <r>
    <s v="IT-10061"/>
    <s v="Pressure valve 20-61"/>
    <x v="1"/>
    <x v="1"/>
    <x v="0"/>
    <s v="2026-05"/>
    <n v="1.08"/>
    <n v="1.08"/>
    <n v="1.0956760000000001"/>
    <n v="1.51"/>
    <n v="36"/>
    <n v="34"/>
    <n v="366"/>
    <n v="518"/>
    <n v="567.55999999999995"/>
    <n v="124"/>
    <n v="394"/>
    <n v="2.16"/>
    <n v="2"/>
    <n v="1158"/>
    <n v="1748.58"/>
    <n v="0"/>
    <x v="0"/>
    <s v="OK"/>
  </r>
  <r>
    <s v="IT-10061"/>
    <s v="Pressure valve 20-61"/>
    <x v="1"/>
    <x v="1"/>
    <x v="0"/>
    <s v="2026-06"/>
    <n v="1.0900000000000001"/>
    <n v="1.0900000000000001"/>
    <n v="1.0956840000000001"/>
    <n v="1.51"/>
    <n v="36"/>
    <m/>
    <n v="0"/>
    <n v="95"/>
    <n v="104.09"/>
    <n v="95"/>
    <n v="0"/>
    <n v="0.5"/>
    <n v="0"/>
    <n v="423"/>
    <n v="638.73"/>
    <n v="0"/>
    <x v="0"/>
    <s v="OK"/>
  </r>
  <r>
    <s v="IT-10061"/>
    <s v="Pressure valve 20-61"/>
    <x v="1"/>
    <x v="1"/>
    <x v="0"/>
    <s v="2026-07"/>
    <n v="1.1100000000000001"/>
    <n v="1.1100000000000001"/>
    <n v="1.10931"/>
    <n v="1.51"/>
    <n v="36"/>
    <n v="32"/>
    <n v="1893"/>
    <n v="638"/>
    <n v="707.74"/>
    <n v="248"/>
    <n v="390"/>
    <n v="2.86"/>
    <n v="0"/>
    <n v="1350"/>
    <n v="2038.5"/>
    <n v="0"/>
    <x v="0"/>
    <s v="OK"/>
  </r>
  <r>
    <s v="IT-10061"/>
    <s v="Pressure valve 20-61"/>
    <x v="1"/>
    <x v="1"/>
    <x v="0"/>
    <s v="2026-08"/>
    <n v="1.0900000000000001"/>
    <n v="1.0900000000000001"/>
    <n v="1.1006530000000001"/>
    <n v="1.51"/>
    <n v="36"/>
    <n v="33"/>
    <n v="521"/>
    <n v="199"/>
    <n v="219.03"/>
    <n v="62"/>
    <n v="137"/>
    <n v="0.96"/>
    <n v="2"/>
    <n v="960"/>
    <n v="1449.6"/>
    <n v="0"/>
    <x v="0"/>
    <s v="OK"/>
  </r>
  <r>
    <s v="IT-10062"/>
    <s v="Relay B-62"/>
    <x v="3"/>
    <x v="3"/>
    <x v="1"/>
    <s v="2024-09"/>
    <n v="45.39"/>
    <n v="45.39"/>
    <n v="45.766582"/>
    <n v="63.83"/>
    <n v="57"/>
    <n v="63"/>
    <n v="35"/>
    <n v="79"/>
    <n v="3615.56"/>
    <n v="10"/>
    <n v="69"/>
    <n v="10.93"/>
    <n v="0"/>
    <n v="17"/>
    <n v="1085.1099999999999"/>
    <n v="0"/>
    <x v="0"/>
    <s v="OK"/>
  </r>
  <r>
    <s v="IT-10062"/>
    <s v="Relay B-62"/>
    <x v="3"/>
    <x v="3"/>
    <x v="1"/>
    <s v="2024-10"/>
    <n v="44.82"/>
    <n v="44.82"/>
    <n v="45.575372999999999"/>
    <n v="63.83"/>
    <n v="57"/>
    <n v="64"/>
    <n v="20"/>
    <n v="67"/>
    <n v="3053.55"/>
    <n v="2"/>
    <n v="65"/>
    <n v="10.01"/>
    <n v="8"/>
    <n v="32"/>
    <n v="2042.56"/>
    <n v="0"/>
    <x v="0"/>
    <s v="OK"/>
  </r>
  <r>
    <s v="IT-10062"/>
    <s v="Relay B-62"/>
    <x v="3"/>
    <x v="3"/>
    <x v="1"/>
    <s v="2024-11"/>
    <n v="46.23"/>
    <n v="46.23"/>
    <n v="45.575516999999998"/>
    <n v="63.83"/>
    <n v="57"/>
    <m/>
    <n v="0"/>
    <n v="29"/>
    <n v="1321.69"/>
    <n v="9"/>
    <n v="20"/>
    <n v="4.33"/>
    <n v="2"/>
    <n v="38"/>
    <n v="2425.54"/>
    <n v="0"/>
    <x v="0"/>
    <s v="OK"/>
  </r>
  <r>
    <s v="IT-10062"/>
    <s v="Relay B-62"/>
    <x v="3"/>
    <x v="3"/>
    <x v="1"/>
    <s v="2024-12"/>
    <n v="44.81"/>
    <n v="44.81"/>
    <n v="45.021394999999998"/>
    <n v="63.83"/>
    <n v="57"/>
    <n v="53"/>
    <n v="76"/>
    <n v="86"/>
    <n v="3871.84"/>
    <n v="9"/>
    <n v="77"/>
    <n v="12.7"/>
    <n v="1"/>
    <n v="19"/>
    <n v="1212.77"/>
    <n v="0"/>
    <x v="0"/>
    <s v="OK"/>
  </r>
  <r>
    <s v="IT-10062"/>
    <s v="Relay B-62"/>
    <x v="3"/>
    <x v="3"/>
    <x v="1"/>
    <s v="2025-01"/>
    <n v="44.58"/>
    <n v="44.58"/>
    <n v="45.021394999999998"/>
    <n v="63.83"/>
    <n v="57"/>
    <m/>
    <n v="0"/>
    <n v="43"/>
    <n v="1935.92"/>
    <n v="7"/>
    <n v="36"/>
    <n v="5.65"/>
    <n v="1"/>
    <n v="43"/>
    <n v="2744.69"/>
    <n v="0"/>
    <x v="0"/>
    <s v="OK"/>
  </r>
  <r>
    <s v="IT-10062"/>
    <s v="Relay B-62"/>
    <x v="3"/>
    <x v="3"/>
    <x v="1"/>
    <s v="2025-02"/>
    <n v="45.99"/>
    <n v="45.99"/>
    <n v="45.328837"/>
    <n v="66.099999999999994"/>
    <n v="57"/>
    <n v="88"/>
    <n v="20"/>
    <n v="43"/>
    <n v="1949.14"/>
    <n v="5"/>
    <n v="38"/>
    <n v="6.74"/>
    <n v="4"/>
    <n v="20"/>
    <n v="1322"/>
    <n v="0"/>
    <x v="0"/>
    <s v="OK"/>
  </r>
  <r>
    <s v="IT-10062"/>
    <s v="Relay B-62"/>
    <x v="3"/>
    <x v="3"/>
    <x v="1"/>
    <s v="2025-03"/>
    <n v="48.66"/>
    <n v="48.66"/>
    <n v="47.068474999999999"/>
    <n v="66.099999999999994"/>
    <n v="57"/>
    <n v="50"/>
    <n v="47"/>
    <n v="59"/>
    <n v="2777.04"/>
    <n v="7"/>
    <n v="52"/>
    <n v="8.07"/>
    <n v="1"/>
    <n v="31"/>
    <n v="2049.1"/>
    <n v="0"/>
    <x v="0"/>
    <s v="OK"/>
  </r>
  <r>
    <s v="IT-10062"/>
    <s v="Relay B-62"/>
    <x v="3"/>
    <x v="3"/>
    <x v="1"/>
    <s v="2025-04"/>
    <n v="47.71"/>
    <n v="47.71"/>
    <n v="47.338912999999998"/>
    <n v="66.099999999999994"/>
    <n v="57"/>
    <n v="50"/>
    <n v="43"/>
    <n v="92"/>
    <n v="4355.18"/>
    <n v="3"/>
    <n v="89"/>
    <n v="19.18"/>
    <n v="20"/>
    <n v="10"/>
    <n v="661"/>
    <n v="0"/>
    <x v="0"/>
    <s v="OK"/>
  </r>
  <r>
    <s v="IT-10062"/>
    <s v="Relay B-62"/>
    <x v="3"/>
    <x v="3"/>
    <x v="1"/>
    <s v="2025-05"/>
    <n v="48.35"/>
    <n v="48.35"/>
    <n v="47.554937000000002"/>
    <n v="66.099999999999994"/>
    <n v="57"/>
    <n v="49"/>
    <n v="25"/>
    <n v="79"/>
    <n v="3756.84"/>
    <n v="7"/>
    <n v="72"/>
    <n v="13.14"/>
    <n v="0"/>
    <n v="38"/>
    <n v="2511.8000000000002"/>
    <n v="0"/>
    <x v="0"/>
    <s v="OK"/>
  </r>
  <r>
    <s v="IT-10062"/>
    <s v="Relay B-62"/>
    <x v="3"/>
    <x v="3"/>
    <x v="1"/>
    <s v="2025-06"/>
    <n v="49.01"/>
    <n v="49.01"/>
    <n v="47.848889"/>
    <n v="66.099999999999994"/>
    <n v="57"/>
    <n v="56"/>
    <n v="20"/>
    <n v="54"/>
    <n v="2583.84"/>
    <n v="3"/>
    <n v="51"/>
    <n v="7.55"/>
    <n v="0"/>
    <n v="45"/>
    <n v="2974.5"/>
    <n v="0"/>
    <x v="0"/>
    <s v="OK"/>
  </r>
  <r>
    <s v="IT-10062"/>
    <s v="Relay B-62"/>
    <x v="3"/>
    <x v="3"/>
    <x v="1"/>
    <s v="2025-07"/>
    <n v="48.93"/>
    <n v="48.93"/>
    <n v="48.357624999999999"/>
    <n v="66.099999999999994"/>
    <n v="57"/>
    <n v="49"/>
    <n v="48"/>
    <n v="80"/>
    <n v="3868.61"/>
    <n v="10"/>
    <n v="70"/>
    <n v="10.01"/>
    <n v="6"/>
    <n v="22"/>
    <n v="1454.2"/>
    <n v="0"/>
    <x v="0"/>
    <s v="OK"/>
  </r>
  <r>
    <s v="IT-10062"/>
    <s v="Relay B-62"/>
    <x v="3"/>
    <x v="3"/>
    <x v="1"/>
    <s v="2025-08"/>
    <n v="48.87"/>
    <n v="48.87"/>
    <n v="48.460129999999999"/>
    <n v="66.099999999999994"/>
    <n v="57"/>
    <n v="55"/>
    <n v="20"/>
    <n v="77"/>
    <n v="3731.43"/>
    <n v="7"/>
    <n v="70"/>
    <n v="11.24"/>
    <n v="2"/>
    <n v="23"/>
    <n v="1520.3"/>
    <n v="0"/>
    <x v="0"/>
    <s v="OK"/>
  </r>
  <r>
    <s v="IT-10062"/>
    <s v="Relay B-62"/>
    <x v="3"/>
    <x v="3"/>
    <x v="1"/>
    <s v="2025-09"/>
    <n v="47.99"/>
    <n v="47.99"/>
    <n v="48.363261000000001"/>
    <n v="66.099999999999994"/>
    <n v="57"/>
    <n v="51"/>
    <n v="20"/>
    <n v="46"/>
    <n v="2224.71"/>
    <n v="2"/>
    <n v="44"/>
    <n v="6.3"/>
    <n v="3"/>
    <n v="51"/>
    <n v="3371.1"/>
    <n v="0"/>
    <x v="0"/>
    <s v="OK"/>
  </r>
  <r>
    <s v="IT-10062"/>
    <s v="Relay B-62"/>
    <x v="3"/>
    <x v="3"/>
    <x v="1"/>
    <s v="2025-10"/>
    <n v="48.32"/>
    <n v="48.32"/>
    <n v="48.340957000000003"/>
    <n v="66.099999999999994"/>
    <n v="57"/>
    <n v="55"/>
    <n v="49"/>
    <n v="94"/>
    <n v="4544.05"/>
    <n v="3"/>
    <n v="91"/>
    <n v="16.47"/>
    <n v="12"/>
    <n v="1"/>
    <n v="66.099999999999994"/>
    <n v="0"/>
    <x v="0"/>
    <s v="OK"/>
  </r>
  <r>
    <s v="IT-10062"/>
    <s v="Relay B-62"/>
    <x v="3"/>
    <x v="3"/>
    <x v="1"/>
    <s v="2025-11"/>
    <n v="48.97"/>
    <n v="48.97"/>
    <n v="48.508000000000003"/>
    <n v="66.099999999999994"/>
    <n v="57"/>
    <n v="51"/>
    <n v="34"/>
    <n v="100"/>
    <n v="4850.8"/>
    <n v="6"/>
    <n v="94"/>
    <n v="16.25"/>
    <n v="3"/>
    <n v="28"/>
    <n v="1850.8"/>
    <n v="0"/>
    <x v="0"/>
    <s v="OK"/>
  </r>
  <r>
    <s v="IT-10062"/>
    <s v="Relay B-62"/>
    <x v="3"/>
    <x v="3"/>
    <x v="1"/>
    <s v="2025-12"/>
    <n v="48.34"/>
    <n v="48.34"/>
    <n v="48.477722"/>
    <n v="66.099999999999994"/>
    <n v="57"/>
    <n v="50"/>
    <n v="22"/>
    <n v="79"/>
    <n v="3829.74"/>
    <n v="6"/>
    <n v="73"/>
    <n v="14.42"/>
    <n v="2"/>
    <n v="43"/>
    <n v="2842.3"/>
    <n v="0"/>
    <x v="0"/>
    <s v="OK"/>
  </r>
  <r>
    <s v="IT-10062"/>
    <s v="Relay B-62"/>
    <x v="3"/>
    <x v="3"/>
    <x v="1"/>
    <s v="2026-01"/>
    <n v="47.32"/>
    <n v="47.32"/>
    <n v="48.477857"/>
    <n v="66.099999999999994"/>
    <n v="57"/>
    <m/>
    <n v="0"/>
    <n v="28"/>
    <n v="1357.38"/>
    <n v="10"/>
    <n v="18"/>
    <n v="3.02"/>
    <n v="1"/>
    <n v="51"/>
    <n v="3371.1"/>
    <n v="0"/>
    <x v="0"/>
    <s v="OK"/>
  </r>
  <r>
    <s v="IT-10062"/>
    <s v="Relay B-62"/>
    <x v="3"/>
    <x v="3"/>
    <x v="1"/>
    <s v="2026-02"/>
    <n v="48.56"/>
    <n v="48.56"/>
    <n v="48.521667000000001"/>
    <n v="68.45"/>
    <n v="57"/>
    <n v="53"/>
    <n v="32"/>
    <n v="42"/>
    <n v="2037.91"/>
    <n v="6"/>
    <n v="36"/>
    <n v="4.82"/>
    <n v="17"/>
    <n v="18"/>
    <n v="1232.0999999999999"/>
    <n v="0"/>
    <x v="0"/>
    <s v="OK"/>
  </r>
  <r>
    <s v="IT-10062"/>
    <s v="Relay B-62"/>
    <x v="3"/>
    <x v="3"/>
    <x v="1"/>
    <s v="2026-03"/>
    <n v="50.2"/>
    <n v="50.2"/>
    <n v="49.480702000000001"/>
    <n v="68.45"/>
    <n v="57"/>
    <n v="57"/>
    <n v="56"/>
    <n v="57"/>
    <n v="2820.4"/>
    <n v="3"/>
    <n v="54"/>
    <n v="6.66"/>
    <n v="3"/>
    <n v="41"/>
    <n v="2806.45"/>
    <n v="0"/>
    <x v="0"/>
    <s v="OK"/>
  </r>
  <r>
    <s v="IT-10062"/>
    <s v="Relay B-62"/>
    <x v="3"/>
    <x v="3"/>
    <x v="1"/>
    <s v="2026-04"/>
    <n v="51.4"/>
    <n v="51.4"/>
    <n v="49.48"/>
    <n v="68.45"/>
    <n v="57"/>
    <m/>
    <n v="0"/>
    <n v="5"/>
    <n v="247.4"/>
    <n v="5"/>
    <n v="0"/>
    <n v="0.56999999999999995"/>
    <n v="4"/>
    <n v="52"/>
    <n v="3559.4"/>
    <n v="0"/>
    <x v="0"/>
    <s v="OK"/>
  </r>
  <r>
    <s v="IT-10062"/>
    <s v="Relay B-62"/>
    <x v="3"/>
    <x v="3"/>
    <x v="1"/>
    <s v="2026-05"/>
    <n v="50.14"/>
    <n v="50.14"/>
    <n v="50.073999999999998"/>
    <n v="68.45"/>
    <n v="57"/>
    <n v="80"/>
    <n v="45"/>
    <n v="30"/>
    <n v="1502.22"/>
    <n v="9"/>
    <n v="21"/>
    <n v="3.49"/>
    <n v="1"/>
    <n v="20"/>
    <n v="1369"/>
    <n v="0"/>
    <x v="0"/>
    <s v="OK"/>
  </r>
  <r>
    <s v="IT-10062"/>
    <s v="Relay B-62"/>
    <x v="3"/>
    <x v="3"/>
    <x v="1"/>
    <s v="2026-06"/>
    <n v="50.11"/>
    <n v="50.11"/>
    <n v="50.092765999999997"/>
    <n v="68.45"/>
    <n v="57"/>
    <n v="74"/>
    <n v="33"/>
    <n v="47"/>
    <n v="2354.36"/>
    <n v="9"/>
    <n v="38"/>
    <n v="6.94"/>
    <n v="6"/>
    <n v="16"/>
    <n v="1095.2"/>
    <n v="0"/>
    <x v="0"/>
    <s v="OK"/>
  </r>
  <r>
    <s v="IT-10062"/>
    <s v="Relay B-62"/>
    <x v="3"/>
    <x v="3"/>
    <x v="1"/>
    <s v="2026-07"/>
    <n v="50.63"/>
    <n v="50.63"/>
    <n v="50.460507"/>
    <n v="68.45"/>
    <n v="57"/>
    <n v="56"/>
    <n v="102"/>
    <n v="138"/>
    <n v="6963.55"/>
    <n v="10"/>
    <n v="128"/>
    <n v="38.590000000000003"/>
    <n v="0"/>
    <n v="11"/>
    <n v="752.95"/>
    <n v="0"/>
    <x v="0"/>
    <s v="OK"/>
  </r>
  <r>
    <s v="IT-10062"/>
    <s v="Relay B-62"/>
    <x v="3"/>
    <x v="3"/>
    <x v="1"/>
    <s v="2026-08"/>
    <n v="50.47"/>
    <n v="50.47"/>
    <n v="50.461691000000002"/>
    <n v="68.45"/>
    <n v="57"/>
    <n v="93"/>
    <n v="20"/>
    <n v="136"/>
    <n v="6862.79"/>
    <n v="7"/>
    <n v="129"/>
    <n v="36.479999999999997"/>
    <n v="12"/>
    <n v="22"/>
    <n v="1505.9"/>
    <n v="0"/>
    <x v="0"/>
    <s v="OK"/>
  </r>
  <r>
    <s v="IT-10063"/>
    <s v="Anchor bolt B-63"/>
    <x v="2"/>
    <x v="2"/>
    <x v="0"/>
    <s v="2024-09"/>
    <n v="4.29"/>
    <n v="4.29"/>
    <n v="4.2944129999999996"/>
    <n v="6.03"/>
    <n v="45"/>
    <n v="40"/>
    <n v="42"/>
    <n v="0"/>
    <n v="0"/>
    <n v="0"/>
    <n v="0"/>
    <n v="0"/>
    <n v="1"/>
    <n v="716"/>
    <n v="4317.4799999999996"/>
    <n v="32"/>
    <x v="1"/>
    <s v="OK"/>
  </r>
  <r>
    <s v="IT-10063"/>
    <s v="Anchor bolt B-63"/>
    <x v="2"/>
    <x v="2"/>
    <x v="0"/>
    <s v="2024-10"/>
    <n v="4.21"/>
    <n v="4.21"/>
    <n v="4.21"/>
    <n v="6.03"/>
    <n v="45"/>
    <n v="45"/>
    <n v="2334"/>
    <n v="1675"/>
    <n v="7051.75"/>
    <n v="90"/>
    <n v="1585"/>
    <n v="7.5"/>
    <n v="0"/>
    <n v="659"/>
    <n v="3973.77"/>
    <n v="0"/>
    <x v="0"/>
    <s v="OK"/>
  </r>
  <r>
    <s v="IT-10063"/>
    <s v="Anchor bolt B-63"/>
    <x v="2"/>
    <x v="2"/>
    <x v="0"/>
    <s v="2024-11"/>
    <n v="4.3"/>
    <n v="4.3"/>
    <n v="4.2178930000000001"/>
    <n v="6.03"/>
    <n v="45"/>
    <n v="43"/>
    <n v="161"/>
    <n v="1139"/>
    <n v="4804.18"/>
    <n v="149"/>
    <n v="990"/>
    <n v="7.15"/>
    <n v="0"/>
    <n v="697"/>
    <n v="4202.91"/>
    <n v="0"/>
    <x v="0"/>
    <s v="OK"/>
  </r>
  <r>
    <s v="IT-10063"/>
    <s v="Anchor bolt B-63"/>
    <x v="2"/>
    <x v="2"/>
    <x v="0"/>
    <s v="2024-12"/>
    <n v="4.46"/>
    <n v="4.46"/>
    <n v="4.3154709999999996"/>
    <n v="6.03"/>
    <n v="45"/>
    <n v="41"/>
    <n v="769"/>
    <n v="1464"/>
    <n v="6317.85"/>
    <n v="209"/>
    <n v="1255"/>
    <n v="10.69"/>
    <n v="0"/>
    <n v="444"/>
    <n v="2677.32"/>
    <n v="0"/>
    <x v="0"/>
    <s v="OK"/>
  </r>
  <r>
    <s v="IT-10063"/>
    <s v="Anchor bolt B-63"/>
    <x v="2"/>
    <x v="2"/>
    <x v="0"/>
    <s v="2025-01"/>
    <n v="4.37"/>
    <n v="4.37"/>
    <n v="4.3283149999999999"/>
    <n v="6.03"/>
    <n v="45"/>
    <n v="41"/>
    <n v="451"/>
    <n v="801"/>
    <n v="3466.98"/>
    <n v="299"/>
    <n v="502"/>
    <n v="4.67"/>
    <n v="0"/>
    <n v="1114"/>
    <n v="6717.42"/>
    <n v="0"/>
    <x v="0"/>
    <s v="OK"/>
  </r>
  <r>
    <s v="IT-10063"/>
    <s v="Anchor bolt B-63"/>
    <x v="2"/>
    <x v="2"/>
    <x v="0"/>
    <s v="2025-02"/>
    <n v="4.29"/>
    <n v="4.29"/>
    <n v="4.3097339999999997"/>
    <n v="6.24"/>
    <n v="45"/>
    <n v="59"/>
    <n v="754"/>
    <n v="677"/>
    <n v="2917.69"/>
    <n v="239"/>
    <n v="438"/>
    <n v="3.57"/>
    <n v="0"/>
    <n v="878"/>
    <n v="5478.72"/>
    <n v="0"/>
    <x v="0"/>
    <s v="OK"/>
  </r>
  <r>
    <s v="IT-10063"/>
    <s v="Anchor bolt B-63"/>
    <x v="2"/>
    <x v="2"/>
    <x v="0"/>
    <s v="2025-03"/>
    <n v="4.3600000000000003"/>
    <n v="4.3600000000000003"/>
    <n v="4.3393699999999997"/>
    <n v="6.24"/>
    <n v="45"/>
    <n v="43"/>
    <n v="973"/>
    <n v="397"/>
    <n v="1722.73"/>
    <n v="90"/>
    <n v="307"/>
    <n v="1.57"/>
    <n v="0"/>
    <n v="1253"/>
    <n v="7818.72"/>
    <n v="0"/>
    <x v="0"/>
    <s v="OK"/>
  </r>
  <r>
    <s v="IT-10063"/>
    <s v="Anchor bolt B-63"/>
    <x v="2"/>
    <x v="2"/>
    <x v="0"/>
    <s v="2025-04"/>
    <n v="4.47"/>
    <n v="4.47"/>
    <n v="4.4233209999999996"/>
    <n v="6.24"/>
    <n v="45"/>
    <n v="40"/>
    <n v="714"/>
    <n v="0"/>
    <n v="0"/>
    <n v="0"/>
    <n v="0"/>
    <n v="0"/>
    <n v="1"/>
    <n v="1111"/>
    <n v="6932.64"/>
    <n v="96"/>
    <x v="1"/>
    <s v="OK"/>
  </r>
  <r>
    <s v="IT-10063"/>
    <s v="Anchor bolt B-63"/>
    <x v="2"/>
    <x v="2"/>
    <x v="0"/>
    <s v="2025-05"/>
    <n v="4.4000000000000004"/>
    <n v="4.4000000000000004"/>
    <n v="4.4233209999999996"/>
    <n v="6.24"/>
    <n v="45"/>
    <m/>
    <n v="0"/>
    <n v="0"/>
    <n v="0"/>
    <n v="0"/>
    <n v="0"/>
    <n v="0"/>
    <n v="32"/>
    <n v="0"/>
    <n v="0"/>
    <n v="553"/>
    <x v="1"/>
    <s v="OK"/>
  </r>
  <r>
    <s v="IT-10063"/>
    <s v="Anchor bolt B-63"/>
    <x v="2"/>
    <x v="2"/>
    <x v="0"/>
    <s v="2025-06"/>
    <n v="4.43"/>
    <n v="4.43"/>
    <n v="4.43"/>
    <n v="6.24"/>
    <n v="45"/>
    <n v="42"/>
    <n v="2540"/>
    <n v="1124"/>
    <n v="4979.32"/>
    <n v="179"/>
    <n v="945"/>
    <n v="5.78"/>
    <n v="1"/>
    <n v="1416"/>
    <n v="8835.84"/>
    <n v="0"/>
    <x v="0"/>
    <s v="OK"/>
  </r>
  <r>
    <s v="IT-10063"/>
    <s v="Anchor bolt B-63"/>
    <x v="2"/>
    <x v="2"/>
    <x v="0"/>
    <s v="2025-07"/>
    <n v="4.3899999999999997"/>
    <n v="4.3899999999999997"/>
    <n v="4.4223109999999997"/>
    <n v="6.24"/>
    <n v="45"/>
    <n v="40"/>
    <n v="267"/>
    <n v="225"/>
    <n v="995.02"/>
    <n v="225"/>
    <n v="0"/>
    <n v="1.1499999999999999"/>
    <n v="0"/>
    <n v="1166"/>
    <n v="7275.84"/>
    <n v="0"/>
    <x v="0"/>
    <s v="OK"/>
  </r>
  <r>
    <s v="IT-10063"/>
    <s v="Anchor bolt B-63"/>
    <x v="2"/>
    <x v="2"/>
    <x v="0"/>
    <s v="2025-08"/>
    <n v="4.38"/>
    <n v="4.38"/>
    <n v="4.3880920000000003"/>
    <n v="6.24"/>
    <n v="45"/>
    <n v="61"/>
    <n v="955"/>
    <n v="152"/>
    <n v="666.99"/>
    <n v="152"/>
    <n v="0"/>
    <n v="0.55000000000000004"/>
    <n v="1"/>
    <n v="1028"/>
    <n v="6414.72"/>
    <n v="0"/>
    <x v="0"/>
    <s v="OK"/>
  </r>
  <r>
    <s v="IT-10063"/>
    <s v="Anchor bolt B-63"/>
    <x v="2"/>
    <x v="2"/>
    <x v="0"/>
    <s v="2025-09"/>
    <n v="4.42"/>
    <n v="4.42"/>
    <n v="4.3880920000000003"/>
    <n v="6.24"/>
    <n v="45"/>
    <m/>
    <n v="0"/>
    <n v="0"/>
    <n v="0"/>
    <n v="0"/>
    <n v="0"/>
    <n v="0"/>
    <n v="0"/>
    <n v="152"/>
    <n v="948.48"/>
    <n v="225"/>
    <x v="1"/>
    <s v="OK"/>
  </r>
  <r>
    <s v="IT-10063"/>
    <s v="Anchor bolt B-63"/>
    <x v="2"/>
    <x v="2"/>
    <x v="0"/>
    <s v="2025-10"/>
    <n v="4.46"/>
    <n v="4.46"/>
    <n v="4.46"/>
    <n v="6.24"/>
    <n v="45"/>
    <n v="52"/>
    <n v="1892"/>
    <n v="999"/>
    <n v="4455.54"/>
    <n v="179"/>
    <n v="820"/>
    <n v="6.33"/>
    <n v="0"/>
    <n v="893"/>
    <n v="5572.32"/>
    <n v="0"/>
    <x v="0"/>
    <s v="OK"/>
  </r>
  <r>
    <s v="IT-10063"/>
    <s v="Anchor bolt B-63"/>
    <x v="2"/>
    <x v="2"/>
    <x v="0"/>
    <s v="2025-11"/>
    <n v="4.4400000000000004"/>
    <n v="4.4400000000000004"/>
    <n v="4.4514940000000003"/>
    <n v="6.24"/>
    <n v="45"/>
    <n v="41"/>
    <n v="739"/>
    <n v="1091"/>
    <n v="4856.58"/>
    <n v="90"/>
    <n v="1001"/>
    <n v="8.3800000000000008"/>
    <n v="0"/>
    <n v="647"/>
    <n v="4037.28"/>
    <n v="0"/>
    <x v="0"/>
    <s v="OK"/>
  </r>
  <r>
    <s v="IT-10063"/>
    <s v="Anchor bolt B-63"/>
    <x v="2"/>
    <x v="2"/>
    <x v="0"/>
    <s v="2025-12"/>
    <n v="4.53"/>
    <n v="4.53"/>
    <n v="4.4715920000000002"/>
    <n v="6.24"/>
    <n v="45"/>
    <n v="45"/>
    <n v="376"/>
    <n v="201"/>
    <n v="898.79"/>
    <n v="149"/>
    <n v="52"/>
    <n v="0.94"/>
    <n v="3"/>
    <n v="1266"/>
    <n v="7899.84"/>
    <n v="0"/>
    <x v="0"/>
    <s v="OK"/>
  </r>
  <r>
    <s v="IT-10063"/>
    <s v="Anchor bolt B-63"/>
    <x v="2"/>
    <x v="2"/>
    <x v="0"/>
    <s v="2026-01"/>
    <n v="4.55"/>
    <n v="4.55"/>
    <n v="4.5437339999999997"/>
    <n v="6.24"/>
    <n v="45"/>
    <n v="44"/>
    <n v="2314"/>
    <n v="1655"/>
    <n v="7519.88"/>
    <n v="299"/>
    <n v="1356"/>
    <n v="7.84"/>
    <n v="0"/>
    <n v="860"/>
    <n v="5366.4"/>
    <n v="0"/>
    <x v="0"/>
    <s v="OK"/>
  </r>
  <r>
    <s v="IT-10063"/>
    <s v="Anchor bolt B-63"/>
    <x v="2"/>
    <x v="2"/>
    <x v="0"/>
    <s v="2026-02"/>
    <n v="4.5"/>
    <n v="4.5"/>
    <n v="4.5437370000000001"/>
    <n v="6.45"/>
    <n v="45"/>
    <m/>
    <n v="0"/>
    <n v="463"/>
    <n v="2103.75"/>
    <n v="269"/>
    <n v="194"/>
    <n v="1.79"/>
    <n v="1"/>
    <n v="1192"/>
    <n v="7688.4"/>
    <n v="0"/>
    <x v="0"/>
    <s v="OK"/>
  </r>
  <r>
    <s v="IT-10063"/>
    <s v="Anchor bolt B-63"/>
    <x v="2"/>
    <x v="2"/>
    <x v="0"/>
    <s v="2026-03"/>
    <n v="4.4400000000000004"/>
    <n v="4.4400000000000004"/>
    <n v="4.5031140000000001"/>
    <n v="6.45"/>
    <n v="45"/>
    <n v="40"/>
    <n v="298"/>
    <n v="0"/>
    <n v="0"/>
    <n v="0"/>
    <n v="0"/>
    <n v="0"/>
    <n v="1"/>
    <n v="761"/>
    <n v="4908.45"/>
    <n v="450"/>
    <x v="1"/>
    <s v="OK"/>
  </r>
  <r>
    <s v="IT-10063"/>
    <s v="Anchor bolt B-63"/>
    <x v="2"/>
    <x v="2"/>
    <x v="0"/>
    <s v="2026-04"/>
    <n v="4.41"/>
    <n v="4.41"/>
    <n v="4.41"/>
    <n v="6.45"/>
    <n v="45"/>
    <n v="40"/>
    <n v="1649"/>
    <n v="931"/>
    <n v="4105.71"/>
    <n v="299"/>
    <n v="632"/>
    <n v="4.43"/>
    <n v="5"/>
    <n v="718"/>
    <n v="4631.1000000000004"/>
    <n v="0"/>
    <x v="0"/>
    <s v="OK"/>
  </r>
  <r>
    <s v="IT-10063"/>
    <s v="Anchor bolt B-63"/>
    <x v="2"/>
    <x v="2"/>
    <x v="0"/>
    <s v="2026-05"/>
    <n v="4.55"/>
    <n v="4.55"/>
    <n v="4.41"/>
    <n v="6.45"/>
    <n v="45"/>
    <m/>
    <n v="0"/>
    <n v="0"/>
    <n v="0"/>
    <n v="0"/>
    <n v="0"/>
    <n v="0"/>
    <n v="0"/>
    <n v="931"/>
    <n v="6004.95"/>
    <n v="227"/>
    <x v="1"/>
    <s v="OK"/>
  </r>
  <r>
    <s v="IT-10063"/>
    <s v="Anchor bolt B-63"/>
    <x v="2"/>
    <x v="2"/>
    <x v="0"/>
    <s v="2026-06"/>
    <n v="4.55"/>
    <n v="4.55"/>
    <n v="4.55"/>
    <n v="6.45"/>
    <n v="45"/>
    <n v="72"/>
    <n v="1346"/>
    <n v="0"/>
    <n v="0"/>
    <n v="0"/>
    <n v="0"/>
    <n v="0"/>
    <n v="0"/>
    <n v="1346"/>
    <n v="8681.7000000000007"/>
    <n v="105"/>
    <x v="1"/>
    <s v="OK"/>
  </r>
  <r>
    <s v="IT-10063"/>
    <s v="Anchor bolt B-63"/>
    <x v="2"/>
    <x v="2"/>
    <x v="0"/>
    <s v="2026-07"/>
    <n v="4.49"/>
    <n v="4.49"/>
    <n v="4.55"/>
    <n v="6.45"/>
    <n v="45"/>
    <m/>
    <n v="0"/>
    <n v="0"/>
    <n v="0"/>
    <n v="0"/>
    <n v="0"/>
    <n v="0"/>
    <n v="31"/>
    <n v="0"/>
    <n v="0"/>
    <n v="748"/>
    <x v="1"/>
    <s v="OK"/>
  </r>
  <r>
    <s v="IT-10063"/>
    <s v="Anchor bolt B-63"/>
    <x v="2"/>
    <x v="2"/>
    <x v="0"/>
    <s v="2026-08"/>
    <n v="4.54"/>
    <n v="4.54"/>
    <n v="4.54"/>
    <n v="6.45"/>
    <n v="45"/>
    <n v="39"/>
    <n v="3098"/>
    <n v="2878"/>
    <n v="13066.12"/>
    <n v="149"/>
    <n v="2729"/>
    <n v="24.15"/>
    <n v="0"/>
    <n v="220"/>
    <n v="1419"/>
    <n v="0"/>
    <x v="0"/>
    <s v="OK"/>
  </r>
  <r>
    <s v="IT-10064"/>
    <s v="Pillow block S-64"/>
    <x v="0"/>
    <x v="0"/>
    <x v="1"/>
    <s v="2024-09"/>
    <n v="63.14"/>
    <n v="63.14"/>
    <n v="63.263314999999999"/>
    <n v="87.37"/>
    <n v="21"/>
    <n v="21"/>
    <n v="773"/>
    <n v="727"/>
    <n v="45992.43"/>
    <n v="81"/>
    <n v="646"/>
    <n v="7.77"/>
    <n v="2"/>
    <n v="347"/>
    <n v="30317.39"/>
    <n v="0"/>
    <x v="0"/>
    <s v="OK"/>
  </r>
  <r>
    <s v="IT-10064"/>
    <s v="Pillow block S-64"/>
    <x v="0"/>
    <x v="0"/>
    <x v="1"/>
    <s v="2024-10"/>
    <n v="62.56"/>
    <n v="62.56"/>
    <n v="63.263300999999998"/>
    <n v="87.37"/>
    <n v="21"/>
    <m/>
    <n v="0"/>
    <n v="312"/>
    <n v="19738.150000000001"/>
    <n v="72"/>
    <n v="240"/>
    <n v="3.39"/>
    <n v="0"/>
    <n v="415"/>
    <n v="36258.550000000003"/>
    <n v="0"/>
    <x v="0"/>
    <s v="OK"/>
  </r>
  <r>
    <s v="IT-10064"/>
    <s v="Pillow block S-64"/>
    <x v="0"/>
    <x v="0"/>
    <x v="1"/>
    <s v="2024-11"/>
    <n v="62.69"/>
    <n v="62.69"/>
    <n v="62.915844"/>
    <n v="87.37"/>
    <n v="21"/>
    <n v="25"/>
    <n v="480"/>
    <n v="729"/>
    <n v="45865.65"/>
    <n v="36"/>
    <n v="693"/>
    <n v="11.49"/>
    <n v="4"/>
    <n v="63"/>
    <n v="5504.31"/>
    <n v="0"/>
    <x v="0"/>
    <s v="OK"/>
  </r>
  <r>
    <s v="IT-10064"/>
    <s v="Pillow block S-64"/>
    <x v="0"/>
    <x v="0"/>
    <x v="1"/>
    <s v="2024-12"/>
    <n v="63.1"/>
    <n v="63.1"/>
    <n v="62.969794"/>
    <n v="87.37"/>
    <n v="21"/>
    <n v="19"/>
    <n v="302"/>
    <n v="583"/>
    <n v="36711.39"/>
    <n v="27"/>
    <n v="556"/>
    <n v="8.27"/>
    <n v="0"/>
    <n v="448"/>
    <n v="39141.760000000002"/>
    <n v="0"/>
    <x v="0"/>
    <s v="OK"/>
  </r>
  <r>
    <s v="IT-10064"/>
    <s v="Pillow block S-64"/>
    <x v="0"/>
    <x v="0"/>
    <x v="1"/>
    <s v="2025-01"/>
    <n v="62.37"/>
    <n v="62.37"/>
    <n v="62.969808"/>
    <n v="87.37"/>
    <n v="21"/>
    <m/>
    <n v="0"/>
    <n v="312"/>
    <n v="19646.580000000002"/>
    <n v="54"/>
    <n v="258"/>
    <n v="5.24"/>
    <n v="1"/>
    <n v="271"/>
    <n v="23677.27"/>
    <n v="0"/>
    <x v="0"/>
    <s v="OK"/>
  </r>
  <r>
    <s v="IT-10064"/>
    <s v="Pillow block S-64"/>
    <x v="0"/>
    <x v="0"/>
    <x v="1"/>
    <s v="2025-02"/>
    <n v="63.67"/>
    <n v="63.67"/>
    <n v="63.418021000000003"/>
    <n v="91.87"/>
    <n v="21"/>
    <n v="21"/>
    <n v="555"/>
    <n v="677"/>
    <n v="42934"/>
    <n v="45"/>
    <n v="632"/>
    <n v="9.58"/>
    <n v="2"/>
    <n v="190"/>
    <n v="17455.3"/>
    <n v="0"/>
    <x v="0"/>
    <s v="OK"/>
  </r>
  <r>
    <s v="IT-10064"/>
    <s v="Pillow block S-64"/>
    <x v="0"/>
    <x v="0"/>
    <x v="1"/>
    <s v="2025-03"/>
    <n v="63.57"/>
    <n v="63.57"/>
    <n v="63.446626999999999"/>
    <n v="91.87"/>
    <n v="21"/>
    <n v="20"/>
    <n v="157"/>
    <n v="498"/>
    <n v="31596.42"/>
    <n v="63"/>
    <n v="435"/>
    <n v="8.0299999999999994"/>
    <n v="1"/>
    <n v="336"/>
    <n v="30868.32"/>
    <n v="0"/>
    <x v="0"/>
    <s v="OK"/>
  </r>
  <r>
    <s v="IT-10064"/>
    <s v="Pillow block S-64"/>
    <x v="0"/>
    <x v="0"/>
    <x v="1"/>
    <s v="2025-04"/>
    <n v="65.47"/>
    <n v="65.47"/>
    <n v="64.054777000000001"/>
    <n v="91.87"/>
    <n v="21"/>
    <n v="18"/>
    <n v="214"/>
    <n v="561"/>
    <n v="35934.730000000003"/>
    <n v="81"/>
    <n v="480"/>
    <n v="10.54"/>
    <n v="1"/>
    <n v="151"/>
    <n v="13872.37"/>
    <n v="0"/>
    <x v="0"/>
    <s v="OK"/>
  </r>
  <r>
    <s v="IT-10064"/>
    <s v="Pillow block S-64"/>
    <x v="0"/>
    <x v="0"/>
    <x v="1"/>
    <s v="2025-05"/>
    <n v="64.55"/>
    <n v="64.55"/>
    <n v="64.154240999999999"/>
    <n v="91.87"/>
    <n v="21"/>
    <n v="19"/>
    <n v="141"/>
    <n v="474"/>
    <n v="30409.11"/>
    <n v="45"/>
    <n v="429"/>
    <n v="8.7100000000000009"/>
    <n v="2"/>
    <n v="228"/>
    <n v="20946.36"/>
    <n v="0"/>
    <x v="0"/>
    <s v="OK"/>
  </r>
  <r>
    <s v="IT-10064"/>
    <s v="Pillow block S-64"/>
    <x v="0"/>
    <x v="0"/>
    <x v="1"/>
    <s v="2025-06"/>
    <n v="64.709999999999994"/>
    <n v="64.709999999999994"/>
    <n v="64.368333000000007"/>
    <n v="91.87"/>
    <n v="21"/>
    <n v="24"/>
    <n v="297"/>
    <n v="378"/>
    <n v="24331.23"/>
    <n v="36"/>
    <n v="342"/>
    <n v="6.37"/>
    <n v="0"/>
    <n v="393"/>
    <n v="36104.910000000003"/>
    <n v="0"/>
    <x v="0"/>
    <s v="OK"/>
  </r>
  <r>
    <s v="IT-10064"/>
    <s v="Pillow block S-64"/>
    <x v="0"/>
    <x v="0"/>
    <x v="1"/>
    <s v="2025-07"/>
    <n v="64.59"/>
    <n v="64.59"/>
    <n v="64.472970000000004"/>
    <n v="91.87"/>
    <n v="21"/>
    <n v="20"/>
    <n v="338"/>
    <n v="505"/>
    <n v="32558.85"/>
    <n v="63"/>
    <n v="442"/>
    <n v="7.98"/>
    <n v="1"/>
    <n v="211"/>
    <n v="19384.57"/>
    <n v="0"/>
    <x v="0"/>
    <s v="OK"/>
  </r>
  <r>
    <s v="IT-10064"/>
    <s v="Pillow block S-64"/>
    <x v="0"/>
    <x v="0"/>
    <x v="1"/>
    <s v="2025-08"/>
    <n v="64.39"/>
    <n v="64.39"/>
    <n v="64.446014000000005"/>
    <n v="91.87"/>
    <n v="21"/>
    <n v="18"/>
    <n v="243"/>
    <n v="414"/>
    <n v="26680.65"/>
    <n v="81"/>
    <n v="333"/>
    <n v="5.8"/>
    <n v="1"/>
    <n v="334"/>
    <n v="30684.58"/>
    <n v="0"/>
    <x v="0"/>
    <s v="OK"/>
  </r>
  <r>
    <s v="IT-10064"/>
    <s v="Pillow block S-64"/>
    <x v="0"/>
    <x v="0"/>
    <x v="1"/>
    <s v="2025-09"/>
    <n v="64.45"/>
    <n v="64.45"/>
    <n v="64.448605000000001"/>
    <n v="91.87"/>
    <n v="21"/>
    <n v="19"/>
    <n v="768"/>
    <n v="939"/>
    <n v="60517.24"/>
    <n v="81"/>
    <n v="858"/>
    <n v="15.66"/>
    <n v="0"/>
    <n v="243"/>
    <n v="22324.41"/>
    <n v="0"/>
    <x v="0"/>
    <s v="OK"/>
  </r>
  <r>
    <s v="IT-10064"/>
    <s v="Pillow block S-64"/>
    <x v="0"/>
    <x v="0"/>
    <x v="1"/>
    <s v="2025-10"/>
    <n v="64.61"/>
    <n v="64.61"/>
    <n v="64.448599999999999"/>
    <n v="91.87"/>
    <n v="21"/>
    <m/>
    <n v="0"/>
    <n v="557"/>
    <n v="35897.870000000003"/>
    <n v="54"/>
    <n v="503"/>
    <n v="7.63"/>
    <n v="1"/>
    <n v="382"/>
    <n v="35094.339999999997"/>
    <n v="0"/>
    <x v="0"/>
    <s v="OK"/>
  </r>
  <r>
    <s v="IT-10064"/>
    <s v="Pillow block S-64"/>
    <x v="0"/>
    <x v="0"/>
    <x v="1"/>
    <s v="2025-11"/>
    <n v="63.97"/>
    <n v="63.97"/>
    <n v="64.352470999999994"/>
    <n v="91.87"/>
    <n v="21"/>
    <n v="29"/>
    <n v="140"/>
    <n v="429"/>
    <n v="27607.21"/>
    <n v="45"/>
    <n v="384"/>
    <n v="6.25"/>
    <n v="1"/>
    <n v="268"/>
    <n v="24621.16"/>
    <n v="0"/>
    <x v="0"/>
    <s v="OK"/>
  </r>
  <r>
    <s v="IT-10064"/>
    <s v="Pillow block S-64"/>
    <x v="0"/>
    <x v="0"/>
    <x v="1"/>
    <s v="2025-12"/>
    <n v="65.27"/>
    <n v="65.27"/>
    <n v="64.664435999999995"/>
    <n v="91.87"/>
    <n v="21"/>
    <n v="19"/>
    <n v="221"/>
    <n v="647"/>
    <n v="41837.89"/>
    <n v="36"/>
    <n v="611"/>
    <n v="13.02"/>
    <n v="14"/>
    <n v="3"/>
    <n v="275.61"/>
    <n v="0"/>
    <x v="0"/>
    <s v="OK"/>
  </r>
  <r>
    <s v="IT-10064"/>
    <s v="Pillow block S-64"/>
    <x v="0"/>
    <x v="0"/>
    <x v="1"/>
    <s v="2026-01"/>
    <n v="65.41"/>
    <n v="65.41"/>
    <n v="64.818844999999996"/>
    <n v="91.87"/>
    <n v="21"/>
    <n v="21"/>
    <n v="169"/>
    <n v="476"/>
    <n v="30853.77"/>
    <n v="90"/>
    <n v="386"/>
    <n v="10.24"/>
    <n v="2"/>
    <n v="340"/>
    <n v="31235.8"/>
    <n v="0"/>
    <x v="0"/>
    <s v="OK"/>
  </r>
  <r>
    <s v="IT-10064"/>
    <s v="Pillow block S-64"/>
    <x v="0"/>
    <x v="0"/>
    <x v="1"/>
    <s v="2026-02"/>
    <n v="65.540000000000006"/>
    <n v="65.540000000000006"/>
    <n v="65.231029000000007"/>
    <n v="96.6"/>
    <n v="21"/>
    <n v="28"/>
    <n v="635"/>
    <n v="826"/>
    <n v="53880.83"/>
    <n v="81"/>
    <n v="745"/>
    <n v="16.91"/>
    <n v="0"/>
    <n v="285"/>
    <n v="27531"/>
    <n v="0"/>
    <x v="0"/>
    <s v="OK"/>
  </r>
  <r>
    <s v="IT-10064"/>
    <s v="Pillow block S-64"/>
    <x v="0"/>
    <x v="0"/>
    <x v="1"/>
    <s v="2026-03"/>
    <n v="63.17"/>
    <n v="63.17"/>
    <n v="64.965796999999995"/>
    <n v="96.6"/>
    <n v="21"/>
    <n v="26"/>
    <n v="122"/>
    <n v="671"/>
    <n v="43592.05"/>
    <n v="18"/>
    <n v="653"/>
    <n v="9.56"/>
    <n v="0"/>
    <n v="277"/>
    <n v="26758.2"/>
    <n v="0"/>
    <x v="0"/>
    <s v="OK"/>
  </r>
  <r>
    <s v="IT-10064"/>
    <s v="Pillow block S-64"/>
    <x v="0"/>
    <x v="0"/>
    <x v="1"/>
    <s v="2026-04"/>
    <n v="66.81"/>
    <n v="66.81"/>
    <n v="65.605078000000006"/>
    <n v="96.6"/>
    <n v="21"/>
    <n v="18"/>
    <n v="356"/>
    <n v="644"/>
    <n v="42249.67"/>
    <n v="36"/>
    <n v="608"/>
    <n v="8.66"/>
    <n v="0"/>
    <n v="383"/>
    <n v="36997.800000000003"/>
    <n v="0"/>
    <x v="0"/>
    <s v="OK"/>
  </r>
  <r>
    <s v="IT-10064"/>
    <s v="Pillow block S-64"/>
    <x v="0"/>
    <x v="0"/>
    <x v="1"/>
    <s v="2026-05"/>
    <n v="65.709999999999994"/>
    <n v="65.709999999999994"/>
    <n v="65.638875999999996"/>
    <n v="96.6"/>
    <n v="21"/>
    <n v="20"/>
    <n v="306"/>
    <n v="614"/>
    <n v="40302.269999999997"/>
    <n v="90"/>
    <n v="524"/>
    <n v="8.1"/>
    <n v="0"/>
    <n v="336"/>
    <n v="32457.599999999999"/>
    <n v="0"/>
    <x v="0"/>
    <s v="OK"/>
  </r>
  <r>
    <s v="IT-10064"/>
    <s v="Pillow block S-64"/>
    <x v="0"/>
    <x v="0"/>
    <x v="1"/>
    <s v="2026-06"/>
    <n v="66.38"/>
    <n v="66.38"/>
    <n v="65.715680000000006"/>
    <n v="96.6"/>
    <n v="21"/>
    <n v="27"/>
    <n v="71"/>
    <n v="294"/>
    <n v="19320.41"/>
    <n v="45"/>
    <n v="249"/>
    <n v="3.44"/>
    <n v="2"/>
    <n v="391"/>
    <n v="37770.6"/>
    <n v="0"/>
    <x v="0"/>
    <s v="OK"/>
  </r>
  <r>
    <s v="IT-10064"/>
    <s v="Pillow block S-64"/>
    <x v="0"/>
    <x v="0"/>
    <x v="1"/>
    <s v="2026-07"/>
    <n v="67.010000000000005"/>
    <n v="67.010000000000005"/>
    <n v="65.715744999999998"/>
    <n v="96.6"/>
    <n v="21"/>
    <m/>
    <n v="0"/>
    <n v="47"/>
    <n v="3088.64"/>
    <n v="45"/>
    <n v="2"/>
    <n v="0.63"/>
    <n v="1"/>
    <n v="247"/>
    <n v="23860.2"/>
    <n v="0"/>
    <x v="0"/>
    <s v="OK"/>
  </r>
  <r>
    <s v="IT-10064"/>
    <s v="Pillow block S-64"/>
    <x v="0"/>
    <x v="0"/>
    <x v="1"/>
    <s v="2026-08"/>
    <n v="67.27"/>
    <n v="67.27"/>
    <n v="67.163045999999994"/>
    <n v="96.6"/>
    <n v="21"/>
    <n v="33"/>
    <n v="636"/>
    <n v="476"/>
    <n v="31969.61"/>
    <n v="54"/>
    <n v="422"/>
    <n v="7.4"/>
    <n v="1"/>
    <n v="207"/>
    <n v="19996.2"/>
    <n v="0"/>
    <x v="0"/>
    <s v="OK"/>
  </r>
  <r>
    <s v="IT-10065"/>
    <s v="Gear set B-65"/>
    <x v="4"/>
    <x v="4"/>
    <x v="1"/>
    <s v="2024-09"/>
    <n v="31.19"/>
    <n v="31.19"/>
    <n v="31.344000000000001"/>
    <n v="44.64"/>
    <n v="23"/>
    <n v="22"/>
    <n v="97"/>
    <n v="110"/>
    <n v="3447.84"/>
    <n v="13"/>
    <n v="97"/>
    <n v="5.18"/>
    <n v="0"/>
    <n v="115"/>
    <n v="5133.6000000000004"/>
    <n v="0"/>
    <x v="0"/>
    <s v="OK"/>
  </r>
  <r>
    <s v="IT-10065"/>
    <s v="Gear set B-65"/>
    <x v="4"/>
    <x v="4"/>
    <x v="1"/>
    <s v="2024-10"/>
    <n v="33.39"/>
    <n v="33.39"/>
    <n v="32.627093000000002"/>
    <n v="44.64"/>
    <n v="23"/>
    <n v="20"/>
    <n v="185"/>
    <n v="258"/>
    <n v="8417.7900000000009"/>
    <n v="4"/>
    <n v="254"/>
    <n v="12.51"/>
    <n v="0"/>
    <n v="37"/>
    <n v="1651.68"/>
    <n v="0"/>
    <x v="0"/>
    <s v="OK"/>
  </r>
  <r>
    <s v="IT-10065"/>
    <s v="Gear set B-65"/>
    <x v="4"/>
    <x v="4"/>
    <x v="1"/>
    <s v="2024-11"/>
    <n v="33.6"/>
    <n v="33.6"/>
    <n v="32.716144999999997"/>
    <n v="44.64"/>
    <n v="23"/>
    <n v="21"/>
    <n v="26"/>
    <n v="179"/>
    <n v="5856.19"/>
    <n v="13"/>
    <n v="166"/>
    <n v="9.0500000000000007"/>
    <n v="1"/>
    <n v="105"/>
    <n v="4687.2"/>
    <n v="0"/>
    <x v="0"/>
    <s v="OK"/>
  </r>
  <r>
    <s v="IT-10065"/>
    <s v="Gear set B-65"/>
    <x v="4"/>
    <x v="4"/>
    <x v="1"/>
    <s v="2024-12"/>
    <n v="33.119999999999997"/>
    <n v="33.119999999999997"/>
    <n v="32.834293000000002"/>
    <n v="44.64"/>
    <n v="23"/>
    <n v="29"/>
    <n v="74"/>
    <n v="191"/>
    <n v="6271.35"/>
    <n v="19"/>
    <n v="172"/>
    <n v="12.31"/>
    <n v="1"/>
    <n v="62"/>
    <n v="2767.68"/>
    <n v="0"/>
    <x v="0"/>
    <s v="OK"/>
  </r>
  <r>
    <s v="IT-10065"/>
    <s v="Gear set B-65"/>
    <x v="4"/>
    <x v="4"/>
    <x v="1"/>
    <s v="2025-01"/>
    <n v="33.020000000000003"/>
    <n v="33.020000000000003"/>
    <n v="32.883059000000003"/>
    <n v="44.64"/>
    <n v="23"/>
    <n v="21"/>
    <n v="68"/>
    <n v="219"/>
    <n v="7201.39"/>
    <n v="19"/>
    <n v="200"/>
    <n v="13.9"/>
    <n v="2"/>
    <n v="40"/>
    <n v="1785.6"/>
    <n v="0"/>
    <x v="0"/>
    <s v="OK"/>
  </r>
  <r>
    <s v="IT-10065"/>
    <s v="Gear set B-65"/>
    <x v="4"/>
    <x v="4"/>
    <x v="1"/>
    <s v="2025-02"/>
    <n v="32.770000000000003"/>
    <n v="32.770000000000003"/>
    <n v="32.860042"/>
    <n v="45.82"/>
    <n v="23"/>
    <n v="20"/>
    <n v="56"/>
    <n v="236"/>
    <n v="7754.97"/>
    <n v="13"/>
    <n v="223"/>
    <n v="21.52"/>
    <n v="2"/>
    <n v="39"/>
    <n v="1786.98"/>
    <n v="0"/>
    <x v="0"/>
    <s v="OK"/>
  </r>
  <r>
    <s v="IT-10065"/>
    <s v="Gear set B-65"/>
    <x v="4"/>
    <x v="4"/>
    <x v="1"/>
    <s v="2025-03"/>
    <n v="33.4"/>
    <n v="33.4"/>
    <n v="32.900298999999997"/>
    <n v="45.82"/>
    <n v="23"/>
    <n v="22"/>
    <n v="19"/>
    <n v="167"/>
    <n v="5494.35"/>
    <n v="17"/>
    <n v="150"/>
    <n v="12.86"/>
    <n v="2"/>
    <n v="88"/>
    <n v="4032.16"/>
    <n v="0"/>
    <x v="0"/>
    <s v="OK"/>
  </r>
  <r>
    <s v="IT-10065"/>
    <s v="Gear set B-65"/>
    <x v="4"/>
    <x v="4"/>
    <x v="1"/>
    <s v="2025-04"/>
    <n v="32.4"/>
    <n v="32.4"/>
    <n v="32.709463999999997"/>
    <n v="45.82"/>
    <n v="23"/>
    <n v="21"/>
    <n v="103"/>
    <n v="224"/>
    <n v="7326.92"/>
    <n v="15"/>
    <n v="209"/>
    <n v="16.46"/>
    <n v="4"/>
    <n v="46"/>
    <n v="2107.7199999999998"/>
    <n v="0"/>
    <x v="0"/>
    <s v="OK"/>
  </r>
  <r>
    <s v="IT-10065"/>
    <s v="Gear set B-65"/>
    <x v="4"/>
    <x v="4"/>
    <x v="1"/>
    <s v="2025-05"/>
    <n v="33.18"/>
    <n v="33.18"/>
    <n v="32.838897000000003"/>
    <n v="45.82"/>
    <n v="23"/>
    <n v="21"/>
    <n v="85"/>
    <n v="263"/>
    <n v="8636.6299999999992"/>
    <n v="8"/>
    <n v="255"/>
    <n v="19.2"/>
    <n v="0"/>
    <n v="46"/>
    <n v="2107.7199999999998"/>
    <n v="0"/>
    <x v="0"/>
    <s v="OK"/>
  </r>
  <r>
    <s v="IT-10065"/>
    <s v="Gear set B-65"/>
    <x v="4"/>
    <x v="4"/>
    <x v="1"/>
    <s v="2025-06"/>
    <n v="32.79"/>
    <n v="32.79"/>
    <n v="32.835912999999998"/>
    <n v="45.82"/>
    <n v="23"/>
    <n v="22"/>
    <n v="17"/>
    <n v="252"/>
    <n v="8274.65"/>
    <n v="6"/>
    <n v="246"/>
    <n v="27.3"/>
    <n v="17"/>
    <n v="28"/>
    <n v="1282.96"/>
    <n v="0"/>
    <x v="0"/>
    <s v="OK"/>
  </r>
  <r>
    <s v="IT-10065"/>
    <s v="Gear set B-65"/>
    <x v="4"/>
    <x v="4"/>
    <x v="1"/>
    <s v="2025-07"/>
    <n v="32.520000000000003"/>
    <n v="32.520000000000003"/>
    <n v="32.835917000000002"/>
    <n v="45.82"/>
    <n v="23"/>
    <m/>
    <n v="0"/>
    <n v="218"/>
    <n v="7158.23"/>
    <n v="15"/>
    <n v="203"/>
    <n v="26.53"/>
    <n v="3"/>
    <n v="34"/>
    <n v="1557.88"/>
    <n v="0"/>
    <x v="0"/>
    <s v="OK"/>
  </r>
  <r>
    <s v="IT-10065"/>
    <s v="Gear set B-65"/>
    <x v="4"/>
    <x v="4"/>
    <x v="1"/>
    <s v="2025-08"/>
    <n v="32.67"/>
    <n v="32.67"/>
    <n v="32.777323000000003"/>
    <n v="45.82"/>
    <n v="23"/>
    <n v="29"/>
    <n v="119"/>
    <n v="310"/>
    <n v="10160.969999999999"/>
    <n v="21"/>
    <n v="289"/>
    <n v="45.78"/>
    <n v="0"/>
    <n v="27"/>
    <n v="1237.1400000000001"/>
    <n v="0"/>
    <x v="0"/>
    <s v="OK"/>
  </r>
  <r>
    <s v="IT-10065"/>
    <s v="Gear set B-65"/>
    <x v="4"/>
    <x v="4"/>
    <x v="1"/>
    <s v="2025-09"/>
    <n v="32.950000000000003"/>
    <n v="32.950000000000003"/>
    <n v="32.792082999999998"/>
    <n v="45.82"/>
    <n v="23"/>
    <n v="23"/>
    <n v="29"/>
    <n v="288"/>
    <n v="9444.1200000000008"/>
    <n v="8"/>
    <n v="280"/>
    <n v="33.799999999999997"/>
    <n v="0"/>
    <n v="51"/>
    <n v="2336.8200000000002"/>
    <n v="0"/>
    <x v="0"/>
    <s v="OK"/>
  </r>
  <r>
    <s v="IT-10065"/>
    <s v="Gear set B-65"/>
    <x v="4"/>
    <x v="4"/>
    <x v="1"/>
    <s v="2025-10"/>
    <n v="34.83"/>
    <n v="34.83"/>
    <n v="32.833652999999998"/>
    <n v="45.82"/>
    <n v="23"/>
    <n v="20"/>
    <n v="6"/>
    <n v="167"/>
    <n v="5483.22"/>
    <n v="21"/>
    <n v="146"/>
    <n v="10.71"/>
    <n v="2"/>
    <n v="127"/>
    <n v="5819.14"/>
    <n v="0"/>
    <x v="0"/>
    <s v="OK"/>
  </r>
  <r>
    <s v="IT-10065"/>
    <s v="Gear set B-65"/>
    <x v="4"/>
    <x v="4"/>
    <x v="1"/>
    <s v="2025-11"/>
    <n v="34.53"/>
    <n v="34.53"/>
    <n v="33.344662999999997"/>
    <n v="45.82"/>
    <n v="23"/>
    <n v="22"/>
    <n v="72"/>
    <n v="178"/>
    <n v="5935.35"/>
    <n v="13"/>
    <n v="165"/>
    <n v="9.68"/>
    <n v="7"/>
    <n v="61"/>
    <n v="2795.02"/>
    <n v="0"/>
    <x v="0"/>
    <s v="OK"/>
  </r>
  <r>
    <s v="IT-10065"/>
    <s v="Gear set B-65"/>
    <x v="4"/>
    <x v="4"/>
    <x v="1"/>
    <s v="2025-12"/>
    <n v="34.54"/>
    <n v="34.54"/>
    <n v="33.715286999999996"/>
    <n v="45.82"/>
    <n v="23"/>
    <n v="26"/>
    <n v="80"/>
    <n v="157"/>
    <n v="5293.3"/>
    <n v="15"/>
    <n v="142"/>
    <n v="7.14"/>
    <n v="10"/>
    <n v="101"/>
    <n v="4627.82"/>
    <n v="0"/>
    <x v="0"/>
    <s v="OK"/>
  </r>
  <r>
    <s v="IT-10065"/>
    <s v="Gear set B-65"/>
    <x v="4"/>
    <x v="4"/>
    <x v="1"/>
    <s v="2026-01"/>
    <n v="34.79"/>
    <n v="34.79"/>
    <n v="34.197974000000002"/>
    <n v="45.82"/>
    <n v="23"/>
    <n v="20"/>
    <n v="128"/>
    <n v="232"/>
    <n v="7933.93"/>
    <n v="13"/>
    <n v="219"/>
    <n v="14.18"/>
    <n v="1"/>
    <n v="53"/>
    <n v="2428.46"/>
    <n v="0"/>
    <x v="0"/>
    <s v="OK"/>
  </r>
  <r>
    <s v="IT-10065"/>
    <s v="Gear set B-65"/>
    <x v="4"/>
    <x v="4"/>
    <x v="1"/>
    <s v="2026-02"/>
    <n v="35.01"/>
    <n v="35.01"/>
    <n v="34.197977999999999"/>
    <n v="47.03"/>
    <n v="23"/>
    <m/>
    <n v="0"/>
    <n v="178"/>
    <n v="6087.24"/>
    <n v="19"/>
    <n v="159"/>
    <n v="11"/>
    <n v="0"/>
    <n v="54"/>
    <n v="2539.62"/>
    <n v="0"/>
    <x v="0"/>
    <s v="OK"/>
  </r>
  <r>
    <s v="IT-10065"/>
    <s v="Gear set B-65"/>
    <x v="4"/>
    <x v="4"/>
    <x v="1"/>
    <s v="2026-03"/>
    <n v="34.39"/>
    <n v="34.39"/>
    <n v="34.270499999999998"/>
    <n v="47.03"/>
    <n v="23"/>
    <n v="34"/>
    <n v="108"/>
    <n v="200"/>
    <n v="6854.1"/>
    <n v="19"/>
    <n v="181"/>
    <n v="13.32"/>
    <n v="8"/>
    <n v="86"/>
    <n v="4044.58"/>
    <n v="0"/>
    <x v="0"/>
    <s v="OK"/>
  </r>
  <r>
    <s v="IT-10065"/>
    <s v="Gear set B-65"/>
    <x v="4"/>
    <x v="4"/>
    <x v="1"/>
    <s v="2026-04"/>
    <n v="35.590000000000003"/>
    <n v="35.590000000000003"/>
    <n v="34.270476000000002"/>
    <n v="47.03"/>
    <n v="23"/>
    <m/>
    <n v="0"/>
    <n v="147"/>
    <n v="5037.76"/>
    <n v="19"/>
    <n v="128"/>
    <n v="9.68"/>
    <n v="13"/>
    <n v="53"/>
    <n v="2492.59"/>
    <n v="0"/>
    <x v="0"/>
    <s v="OK"/>
  </r>
  <r>
    <s v="IT-10065"/>
    <s v="Gear set B-65"/>
    <x v="4"/>
    <x v="4"/>
    <x v="1"/>
    <s v="2026-05"/>
    <n v="35.22"/>
    <n v="35.22"/>
    <n v="34.790539000000003"/>
    <n v="47.03"/>
    <n v="23"/>
    <n v="21"/>
    <n v="178"/>
    <n v="241"/>
    <n v="8384.52"/>
    <n v="6"/>
    <n v="235"/>
    <n v="14.2"/>
    <n v="1"/>
    <n v="84"/>
    <n v="3950.52"/>
    <n v="0"/>
    <x v="0"/>
    <s v="OK"/>
  </r>
  <r>
    <s v="IT-10065"/>
    <s v="Gear set B-65"/>
    <x v="4"/>
    <x v="4"/>
    <x v="1"/>
    <s v="2026-06"/>
    <n v="34.659999999999997"/>
    <n v="34.659999999999997"/>
    <n v="34.784855"/>
    <n v="47.03"/>
    <n v="23"/>
    <n v="20"/>
    <n v="11"/>
    <n v="173"/>
    <n v="6017.78"/>
    <n v="13"/>
    <n v="160"/>
    <n v="10.41"/>
    <n v="7"/>
    <n v="79"/>
    <n v="3715.37"/>
    <n v="0"/>
    <x v="0"/>
    <s v="OK"/>
  </r>
  <r>
    <s v="IT-10065"/>
    <s v="Gear set B-65"/>
    <x v="4"/>
    <x v="4"/>
    <x v="1"/>
    <s v="2026-07"/>
    <n v="35.44"/>
    <n v="35.44"/>
    <n v="34.784847999999997"/>
    <n v="47.03"/>
    <n v="23"/>
    <m/>
    <n v="0"/>
    <n v="99"/>
    <n v="3443.7"/>
    <n v="21"/>
    <n v="78"/>
    <n v="5.49"/>
    <n v="0"/>
    <n v="74"/>
    <n v="3480.22"/>
    <n v="0"/>
    <x v="0"/>
    <s v="OK"/>
  </r>
  <r>
    <s v="IT-10065"/>
    <s v="Gear set B-65"/>
    <x v="4"/>
    <x v="4"/>
    <x v="1"/>
    <s v="2026-08"/>
    <n v="34.22"/>
    <n v="34.22"/>
    <n v="34.464160999999997"/>
    <n v="47.03"/>
    <n v="23"/>
    <n v="38"/>
    <n v="130"/>
    <n v="137"/>
    <n v="4721.59"/>
    <n v="21"/>
    <n v="116"/>
    <n v="7.35"/>
    <n v="0"/>
    <n v="92"/>
    <n v="4326.76"/>
    <n v="0"/>
    <x v="0"/>
    <s v="OK"/>
  </r>
  <r>
    <s v="IT-10066"/>
    <s v="Filter cartridge A-66"/>
    <x v="1"/>
    <x v="1"/>
    <x v="0"/>
    <s v="2024-09"/>
    <n v="6.25"/>
    <n v="6.25"/>
    <n v="6.2394829999999999"/>
    <n v="8.35"/>
    <n v="44"/>
    <n v="42"/>
    <n v="977"/>
    <n v="1200"/>
    <n v="7487.38"/>
    <n v="78"/>
    <n v="1122"/>
    <n v="9.5500000000000007"/>
    <n v="0"/>
    <n v="747"/>
    <n v="6237.45"/>
    <n v="0"/>
    <x v="0"/>
    <s v="OK"/>
  </r>
  <r>
    <s v="IT-10066"/>
    <s v="Filter cartridge A-66"/>
    <x v="1"/>
    <x v="1"/>
    <x v="0"/>
    <s v="2024-10"/>
    <n v="6.21"/>
    <n v="6.21"/>
    <n v="6.239484"/>
    <n v="8.35"/>
    <n v="44"/>
    <m/>
    <n v="0"/>
    <n v="659"/>
    <n v="4111.82"/>
    <n v="39"/>
    <n v="620"/>
    <n v="4.76"/>
    <n v="1"/>
    <n v="541"/>
    <n v="4517.3500000000004"/>
    <n v="0"/>
    <x v="0"/>
    <s v="OK"/>
  </r>
  <r>
    <s v="IT-10066"/>
    <s v="Filter cartridge A-66"/>
    <x v="1"/>
    <x v="1"/>
    <x v="0"/>
    <s v="2024-11"/>
    <n v="6.34"/>
    <n v="6.34"/>
    <n v="6.239484"/>
    <n v="8.35"/>
    <n v="44"/>
    <m/>
    <n v="0"/>
    <n v="0"/>
    <n v="0"/>
    <n v="0"/>
    <n v="0"/>
    <n v="0"/>
    <n v="1"/>
    <n v="659"/>
    <n v="5502.65"/>
    <n v="76"/>
    <x v="1"/>
    <s v="OK"/>
  </r>
  <r>
    <s v="IT-10066"/>
    <s v="Filter cartridge A-66"/>
    <x v="1"/>
    <x v="1"/>
    <x v="0"/>
    <s v="2024-12"/>
    <n v="6.3"/>
    <n v="6.3"/>
    <n v="6.3"/>
    <n v="8.35"/>
    <n v="44"/>
    <n v="51"/>
    <n v="611"/>
    <n v="0"/>
    <n v="0"/>
    <n v="0"/>
    <n v="0"/>
    <n v="0"/>
    <n v="0"/>
    <n v="611"/>
    <n v="5101.8500000000004"/>
    <n v="248"/>
    <x v="1"/>
    <s v="OK"/>
  </r>
  <r>
    <s v="IT-10066"/>
    <s v="Filter cartridge A-66"/>
    <x v="1"/>
    <x v="1"/>
    <x v="0"/>
    <s v="2025-01"/>
    <n v="6.49"/>
    <n v="6.49"/>
    <n v="6.3"/>
    <n v="8.35"/>
    <n v="44"/>
    <m/>
    <n v="0"/>
    <n v="0"/>
    <n v="0"/>
    <n v="0"/>
    <n v="0"/>
    <n v="0"/>
    <n v="31"/>
    <n v="0"/>
    <n v="0"/>
    <n v="843"/>
    <x v="1"/>
    <s v="OK"/>
  </r>
  <r>
    <s v="IT-10066"/>
    <s v="Filter cartridge A-66"/>
    <x v="1"/>
    <x v="1"/>
    <x v="0"/>
    <s v="2025-02"/>
    <n v="6.4"/>
    <n v="6.4"/>
    <n v="6.4"/>
    <n v="8.61"/>
    <n v="44"/>
    <n v="53"/>
    <n v="2457"/>
    <n v="2300"/>
    <n v="14720"/>
    <n v="78"/>
    <n v="2222"/>
    <n v="38.5"/>
    <n v="3"/>
    <n v="157"/>
    <n v="1351.77"/>
    <n v="0"/>
    <x v="0"/>
    <s v="OK"/>
  </r>
  <r>
    <s v="IT-10066"/>
    <s v="Filter cartridge A-66"/>
    <x v="1"/>
    <x v="1"/>
    <x v="0"/>
    <s v="2025-03"/>
    <n v="6.58"/>
    <n v="6.58"/>
    <n v="6.4136689999999996"/>
    <n v="8.61"/>
    <n v="44"/>
    <n v="39"/>
    <n v="189"/>
    <n v="2003"/>
    <n v="12846.58"/>
    <n v="157"/>
    <n v="1846"/>
    <n v="40.049999999999997"/>
    <n v="0"/>
    <n v="486"/>
    <n v="4184.46"/>
    <n v="0"/>
    <x v="0"/>
    <s v="OK"/>
  </r>
  <r>
    <s v="IT-10066"/>
    <s v="Filter cartridge A-66"/>
    <x v="1"/>
    <x v="1"/>
    <x v="0"/>
    <s v="2025-04"/>
    <n v="6.47"/>
    <n v="6.47"/>
    <n v="6.4136699999999998"/>
    <n v="8.61"/>
    <n v="44"/>
    <m/>
    <n v="0"/>
    <n v="1485"/>
    <n v="9524.2999999999993"/>
    <n v="137"/>
    <n v="1348"/>
    <n v="16.260000000000002"/>
    <n v="0"/>
    <n v="518"/>
    <n v="4459.9799999999996"/>
    <n v="0"/>
    <x v="0"/>
    <s v="OK"/>
  </r>
  <r>
    <s v="IT-10066"/>
    <s v="Filter cartridge A-66"/>
    <x v="1"/>
    <x v="1"/>
    <x v="0"/>
    <s v="2025-05"/>
    <n v="6.56"/>
    <n v="6.56"/>
    <n v="6.4136759999999997"/>
    <n v="8.61"/>
    <n v="44"/>
    <m/>
    <n v="0"/>
    <n v="857"/>
    <n v="5496.52"/>
    <n v="196"/>
    <n v="661"/>
    <n v="6.9"/>
    <n v="0"/>
    <n v="628"/>
    <n v="5407.08"/>
    <n v="0"/>
    <x v="0"/>
    <s v="OK"/>
  </r>
  <r>
    <s v="IT-10066"/>
    <s v="Filter cartridge A-66"/>
    <x v="1"/>
    <x v="1"/>
    <x v="0"/>
    <s v="2025-06"/>
    <n v="6.49"/>
    <n v="6.49"/>
    <n v="6.4325809999999999"/>
    <n v="8.61"/>
    <n v="44"/>
    <n v="43"/>
    <n v="282"/>
    <n v="554"/>
    <n v="3563.65"/>
    <n v="117"/>
    <n v="437"/>
    <n v="4.16"/>
    <n v="4"/>
    <n v="585"/>
    <n v="5036.8500000000004"/>
    <n v="0"/>
    <x v="0"/>
    <s v="OK"/>
  </r>
  <r>
    <s v="IT-10066"/>
    <s v="Filter cartridge A-66"/>
    <x v="1"/>
    <x v="1"/>
    <x v="0"/>
    <s v="2025-07"/>
    <n v="6.38"/>
    <n v="6.38"/>
    <n v="6.3947250000000002"/>
    <n v="8.61"/>
    <n v="44"/>
    <n v="39"/>
    <n v="1424"/>
    <n v="1435"/>
    <n v="9176.43"/>
    <n v="137"/>
    <n v="1298"/>
    <n v="10.74"/>
    <n v="1"/>
    <n v="543"/>
    <n v="4675.2299999999996"/>
    <n v="0"/>
    <x v="0"/>
    <s v="OK"/>
  </r>
  <r>
    <s v="IT-10066"/>
    <s v="Filter cartridge A-66"/>
    <x v="1"/>
    <x v="1"/>
    <x v="0"/>
    <s v="2025-08"/>
    <n v="6.57"/>
    <n v="6.57"/>
    <n v="6.4005109999999998"/>
    <n v="8.61"/>
    <n v="44"/>
    <n v="62"/>
    <n v="49"/>
    <n v="1155"/>
    <n v="7392.59"/>
    <n v="196"/>
    <n v="959"/>
    <n v="10.42"/>
    <n v="0"/>
    <n v="329"/>
    <n v="2832.69"/>
    <n v="0"/>
    <x v="0"/>
    <s v="OK"/>
  </r>
  <r>
    <s v="IT-10066"/>
    <s v="Filter cartridge A-66"/>
    <x v="1"/>
    <x v="1"/>
    <x v="0"/>
    <s v="2025-09"/>
    <n v="6.34"/>
    <n v="6.34"/>
    <n v="6.3773369999999998"/>
    <n v="8.61"/>
    <n v="44"/>
    <n v="41"/>
    <n v="717"/>
    <n v="1382"/>
    <n v="8813.48"/>
    <n v="117"/>
    <n v="1265"/>
    <n v="13.34"/>
    <n v="0"/>
    <n v="490"/>
    <n v="4218.8999999999996"/>
    <n v="0"/>
    <x v="0"/>
    <s v="OK"/>
  </r>
  <r>
    <s v="IT-10066"/>
    <s v="Filter cartridge A-66"/>
    <x v="1"/>
    <x v="1"/>
    <x v="0"/>
    <s v="2025-10"/>
    <n v="6.36"/>
    <n v="6.36"/>
    <n v="6.3773340000000003"/>
    <n v="8.61"/>
    <n v="44"/>
    <m/>
    <n v="0"/>
    <n v="739"/>
    <n v="4712.8500000000004"/>
    <n v="59"/>
    <n v="680"/>
    <n v="6.64"/>
    <n v="0"/>
    <n v="643"/>
    <n v="5536.23"/>
    <n v="0"/>
    <x v="0"/>
    <s v="OK"/>
  </r>
  <r>
    <s v="IT-10066"/>
    <s v="Filter cartridge A-66"/>
    <x v="1"/>
    <x v="1"/>
    <x v="0"/>
    <s v="2025-11"/>
    <n v="6.59"/>
    <n v="6.59"/>
    <n v="6.3774360000000003"/>
    <n v="8.61"/>
    <n v="44"/>
    <m/>
    <n v="0"/>
    <n v="39"/>
    <n v="248.72"/>
    <n v="39"/>
    <n v="0"/>
    <n v="0.28000000000000003"/>
    <n v="0"/>
    <n v="700"/>
    <n v="6027"/>
    <n v="0"/>
    <x v="0"/>
    <s v="OK"/>
  </r>
  <r>
    <s v="IT-10066"/>
    <s v="Filter cartridge A-66"/>
    <x v="1"/>
    <x v="1"/>
    <x v="0"/>
    <s v="2025-12"/>
    <n v="6.38"/>
    <n v="6.38"/>
    <n v="6.3799109999999999"/>
    <n v="8.61"/>
    <n v="44"/>
    <n v="43"/>
    <n v="960"/>
    <n v="338"/>
    <n v="2156.41"/>
    <n v="176"/>
    <n v="162"/>
    <n v="2.2200000000000002"/>
    <n v="1"/>
    <n v="661"/>
    <n v="5691.21"/>
    <n v="0"/>
    <x v="0"/>
    <s v="OK"/>
  </r>
  <r>
    <s v="IT-10066"/>
    <s v="Filter cartridge A-66"/>
    <x v="1"/>
    <x v="1"/>
    <x v="0"/>
    <s v="2026-01"/>
    <n v="6.83"/>
    <n v="6.83"/>
    <n v="6.7277659999999999"/>
    <n v="8.61"/>
    <n v="44"/>
    <n v="42"/>
    <n v="1150"/>
    <n v="779"/>
    <n v="5240.93"/>
    <n v="98"/>
    <n v="681"/>
    <n v="4.95"/>
    <n v="0"/>
    <n v="709"/>
    <n v="6104.49"/>
    <n v="0"/>
    <x v="0"/>
    <s v="OK"/>
  </r>
  <r>
    <s v="IT-10066"/>
    <s v="Filter cartridge A-66"/>
    <x v="1"/>
    <x v="1"/>
    <x v="0"/>
    <s v="2026-02"/>
    <n v="6.63"/>
    <n v="6.63"/>
    <n v="6.7277659999999999"/>
    <n v="8.8800000000000008"/>
    <n v="44"/>
    <m/>
    <n v="0"/>
    <n v="0"/>
    <n v="0"/>
    <n v="0"/>
    <n v="0"/>
    <n v="0"/>
    <n v="0"/>
    <n v="779"/>
    <n v="6917.52"/>
    <n v="17"/>
    <x v="1"/>
    <s v="OK"/>
  </r>
  <r>
    <s v="IT-10066"/>
    <s v="Filter cartridge A-66"/>
    <x v="1"/>
    <x v="1"/>
    <x v="0"/>
    <s v="2026-03"/>
    <n v="6.74"/>
    <n v="6.74"/>
    <n v="6.74"/>
    <n v="8.8800000000000008"/>
    <n v="44"/>
    <n v="38"/>
    <n v="1551"/>
    <n v="1233"/>
    <n v="8310.42"/>
    <n v="137"/>
    <n v="1096"/>
    <n v="8.7799999999999994"/>
    <n v="0"/>
    <n v="318"/>
    <n v="2823.84"/>
    <n v="0"/>
    <x v="0"/>
    <s v="OK"/>
  </r>
  <r>
    <s v="IT-10066"/>
    <s v="Filter cartridge A-66"/>
    <x v="1"/>
    <x v="1"/>
    <x v="0"/>
    <s v="2026-04"/>
    <n v="6.61"/>
    <n v="6.61"/>
    <n v="6.7057549999999999"/>
    <n v="8.8800000000000008"/>
    <n v="44"/>
    <n v="38"/>
    <n v="441"/>
    <n v="954"/>
    <n v="6397.29"/>
    <n v="59"/>
    <n v="895"/>
    <n v="6.68"/>
    <n v="0"/>
    <n v="720"/>
    <n v="6393.6"/>
    <n v="0"/>
    <x v="0"/>
    <s v="OK"/>
  </r>
  <r>
    <s v="IT-10066"/>
    <s v="Filter cartridge A-66"/>
    <x v="1"/>
    <x v="1"/>
    <x v="0"/>
    <s v="2026-05"/>
    <n v="6.75"/>
    <n v="6.75"/>
    <n v="6.705756"/>
    <n v="8.8800000000000008"/>
    <n v="44"/>
    <m/>
    <n v="0"/>
    <n v="377"/>
    <n v="2528.0700000000002"/>
    <n v="98"/>
    <n v="279"/>
    <n v="3.07"/>
    <n v="0"/>
    <n v="577"/>
    <n v="5123.76"/>
    <n v="0"/>
    <x v="0"/>
    <s v="OK"/>
  </r>
  <r>
    <s v="IT-10066"/>
    <s v="Filter cartridge A-66"/>
    <x v="1"/>
    <x v="1"/>
    <x v="0"/>
    <s v="2026-06"/>
    <n v="6.69"/>
    <n v="6.69"/>
    <n v="6.705756"/>
    <n v="8.8800000000000008"/>
    <n v="44"/>
    <m/>
    <n v="0"/>
    <n v="0"/>
    <n v="0"/>
    <n v="0"/>
    <n v="0"/>
    <n v="0"/>
    <n v="0"/>
    <n v="377"/>
    <n v="3347.76"/>
    <n v="418"/>
    <x v="1"/>
    <s v="OK"/>
  </r>
  <r>
    <s v="IT-10066"/>
    <s v="Filter cartridge A-66"/>
    <x v="1"/>
    <x v="1"/>
    <x v="0"/>
    <s v="2026-07"/>
    <n v="6.68"/>
    <n v="6.68"/>
    <n v="6.68"/>
    <n v="8.8800000000000008"/>
    <n v="44"/>
    <n v="40"/>
    <n v="2065"/>
    <n v="1395"/>
    <n v="9318.6"/>
    <n v="157"/>
    <n v="1238"/>
    <n v="11.29"/>
    <n v="3"/>
    <n v="670"/>
    <n v="5949.6"/>
    <n v="0"/>
    <x v="0"/>
    <s v="OK"/>
  </r>
  <r>
    <s v="IT-10066"/>
    <s v="Filter cartridge A-66"/>
    <x v="1"/>
    <x v="1"/>
    <x v="0"/>
    <s v="2026-08"/>
    <n v="6.66"/>
    <n v="6.66"/>
    <n v="6.68"/>
    <n v="8.8800000000000008"/>
    <n v="44"/>
    <m/>
    <n v="0"/>
    <n v="517"/>
    <n v="3453.56"/>
    <n v="176"/>
    <n v="341"/>
    <n v="3.53"/>
    <n v="0"/>
    <n v="878"/>
    <n v="7796.64"/>
    <n v="0"/>
    <x v="0"/>
    <s v="OK"/>
  </r>
  <r>
    <s v="IT-10067"/>
    <s v="Relay M-67"/>
    <x v="3"/>
    <x v="3"/>
    <x v="0"/>
    <s v="2024-09"/>
    <n v="35.54"/>
    <n v="35.54"/>
    <n v="35.887832000000003"/>
    <n v="48.31"/>
    <n v="42"/>
    <n v="73"/>
    <n v="232"/>
    <n v="309"/>
    <n v="11089.34"/>
    <n v="51"/>
    <n v="258"/>
    <n v="8.06"/>
    <n v="0"/>
    <n v="154"/>
    <n v="7439.74"/>
    <n v="0"/>
    <x v="0"/>
    <s v="OK"/>
  </r>
  <r>
    <s v="IT-10067"/>
    <s v="Relay M-67"/>
    <x v="3"/>
    <x v="3"/>
    <x v="0"/>
    <s v="2024-10"/>
    <n v="36.14"/>
    <n v="36.14"/>
    <n v="35.951320000000003"/>
    <n v="48.31"/>
    <n v="42"/>
    <n v="65"/>
    <n v="104"/>
    <n v="394"/>
    <n v="14164.82"/>
    <n v="28"/>
    <n v="366"/>
    <n v="12.51"/>
    <n v="3"/>
    <n v="19"/>
    <n v="917.89"/>
    <n v="0"/>
    <x v="0"/>
    <s v="OK"/>
  </r>
  <r>
    <s v="IT-10067"/>
    <s v="Relay M-67"/>
    <x v="3"/>
    <x v="3"/>
    <x v="0"/>
    <s v="2024-11"/>
    <n v="35.369999999999997"/>
    <n v="35.369999999999997"/>
    <n v="35.671773999999999"/>
    <n v="48.31"/>
    <n v="42"/>
    <n v="39"/>
    <n v="365"/>
    <n v="592"/>
    <n v="21117.69"/>
    <n v="40"/>
    <n v="552"/>
    <n v="22.64"/>
    <n v="0"/>
    <n v="167"/>
    <n v="8067.77"/>
    <n v="0"/>
    <x v="0"/>
    <s v="OK"/>
  </r>
  <r>
    <s v="IT-10067"/>
    <s v="Relay M-67"/>
    <x v="3"/>
    <x v="3"/>
    <x v="0"/>
    <s v="2024-12"/>
    <n v="35.590000000000003"/>
    <n v="35.590000000000003"/>
    <n v="35.659961000000003"/>
    <n v="48.31"/>
    <n v="42"/>
    <n v="36"/>
    <n v="100"/>
    <n v="516"/>
    <n v="18400.54"/>
    <n v="45"/>
    <n v="471"/>
    <n v="18.73"/>
    <n v="0"/>
    <n v="176"/>
    <n v="8502.56"/>
    <n v="0"/>
    <x v="0"/>
    <s v="OK"/>
  </r>
  <r>
    <s v="IT-10067"/>
    <s v="Relay M-67"/>
    <x v="3"/>
    <x v="3"/>
    <x v="0"/>
    <s v="2025-01"/>
    <n v="36.659999999999997"/>
    <n v="36.659999999999997"/>
    <n v="35.659967999999999"/>
    <n v="48.31"/>
    <n v="42"/>
    <m/>
    <n v="0"/>
    <n v="312"/>
    <n v="11125.91"/>
    <n v="11"/>
    <n v="301"/>
    <n v="7.5"/>
    <n v="2"/>
    <n v="204"/>
    <n v="9855.24"/>
    <n v="0"/>
    <x v="0"/>
    <s v="OK"/>
  </r>
  <r>
    <s v="IT-10067"/>
    <s v="Relay M-67"/>
    <x v="3"/>
    <x v="3"/>
    <x v="0"/>
    <s v="2025-02"/>
    <n v="36.22"/>
    <n v="36.22"/>
    <n v="35.845050999999998"/>
    <n v="51.15"/>
    <n v="42"/>
    <n v="65"/>
    <n v="154"/>
    <n v="297"/>
    <n v="10645.98"/>
    <n v="56"/>
    <n v="241"/>
    <n v="6.96"/>
    <n v="2"/>
    <n v="169"/>
    <n v="8644.35"/>
    <n v="0"/>
    <x v="0"/>
    <s v="OK"/>
  </r>
  <r>
    <s v="IT-10067"/>
    <s v="Relay M-67"/>
    <x v="3"/>
    <x v="3"/>
    <x v="0"/>
    <s v="2025-03"/>
    <n v="38.75"/>
    <n v="38.75"/>
    <n v="37.458427"/>
    <n v="51.15"/>
    <n v="42"/>
    <n v="38"/>
    <n v="371"/>
    <n v="534"/>
    <n v="20002.8"/>
    <n v="17"/>
    <n v="517"/>
    <n v="13.54"/>
    <n v="0"/>
    <n v="134"/>
    <n v="6854.1"/>
    <n v="0"/>
    <x v="0"/>
    <s v="OK"/>
  </r>
  <r>
    <s v="IT-10067"/>
    <s v="Relay M-67"/>
    <x v="3"/>
    <x v="3"/>
    <x v="0"/>
    <s v="2025-04"/>
    <n v="38.44"/>
    <n v="38.44"/>
    <n v="37.458416"/>
    <n v="51.15"/>
    <n v="42"/>
    <m/>
    <n v="0"/>
    <n v="423"/>
    <n v="15844.91"/>
    <n v="34"/>
    <n v="389"/>
    <n v="12.99"/>
    <n v="0"/>
    <n v="111"/>
    <n v="5677.65"/>
    <n v="0"/>
    <x v="0"/>
    <s v="OK"/>
  </r>
  <r>
    <s v="IT-10067"/>
    <s v="Relay M-67"/>
    <x v="3"/>
    <x v="3"/>
    <x v="0"/>
    <s v="2025-05"/>
    <n v="37.79"/>
    <n v="37.79"/>
    <n v="37.557772"/>
    <n v="51.15"/>
    <n v="42"/>
    <n v="38"/>
    <n v="181"/>
    <n v="413"/>
    <n v="15511.36"/>
    <n v="28"/>
    <n v="385"/>
    <n v="12.45"/>
    <n v="0"/>
    <n v="191"/>
    <n v="9769.65"/>
    <n v="0"/>
    <x v="0"/>
    <s v="OK"/>
  </r>
  <r>
    <s v="IT-10067"/>
    <s v="Relay M-67"/>
    <x v="3"/>
    <x v="3"/>
    <x v="0"/>
    <s v="2025-06"/>
    <n v="37.630000000000003"/>
    <n v="37.630000000000003"/>
    <n v="37.557760999999999"/>
    <n v="51.15"/>
    <n v="42"/>
    <m/>
    <n v="0"/>
    <n v="134"/>
    <n v="5032.74"/>
    <n v="56"/>
    <n v="78"/>
    <n v="3"/>
    <n v="1"/>
    <n v="279"/>
    <n v="14270.85"/>
    <n v="0"/>
    <x v="0"/>
    <s v="OK"/>
  </r>
  <r>
    <s v="IT-10067"/>
    <s v="Relay M-67"/>
    <x v="3"/>
    <x v="3"/>
    <x v="0"/>
    <s v="2025-07"/>
    <n v="37.68"/>
    <n v="37.68"/>
    <n v="37.643929999999997"/>
    <n v="51.15"/>
    <n v="42"/>
    <n v="40"/>
    <n v="320"/>
    <n v="285"/>
    <n v="10728.52"/>
    <n v="51"/>
    <n v="234"/>
    <n v="5.86"/>
    <n v="0"/>
    <n v="169"/>
    <n v="8644.35"/>
    <n v="0"/>
    <x v="0"/>
    <s v="OK"/>
  </r>
  <r>
    <s v="IT-10067"/>
    <s v="Relay M-67"/>
    <x v="3"/>
    <x v="3"/>
    <x v="0"/>
    <s v="2025-08"/>
    <n v="38.46"/>
    <n v="38.46"/>
    <n v="38.021984000000003"/>
    <n v="51.15"/>
    <n v="42"/>
    <n v="37"/>
    <n v="246"/>
    <n v="368"/>
    <n v="13992.09"/>
    <n v="23"/>
    <n v="345"/>
    <n v="7.92"/>
    <n v="1"/>
    <n v="163"/>
    <n v="8337.4500000000007"/>
    <n v="0"/>
    <x v="0"/>
    <s v="OK"/>
  </r>
  <r>
    <s v="IT-10067"/>
    <s v="Relay M-67"/>
    <x v="3"/>
    <x v="3"/>
    <x v="0"/>
    <s v="2025-09"/>
    <n v="38.5"/>
    <n v="38.5"/>
    <n v="38.021979999999999"/>
    <n v="51.15"/>
    <n v="42"/>
    <m/>
    <n v="0"/>
    <n v="197"/>
    <n v="7490.33"/>
    <n v="11"/>
    <n v="186"/>
    <n v="5.15"/>
    <n v="2"/>
    <n v="171"/>
    <n v="8746.65"/>
    <n v="0"/>
    <x v="0"/>
    <s v="OK"/>
  </r>
  <r>
    <s v="IT-10067"/>
    <s v="Relay M-67"/>
    <x v="3"/>
    <x v="3"/>
    <x v="0"/>
    <s v="2025-10"/>
    <n v="38.11"/>
    <n v="38.11"/>
    <n v="38.086157999999998"/>
    <n v="51.15"/>
    <n v="42"/>
    <n v="41"/>
    <n v="530"/>
    <n v="354"/>
    <n v="13482.5"/>
    <n v="28"/>
    <n v="326"/>
    <n v="6.58"/>
    <n v="0"/>
    <n v="373"/>
    <n v="19078.95"/>
    <n v="0"/>
    <x v="0"/>
    <s v="OK"/>
  </r>
  <r>
    <s v="IT-10067"/>
    <s v="Relay M-67"/>
    <x v="3"/>
    <x v="3"/>
    <x v="0"/>
    <s v="2025-11"/>
    <n v="38.83"/>
    <n v="38.83"/>
    <n v="38.086139000000003"/>
    <n v="51.15"/>
    <n v="42"/>
    <m/>
    <n v="0"/>
    <n v="202"/>
    <n v="7693.4"/>
    <n v="45"/>
    <n v="157"/>
    <n v="3.77"/>
    <n v="2"/>
    <n v="152"/>
    <n v="7774.8"/>
    <n v="0"/>
    <x v="0"/>
    <s v="OK"/>
  </r>
  <r>
    <s v="IT-10067"/>
    <s v="Relay M-67"/>
    <x v="3"/>
    <x v="3"/>
    <x v="0"/>
    <s v="2025-12"/>
    <n v="37.75"/>
    <n v="37.75"/>
    <n v="37.924999999999997"/>
    <n v="51.15"/>
    <n v="42"/>
    <n v="69"/>
    <n v="186"/>
    <n v="162"/>
    <n v="6143.85"/>
    <n v="28"/>
    <n v="134"/>
    <n v="2.84"/>
    <n v="2"/>
    <n v="226"/>
    <n v="11559.9"/>
    <n v="0"/>
    <x v="0"/>
    <s v="OK"/>
  </r>
  <r>
    <s v="IT-10067"/>
    <s v="Relay M-67"/>
    <x v="3"/>
    <x v="3"/>
    <x v="0"/>
    <s v="2026-01"/>
    <n v="38.479999999999997"/>
    <n v="38.479999999999997"/>
    <n v="38.375574999999998"/>
    <n v="51.15"/>
    <n v="42"/>
    <n v="41"/>
    <n v="699"/>
    <n v="861"/>
    <n v="33041.370000000003"/>
    <n v="56"/>
    <n v="805"/>
    <n v="29.94"/>
    <n v="33"/>
    <n v="0"/>
    <n v="0"/>
    <n v="0"/>
    <x v="0"/>
    <s v="OK"/>
  </r>
  <r>
    <s v="IT-10067"/>
    <s v="Relay M-67"/>
    <x v="3"/>
    <x v="3"/>
    <x v="0"/>
    <s v="2026-02"/>
    <n v="38.51"/>
    <n v="38.51"/>
    <n v="38.375574999999998"/>
    <n v="54.16"/>
    <n v="42"/>
    <m/>
    <n v="0"/>
    <n v="861"/>
    <n v="33041.370000000003"/>
    <n v="51"/>
    <n v="810"/>
    <n v="48.98"/>
    <n v="61"/>
    <n v="0"/>
    <n v="0"/>
    <n v="0"/>
    <x v="0"/>
    <s v="OK"/>
  </r>
  <r>
    <s v="IT-10067"/>
    <s v="Relay M-67"/>
    <x v="3"/>
    <x v="3"/>
    <x v="0"/>
    <s v="2026-03"/>
    <n v="40.82"/>
    <n v="40.82"/>
    <n v="38.629938000000003"/>
    <n v="54.16"/>
    <n v="42"/>
    <n v="38"/>
    <n v="100"/>
    <n v="961"/>
    <n v="37123.370000000003"/>
    <n v="56"/>
    <n v="905"/>
    <m/>
    <n v="92"/>
    <n v="0"/>
    <n v="0"/>
    <n v="0"/>
    <x v="0"/>
    <s v="OK"/>
  </r>
  <r>
    <s v="IT-10067"/>
    <s v="Relay M-67"/>
    <x v="3"/>
    <x v="3"/>
    <x v="0"/>
    <s v="2026-04"/>
    <n v="39.83"/>
    <n v="39.83"/>
    <n v="38.629938000000003"/>
    <n v="54.16"/>
    <n v="42"/>
    <m/>
    <n v="0"/>
    <n v="961"/>
    <n v="37123.370000000003"/>
    <n v="56"/>
    <n v="905"/>
    <m/>
    <n v="122"/>
    <n v="0"/>
    <n v="0"/>
    <n v="0"/>
    <x v="0"/>
    <s v="OK"/>
  </r>
  <r>
    <s v="IT-10067"/>
    <s v="Relay M-67"/>
    <x v="3"/>
    <x v="3"/>
    <x v="0"/>
    <s v="2026-05"/>
    <n v="40.369999999999997"/>
    <n v="40.369999999999997"/>
    <n v="38.629938000000003"/>
    <n v="54.16"/>
    <n v="42"/>
    <m/>
    <n v="0"/>
    <n v="961"/>
    <n v="37123.370000000003"/>
    <n v="11"/>
    <n v="950"/>
    <m/>
    <n v="153"/>
    <n v="0"/>
    <n v="0"/>
    <n v="0"/>
    <x v="0"/>
    <s v="OK"/>
  </r>
  <r>
    <s v="IT-10067"/>
    <s v="Relay M-67"/>
    <x v="3"/>
    <x v="3"/>
    <x v="0"/>
    <s v="2026-06"/>
    <n v="41.21"/>
    <n v="41.21"/>
    <n v="38.629938000000003"/>
    <n v="54.16"/>
    <n v="42"/>
    <m/>
    <n v="0"/>
    <n v="961"/>
    <n v="37123.370000000003"/>
    <n v="34"/>
    <n v="927"/>
    <m/>
    <n v="183"/>
    <n v="0"/>
    <n v="0"/>
    <n v="0"/>
    <x v="0"/>
    <s v="OK"/>
  </r>
  <r>
    <s v="IT-10067"/>
    <s v="Relay M-67"/>
    <x v="3"/>
    <x v="3"/>
    <x v="0"/>
    <s v="2026-07"/>
    <n v="40.42"/>
    <n v="40.42"/>
    <n v="38.629938000000003"/>
    <n v="54.16"/>
    <n v="42"/>
    <m/>
    <n v="0"/>
    <n v="961"/>
    <n v="37123.370000000003"/>
    <n v="28"/>
    <n v="933"/>
    <m/>
    <n v="214"/>
    <n v="0"/>
    <n v="0"/>
    <n v="0"/>
    <x v="0"/>
    <s v="OK"/>
  </r>
  <r>
    <s v="IT-10067"/>
    <s v="Relay M-67"/>
    <x v="3"/>
    <x v="3"/>
    <x v="0"/>
    <s v="2026-08"/>
    <n v="40.69"/>
    <n v="40.69"/>
    <n v="38.629938000000003"/>
    <n v="54.16"/>
    <n v="42"/>
    <m/>
    <n v="0"/>
    <n v="961"/>
    <n v="37123.370000000003"/>
    <n v="51"/>
    <n v="910"/>
    <m/>
    <n v="245"/>
    <n v="0"/>
    <n v="0"/>
    <n v="0"/>
    <x v="0"/>
    <s v="OK"/>
  </r>
  <r>
    <s v="IT-10068"/>
    <s v="Hydraulic hose M-68"/>
    <x v="1"/>
    <x v="1"/>
    <x v="0"/>
    <s v="2024-09"/>
    <n v="289.49"/>
    <n v="289.49"/>
    <n v="285.28506499999997"/>
    <n v="387.35"/>
    <n v="44"/>
    <n v="39"/>
    <n v="30"/>
    <n v="77"/>
    <n v="21966.95"/>
    <n v="2"/>
    <n v="75"/>
    <n v="9.73"/>
    <n v="15"/>
    <n v="25"/>
    <n v="9683.75"/>
    <n v="0"/>
    <x v="0"/>
    <s v="OK"/>
  </r>
  <r>
    <s v="IT-10068"/>
    <s v="Hydraulic hose M-68"/>
    <x v="1"/>
    <x v="1"/>
    <x v="0"/>
    <s v="2024-10"/>
    <n v="284.60000000000002"/>
    <n v="284.60000000000002"/>
    <n v="284.90669200000002"/>
    <n v="387.35"/>
    <n v="44"/>
    <n v="43"/>
    <n v="95"/>
    <n v="130"/>
    <n v="37037.870000000003"/>
    <n v="11"/>
    <n v="119"/>
    <n v="17.8"/>
    <n v="1"/>
    <n v="42"/>
    <n v="16268.7"/>
    <n v="0"/>
    <x v="0"/>
    <s v="OK"/>
  </r>
  <r>
    <s v="IT-10068"/>
    <s v="Hydraulic hose M-68"/>
    <x v="1"/>
    <x v="1"/>
    <x v="0"/>
    <s v="2024-11"/>
    <n v="287.47000000000003"/>
    <n v="287.47000000000003"/>
    <n v="284.90671099999997"/>
    <n v="387.35"/>
    <n v="44"/>
    <m/>
    <n v="0"/>
    <n v="76"/>
    <n v="21652.91"/>
    <n v="2"/>
    <n v="74"/>
    <n v="8.17"/>
    <n v="1"/>
    <n v="54"/>
    <n v="20916.900000000001"/>
    <n v="0"/>
    <x v="0"/>
    <s v="OK"/>
  </r>
  <r>
    <s v="IT-10068"/>
    <s v="Hydraulic hose M-68"/>
    <x v="1"/>
    <x v="1"/>
    <x v="0"/>
    <s v="2024-12"/>
    <n v="289.92"/>
    <n v="289.92"/>
    <n v="287.46189700000002"/>
    <n v="387.35"/>
    <n v="44"/>
    <n v="43"/>
    <n v="79"/>
    <n v="116"/>
    <n v="33345.58"/>
    <n v="10"/>
    <n v="106"/>
    <n v="11.29"/>
    <n v="4"/>
    <n v="39"/>
    <n v="15106.65"/>
    <n v="0"/>
    <x v="0"/>
    <s v="OK"/>
  </r>
  <r>
    <s v="IT-10068"/>
    <s v="Hydraulic hose M-68"/>
    <x v="1"/>
    <x v="1"/>
    <x v="0"/>
    <s v="2025-01"/>
    <n v="294.12"/>
    <n v="294.12"/>
    <n v="289.10478599999999"/>
    <n v="387.35"/>
    <n v="44"/>
    <n v="39"/>
    <n v="38"/>
    <n v="140"/>
    <n v="40474.67"/>
    <n v="6"/>
    <n v="134"/>
    <n v="17.2"/>
    <n v="1"/>
    <n v="14"/>
    <n v="5422.9"/>
    <n v="0"/>
    <x v="0"/>
    <s v="OK"/>
  </r>
  <r>
    <s v="IT-10068"/>
    <s v="Hydraulic hose M-68"/>
    <x v="1"/>
    <x v="1"/>
    <x v="0"/>
    <s v="2025-02"/>
    <n v="291.76"/>
    <n v="291.76"/>
    <n v="289.64786299999997"/>
    <n v="402.51"/>
    <n v="44"/>
    <n v="41"/>
    <n v="36"/>
    <n v="117"/>
    <n v="33888.800000000003"/>
    <n v="6"/>
    <n v="111"/>
    <n v="13.43"/>
    <n v="0"/>
    <n v="59"/>
    <n v="23748.09"/>
    <n v="0"/>
    <x v="0"/>
    <s v="OK"/>
  </r>
  <r>
    <s v="IT-10068"/>
    <s v="Hydraulic hose M-68"/>
    <x v="1"/>
    <x v="1"/>
    <x v="0"/>
    <s v="2025-03"/>
    <n v="294.92"/>
    <n v="294.92"/>
    <n v="289.647808"/>
    <n v="402.51"/>
    <n v="44"/>
    <m/>
    <n v="0"/>
    <n v="73"/>
    <n v="21144.29"/>
    <n v="11"/>
    <n v="62"/>
    <n v="8.02"/>
    <n v="1"/>
    <n v="44"/>
    <n v="17710.439999999999"/>
    <n v="0"/>
    <x v="0"/>
    <s v="OK"/>
  </r>
  <r>
    <s v="IT-10068"/>
    <s v="Hydraulic hose M-68"/>
    <x v="1"/>
    <x v="1"/>
    <x v="0"/>
    <s v="2025-04"/>
    <n v="300.77"/>
    <n v="300.77"/>
    <n v="293.70986299999998"/>
    <n v="402.51"/>
    <n v="44"/>
    <n v="41"/>
    <n v="42"/>
    <n v="73"/>
    <n v="21440.82"/>
    <n v="11"/>
    <n v="62"/>
    <n v="6.4"/>
    <n v="0"/>
    <n v="42"/>
    <n v="16905.419999999998"/>
    <n v="0"/>
    <x v="0"/>
    <s v="OK"/>
  </r>
  <r>
    <s v="IT-10068"/>
    <s v="Hydraulic hose M-68"/>
    <x v="1"/>
    <x v="1"/>
    <x v="0"/>
    <s v="2025-05"/>
    <n v="298.51"/>
    <n v="298.51"/>
    <n v="294.82147099999997"/>
    <n v="402.51"/>
    <n v="44"/>
    <n v="40"/>
    <n v="22"/>
    <n v="34"/>
    <n v="10023.93"/>
    <n v="10"/>
    <n v="24"/>
    <n v="3.04"/>
    <n v="3"/>
    <n v="61"/>
    <n v="24553.11"/>
    <n v="0"/>
    <x v="0"/>
    <s v="OK"/>
  </r>
  <r>
    <s v="IT-10068"/>
    <s v="Hydraulic hose M-68"/>
    <x v="1"/>
    <x v="1"/>
    <x v="0"/>
    <s v="2025-06"/>
    <n v="300.56"/>
    <n v="300.56"/>
    <n v="297.99282599999998"/>
    <n v="402.51"/>
    <n v="44"/>
    <n v="41"/>
    <n v="42"/>
    <n v="46"/>
    <n v="13707.67"/>
    <n v="2"/>
    <n v="44"/>
    <n v="4.5"/>
    <n v="3"/>
    <n v="30"/>
    <n v="12075.3"/>
    <n v="0"/>
    <x v="0"/>
    <s v="OK"/>
  </r>
  <r>
    <s v="IT-10068"/>
    <s v="Hydraulic hose M-68"/>
    <x v="1"/>
    <x v="1"/>
    <x v="0"/>
    <s v="2025-07"/>
    <n v="291.63"/>
    <n v="291.63"/>
    <n v="293.99042300000002"/>
    <n v="402.51"/>
    <n v="44"/>
    <n v="41"/>
    <n v="78"/>
    <n v="71"/>
    <n v="20873.32"/>
    <n v="5"/>
    <n v="66"/>
    <n v="6.48"/>
    <n v="1"/>
    <n v="53"/>
    <n v="21333.03"/>
    <n v="0"/>
    <x v="0"/>
    <s v="OK"/>
  </r>
  <r>
    <s v="IT-10068"/>
    <s v="Hydraulic hose M-68"/>
    <x v="1"/>
    <x v="1"/>
    <x v="0"/>
    <s v="2025-08"/>
    <n v="294.60000000000002"/>
    <n v="294.60000000000002"/>
    <n v="293.99880999999999"/>
    <n v="402.51"/>
    <n v="44"/>
    <n v="42"/>
    <n v="1"/>
    <n v="42"/>
    <n v="12347.95"/>
    <n v="10"/>
    <n v="32"/>
    <n v="4.88"/>
    <n v="0"/>
    <n v="30"/>
    <n v="12075.3"/>
    <n v="0"/>
    <x v="0"/>
    <s v="OK"/>
  </r>
  <r>
    <s v="IT-10068"/>
    <s v="Hydraulic hose M-68"/>
    <x v="1"/>
    <x v="1"/>
    <x v="0"/>
    <s v="2025-09"/>
    <n v="296.77999999999997"/>
    <n v="296.77999999999997"/>
    <n v="293.99880999999999"/>
    <n v="402.51"/>
    <n v="44"/>
    <m/>
    <n v="0"/>
    <n v="0"/>
    <n v="0"/>
    <n v="0"/>
    <n v="0"/>
    <n v="0"/>
    <n v="2"/>
    <n v="42"/>
    <n v="16905.419999999998"/>
    <n v="8"/>
    <x v="1"/>
    <s v="OK"/>
  </r>
  <r>
    <s v="IT-10068"/>
    <s v="Hydraulic hose M-68"/>
    <x v="1"/>
    <x v="1"/>
    <x v="0"/>
    <s v="2025-10"/>
    <n v="292.74"/>
    <n v="292.74"/>
    <n v="292.74"/>
    <n v="402.51"/>
    <n v="44"/>
    <n v="73"/>
    <n v="115"/>
    <n v="67"/>
    <n v="19613.580000000002"/>
    <n v="8"/>
    <n v="59"/>
    <n v="7.34"/>
    <n v="0"/>
    <n v="48"/>
    <n v="19320.48"/>
    <n v="0"/>
    <x v="0"/>
    <s v="OK"/>
  </r>
  <r>
    <s v="IT-10068"/>
    <s v="Hydraulic hose M-68"/>
    <x v="1"/>
    <x v="1"/>
    <x v="0"/>
    <s v="2025-11"/>
    <n v="298.3"/>
    <n v="298.3"/>
    <n v="296.01462700000002"/>
    <n v="402.51"/>
    <n v="44"/>
    <n v="40"/>
    <n v="96"/>
    <n v="134"/>
    <n v="39665.96"/>
    <n v="7"/>
    <n v="127"/>
    <n v="14.64"/>
    <n v="7"/>
    <n v="29"/>
    <n v="11672.79"/>
    <n v="0"/>
    <x v="0"/>
    <s v="OK"/>
  </r>
  <r>
    <s v="IT-10068"/>
    <s v="Hydraulic hose M-68"/>
    <x v="1"/>
    <x v="1"/>
    <x v="0"/>
    <s v="2025-12"/>
    <n v="294.05"/>
    <n v="294.05"/>
    <n v="295.74841700000002"/>
    <n v="402.51"/>
    <n v="44"/>
    <n v="60"/>
    <n v="21"/>
    <n v="139"/>
    <n v="41109.03"/>
    <n v="2"/>
    <n v="137"/>
    <n v="19.64"/>
    <n v="12"/>
    <n v="16"/>
    <n v="6440.16"/>
    <n v="0"/>
    <x v="0"/>
    <s v="OK"/>
  </r>
  <r>
    <s v="IT-10068"/>
    <s v="Hydraulic hose M-68"/>
    <x v="1"/>
    <x v="1"/>
    <x v="0"/>
    <s v="2026-01"/>
    <n v="302.72000000000003"/>
    <n v="302.72000000000003"/>
    <n v="297.15074700000002"/>
    <n v="402.51"/>
    <n v="44"/>
    <n v="44"/>
    <n v="35"/>
    <n v="174"/>
    <n v="51704.23"/>
    <n v="10"/>
    <n v="164"/>
    <n v="50.82"/>
    <n v="43"/>
    <n v="0"/>
    <n v="0"/>
    <n v="0"/>
    <x v="0"/>
    <s v="OK"/>
  </r>
  <r>
    <s v="IT-10068"/>
    <s v="Hydraulic hose M-68"/>
    <x v="1"/>
    <x v="1"/>
    <x v="0"/>
    <s v="2026-02"/>
    <n v="311.17"/>
    <n v="311.17"/>
    <n v="297.15074700000002"/>
    <n v="418.26"/>
    <n v="44"/>
    <m/>
    <n v="0"/>
    <n v="174"/>
    <n v="51704.23"/>
    <n v="4"/>
    <n v="170"/>
    <n v="139.82"/>
    <n v="71"/>
    <n v="0"/>
    <n v="0"/>
    <n v="0"/>
    <x v="0"/>
    <s v="OK"/>
  </r>
  <r>
    <s v="IT-10068"/>
    <s v="Hydraulic hose M-68"/>
    <x v="1"/>
    <x v="1"/>
    <x v="0"/>
    <s v="2026-03"/>
    <n v="313.95999999999998"/>
    <n v="313.95999999999998"/>
    <n v="297.15074700000002"/>
    <n v="418.26"/>
    <n v="44"/>
    <m/>
    <n v="0"/>
    <n v="174"/>
    <n v="51704.23"/>
    <n v="6"/>
    <n v="168"/>
    <m/>
    <n v="102"/>
    <n v="0"/>
    <n v="0"/>
    <n v="0"/>
    <x v="0"/>
    <s v="OK"/>
  </r>
  <r>
    <s v="IT-10068"/>
    <s v="Hydraulic hose M-68"/>
    <x v="1"/>
    <x v="1"/>
    <x v="0"/>
    <s v="2026-04"/>
    <n v="311.52"/>
    <n v="311.52"/>
    <n v="297.15074700000002"/>
    <n v="418.26"/>
    <n v="44"/>
    <m/>
    <n v="0"/>
    <n v="174"/>
    <n v="51704.23"/>
    <n v="4"/>
    <n v="170"/>
    <m/>
    <n v="132"/>
    <n v="0"/>
    <n v="0"/>
    <n v="0"/>
    <x v="0"/>
    <s v="OK"/>
  </r>
  <r>
    <s v="IT-10068"/>
    <s v="Hydraulic hose M-68"/>
    <x v="1"/>
    <x v="1"/>
    <x v="0"/>
    <s v="2026-05"/>
    <n v="310.87"/>
    <n v="310.87"/>
    <n v="297.15074700000002"/>
    <n v="418.26"/>
    <n v="44"/>
    <m/>
    <n v="0"/>
    <n v="174"/>
    <n v="51704.23"/>
    <n v="2"/>
    <n v="172"/>
    <m/>
    <n v="163"/>
    <n v="0"/>
    <n v="0"/>
    <n v="0"/>
    <x v="0"/>
    <s v="OK"/>
  </r>
  <r>
    <s v="IT-10068"/>
    <s v="Hydraulic hose M-68"/>
    <x v="1"/>
    <x v="1"/>
    <x v="0"/>
    <s v="2026-06"/>
    <n v="311.06"/>
    <n v="311.06"/>
    <n v="297.15074700000002"/>
    <n v="418.26"/>
    <n v="44"/>
    <m/>
    <n v="0"/>
    <n v="174"/>
    <n v="51704.23"/>
    <n v="5"/>
    <n v="169"/>
    <m/>
    <n v="193"/>
    <n v="0"/>
    <n v="0"/>
    <n v="0"/>
    <x v="0"/>
    <s v="OK"/>
  </r>
  <r>
    <s v="IT-10068"/>
    <s v="Hydraulic hose M-68"/>
    <x v="1"/>
    <x v="1"/>
    <x v="0"/>
    <s v="2026-07"/>
    <n v="302.74"/>
    <n v="302.74"/>
    <n v="298.08674600000001"/>
    <n v="418.26"/>
    <n v="44"/>
    <n v="53"/>
    <n v="35"/>
    <n v="209"/>
    <n v="62300.13"/>
    <n v="12"/>
    <n v="197"/>
    <m/>
    <n v="224"/>
    <n v="0"/>
    <n v="0"/>
    <n v="0"/>
    <x v="0"/>
    <s v="OK"/>
  </r>
  <r>
    <s v="IT-10068"/>
    <s v="Hydraulic hose M-68"/>
    <x v="1"/>
    <x v="1"/>
    <x v="0"/>
    <s v="2026-08"/>
    <n v="311.17"/>
    <n v="311.17"/>
    <n v="298.08674600000001"/>
    <n v="418.26"/>
    <n v="44"/>
    <m/>
    <n v="0"/>
    <n v="209"/>
    <n v="62300.13"/>
    <n v="2"/>
    <n v="207"/>
    <m/>
    <n v="255"/>
    <n v="0"/>
    <n v="0"/>
    <n v="0"/>
    <x v="0"/>
    <s v="OK"/>
  </r>
  <r>
    <s v="IT-10069"/>
    <s v="Roller bearing M-69"/>
    <x v="0"/>
    <x v="0"/>
    <x v="1"/>
    <s v="2024-09"/>
    <n v="98.84"/>
    <n v="107.67"/>
    <n v="106.22529400000001"/>
    <n v="149.09"/>
    <n v="34"/>
    <n v="50"/>
    <n v="1"/>
    <n v="17"/>
    <n v="1805.83"/>
    <n v="1"/>
    <n v="16"/>
    <n v="14.9"/>
    <n v="6"/>
    <n v="8"/>
    <n v="1192.72"/>
    <n v="0"/>
    <x v="0"/>
    <s v="OK"/>
  </r>
  <r>
    <s v="IT-10069"/>
    <s v="Roller bearing M-69"/>
    <x v="0"/>
    <x v="0"/>
    <x v="1"/>
    <s v="2024-10"/>
    <n v="99.43"/>
    <n v="108.31"/>
    <n v="106.76928599999999"/>
    <n v="149.09"/>
    <n v="34"/>
    <n v="31"/>
    <n v="6"/>
    <n v="14"/>
    <n v="1494.77"/>
    <n v="2"/>
    <n v="12"/>
    <n v="10.220000000000001"/>
    <n v="3"/>
    <n v="9"/>
    <n v="1341.81"/>
    <n v="0"/>
    <x v="0"/>
    <s v="OK"/>
  </r>
  <r>
    <s v="IT-10069"/>
    <s v="Roller bearing M-69"/>
    <x v="0"/>
    <x v="0"/>
    <x v="1"/>
    <s v="2024-11"/>
    <n v="98.6"/>
    <n v="107.41"/>
    <n v="106.77"/>
    <n v="149.09"/>
    <n v="34"/>
    <m/>
    <n v="0"/>
    <n v="5"/>
    <n v="533.85"/>
    <n v="1"/>
    <n v="4"/>
    <n v="2.5"/>
    <n v="5"/>
    <n v="9"/>
    <n v="1341.81"/>
    <n v="0"/>
    <x v="0"/>
    <s v="OK"/>
  </r>
  <r>
    <s v="IT-10069"/>
    <s v="Roller bearing M-69"/>
    <x v="0"/>
    <x v="0"/>
    <x v="1"/>
    <s v="2024-12"/>
    <n v="99.89"/>
    <n v="108.81"/>
    <n v="108.417727"/>
    <n v="149.09"/>
    <n v="34"/>
    <n v="29"/>
    <n v="21"/>
    <n v="22"/>
    <n v="2385.19"/>
    <n v="2"/>
    <n v="20"/>
    <n v="13.14"/>
    <n v="1"/>
    <n v="4"/>
    <n v="596.36"/>
    <n v="0"/>
    <x v="0"/>
    <s v="OK"/>
  </r>
  <r>
    <s v="IT-10069"/>
    <s v="Roller bearing M-69"/>
    <x v="0"/>
    <x v="0"/>
    <x v="1"/>
    <s v="2025-01"/>
    <n v="98.81"/>
    <n v="107.63"/>
    <n v="108.4175"/>
    <n v="149.09"/>
    <n v="34"/>
    <m/>
    <n v="0"/>
    <n v="16"/>
    <n v="1734.68"/>
    <n v="1"/>
    <n v="15"/>
    <n v="11.07"/>
    <n v="19"/>
    <n v="6"/>
    <n v="894.54"/>
    <n v="0"/>
    <x v="0"/>
    <s v="OK"/>
  </r>
  <r>
    <s v="IT-10069"/>
    <s v="Roller bearing M-69"/>
    <x v="0"/>
    <x v="0"/>
    <x v="1"/>
    <s v="2025-02"/>
    <n v="100.76"/>
    <n v="109.76"/>
    <n v="108.41727299999999"/>
    <n v="153.72"/>
    <n v="34"/>
    <m/>
    <n v="0"/>
    <n v="11"/>
    <n v="1192.5899999999999"/>
    <n v="1"/>
    <n v="10"/>
    <n v="9.43"/>
    <n v="8"/>
    <n v="5"/>
    <n v="768.6"/>
    <n v="0"/>
    <x v="0"/>
    <s v="OK"/>
  </r>
  <r>
    <s v="IT-10069"/>
    <s v="Roller bearing M-69"/>
    <x v="0"/>
    <x v="0"/>
    <x v="1"/>
    <s v="2025-03"/>
    <n v="100.64"/>
    <n v="109.63"/>
    <n v="109.17"/>
    <n v="153.72"/>
    <n v="34"/>
    <n v="31"/>
    <n v="18"/>
    <n v="24"/>
    <n v="2620.08"/>
    <n v="1"/>
    <n v="23"/>
    <n v="19.29"/>
    <n v="26"/>
    <n v="5"/>
    <n v="768.6"/>
    <n v="0"/>
    <x v="0"/>
    <s v="OK"/>
  </r>
  <r>
    <s v="IT-10069"/>
    <s v="Roller bearing M-69"/>
    <x v="0"/>
    <x v="0"/>
    <x v="1"/>
    <s v="2025-04"/>
    <n v="101.73"/>
    <n v="110.82"/>
    <n v="109.17"/>
    <n v="153.72"/>
    <n v="34"/>
    <m/>
    <n v="0"/>
    <n v="16"/>
    <n v="1746.72"/>
    <n v="1"/>
    <n v="15"/>
    <n v="11.3"/>
    <n v="26"/>
    <n v="8"/>
    <n v="1229.76"/>
    <n v="0"/>
    <x v="0"/>
    <s v="OK"/>
  </r>
  <r>
    <s v="IT-10069"/>
    <s v="Roller bearing M-69"/>
    <x v="0"/>
    <x v="0"/>
    <x v="1"/>
    <s v="2025-05"/>
    <n v="99.89"/>
    <n v="108.81"/>
    <n v="109.08428600000001"/>
    <n v="153.72"/>
    <n v="34"/>
    <n v="61"/>
    <n v="5"/>
    <n v="14"/>
    <n v="1527.18"/>
    <n v="2"/>
    <n v="12"/>
    <n v="9.1999999999999993"/>
    <n v="9"/>
    <n v="7"/>
    <n v="1076.04"/>
    <n v="0"/>
    <x v="0"/>
    <s v="OK"/>
  </r>
  <r>
    <s v="IT-10069"/>
    <s v="Roller bearing M-69"/>
    <x v="0"/>
    <x v="0"/>
    <x v="1"/>
    <s v="2025-06"/>
    <n v="100.56"/>
    <n v="109.54"/>
    <n v="109.22111099999999"/>
    <n v="153.72"/>
    <n v="34"/>
    <n v="30"/>
    <n v="6"/>
    <n v="18"/>
    <n v="1965.98"/>
    <n v="1"/>
    <n v="17"/>
    <n v="13.76"/>
    <n v="1"/>
    <n v="2"/>
    <n v="307.44"/>
    <n v="0"/>
    <x v="0"/>
    <s v="OK"/>
  </r>
  <r>
    <s v="IT-10069"/>
    <s v="Roller bearing M-69"/>
    <x v="0"/>
    <x v="0"/>
    <x v="1"/>
    <s v="2025-07"/>
    <n v="100.28"/>
    <n v="109.24"/>
    <n v="109.221429"/>
    <n v="153.72"/>
    <n v="34"/>
    <m/>
    <n v="0"/>
    <n v="14"/>
    <n v="1529.1"/>
    <n v="1"/>
    <n v="13"/>
    <n v="14.15"/>
    <n v="11"/>
    <n v="4"/>
    <n v="614.88"/>
    <n v="0"/>
    <x v="0"/>
    <s v="OK"/>
  </r>
  <r>
    <s v="IT-10069"/>
    <s v="Roller bearing M-69"/>
    <x v="0"/>
    <x v="0"/>
    <x v="1"/>
    <s v="2025-08"/>
    <n v="99.95"/>
    <n v="108.88"/>
    <n v="109.179"/>
    <n v="153.72"/>
    <n v="34"/>
    <n v="33"/>
    <n v="2"/>
    <n v="10"/>
    <n v="1091.79"/>
    <n v="1"/>
    <n v="9"/>
    <n v="10.95"/>
    <n v="5"/>
    <n v="6"/>
    <n v="922.32"/>
    <n v="0"/>
    <x v="0"/>
    <s v="OK"/>
  </r>
  <r>
    <s v="IT-10069"/>
    <s v="Roller bearing M-69"/>
    <x v="0"/>
    <x v="0"/>
    <x v="1"/>
    <s v="2025-09"/>
    <n v="103.22"/>
    <n v="112.44"/>
    <n v="110.957778"/>
    <n v="153.72"/>
    <n v="34"/>
    <n v="32"/>
    <n v="12"/>
    <n v="18"/>
    <n v="1997.24"/>
    <n v="1"/>
    <n v="17"/>
    <n v="16.899999999999999"/>
    <n v="18"/>
    <n v="4"/>
    <n v="614.88"/>
    <n v="0"/>
    <x v="0"/>
    <s v="OK"/>
  </r>
  <r>
    <s v="IT-10069"/>
    <s v="Roller bearing M-69"/>
    <x v="0"/>
    <x v="0"/>
    <x v="1"/>
    <s v="2025-10"/>
    <n v="102.14"/>
    <n v="111.26"/>
    <n v="111.00125"/>
    <n v="153.72"/>
    <n v="34"/>
    <n v="33"/>
    <n v="3"/>
    <n v="16"/>
    <n v="1776.02"/>
    <n v="2"/>
    <n v="14"/>
    <n v="14.02"/>
    <n v="0"/>
    <n v="5"/>
    <n v="768.6"/>
    <n v="0"/>
    <x v="0"/>
    <s v="OK"/>
  </r>
  <r>
    <s v="IT-10069"/>
    <s v="Roller bearing M-69"/>
    <x v="0"/>
    <x v="0"/>
    <x v="1"/>
    <s v="2025-11"/>
    <n v="101.36"/>
    <n v="110.41"/>
    <n v="111.00125"/>
    <n v="153.72"/>
    <n v="34"/>
    <m/>
    <n v="0"/>
    <n v="8"/>
    <n v="888.01"/>
    <n v="1"/>
    <n v="7"/>
    <n v="6.12"/>
    <n v="2"/>
    <n v="8"/>
    <n v="1229.76"/>
    <n v="0"/>
    <x v="0"/>
    <s v="OK"/>
  </r>
  <r>
    <s v="IT-10069"/>
    <s v="Roller bearing M-69"/>
    <x v="0"/>
    <x v="0"/>
    <x v="1"/>
    <s v="2025-12"/>
    <n v="100.01"/>
    <n v="108.94"/>
    <n v="110.04"/>
    <n v="153.72"/>
    <n v="34"/>
    <n v="34"/>
    <n v="7"/>
    <n v="7"/>
    <n v="770.28"/>
    <n v="1"/>
    <n v="6"/>
    <n v="4.38"/>
    <n v="3"/>
    <n v="8"/>
    <n v="1229.76"/>
    <n v="0"/>
    <x v="0"/>
    <s v="OK"/>
  </r>
  <r>
    <s v="IT-10069"/>
    <s v="Roller bearing M-69"/>
    <x v="0"/>
    <x v="0"/>
    <x v="1"/>
    <s v="2026-01"/>
    <n v="100.02"/>
    <n v="108.95"/>
    <n v="109.426875"/>
    <n v="153.72"/>
    <n v="34"/>
    <n v="33"/>
    <n v="9"/>
    <n v="16"/>
    <n v="1750.83"/>
    <n v="1"/>
    <n v="15"/>
    <n v="13.14"/>
    <n v="34"/>
    <n v="0"/>
    <n v="0"/>
    <n v="0"/>
    <x v="0"/>
    <s v="OK"/>
  </r>
  <r>
    <s v="IT-10069"/>
    <s v="Roller bearing M-69"/>
    <x v="0"/>
    <x v="0"/>
    <x v="1"/>
    <s v="2026-02"/>
    <n v="102.42"/>
    <n v="111.57"/>
    <n v="110.3"/>
    <n v="158.49"/>
    <n v="34"/>
    <n v="44"/>
    <n v="11"/>
    <n v="27"/>
    <n v="2978.1"/>
    <n v="1"/>
    <n v="26"/>
    <n v="43.39"/>
    <n v="62"/>
    <n v="0"/>
    <n v="0"/>
    <n v="0"/>
    <x v="0"/>
    <s v="OK"/>
  </r>
  <r>
    <s v="IT-10069"/>
    <s v="Roller bearing M-69"/>
    <x v="0"/>
    <x v="0"/>
    <x v="1"/>
    <s v="2026-03"/>
    <n v="99.88"/>
    <n v="108.8"/>
    <n v="109.894595"/>
    <n v="158.49"/>
    <n v="34"/>
    <n v="33"/>
    <n v="10"/>
    <n v="37"/>
    <n v="4066.1"/>
    <n v="1"/>
    <n v="36"/>
    <m/>
    <n v="93"/>
    <n v="0"/>
    <n v="0"/>
    <n v="0"/>
    <x v="0"/>
    <s v="OK"/>
  </r>
  <r>
    <s v="IT-10069"/>
    <s v="Roller bearing M-69"/>
    <x v="0"/>
    <x v="0"/>
    <x v="1"/>
    <s v="2026-04"/>
    <n v="106.11"/>
    <n v="115.59"/>
    <n v="109.894595"/>
    <n v="158.49"/>
    <n v="34"/>
    <m/>
    <n v="0"/>
    <n v="37"/>
    <n v="4066.1"/>
    <n v="2"/>
    <n v="35"/>
    <m/>
    <n v="123"/>
    <n v="0"/>
    <n v="0"/>
    <n v="0"/>
    <x v="0"/>
    <s v="OK"/>
  </r>
  <r>
    <s v="IT-10069"/>
    <s v="Roller bearing M-69"/>
    <x v="0"/>
    <x v="0"/>
    <x v="1"/>
    <s v="2026-05"/>
    <n v="105.68"/>
    <n v="115.12"/>
    <n v="109.894595"/>
    <n v="158.49"/>
    <n v="34"/>
    <m/>
    <n v="0"/>
    <n v="37"/>
    <n v="4066.1"/>
    <n v="1"/>
    <n v="36"/>
    <m/>
    <n v="154"/>
    <n v="0"/>
    <n v="0"/>
    <n v="0"/>
    <x v="0"/>
    <s v="OK"/>
  </r>
  <r>
    <s v="IT-10069"/>
    <s v="Roller bearing M-69"/>
    <x v="0"/>
    <x v="0"/>
    <x v="1"/>
    <s v="2026-06"/>
    <n v="103.88"/>
    <n v="113.16"/>
    <n v="109.894595"/>
    <n v="158.49"/>
    <n v="34"/>
    <m/>
    <n v="0"/>
    <n v="37"/>
    <n v="4066.1"/>
    <n v="2"/>
    <n v="35"/>
    <m/>
    <n v="184"/>
    <n v="0"/>
    <n v="0"/>
    <n v="0"/>
    <x v="0"/>
    <s v="OK"/>
  </r>
  <r>
    <s v="IT-10069"/>
    <s v="Roller bearing M-69"/>
    <x v="0"/>
    <x v="0"/>
    <x v="1"/>
    <s v="2026-07"/>
    <n v="105.17"/>
    <n v="114.56"/>
    <n v="109.894595"/>
    <n v="158.49"/>
    <n v="34"/>
    <m/>
    <n v="0"/>
    <n v="37"/>
    <n v="4066.1"/>
    <n v="0"/>
    <n v="37"/>
    <m/>
    <n v="215"/>
    <n v="0"/>
    <n v="0"/>
    <n v="0"/>
    <x v="0"/>
    <s v="OK"/>
  </r>
  <r>
    <s v="IT-10069"/>
    <s v="Roller bearing M-69"/>
    <x v="0"/>
    <x v="0"/>
    <x v="1"/>
    <s v="2026-08"/>
    <n v="103.8"/>
    <n v="113.07"/>
    <n v="109.894595"/>
    <n v="158.49"/>
    <n v="34"/>
    <m/>
    <n v="0"/>
    <n v="37"/>
    <n v="4066.1"/>
    <n v="2"/>
    <n v="35"/>
    <m/>
    <n v="246"/>
    <n v="0"/>
    <n v="0"/>
    <n v="0"/>
    <x v="0"/>
    <s v="OK"/>
  </r>
  <r>
    <s v="IT-10070"/>
    <s v="Pressure valve A-70"/>
    <x v="1"/>
    <x v="1"/>
    <x v="1"/>
    <s v="2024-09"/>
    <n v="17.920000000000002"/>
    <n v="17.920000000000002"/>
    <n v="17.856808999999998"/>
    <n v="25.14"/>
    <n v="21"/>
    <n v="18"/>
    <n v="126"/>
    <n v="141"/>
    <n v="2517.81"/>
    <n v="70"/>
    <n v="71"/>
    <n v="2.61"/>
    <n v="0"/>
    <n v="269"/>
    <n v="6762.66"/>
    <n v="0"/>
    <x v="0"/>
    <s v="OK"/>
  </r>
  <r>
    <s v="IT-10070"/>
    <s v="Pressure valve A-70"/>
    <x v="1"/>
    <x v="1"/>
    <x v="1"/>
    <s v="2024-10"/>
    <n v="17.78"/>
    <n v="17.78"/>
    <n v="17.794502000000001"/>
    <n v="25.14"/>
    <n v="21"/>
    <n v="31"/>
    <n v="606"/>
    <n v="542"/>
    <n v="9644.6200000000008"/>
    <n v="53"/>
    <n v="489"/>
    <n v="9.56"/>
    <n v="3"/>
    <n v="205"/>
    <n v="5153.7"/>
    <n v="0"/>
    <x v="0"/>
    <s v="OK"/>
  </r>
  <r>
    <s v="IT-10070"/>
    <s v="Pressure valve A-70"/>
    <x v="1"/>
    <x v="1"/>
    <x v="1"/>
    <s v="2024-11"/>
    <n v="17.96"/>
    <n v="17.96"/>
    <n v="17.838625"/>
    <n v="25.14"/>
    <n v="21"/>
    <n v="27"/>
    <n v="197"/>
    <n v="611"/>
    <n v="10899.4"/>
    <n v="70"/>
    <n v="541"/>
    <n v="13.19"/>
    <n v="2"/>
    <n v="128"/>
    <n v="3217.92"/>
    <n v="0"/>
    <x v="0"/>
    <s v="OK"/>
  </r>
  <r>
    <s v="IT-10070"/>
    <s v="Pressure valve A-70"/>
    <x v="1"/>
    <x v="1"/>
    <x v="1"/>
    <s v="2024-12"/>
    <n v="17.95"/>
    <n v="17.95"/>
    <n v="17.838626000000001"/>
    <n v="25.14"/>
    <n v="21"/>
    <m/>
    <n v="0"/>
    <n v="422"/>
    <n v="7527.9"/>
    <n v="26"/>
    <n v="396"/>
    <n v="10.63"/>
    <n v="3"/>
    <n v="189"/>
    <n v="4751.46"/>
    <n v="0"/>
    <x v="0"/>
    <s v="OK"/>
  </r>
  <r>
    <s v="IT-10070"/>
    <s v="Pressure valve A-70"/>
    <x v="1"/>
    <x v="1"/>
    <x v="1"/>
    <s v="2025-01"/>
    <n v="18.3"/>
    <n v="18.3"/>
    <n v="17.838585999999999"/>
    <n v="25.14"/>
    <n v="21"/>
    <m/>
    <n v="0"/>
    <n v="99"/>
    <n v="1766.02"/>
    <n v="88"/>
    <n v="11"/>
    <n v="2.0299999999999998"/>
    <n v="0"/>
    <n v="323"/>
    <n v="8120.22"/>
    <n v="0"/>
    <x v="0"/>
    <s v="OK"/>
  </r>
  <r>
    <s v="IT-10070"/>
    <s v="Pressure valve A-70"/>
    <x v="1"/>
    <x v="1"/>
    <x v="1"/>
    <s v="2025-02"/>
    <n v="18.59"/>
    <n v="18.59"/>
    <n v="18.416606999999999"/>
    <n v="26.63"/>
    <n v="21"/>
    <n v="20"/>
    <n v="330"/>
    <n v="280"/>
    <n v="5156.6499999999996"/>
    <n v="44"/>
    <n v="236"/>
    <n v="5.45"/>
    <n v="0"/>
    <n v="149"/>
    <n v="3967.87"/>
    <n v="0"/>
    <x v="0"/>
    <s v="OK"/>
  </r>
  <r>
    <s v="IT-10070"/>
    <s v="Pressure valve A-70"/>
    <x v="1"/>
    <x v="1"/>
    <x v="1"/>
    <s v="2025-03"/>
    <n v="18.95"/>
    <n v="18.95"/>
    <n v="18.679919999999999"/>
    <n v="26.63"/>
    <n v="21"/>
    <n v="18"/>
    <n v="273"/>
    <n v="377"/>
    <n v="7042.33"/>
    <n v="61"/>
    <n v="316"/>
    <n v="7.48"/>
    <n v="0"/>
    <n v="176"/>
    <n v="4686.88"/>
    <n v="0"/>
    <x v="0"/>
    <s v="OK"/>
  </r>
  <r>
    <s v="IT-10070"/>
    <s v="Pressure valve A-70"/>
    <x v="1"/>
    <x v="1"/>
    <x v="1"/>
    <s v="2025-04"/>
    <n v="18.88"/>
    <n v="18.88"/>
    <n v="18.770849999999999"/>
    <n v="26.63"/>
    <n v="21"/>
    <n v="28"/>
    <n v="314"/>
    <n v="341"/>
    <n v="6400.86"/>
    <n v="61"/>
    <n v="280"/>
    <n v="6.42"/>
    <n v="0"/>
    <n v="350"/>
    <n v="9320.5"/>
    <n v="0"/>
    <x v="0"/>
    <s v="OK"/>
  </r>
  <r>
    <s v="IT-10070"/>
    <s v="Pressure valve A-70"/>
    <x v="1"/>
    <x v="1"/>
    <x v="1"/>
    <s v="2025-05"/>
    <n v="18.579999999999998"/>
    <n v="18.579999999999998"/>
    <n v="18.690645"/>
    <n v="26.63"/>
    <n v="21"/>
    <n v="20"/>
    <n v="247"/>
    <n v="93"/>
    <n v="1738.23"/>
    <n v="53"/>
    <n v="40"/>
    <n v="1.2"/>
    <n v="1"/>
    <n v="495"/>
    <n v="13181.85"/>
    <n v="0"/>
    <x v="0"/>
    <s v="OK"/>
  </r>
  <r>
    <s v="IT-10070"/>
    <s v="Pressure valve A-70"/>
    <x v="1"/>
    <x v="1"/>
    <x v="1"/>
    <s v="2025-06"/>
    <n v="18.329999999999998"/>
    <n v="18.329999999999998"/>
    <n v="18.433783999999999"/>
    <n v="26.63"/>
    <n v="21"/>
    <n v="20"/>
    <n v="230"/>
    <n v="74"/>
    <n v="1364.1"/>
    <n v="74"/>
    <n v="0"/>
    <n v="0.88"/>
    <n v="0"/>
    <n v="249"/>
    <n v="6630.87"/>
    <n v="0"/>
    <x v="0"/>
    <s v="OK"/>
  </r>
  <r>
    <s v="IT-10070"/>
    <s v="Pressure valve A-70"/>
    <x v="1"/>
    <x v="1"/>
    <x v="1"/>
    <s v="2025-07"/>
    <n v="18.71"/>
    <n v="18.71"/>
    <n v="18.677257000000001"/>
    <n v="26.63"/>
    <n v="21"/>
    <n v="19"/>
    <n v="550"/>
    <n v="350"/>
    <n v="6537.04"/>
    <n v="35"/>
    <n v="315"/>
    <n v="4.5199999999999996"/>
    <n v="1"/>
    <n v="274"/>
    <n v="7296.62"/>
    <n v="0"/>
    <x v="0"/>
    <s v="OK"/>
  </r>
  <r>
    <s v="IT-10070"/>
    <s v="Pressure valve A-70"/>
    <x v="1"/>
    <x v="1"/>
    <x v="1"/>
    <s v="2025-08"/>
    <n v="18.559999999999999"/>
    <n v="18.559999999999999"/>
    <n v="18.677253"/>
    <n v="26.63"/>
    <n v="21"/>
    <m/>
    <n v="0"/>
    <n v="182"/>
    <n v="3399.26"/>
    <n v="26"/>
    <n v="156"/>
    <n v="3.46"/>
    <n v="2"/>
    <n v="168"/>
    <n v="4473.84"/>
    <n v="0"/>
    <x v="0"/>
    <s v="OK"/>
  </r>
  <r>
    <s v="IT-10070"/>
    <s v="Pressure valve A-70"/>
    <x v="1"/>
    <x v="1"/>
    <x v="1"/>
    <s v="2025-09"/>
    <n v="18.61"/>
    <n v="18.61"/>
    <n v="18.630984000000002"/>
    <n v="26.63"/>
    <n v="21"/>
    <n v="20"/>
    <n v="401"/>
    <n v="437"/>
    <n v="8141.74"/>
    <n v="79"/>
    <n v="358"/>
    <n v="9.77"/>
    <n v="1"/>
    <n v="146"/>
    <n v="3887.98"/>
    <n v="0"/>
    <x v="0"/>
    <s v="OK"/>
  </r>
  <r>
    <s v="IT-10070"/>
    <s v="Pressure valve A-70"/>
    <x v="1"/>
    <x v="1"/>
    <x v="1"/>
    <s v="2025-10"/>
    <n v="18.23"/>
    <n v="18.23"/>
    <n v="18.556325000000001"/>
    <n v="26.63"/>
    <n v="21"/>
    <n v="20"/>
    <n v="100"/>
    <n v="400"/>
    <n v="7422.53"/>
    <n v="70"/>
    <n v="330"/>
    <n v="11.66"/>
    <n v="1"/>
    <n v="137"/>
    <n v="3648.31"/>
    <n v="0"/>
    <x v="0"/>
    <s v="OK"/>
  </r>
  <r>
    <s v="IT-10070"/>
    <s v="Pressure valve A-70"/>
    <x v="1"/>
    <x v="1"/>
    <x v="1"/>
    <s v="2025-11"/>
    <n v="18.579999999999998"/>
    <n v="18.579999999999998"/>
    <n v="18.563475"/>
    <n v="26.63"/>
    <n v="21"/>
    <n v="25"/>
    <n v="173"/>
    <n v="259"/>
    <n v="4807.9399999999996"/>
    <n v="53"/>
    <n v="206"/>
    <n v="5.64"/>
    <n v="3"/>
    <n v="314"/>
    <n v="8361.82"/>
    <n v="0"/>
    <x v="0"/>
    <s v="OK"/>
  </r>
  <r>
    <s v="IT-10070"/>
    <s v="Pressure valve A-70"/>
    <x v="1"/>
    <x v="1"/>
    <x v="1"/>
    <s v="2025-12"/>
    <n v="18.55"/>
    <n v="18.55"/>
    <n v="18.563500000000001"/>
    <n v="26.63"/>
    <n v="21"/>
    <m/>
    <n v="0"/>
    <n v="60"/>
    <n v="1113.81"/>
    <n v="60"/>
    <n v="0"/>
    <n v="1.21"/>
    <n v="2"/>
    <n v="199"/>
    <n v="5299.37"/>
    <n v="0"/>
    <x v="0"/>
    <s v="OK"/>
  </r>
  <r>
    <s v="IT-10070"/>
    <s v="Pressure valve A-70"/>
    <x v="1"/>
    <x v="1"/>
    <x v="1"/>
    <s v="2026-01"/>
    <n v="19.28"/>
    <n v="19.28"/>
    <n v="19.213857000000001"/>
    <n v="26.63"/>
    <n v="21"/>
    <n v="37"/>
    <n v="590"/>
    <n v="407"/>
    <n v="7820.04"/>
    <n v="79"/>
    <n v="328"/>
    <n v="7.08"/>
    <n v="0"/>
    <n v="243"/>
    <n v="6471.09"/>
    <n v="0"/>
    <x v="0"/>
    <s v="OK"/>
  </r>
  <r>
    <s v="IT-10070"/>
    <s v="Pressure valve A-70"/>
    <x v="1"/>
    <x v="1"/>
    <x v="1"/>
    <s v="2026-02"/>
    <n v="18.93"/>
    <n v="18.93"/>
    <n v="19.213792999999999"/>
    <n v="28.2"/>
    <n v="21"/>
    <m/>
    <n v="0"/>
    <n v="58"/>
    <n v="1114.4000000000001"/>
    <n v="58"/>
    <n v="0"/>
    <n v="0.94"/>
    <n v="4"/>
    <n v="349"/>
    <n v="9841.7999999999993"/>
    <n v="0"/>
    <x v="0"/>
    <s v="OK"/>
  </r>
  <r>
    <s v="IT-10070"/>
    <s v="Pressure valve A-70"/>
    <x v="1"/>
    <x v="1"/>
    <x v="1"/>
    <s v="2026-03"/>
    <n v="19.010000000000002"/>
    <n v="19.010000000000002"/>
    <n v="19.030242999999999"/>
    <n v="28.2"/>
    <n v="21"/>
    <n v="18"/>
    <n v="526"/>
    <n v="371"/>
    <n v="7060.22"/>
    <n v="26"/>
    <n v="345"/>
    <n v="5.93"/>
    <n v="0"/>
    <n v="213"/>
    <n v="6006.6"/>
    <n v="0"/>
    <x v="0"/>
    <s v="OK"/>
  </r>
  <r>
    <s v="IT-10070"/>
    <s v="Pressure valve A-70"/>
    <x v="1"/>
    <x v="1"/>
    <x v="1"/>
    <s v="2026-04"/>
    <n v="19.16"/>
    <n v="19.16"/>
    <n v="19.030242999999999"/>
    <n v="28.2"/>
    <n v="21"/>
    <m/>
    <n v="0"/>
    <n v="0"/>
    <n v="0"/>
    <n v="0"/>
    <n v="0"/>
    <n v="0"/>
    <n v="0"/>
    <n v="371"/>
    <n v="10462.200000000001"/>
    <n v="23"/>
    <x v="1"/>
    <s v="OK"/>
  </r>
  <r>
    <s v="IT-10070"/>
    <s v="Pressure valve A-70"/>
    <x v="1"/>
    <x v="1"/>
    <x v="1"/>
    <s v="2026-05"/>
    <n v="19.27"/>
    <n v="19.27"/>
    <n v="19.27"/>
    <n v="28.2"/>
    <n v="21"/>
    <n v="21"/>
    <n v="573"/>
    <n v="390"/>
    <n v="7515.3"/>
    <n v="53"/>
    <n v="337"/>
    <n v="6.68"/>
    <n v="2"/>
    <n v="183"/>
    <n v="5160.6000000000004"/>
    <n v="0"/>
    <x v="0"/>
    <s v="OK"/>
  </r>
  <r>
    <s v="IT-10070"/>
    <s v="Pressure valve A-70"/>
    <x v="1"/>
    <x v="1"/>
    <x v="1"/>
    <s v="2026-06"/>
    <n v="19.23"/>
    <n v="19.23"/>
    <n v="19.256482999999999"/>
    <n v="28.2"/>
    <n v="21"/>
    <n v="25"/>
    <n v="199"/>
    <n v="563"/>
    <n v="10841.4"/>
    <n v="61"/>
    <n v="502"/>
    <n v="12.62"/>
    <n v="0"/>
    <n v="26"/>
    <n v="733.2"/>
    <n v="0"/>
    <x v="0"/>
    <s v="OK"/>
  </r>
  <r>
    <s v="IT-10070"/>
    <s v="Pressure valve A-70"/>
    <x v="1"/>
    <x v="1"/>
    <x v="1"/>
    <s v="2026-07"/>
    <n v="19.28"/>
    <n v="19.28"/>
    <n v="19.260726999999999"/>
    <n v="28.2"/>
    <n v="21"/>
    <n v="19"/>
    <n v="124"/>
    <n v="440"/>
    <n v="8474.7199999999993"/>
    <n v="79"/>
    <n v="361"/>
    <n v="12.68"/>
    <n v="0"/>
    <n v="247"/>
    <n v="6965.4"/>
    <n v="0"/>
    <x v="0"/>
    <s v="OK"/>
  </r>
  <r>
    <s v="IT-10070"/>
    <s v="Pressure valve A-70"/>
    <x v="1"/>
    <x v="1"/>
    <x v="1"/>
    <s v="2026-08"/>
    <n v="19.14"/>
    <n v="19.14"/>
    <n v="19.204543999999999"/>
    <n v="28.2"/>
    <n v="21"/>
    <n v="18"/>
    <n v="383"/>
    <n v="570"/>
    <n v="10946.59"/>
    <n v="44"/>
    <n v="526"/>
    <n v="14.24"/>
    <n v="1"/>
    <n v="253"/>
    <n v="7134.6"/>
    <n v="0"/>
    <x v="0"/>
    <s v="OK"/>
  </r>
  <r>
    <s v="IT-10071"/>
    <s v="Hydraulic hose A-71"/>
    <x v="1"/>
    <x v="1"/>
    <x v="1"/>
    <s v="2024-09"/>
    <n v="40.07"/>
    <n v="40.07"/>
    <n v="40.321492999999997"/>
    <n v="55.49"/>
    <n v="38"/>
    <n v="57"/>
    <n v="54"/>
    <n v="67"/>
    <n v="2701.54"/>
    <n v="5"/>
    <n v="62"/>
    <n v="9.08"/>
    <n v="3"/>
    <n v="22"/>
    <n v="1220.78"/>
    <n v="0"/>
    <x v="0"/>
    <s v="OK"/>
  </r>
  <r>
    <s v="IT-10071"/>
    <s v="Hydraulic hose A-71"/>
    <x v="1"/>
    <x v="1"/>
    <x v="1"/>
    <s v="2024-10"/>
    <n v="40.18"/>
    <n v="40.18"/>
    <n v="40.292856999999998"/>
    <n v="55.49"/>
    <n v="38"/>
    <n v="59"/>
    <n v="17"/>
    <n v="56"/>
    <n v="2256.4"/>
    <n v="2"/>
    <n v="54"/>
    <n v="8.18"/>
    <n v="14"/>
    <n v="28"/>
    <n v="1553.72"/>
    <n v="0"/>
    <x v="0"/>
    <s v="OK"/>
  </r>
  <r>
    <s v="IT-10071"/>
    <s v="Hydraulic hose A-71"/>
    <x v="1"/>
    <x v="1"/>
    <x v="1"/>
    <s v="2024-11"/>
    <n v="40.01"/>
    <n v="40.01"/>
    <n v="40.224145999999998"/>
    <n v="55.49"/>
    <n v="38"/>
    <n v="33"/>
    <n v="18"/>
    <n v="41"/>
    <n v="1649.19"/>
    <n v="9"/>
    <n v="32"/>
    <n v="6.42"/>
    <n v="0"/>
    <n v="33"/>
    <n v="1831.17"/>
    <n v="0"/>
    <x v="0"/>
    <s v="OK"/>
  </r>
  <r>
    <s v="IT-10071"/>
    <s v="Hydraulic hose A-71"/>
    <x v="1"/>
    <x v="1"/>
    <x v="1"/>
    <s v="2024-12"/>
    <n v="40.89"/>
    <n v="40.89"/>
    <n v="40.602682999999999"/>
    <n v="55.49"/>
    <n v="38"/>
    <n v="47"/>
    <n v="54"/>
    <n v="82"/>
    <n v="3329.42"/>
    <n v="4"/>
    <n v="78"/>
    <n v="14.56"/>
    <n v="0"/>
    <n v="13"/>
    <n v="721.37"/>
    <n v="0"/>
    <x v="0"/>
    <s v="OK"/>
  </r>
  <r>
    <s v="IT-10071"/>
    <s v="Hydraulic hose A-71"/>
    <x v="1"/>
    <x v="1"/>
    <x v="1"/>
    <s v="2025-01"/>
    <n v="42.34"/>
    <n v="42.34"/>
    <n v="41.227044999999997"/>
    <n v="55.49"/>
    <n v="38"/>
    <n v="36"/>
    <n v="46"/>
    <n v="88"/>
    <n v="3627.98"/>
    <n v="6"/>
    <n v="82"/>
    <n v="13.45"/>
    <n v="3"/>
    <n v="40"/>
    <n v="2219.6"/>
    <n v="0"/>
    <x v="0"/>
    <s v="OK"/>
  </r>
  <r>
    <s v="IT-10071"/>
    <s v="Hydraulic hose A-71"/>
    <x v="1"/>
    <x v="1"/>
    <x v="1"/>
    <s v="2025-02"/>
    <n v="42.14"/>
    <n v="42.14"/>
    <n v="41.227058999999997"/>
    <n v="58.1"/>
    <n v="38"/>
    <m/>
    <n v="0"/>
    <n v="51"/>
    <n v="2102.58"/>
    <n v="8"/>
    <n v="43"/>
    <n v="7.29"/>
    <n v="1"/>
    <n v="37"/>
    <n v="2149.6999999999998"/>
    <n v="0"/>
    <x v="0"/>
    <s v="OK"/>
  </r>
  <r>
    <s v="IT-10071"/>
    <s v="Hydraulic hose A-71"/>
    <x v="1"/>
    <x v="1"/>
    <x v="1"/>
    <s v="2025-03"/>
    <n v="41.2"/>
    <n v="41.2"/>
    <n v="41.222307999999998"/>
    <n v="58.1"/>
    <n v="38"/>
    <n v="54"/>
    <n v="11"/>
    <n v="26"/>
    <n v="1071.78"/>
    <n v="9"/>
    <n v="17"/>
    <n v="2.96"/>
    <n v="0"/>
    <n v="36"/>
    <n v="2091.6"/>
    <n v="0"/>
    <x v="0"/>
    <s v="OK"/>
  </r>
  <r>
    <s v="IT-10071"/>
    <s v="Hydraulic hose A-71"/>
    <x v="1"/>
    <x v="1"/>
    <x v="1"/>
    <s v="2025-04"/>
    <n v="41.54"/>
    <n v="41.54"/>
    <n v="41.466904999999997"/>
    <n v="58.1"/>
    <n v="38"/>
    <n v="52"/>
    <n v="87"/>
    <n v="84"/>
    <n v="3483.22"/>
    <n v="4"/>
    <n v="80"/>
    <n v="10.47"/>
    <n v="7"/>
    <n v="29"/>
    <n v="1684.9"/>
    <n v="0"/>
    <x v="0"/>
    <s v="OK"/>
  </r>
  <r>
    <s v="IT-10071"/>
    <s v="Hydraulic hose A-71"/>
    <x v="1"/>
    <x v="1"/>
    <x v="1"/>
    <s v="2025-05"/>
    <n v="41.51"/>
    <n v="41.51"/>
    <n v="41.483564999999999"/>
    <n v="58.1"/>
    <n v="38"/>
    <n v="34"/>
    <n v="53"/>
    <n v="115"/>
    <n v="4770.6099999999997"/>
    <n v="2"/>
    <n v="113"/>
    <n v="17.37"/>
    <n v="0"/>
    <n v="22"/>
    <n v="1278.2"/>
    <n v="0"/>
    <x v="0"/>
    <s v="OK"/>
  </r>
  <r>
    <s v="IT-10071"/>
    <s v="Hydraulic hose A-71"/>
    <x v="1"/>
    <x v="1"/>
    <x v="1"/>
    <s v="2025-06"/>
    <n v="42.49"/>
    <n v="42.49"/>
    <n v="41.483556"/>
    <n v="58.1"/>
    <n v="38"/>
    <m/>
    <n v="0"/>
    <n v="90"/>
    <n v="3733.52"/>
    <n v="2"/>
    <n v="88"/>
    <n v="15.39"/>
    <n v="1"/>
    <n v="25"/>
    <n v="1452.5"/>
    <n v="0"/>
    <x v="0"/>
    <s v="OK"/>
  </r>
  <r>
    <s v="IT-10071"/>
    <s v="Hydraulic hose A-71"/>
    <x v="1"/>
    <x v="1"/>
    <x v="1"/>
    <s v="2025-07"/>
    <n v="41.58"/>
    <n v="41.58"/>
    <n v="41.483508999999998"/>
    <n v="58.1"/>
    <n v="38"/>
    <m/>
    <n v="0"/>
    <n v="57"/>
    <n v="2364.56"/>
    <n v="8"/>
    <n v="49"/>
    <n v="9.36"/>
    <n v="10"/>
    <n v="33"/>
    <n v="1917.3"/>
    <n v="0"/>
    <x v="0"/>
    <s v="OK"/>
  </r>
  <r>
    <s v="IT-10071"/>
    <s v="Hydraulic hose A-71"/>
    <x v="1"/>
    <x v="1"/>
    <x v="1"/>
    <s v="2025-08"/>
    <n v="41.98"/>
    <n v="41.98"/>
    <n v="41.575749999999999"/>
    <n v="58.1"/>
    <n v="38"/>
    <n v="37"/>
    <n v="13"/>
    <n v="40"/>
    <n v="1663.03"/>
    <n v="9"/>
    <n v="31"/>
    <n v="5.97"/>
    <n v="6"/>
    <n v="30"/>
    <n v="1743"/>
    <n v="0"/>
    <x v="0"/>
    <s v="OK"/>
  </r>
  <r>
    <s v="IT-10071"/>
    <s v="Hydraulic hose A-71"/>
    <x v="1"/>
    <x v="1"/>
    <x v="1"/>
    <s v="2025-09"/>
    <n v="41.97"/>
    <n v="41.97"/>
    <n v="41.822614999999999"/>
    <n v="58.1"/>
    <n v="38"/>
    <n v="37"/>
    <n v="67"/>
    <n v="65"/>
    <n v="2718.47"/>
    <n v="10"/>
    <n v="55"/>
    <n v="8.14"/>
    <n v="15"/>
    <n v="42"/>
    <n v="2440.1999999999998"/>
    <n v="0"/>
    <x v="0"/>
    <s v="OK"/>
  </r>
  <r>
    <s v="IT-10071"/>
    <s v="Hydraulic hose A-71"/>
    <x v="1"/>
    <x v="1"/>
    <x v="1"/>
    <s v="2025-10"/>
    <n v="42.23"/>
    <n v="42.23"/>
    <n v="41.925660000000001"/>
    <n v="58.1"/>
    <n v="38"/>
    <n v="34"/>
    <n v="22"/>
    <n v="53"/>
    <n v="2222.06"/>
    <n v="2"/>
    <n v="51"/>
    <n v="6.57"/>
    <n v="1"/>
    <n v="34"/>
    <n v="1975.4"/>
    <n v="0"/>
    <x v="0"/>
    <s v="OK"/>
  </r>
  <r>
    <s v="IT-10071"/>
    <s v="Hydraulic hose A-71"/>
    <x v="1"/>
    <x v="1"/>
    <x v="1"/>
    <s v="2025-11"/>
    <n v="41.64"/>
    <n v="41.64"/>
    <n v="41.859318000000002"/>
    <n v="58.1"/>
    <n v="38"/>
    <n v="33"/>
    <n v="16"/>
    <n v="44"/>
    <n v="1841.81"/>
    <n v="8"/>
    <n v="36"/>
    <n v="5.66"/>
    <n v="1"/>
    <n v="25"/>
    <n v="1452.5"/>
    <n v="0"/>
    <x v="0"/>
    <s v="OK"/>
  </r>
  <r>
    <s v="IT-10071"/>
    <s v="Hydraulic hose A-71"/>
    <x v="1"/>
    <x v="1"/>
    <x v="1"/>
    <s v="2025-12"/>
    <n v="42.22"/>
    <n v="42.22"/>
    <n v="42.102432"/>
    <n v="58.1"/>
    <n v="38"/>
    <n v="33"/>
    <n v="91"/>
    <n v="111"/>
    <n v="4673.37"/>
    <n v="10"/>
    <n v="101"/>
    <n v="17.579999999999998"/>
    <n v="7"/>
    <n v="24"/>
    <n v="1394.4"/>
    <n v="0"/>
    <x v="0"/>
    <s v="OK"/>
  </r>
  <r>
    <s v="IT-10071"/>
    <s v="Hydraulic hose A-71"/>
    <x v="1"/>
    <x v="1"/>
    <x v="1"/>
    <s v="2026-01"/>
    <n v="43.89"/>
    <n v="43.89"/>
    <n v="42.102381000000001"/>
    <n v="58.1"/>
    <n v="38"/>
    <m/>
    <n v="0"/>
    <n v="84"/>
    <n v="3536.6"/>
    <n v="9"/>
    <n v="75"/>
    <n v="14.53"/>
    <n v="4"/>
    <n v="27"/>
    <n v="1568.7"/>
    <n v="0"/>
    <x v="0"/>
    <s v="OK"/>
  </r>
  <r>
    <s v="IT-10071"/>
    <s v="Hydraulic hose A-71"/>
    <x v="1"/>
    <x v="1"/>
    <x v="1"/>
    <s v="2026-02"/>
    <n v="44.36"/>
    <n v="44.36"/>
    <n v="42.636000000000003"/>
    <n v="60.84"/>
    <n v="38"/>
    <n v="33"/>
    <n v="26"/>
    <n v="90"/>
    <n v="3837.24"/>
    <n v="9"/>
    <n v="81"/>
    <n v="16.3"/>
    <n v="3"/>
    <n v="20"/>
    <n v="1216.8"/>
    <n v="0"/>
    <x v="0"/>
    <s v="OK"/>
  </r>
  <r>
    <s v="IT-10071"/>
    <s v="Hydraulic hose A-71"/>
    <x v="1"/>
    <x v="1"/>
    <x v="1"/>
    <s v="2026-03"/>
    <n v="43.5"/>
    <n v="43.5"/>
    <n v="42.635956999999998"/>
    <n v="60.84"/>
    <n v="38"/>
    <m/>
    <n v="0"/>
    <n v="47"/>
    <n v="2003.89"/>
    <n v="4"/>
    <n v="43"/>
    <n v="6.71"/>
    <n v="1"/>
    <n v="43"/>
    <n v="2616.12"/>
    <n v="0"/>
    <x v="0"/>
    <s v="OK"/>
  </r>
  <r>
    <s v="IT-10071"/>
    <s v="Hydraulic hose A-71"/>
    <x v="1"/>
    <x v="1"/>
    <x v="1"/>
    <s v="2026-04"/>
    <n v="43.91"/>
    <n v="43.91"/>
    <n v="43.179696999999997"/>
    <n v="60.84"/>
    <n v="38"/>
    <n v="35"/>
    <n v="35"/>
    <n v="66"/>
    <n v="2849.86"/>
    <n v="10"/>
    <n v="56"/>
    <n v="10.62"/>
    <n v="1"/>
    <n v="16"/>
    <n v="973.44"/>
    <n v="0"/>
    <x v="0"/>
    <s v="OK"/>
  </r>
  <r>
    <s v="IT-10071"/>
    <s v="Hydraulic hose A-71"/>
    <x v="1"/>
    <x v="1"/>
    <x v="1"/>
    <s v="2026-05"/>
    <n v="43.56"/>
    <n v="43.56"/>
    <n v="43.381942000000002"/>
    <n v="60.84"/>
    <n v="38"/>
    <n v="34"/>
    <n v="75"/>
    <n v="103"/>
    <n v="4468.34"/>
    <n v="2"/>
    <n v="101"/>
    <n v="13.96"/>
    <n v="4"/>
    <n v="38"/>
    <n v="2311.92"/>
    <n v="0"/>
    <x v="0"/>
    <s v="OK"/>
  </r>
  <r>
    <s v="IT-10071"/>
    <s v="Hydraulic hose A-71"/>
    <x v="1"/>
    <x v="1"/>
    <x v="1"/>
    <s v="2026-06"/>
    <n v="43.54"/>
    <n v="43.54"/>
    <n v="43.381943999999997"/>
    <n v="60.84"/>
    <n v="38"/>
    <m/>
    <n v="0"/>
    <n v="72"/>
    <n v="3123.5"/>
    <n v="2"/>
    <n v="70"/>
    <n v="11.01"/>
    <n v="13"/>
    <n v="31"/>
    <n v="1886.04"/>
    <n v="0"/>
    <x v="0"/>
    <s v="OK"/>
  </r>
  <r>
    <s v="IT-10071"/>
    <s v="Hydraulic hose A-71"/>
    <x v="1"/>
    <x v="1"/>
    <x v="1"/>
    <s v="2026-07"/>
    <n v="42.77"/>
    <n v="42.77"/>
    <n v="43.382044999999998"/>
    <n v="60.84"/>
    <n v="38"/>
    <m/>
    <n v="0"/>
    <n v="44"/>
    <n v="1908.81"/>
    <n v="5"/>
    <n v="39"/>
    <n v="5.96"/>
    <n v="17"/>
    <n v="28"/>
    <n v="1703.52"/>
    <n v="0"/>
    <x v="0"/>
    <s v="OK"/>
  </r>
  <r>
    <s v="IT-10071"/>
    <s v="Hydraulic hose A-71"/>
    <x v="1"/>
    <x v="1"/>
    <x v="1"/>
    <s v="2026-08"/>
    <n v="43.87"/>
    <n v="43.87"/>
    <n v="43.631486000000002"/>
    <n v="60.84"/>
    <n v="38"/>
    <n v="34"/>
    <n v="46"/>
    <n v="74"/>
    <n v="3228.73"/>
    <n v="8"/>
    <n v="66"/>
    <n v="12.97"/>
    <n v="0"/>
    <n v="16"/>
    <n v="973.44"/>
    <n v="0"/>
    <x v="0"/>
    <s v="OK"/>
  </r>
  <r>
    <s v="IT-10072"/>
    <s v="Pillow block S-72"/>
    <x v="0"/>
    <x v="0"/>
    <x v="1"/>
    <s v="2024-09"/>
    <n v="6.41"/>
    <n v="6.82"/>
    <n v="6.8223089999999997"/>
    <n v="9.2100000000000009"/>
    <n v="36"/>
    <n v="58"/>
    <n v="484"/>
    <n v="2599"/>
    <n v="17731.18"/>
    <n v="101"/>
    <n v="2498"/>
    <n v="25.4"/>
    <n v="1"/>
    <n v="457"/>
    <n v="4208.97"/>
    <n v="0"/>
    <x v="0"/>
    <s v="OK"/>
  </r>
  <r>
    <s v="IT-10072"/>
    <s v="Pillow block S-72"/>
    <x v="0"/>
    <x v="0"/>
    <x v="1"/>
    <s v="2024-10"/>
    <n v="6.44"/>
    <n v="6.86"/>
    <n v="6.8248499999999996"/>
    <n v="9.2100000000000009"/>
    <n v="36"/>
    <n v="33"/>
    <n v="188"/>
    <n v="2402"/>
    <n v="16393.29"/>
    <n v="151"/>
    <n v="2251"/>
    <n v="28.14"/>
    <n v="8"/>
    <n v="385"/>
    <n v="3545.85"/>
    <n v="0"/>
    <x v="0"/>
    <s v="OK"/>
  </r>
  <r>
    <s v="IT-10072"/>
    <s v="Pillow block S-72"/>
    <x v="0"/>
    <x v="0"/>
    <x v="1"/>
    <s v="2024-11"/>
    <n v="6.28"/>
    <n v="6.69"/>
    <n v="6.7764689999999996"/>
    <n v="9.2100000000000009"/>
    <n v="36"/>
    <n v="53"/>
    <n v="1344"/>
    <n v="3342"/>
    <n v="22646.959999999999"/>
    <n v="252"/>
    <n v="3090"/>
    <n v="34.869999999999997"/>
    <n v="1"/>
    <n v="404"/>
    <n v="3720.84"/>
    <n v="0"/>
    <x v="0"/>
    <s v="OK"/>
  </r>
  <r>
    <s v="IT-10072"/>
    <s v="Pillow block S-72"/>
    <x v="0"/>
    <x v="0"/>
    <x v="1"/>
    <s v="2024-12"/>
    <n v="6.38"/>
    <n v="6.79"/>
    <n v="6.7764709999999999"/>
    <n v="9.2100000000000009"/>
    <n v="36"/>
    <m/>
    <n v="0"/>
    <n v="2202"/>
    <n v="14921.79"/>
    <n v="252"/>
    <n v="1950"/>
    <n v="15"/>
    <n v="1"/>
    <n v="1140"/>
    <n v="10499.4"/>
    <n v="0"/>
    <x v="0"/>
    <s v="OK"/>
  </r>
  <r>
    <s v="IT-10072"/>
    <s v="Pillow block S-72"/>
    <x v="0"/>
    <x v="0"/>
    <x v="1"/>
    <s v="2025-01"/>
    <n v="6.29"/>
    <n v="6.7"/>
    <n v="6.7740150000000003"/>
    <n v="9.2100000000000009"/>
    <n v="36"/>
    <n v="34"/>
    <n v="73"/>
    <n v="1574"/>
    <n v="10662.3"/>
    <n v="101"/>
    <n v="1473"/>
    <n v="9.2100000000000009"/>
    <n v="1"/>
    <n v="701"/>
    <n v="6456.21"/>
    <n v="0"/>
    <x v="0"/>
    <s v="OK"/>
  </r>
  <r>
    <s v="IT-10072"/>
    <s v="Pillow block S-72"/>
    <x v="0"/>
    <x v="0"/>
    <x v="1"/>
    <s v="2025-02"/>
    <n v="6.27"/>
    <n v="6.68"/>
    <n v="6.7163130000000004"/>
    <n v="9.73"/>
    <n v="36"/>
    <n v="35"/>
    <n v="2501"/>
    <n v="2520"/>
    <n v="16925.11"/>
    <n v="101"/>
    <n v="2419"/>
    <n v="9.5399999999999991"/>
    <n v="0"/>
    <n v="1555"/>
    <n v="15130.15"/>
    <n v="0"/>
    <x v="0"/>
    <s v="OK"/>
  </r>
  <r>
    <s v="IT-10072"/>
    <s v="Pillow block S-72"/>
    <x v="0"/>
    <x v="0"/>
    <x v="1"/>
    <s v="2025-03"/>
    <n v="6.36"/>
    <n v="6.77"/>
    <n v="6.7163149999999998"/>
    <n v="9.73"/>
    <n v="36"/>
    <m/>
    <n v="0"/>
    <n v="2182"/>
    <n v="14655"/>
    <n v="177"/>
    <n v="2005"/>
    <n v="10.82"/>
    <n v="2"/>
    <n v="338"/>
    <n v="3288.74"/>
    <n v="0"/>
    <x v="0"/>
    <s v="OK"/>
  </r>
  <r>
    <s v="IT-10072"/>
    <s v="Pillow block S-72"/>
    <x v="0"/>
    <x v="0"/>
    <x v="1"/>
    <s v="2025-04"/>
    <n v="6.53"/>
    <n v="6.95"/>
    <n v="6.7508999999999997"/>
    <n v="9.73"/>
    <n v="36"/>
    <n v="32"/>
    <n v="379"/>
    <n v="1777"/>
    <n v="11996.35"/>
    <n v="177"/>
    <n v="1600"/>
    <n v="8.44"/>
    <n v="0"/>
    <n v="784"/>
    <n v="7628.32"/>
    <n v="0"/>
    <x v="0"/>
    <s v="OK"/>
  </r>
  <r>
    <s v="IT-10072"/>
    <s v="Pillow block S-72"/>
    <x v="0"/>
    <x v="0"/>
    <x v="1"/>
    <s v="2025-05"/>
    <n v="6.48"/>
    <n v="6.9"/>
    <n v="6.7595890000000001"/>
    <n v="9.73"/>
    <n v="36"/>
    <n v="54"/>
    <n v="110"/>
    <n v="1191"/>
    <n v="8050.67"/>
    <n v="50"/>
    <n v="1141"/>
    <n v="8.61"/>
    <n v="0"/>
    <n v="696"/>
    <n v="6772.08"/>
    <n v="0"/>
    <x v="0"/>
    <s v="OK"/>
  </r>
  <r>
    <s v="IT-10072"/>
    <s v="Pillow block S-72"/>
    <x v="0"/>
    <x v="0"/>
    <x v="1"/>
    <s v="2025-06"/>
    <n v="6.62"/>
    <n v="7.05"/>
    <n v="6.9459439999999999"/>
    <n v="9.73"/>
    <n v="36"/>
    <n v="33"/>
    <n v="2133"/>
    <n v="2490"/>
    <n v="17295.400000000001"/>
    <n v="76"/>
    <n v="2414"/>
    <n v="13.99"/>
    <n v="0"/>
    <n v="834"/>
    <n v="8114.82"/>
    <n v="0"/>
    <x v="0"/>
    <s v="OK"/>
  </r>
  <r>
    <s v="IT-10072"/>
    <s v="Pillow block S-72"/>
    <x v="0"/>
    <x v="0"/>
    <x v="1"/>
    <s v="2025-07"/>
    <n v="6.64"/>
    <n v="7.07"/>
    <n v="7.0095850000000004"/>
    <n v="9.73"/>
    <n v="36"/>
    <n v="31"/>
    <n v="2623"/>
    <n v="4575"/>
    <n v="32068.85"/>
    <n v="50"/>
    <n v="4525"/>
    <n v="29.08"/>
    <n v="0"/>
    <n v="538"/>
    <n v="5234.74"/>
    <n v="0"/>
    <x v="0"/>
    <s v="OK"/>
  </r>
  <r>
    <s v="IT-10072"/>
    <s v="Pillow block S-72"/>
    <x v="0"/>
    <x v="0"/>
    <x v="1"/>
    <s v="2025-08"/>
    <n v="6.5"/>
    <n v="6.92"/>
    <n v="7.0095840000000003"/>
    <n v="9.73"/>
    <n v="36"/>
    <m/>
    <n v="0"/>
    <n v="3556"/>
    <n v="24926.080000000002"/>
    <n v="151"/>
    <n v="3405"/>
    <n v="19.55"/>
    <n v="1"/>
    <n v="1019"/>
    <n v="9914.8700000000008"/>
    <n v="0"/>
    <x v="0"/>
    <s v="OK"/>
  </r>
  <r>
    <s v="IT-10072"/>
    <s v="Pillow block S-72"/>
    <x v="0"/>
    <x v="0"/>
    <x v="1"/>
    <s v="2025-09"/>
    <n v="6.66"/>
    <n v="7.09"/>
    <n v="7.0095830000000001"/>
    <n v="9.73"/>
    <n v="36"/>
    <m/>
    <n v="0"/>
    <n v="2683"/>
    <n v="18806.71"/>
    <n v="76"/>
    <n v="2607"/>
    <n v="14.51"/>
    <n v="0"/>
    <n v="873"/>
    <n v="8494.2900000000009"/>
    <n v="0"/>
    <x v="0"/>
    <s v="OK"/>
  </r>
  <r>
    <s v="IT-10072"/>
    <s v="Pillow block S-72"/>
    <x v="0"/>
    <x v="0"/>
    <x v="1"/>
    <s v="2025-10"/>
    <n v="6.54"/>
    <n v="6.96"/>
    <n v="7.0083399999999996"/>
    <n v="9.73"/>
    <n v="36"/>
    <n v="58"/>
    <n v="69"/>
    <n v="1639"/>
    <n v="11486.67"/>
    <n v="50"/>
    <n v="1589"/>
    <n v="7.17"/>
    <n v="0"/>
    <n v="1113"/>
    <n v="10829.49"/>
    <n v="0"/>
    <x v="0"/>
    <s v="OK"/>
  </r>
  <r>
    <s v="IT-10072"/>
    <s v="Pillow block S-72"/>
    <x v="0"/>
    <x v="0"/>
    <x v="1"/>
    <s v="2025-11"/>
    <n v="6.64"/>
    <n v="7.07"/>
    <n v="7.0292190000000003"/>
    <n v="9.73"/>
    <n v="36"/>
    <n v="57"/>
    <n v="839"/>
    <n v="1894"/>
    <n v="13313.34"/>
    <n v="227"/>
    <n v="1667"/>
    <n v="9.58"/>
    <n v="1"/>
    <n v="584"/>
    <n v="5682.32"/>
    <n v="0"/>
    <x v="0"/>
    <s v="OK"/>
  </r>
  <r>
    <s v="IT-10072"/>
    <s v="Pillow block S-72"/>
    <x v="0"/>
    <x v="0"/>
    <x v="1"/>
    <s v="2025-12"/>
    <n v="6.53"/>
    <n v="6.95"/>
    <n v="7.003431"/>
    <n v="9.73"/>
    <n v="36"/>
    <n v="55"/>
    <n v="914"/>
    <n v="1734"/>
    <n v="12143.95"/>
    <n v="50"/>
    <n v="1684"/>
    <n v="8.2200000000000006"/>
    <n v="2"/>
    <n v="1074"/>
    <n v="10450.02"/>
    <n v="0"/>
    <x v="0"/>
    <s v="OK"/>
  </r>
  <r>
    <s v="IT-10072"/>
    <s v="Pillow block S-72"/>
    <x v="0"/>
    <x v="0"/>
    <x v="1"/>
    <s v="2026-01"/>
    <n v="6.64"/>
    <n v="7.07"/>
    <n v="7.0208589999999997"/>
    <n v="9.73"/>
    <n v="36"/>
    <n v="32"/>
    <n v="615"/>
    <n v="1466"/>
    <n v="10292.58"/>
    <n v="151"/>
    <n v="1315"/>
    <n v="7.58"/>
    <n v="0"/>
    <n v="883"/>
    <n v="8591.59"/>
    <n v="0"/>
    <x v="0"/>
    <s v="OK"/>
  </r>
  <r>
    <s v="IT-10072"/>
    <s v="Pillow block S-72"/>
    <x v="0"/>
    <x v="0"/>
    <x v="1"/>
    <s v="2026-02"/>
    <n v="6.64"/>
    <n v="7.07"/>
    <n v="7.0465030000000004"/>
    <n v="10.28"/>
    <n v="36"/>
    <n v="47"/>
    <n v="1600"/>
    <n v="2459"/>
    <n v="17327.349999999999"/>
    <n v="50"/>
    <n v="2409"/>
    <n v="12.33"/>
    <n v="2"/>
    <n v="607"/>
    <n v="6239.96"/>
    <n v="0"/>
    <x v="0"/>
    <s v="OK"/>
  </r>
  <r>
    <s v="IT-10072"/>
    <s v="Pillow block S-72"/>
    <x v="0"/>
    <x v="0"/>
    <x v="1"/>
    <s v="2026-03"/>
    <n v="6.49"/>
    <n v="6.91"/>
    <n v="7.0183109999999997"/>
    <n v="10.28"/>
    <n v="36"/>
    <n v="33"/>
    <n v="640"/>
    <n v="1664"/>
    <n v="11678.47"/>
    <n v="227"/>
    <n v="1437"/>
    <n v="7.31"/>
    <n v="1"/>
    <n v="1435"/>
    <n v="14751.8"/>
    <n v="0"/>
    <x v="0"/>
    <s v="OK"/>
  </r>
  <r>
    <s v="IT-10072"/>
    <s v="Pillow block S-72"/>
    <x v="0"/>
    <x v="0"/>
    <x v="1"/>
    <s v="2026-04"/>
    <n v="6.65"/>
    <n v="7.08"/>
    <n v="7.0409699999999997"/>
    <n v="10.28"/>
    <n v="36"/>
    <n v="35"/>
    <n v="966"/>
    <n v="1804"/>
    <n v="12701.91"/>
    <n v="76"/>
    <n v="1728"/>
    <n v="8"/>
    <n v="0"/>
    <n v="826"/>
    <n v="8491.2800000000007"/>
    <n v="0"/>
    <x v="0"/>
    <s v="OK"/>
  </r>
  <r>
    <s v="IT-10072"/>
    <s v="Pillow block S-72"/>
    <x v="0"/>
    <x v="0"/>
    <x v="1"/>
    <s v="2026-05"/>
    <n v="6.77"/>
    <n v="7.21"/>
    <n v="7.1259499999999996"/>
    <n v="10.28"/>
    <n v="36"/>
    <n v="31"/>
    <n v="1824"/>
    <n v="2859"/>
    <n v="20373.09"/>
    <n v="202"/>
    <n v="2657"/>
    <n v="12.4"/>
    <n v="1"/>
    <n v="769"/>
    <n v="7905.32"/>
    <n v="0"/>
    <x v="0"/>
    <s v="OK"/>
  </r>
  <r>
    <s v="IT-10072"/>
    <s v="Pillow block S-72"/>
    <x v="0"/>
    <x v="0"/>
    <x v="1"/>
    <s v="2026-06"/>
    <n v="6.87"/>
    <n v="7.31"/>
    <n v="7.1259499999999996"/>
    <n v="10.28"/>
    <n v="36"/>
    <m/>
    <n v="0"/>
    <n v="2089"/>
    <n v="14886.11"/>
    <n v="227"/>
    <n v="1862"/>
    <n v="11.48"/>
    <n v="1"/>
    <n v="770"/>
    <n v="7915.6"/>
    <n v="0"/>
    <x v="0"/>
    <s v="OK"/>
  </r>
  <r>
    <s v="IT-10072"/>
    <s v="Pillow block S-72"/>
    <x v="0"/>
    <x v="0"/>
    <x v="1"/>
    <s v="2026-07"/>
    <n v="6.79"/>
    <n v="7.23"/>
    <n v="7.1259509999999997"/>
    <n v="10.28"/>
    <n v="36"/>
    <m/>
    <n v="0"/>
    <n v="1504"/>
    <n v="10717.43"/>
    <n v="252"/>
    <n v="1252"/>
    <n v="9.31"/>
    <n v="2"/>
    <n v="585"/>
    <n v="6013.8"/>
    <n v="0"/>
    <x v="0"/>
    <s v="OK"/>
  </r>
  <r>
    <s v="IT-10072"/>
    <s v="Pillow block S-72"/>
    <x v="0"/>
    <x v="0"/>
    <x v="1"/>
    <s v="2026-08"/>
    <n v="6.71"/>
    <n v="7.14"/>
    <n v="7.1332930000000001"/>
    <n v="10.28"/>
    <n v="36"/>
    <n v="36"/>
    <n v="1647"/>
    <n v="1913"/>
    <n v="13645.99"/>
    <n v="252"/>
    <n v="1661"/>
    <n v="9.6999999999999993"/>
    <n v="0"/>
    <n v="1238"/>
    <n v="12726.64"/>
    <n v="0"/>
    <x v="0"/>
    <s v="OK"/>
  </r>
  <r>
    <s v="IT-10073"/>
    <s v="Bolt assortment L-73"/>
    <x v="2"/>
    <x v="2"/>
    <x v="1"/>
    <s v="2024-09"/>
    <n v="59.19"/>
    <n v="59.19"/>
    <n v="59.475714000000004"/>
    <n v="82.95"/>
    <n v="40"/>
    <m/>
    <n v="0"/>
    <n v="0"/>
    <n v="0"/>
    <n v="0"/>
    <n v="0"/>
    <n v="0"/>
    <n v="2"/>
    <n v="21"/>
    <n v="1741.95"/>
    <n v="61"/>
    <x v="1"/>
    <s v="OK"/>
  </r>
  <r>
    <s v="IT-10073"/>
    <s v="Bolt assortment L-73"/>
    <x v="2"/>
    <x v="2"/>
    <x v="1"/>
    <s v="2024-10"/>
    <n v="60.01"/>
    <n v="60.01"/>
    <n v="60.01"/>
    <n v="82.95"/>
    <n v="40"/>
    <n v="62"/>
    <n v="106"/>
    <n v="36"/>
    <n v="2160.36"/>
    <n v="25"/>
    <n v="11"/>
    <n v="1.54"/>
    <n v="0"/>
    <n v="70"/>
    <n v="5806.5"/>
    <n v="0"/>
    <x v="0"/>
    <s v="OK"/>
  </r>
  <r>
    <s v="IT-10073"/>
    <s v="Bolt assortment L-73"/>
    <x v="2"/>
    <x v="2"/>
    <x v="1"/>
    <s v="2024-11"/>
    <n v="58.84"/>
    <n v="58.84"/>
    <n v="58.994286000000002"/>
    <n v="82.95"/>
    <n v="40"/>
    <n v="34"/>
    <n v="237"/>
    <n v="56"/>
    <n v="3303.68"/>
    <n v="22"/>
    <n v="34"/>
    <n v="2.36"/>
    <n v="0"/>
    <n v="217"/>
    <n v="18000.150000000001"/>
    <n v="0"/>
    <x v="0"/>
    <s v="OK"/>
  </r>
  <r>
    <s v="IT-10073"/>
    <s v="Bolt assortment L-73"/>
    <x v="2"/>
    <x v="2"/>
    <x v="1"/>
    <s v="2024-12"/>
    <n v="61.27"/>
    <n v="61.27"/>
    <n v="60.067692000000001"/>
    <n v="82.95"/>
    <n v="40"/>
    <n v="37"/>
    <n v="50"/>
    <n v="13"/>
    <n v="780.88"/>
    <n v="13"/>
    <n v="0"/>
    <n v="0.45"/>
    <n v="0"/>
    <n v="93"/>
    <n v="7714.35"/>
    <n v="0"/>
    <x v="0"/>
    <s v="OK"/>
  </r>
  <r>
    <s v="IT-10073"/>
    <s v="Bolt assortment L-73"/>
    <x v="2"/>
    <x v="2"/>
    <x v="1"/>
    <s v="2025-01"/>
    <n v="60.72"/>
    <n v="60.72"/>
    <n v="60.691806"/>
    <n v="82.95"/>
    <n v="40"/>
    <n v="34"/>
    <n v="288"/>
    <n v="144"/>
    <n v="8739.6200000000008"/>
    <n v="18"/>
    <n v="126"/>
    <n v="4.05"/>
    <n v="7"/>
    <n v="157"/>
    <n v="13023.15"/>
    <n v="0"/>
    <x v="0"/>
    <s v="OK"/>
  </r>
  <r>
    <s v="IT-10073"/>
    <s v="Bolt assortment L-73"/>
    <x v="2"/>
    <x v="2"/>
    <x v="1"/>
    <s v="2025-02"/>
    <n v="61.63"/>
    <n v="61.63"/>
    <n v="61.062399999999997"/>
    <n v="86.53"/>
    <n v="40"/>
    <n v="52"/>
    <n v="94"/>
    <n v="100"/>
    <n v="6106.24"/>
    <n v="18"/>
    <n v="82"/>
    <n v="3.31"/>
    <n v="0"/>
    <n v="138"/>
    <n v="11941.14"/>
    <n v="0"/>
    <x v="0"/>
    <s v="OK"/>
  </r>
  <r>
    <s v="IT-10073"/>
    <s v="Bolt assortment L-73"/>
    <x v="2"/>
    <x v="2"/>
    <x v="1"/>
    <s v="2025-03"/>
    <n v="60.52"/>
    <n v="60.52"/>
    <n v="60.844814999999997"/>
    <n v="86.53"/>
    <n v="40"/>
    <n v="35"/>
    <n v="67"/>
    <n v="81"/>
    <n v="4928.43"/>
    <n v="29"/>
    <n v="52"/>
    <n v="2.73"/>
    <n v="4"/>
    <n v="86"/>
    <n v="7441.58"/>
    <n v="0"/>
    <x v="0"/>
    <s v="OK"/>
  </r>
  <r>
    <s v="IT-10073"/>
    <s v="Bolt assortment L-73"/>
    <x v="2"/>
    <x v="2"/>
    <x v="1"/>
    <s v="2025-04"/>
    <n v="59.62"/>
    <n v="59.62"/>
    <n v="60.066881000000002"/>
    <n v="86.53"/>
    <n v="40"/>
    <n v="39"/>
    <n v="141"/>
    <n v="109"/>
    <n v="6547.29"/>
    <n v="29"/>
    <n v="80"/>
    <n v="4.1100000000000003"/>
    <n v="0"/>
    <n v="113"/>
    <n v="9777.89"/>
    <n v="0"/>
    <x v="0"/>
    <s v="OK"/>
  </r>
  <r>
    <s v="IT-10073"/>
    <s v="Bolt assortment L-73"/>
    <x v="2"/>
    <x v="2"/>
    <x v="1"/>
    <s v="2025-05"/>
    <n v="60.88"/>
    <n v="60.88"/>
    <n v="60.455956999999998"/>
    <n v="86.53"/>
    <n v="40"/>
    <n v="38"/>
    <n v="100"/>
    <n v="94"/>
    <n v="5682.86"/>
    <n v="29"/>
    <n v="65"/>
    <n v="3.93"/>
    <n v="0"/>
    <n v="115"/>
    <n v="9950.9500000000007"/>
    <n v="0"/>
    <x v="0"/>
    <s v="OK"/>
  </r>
  <r>
    <s v="IT-10073"/>
    <s v="Bolt assortment L-73"/>
    <x v="2"/>
    <x v="2"/>
    <x v="1"/>
    <s v="2025-06"/>
    <n v="60.88"/>
    <n v="60.88"/>
    <n v="60.736097999999998"/>
    <n v="86.53"/>
    <n v="40"/>
    <n v="39"/>
    <n v="183"/>
    <n v="123"/>
    <n v="7470.54"/>
    <n v="33"/>
    <n v="90"/>
    <n v="4.1900000000000004"/>
    <n v="8"/>
    <n v="154"/>
    <n v="13325.62"/>
    <n v="0"/>
    <x v="0"/>
    <s v="OK"/>
  </r>
  <r>
    <s v="IT-10073"/>
    <s v="Bolt assortment L-73"/>
    <x v="2"/>
    <x v="2"/>
    <x v="1"/>
    <s v="2025-07"/>
    <n v="59.62"/>
    <n v="59.62"/>
    <n v="60.413558999999999"/>
    <n v="86.53"/>
    <n v="40"/>
    <n v="40"/>
    <n v="50"/>
    <n v="59"/>
    <n v="3564.4"/>
    <n v="15"/>
    <n v="44"/>
    <n v="2.02"/>
    <n v="9"/>
    <n v="114"/>
    <n v="9864.42"/>
    <n v="0"/>
    <x v="0"/>
    <s v="OK"/>
  </r>
  <r>
    <s v="IT-10073"/>
    <s v="Bolt assortment L-73"/>
    <x v="2"/>
    <x v="2"/>
    <x v="1"/>
    <s v="2025-08"/>
    <n v="61.76"/>
    <n v="61.76"/>
    <n v="61.470073999999997"/>
    <n v="86.53"/>
    <n v="40"/>
    <n v="57"/>
    <n v="215"/>
    <n v="136"/>
    <n v="8359.93"/>
    <n v="25"/>
    <n v="111"/>
    <n v="4.4000000000000004"/>
    <n v="1"/>
    <n v="138"/>
    <n v="11941.14"/>
    <n v="0"/>
    <x v="0"/>
    <s v="OK"/>
  </r>
  <r>
    <s v="IT-10073"/>
    <s v="Bolt assortment L-73"/>
    <x v="2"/>
    <x v="2"/>
    <x v="1"/>
    <s v="2025-09"/>
    <n v="61.81"/>
    <n v="61.81"/>
    <n v="61.470101999999997"/>
    <n v="86.53"/>
    <n v="40"/>
    <m/>
    <n v="0"/>
    <n v="98"/>
    <n v="6024.07"/>
    <n v="11"/>
    <n v="87"/>
    <n v="4.4400000000000004"/>
    <n v="12"/>
    <n v="38"/>
    <n v="3288.14"/>
    <n v="0"/>
    <x v="0"/>
    <s v="OK"/>
  </r>
  <r>
    <s v="IT-10073"/>
    <s v="Bolt assortment L-73"/>
    <x v="2"/>
    <x v="2"/>
    <x v="1"/>
    <s v="2025-10"/>
    <n v="59.84"/>
    <n v="59.84"/>
    <n v="60.218567999999998"/>
    <n v="86.53"/>
    <n v="40"/>
    <n v="47"/>
    <n v="324"/>
    <n v="377"/>
    <n v="22702.400000000001"/>
    <n v="7"/>
    <n v="370"/>
    <n v="22.42"/>
    <n v="1"/>
    <n v="45"/>
    <n v="3893.85"/>
    <n v="0"/>
    <x v="0"/>
    <s v="OK"/>
  </r>
  <r>
    <s v="IT-10073"/>
    <s v="Bolt assortment L-73"/>
    <x v="2"/>
    <x v="2"/>
    <x v="1"/>
    <s v="2025-11"/>
    <n v="60.28"/>
    <n v="60.28"/>
    <n v="60.218563000000003"/>
    <n v="86.53"/>
    <n v="40"/>
    <m/>
    <n v="0"/>
    <n v="341"/>
    <n v="20534.53"/>
    <n v="29"/>
    <n v="312"/>
    <n v="37.25"/>
    <n v="9"/>
    <n v="36"/>
    <n v="3115.08"/>
    <n v="0"/>
    <x v="0"/>
    <s v="OK"/>
  </r>
  <r>
    <s v="IT-10073"/>
    <s v="Bolt assortment L-73"/>
    <x v="2"/>
    <x v="2"/>
    <x v="1"/>
    <s v="2025-12"/>
    <n v="61.18"/>
    <n v="61.18"/>
    <n v="60.218556"/>
    <n v="86.53"/>
    <n v="40"/>
    <m/>
    <n v="0"/>
    <n v="277"/>
    <n v="16680.54"/>
    <n v="18"/>
    <n v="259"/>
    <n v="25.11"/>
    <n v="2"/>
    <n v="64"/>
    <n v="5537.92"/>
    <n v="0"/>
    <x v="0"/>
    <s v="OK"/>
  </r>
  <r>
    <s v="IT-10073"/>
    <s v="Bolt assortment L-73"/>
    <x v="2"/>
    <x v="2"/>
    <x v="1"/>
    <s v="2026-01"/>
    <n v="62.73"/>
    <n v="62.73"/>
    <n v="60.602553999999998"/>
    <n v="86.53"/>
    <n v="40"/>
    <n v="36"/>
    <n v="50"/>
    <n v="325"/>
    <n v="19695.830000000002"/>
    <n v="18"/>
    <n v="307"/>
    <n v="41.88"/>
    <n v="17"/>
    <n v="2"/>
    <n v="173.06"/>
    <n v="0"/>
    <x v="0"/>
    <s v="OK"/>
  </r>
  <r>
    <s v="IT-10073"/>
    <s v="Bolt assortment L-73"/>
    <x v="2"/>
    <x v="2"/>
    <x v="1"/>
    <s v="2026-02"/>
    <n v="61.65"/>
    <n v="61.65"/>
    <n v="61.061028999999998"/>
    <n v="90.26"/>
    <n v="40"/>
    <n v="47"/>
    <n v="253"/>
    <n v="476"/>
    <n v="29065.05"/>
    <n v="36"/>
    <n v="440"/>
    <n v="36.43"/>
    <n v="2"/>
    <n v="102"/>
    <n v="9206.52"/>
    <n v="0"/>
    <x v="0"/>
    <s v="OK"/>
  </r>
  <r>
    <s v="IT-10073"/>
    <s v="Bolt assortment L-73"/>
    <x v="2"/>
    <x v="2"/>
    <x v="1"/>
    <s v="2026-03"/>
    <n v="62.71"/>
    <n v="62.71"/>
    <n v="61.061024000000003"/>
    <n v="90.26"/>
    <n v="40"/>
    <m/>
    <n v="0"/>
    <n v="381"/>
    <n v="23264.25"/>
    <n v="25"/>
    <n v="356"/>
    <n v="24.62"/>
    <n v="0"/>
    <n v="95"/>
    <n v="8574.7000000000007"/>
    <n v="0"/>
    <x v="0"/>
    <s v="OK"/>
  </r>
  <r>
    <s v="IT-10073"/>
    <s v="Bolt assortment L-73"/>
    <x v="2"/>
    <x v="2"/>
    <x v="1"/>
    <s v="2026-04"/>
    <n v="62.21"/>
    <n v="62.21"/>
    <n v="61.061028"/>
    <n v="90.26"/>
    <n v="40"/>
    <m/>
    <n v="0"/>
    <n v="282"/>
    <n v="17219.21"/>
    <n v="7"/>
    <n v="275"/>
    <n v="12.11"/>
    <n v="1"/>
    <n v="99"/>
    <n v="8935.74"/>
    <n v="0"/>
    <x v="0"/>
    <s v="OK"/>
  </r>
  <r>
    <s v="IT-10073"/>
    <s v="Bolt assortment L-73"/>
    <x v="2"/>
    <x v="2"/>
    <x v="1"/>
    <s v="2026-05"/>
    <n v="62.93"/>
    <n v="62.93"/>
    <n v="61.061030000000002"/>
    <n v="90.26"/>
    <n v="40"/>
    <m/>
    <n v="0"/>
    <n v="165"/>
    <n v="10075.07"/>
    <n v="11"/>
    <n v="154"/>
    <n v="6.97"/>
    <n v="6"/>
    <n v="117"/>
    <n v="10560.42"/>
    <n v="0"/>
    <x v="0"/>
    <s v="OK"/>
  </r>
  <r>
    <s v="IT-10073"/>
    <s v="Bolt assortment L-73"/>
    <x v="2"/>
    <x v="2"/>
    <x v="1"/>
    <s v="2026-06"/>
    <n v="61.06"/>
    <n v="61.06"/>
    <n v="61.060495000000003"/>
    <n v="90.26"/>
    <n v="40"/>
    <n v="36"/>
    <n v="166"/>
    <n v="222"/>
    <n v="13555.43"/>
    <n v="7"/>
    <n v="215"/>
    <n v="8.8800000000000008"/>
    <n v="5"/>
    <n v="109"/>
    <n v="9838.34"/>
    <n v="0"/>
    <x v="0"/>
    <s v="OK"/>
  </r>
  <r>
    <s v="IT-10073"/>
    <s v="Bolt assortment L-73"/>
    <x v="2"/>
    <x v="2"/>
    <x v="1"/>
    <s v="2026-07"/>
    <n v="62.95"/>
    <n v="62.95"/>
    <n v="61.060499999999998"/>
    <n v="90.26"/>
    <n v="40"/>
    <m/>
    <n v="0"/>
    <n v="140"/>
    <n v="8548.4699999999993"/>
    <n v="25"/>
    <n v="115"/>
    <n v="5.97"/>
    <n v="2"/>
    <n v="82"/>
    <n v="7401.32"/>
    <n v="0"/>
    <x v="0"/>
    <s v="OK"/>
  </r>
  <r>
    <s v="IT-10073"/>
    <s v="Bolt assortment L-73"/>
    <x v="2"/>
    <x v="2"/>
    <x v="1"/>
    <s v="2026-08"/>
    <n v="61.11"/>
    <n v="61.11"/>
    <n v="61.082040999999997"/>
    <n v="90.26"/>
    <n v="40"/>
    <n v="40"/>
    <n v="108"/>
    <n v="196"/>
    <n v="11972.08"/>
    <n v="22"/>
    <n v="174"/>
    <n v="10.6"/>
    <n v="1"/>
    <n v="52"/>
    <n v="4693.5200000000004"/>
    <n v="0"/>
    <x v="0"/>
    <s v="OK"/>
  </r>
  <r>
    <s v="IT-10074"/>
    <s v="Pillow block 20-74"/>
    <x v="0"/>
    <x v="0"/>
    <x v="1"/>
    <s v="2024-09"/>
    <n v="14.54"/>
    <n v="14.54"/>
    <n v="14.636631"/>
    <n v="20.16"/>
    <n v="18"/>
    <n v="15"/>
    <n v="155"/>
    <n v="282"/>
    <n v="4127.53"/>
    <n v="7"/>
    <n v="275"/>
    <n v="11.55"/>
    <n v="2"/>
    <n v="187"/>
    <n v="3769.92"/>
    <n v="0"/>
    <x v="0"/>
    <s v="OK"/>
  </r>
  <r>
    <s v="IT-10074"/>
    <s v="Pillow block 20-74"/>
    <x v="0"/>
    <x v="0"/>
    <x v="1"/>
    <s v="2024-10"/>
    <n v="14.37"/>
    <n v="14.37"/>
    <n v="14.572120999999999"/>
    <n v="20.16"/>
    <n v="18"/>
    <n v="16"/>
    <n v="90"/>
    <n v="330"/>
    <n v="4808.8"/>
    <n v="15"/>
    <n v="315"/>
    <n v="16"/>
    <n v="0"/>
    <n v="42"/>
    <n v="846.72"/>
    <n v="0"/>
    <x v="0"/>
    <s v="OK"/>
  </r>
  <r>
    <s v="IT-10074"/>
    <s v="Pillow block 20-74"/>
    <x v="0"/>
    <x v="0"/>
    <x v="1"/>
    <s v="2024-11"/>
    <n v="14.6"/>
    <n v="14.6"/>
    <n v="14.572122999999999"/>
    <n v="20.16"/>
    <n v="18"/>
    <m/>
    <n v="0"/>
    <n v="179"/>
    <n v="2608.41"/>
    <n v="7"/>
    <n v="172"/>
    <n v="6.12"/>
    <n v="1"/>
    <n v="151"/>
    <n v="3044.16"/>
    <n v="0"/>
    <x v="0"/>
    <s v="OK"/>
  </r>
  <r>
    <s v="IT-10074"/>
    <s v="Pillow block 20-74"/>
    <x v="0"/>
    <x v="0"/>
    <x v="1"/>
    <s v="2024-12"/>
    <n v="14.42"/>
    <n v="14.42"/>
    <n v="14.572151"/>
    <n v="20.16"/>
    <n v="18"/>
    <m/>
    <n v="0"/>
    <n v="93"/>
    <n v="1355.21"/>
    <n v="7"/>
    <n v="86"/>
    <n v="4.38"/>
    <n v="1"/>
    <n v="86"/>
    <n v="1733.76"/>
    <n v="0"/>
    <x v="0"/>
    <s v="OK"/>
  </r>
  <r>
    <s v="IT-10074"/>
    <s v="Pillow block 20-74"/>
    <x v="0"/>
    <x v="0"/>
    <x v="1"/>
    <s v="2025-01"/>
    <n v="14.81"/>
    <n v="14.81"/>
    <n v="14.740437"/>
    <n v="20.16"/>
    <n v="18"/>
    <n v="32"/>
    <n v="225"/>
    <n v="183"/>
    <n v="2697.5"/>
    <n v="25"/>
    <n v="158"/>
    <n v="6.47"/>
    <n v="8"/>
    <n v="135"/>
    <n v="2721.6"/>
    <n v="0"/>
    <x v="0"/>
    <s v="OK"/>
  </r>
  <r>
    <s v="IT-10074"/>
    <s v="Pillow block 20-74"/>
    <x v="0"/>
    <x v="0"/>
    <x v="1"/>
    <s v="2025-02"/>
    <n v="14.56"/>
    <n v="14.56"/>
    <n v="14.650475999999999"/>
    <n v="20.75"/>
    <n v="18"/>
    <n v="16"/>
    <n v="182"/>
    <n v="315"/>
    <n v="4614.8999999999996"/>
    <n v="22"/>
    <n v="293"/>
    <n v="14.94"/>
    <n v="2"/>
    <n v="50"/>
    <n v="1037.5"/>
    <n v="0"/>
    <x v="0"/>
    <s v="OK"/>
  </r>
  <r>
    <s v="IT-10074"/>
    <s v="Pillow block 20-74"/>
    <x v="0"/>
    <x v="0"/>
    <x v="1"/>
    <s v="2025-03"/>
    <n v="14.76"/>
    <n v="14.76"/>
    <n v="14.650506999999999"/>
    <n v="20.75"/>
    <n v="18"/>
    <m/>
    <n v="0"/>
    <n v="138"/>
    <n v="2021.77"/>
    <n v="7"/>
    <n v="131"/>
    <n v="4.9000000000000004"/>
    <n v="1"/>
    <n v="177"/>
    <n v="3672.75"/>
    <n v="0"/>
    <x v="0"/>
    <s v="OK"/>
  </r>
  <r>
    <s v="IT-10074"/>
    <s v="Pillow block 20-74"/>
    <x v="0"/>
    <x v="0"/>
    <x v="1"/>
    <s v="2025-04"/>
    <n v="14.97"/>
    <n v="14.97"/>
    <n v="14.824956"/>
    <n v="20.75"/>
    <n v="18"/>
    <n v="17"/>
    <n v="166"/>
    <n v="226"/>
    <n v="3350.44"/>
    <n v="11"/>
    <n v="215"/>
    <n v="9.42"/>
    <n v="1"/>
    <n v="78"/>
    <n v="1618.5"/>
    <n v="0"/>
    <x v="0"/>
    <s v="OK"/>
  </r>
  <r>
    <s v="IT-10074"/>
    <s v="Pillow block 20-74"/>
    <x v="0"/>
    <x v="0"/>
    <x v="1"/>
    <s v="2025-05"/>
    <n v="15.29"/>
    <n v="15.29"/>
    <n v="14.913311"/>
    <n v="20.75"/>
    <n v="18"/>
    <n v="30"/>
    <n v="53"/>
    <n v="148"/>
    <n v="2207.17"/>
    <n v="25"/>
    <n v="123"/>
    <n v="5.04"/>
    <n v="4"/>
    <n v="131"/>
    <n v="2718.25"/>
    <n v="0"/>
    <x v="0"/>
    <s v="OK"/>
  </r>
  <r>
    <s v="IT-10074"/>
    <s v="Pillow block 20-74"/>
    <x v="0"/>
    <x v="0"/>
    <x v="1"/>
    <s v="2025-06"/>
    <n v="14.9"/>
    <n v="14.9"/>
    <n v="14.905637"/>
    <n v="20.75"/>
    <n v="18"/>
    <n v="17"/>
    <n v="202"/>
    <n v="204"/>
    <n v="3040.75"/>
    <n v="33"/>
    <n v="171"/>
    <n v="7.47"/>
    <n v="5"/>
    <n v="146"/>
    <n v="3029.5"/>
    <n v="0"/>
    <x v="0"/>
    <s v="OK"/>
  </r>
  <r>
    <s v="IT-10074"/>
    <s v="Pillow block 20-74"/>
    <x v="0"/>
    <x v="0"/>
    <x v="1"/>
    <s v="2025-07"/>
    <n v="14.99"/>
    <n v="14.99"/>
    <n v="14.953856"/>
    <n v="20.75"/>
    <n v="18"/>
    <n v="16"/>
    <n v="272"/>
    <n v="402"/>
    <n v="6011.45"/>
    <n v="25"/>
    <n v="377"/>
    <n v="15.05"/>
    <n v="3"/>
    <n v="74"/>
    <n v="1535.5"/>
    <n v="0"/>
    <x v="0"/>
    <s v="OK"/>
  </r>
  <r>
    <s v="IT-10074"/>
    <s v="Pillow block 20-74"/>
    <x v="0"/>
    <x v="0"/>
    <x v="1"/>
    <s v="2025-08"/>
    <n v="15.18"/>
    <n v="15.18"/>
    <n v="14.963020999999999"/>
    <n v="20.75"/>
    <n v="18"/>
    <n v="16"/>
    <n v="17"/>
    <n v="331"/>
    <n v="4952.76"/>
    <n v="11"/>
    <n v="320"/>
    <n v="14.12"/>
    <n v="0"/>
    <n v="88"/>
    <n v="1826"/>
    <n v="0"/>
    <x v="0"/>
    <s v="OK"/>
  </r>
  <r>
    <s v="IT-10074"/>
    <s v="Pillow block 20-74"/>
    <x v="0"/>
    <x v="0"/>
    <x v="1"/>
    <s v="2025-09"/>
    <n v="15.17"/>
    <n v="15.17"/>
    <n v="15.018753"/>
    <n v="20.75"/>
    <n v="18"/>
    <n v="16"/>
    <n v="122"/>
    <n v="369"/>
    <n v="5541.92"/>
    <n v="36"/>
    <n v="333"/>
    <n v="19.71"/>
    <n v="3"/>
    <n v="84"/>
    <n v="1743"/>
    <n v="0"/>
    <x v="0"/>
    <s v="OK"/>
  </r>
  <r>
    <s v="IT-10074"/>
    <s v="Pillow block 20-74"/>
    <x v="0"/>
    <x v="0"/>
    <x v="1"/>
    <s v="2025-10"/>
    <n v="15.25"/>
    <n v="15.25"/>
    <n v="15.018769000000001"/>
    <n v="20.75"/>
    <n v="18"/>
    <m/>
    <n v="0"/>
    <n v="260"/>
    <n v="3904.88"/>
    <n v="11"/>
    <n v="249"/>
    <n v="12.16"/>
    <n v="1"/>
    <n v="109"/>
    <n v="2261.75"/>
    <n v="0"/>
    <x v="0"/>
    <s v="OK"/>
  </r>
  <r>
    <s v="IT-10074"/>
    <s v="Pillow block 20-74"/>
    <x v="0"/>
    <x v="0"/>
    <x v="1"/>
    <s v="2025-11"/>
    <n v="14.83"/>
    <n v="14.83"/>
    <n v="14.993579"/>
    <n v="20.75"/>
    <n v="18"/>
    <n v="18"/>
    <n v="40"/>
    <n v="190"/>
    <n v="2848.78"/>
    <n v="15"/>
    <n v="175"/>
    <n v="8.15"/>
    <n v="3"/>
    <n v="110"/>
    <n v="2282.5"/>
    <n v="0"/>
    <x v="0"/>
    <s v="OK"/>
  </r>
  <r>
    <s v="IT-10074"/>
    <s v="Pillow block 20-74"/>
    <x v="0"/>
    <x v="0"/>
    <x v="1"/>
    <s v="2025-12"/>
    <n v="15.27"/>
    <n v="15.27"/>
    <n v="15.122038"/>
    <n v="20.75"/>
    <n v="18"/>
    <n v="26"/>
    <n v="165"/>
    <n v="265"/>
    <n v="4007.34"/>
    <n v="36"/>
    <n v="229"/>
    <n v="11.27"/>
    <n v="9"/>
    <n v="90"/>
    <n v="1867.5"/>
    <n v="0"/>
    <x v="0"/>
    <s v="OK"/>
  </r>
  <r>
    <s v="IT-10074"/>
    <s v="Pillow block 20-74"/>
    <x v="0"/>
    <x v="0"/>
    <x v="1"/>
    <s v="2026-01"/>
    <n v="14.9"/>
    <n v="14.9"/>
    <n v="15.052833"/>
    <n v="20.75"/>
    <n v="18"/>
    <n v="28"/>
    <n v="120"/>
    <n v="240"/>
    <n v="3612.68"/>
    <n v="36"/>
    <n v="204"/>
    <n v="9.14"/>
    <n v="1"/>
    <n v="145"/>
    <n v="3008.75"/>
    <n v="0"/>
    <x v="0"/>
    <s v="OK"/>
  </r>
  <r>
    <s v="IT-10074"/>
    <s v="Pillow block 20-74"/>
    <x v="0"/>
    <x v="0"/>
    <x v="1"/>
    <s v="2026-02"/>
    <n v="15.02"/>
    <n v="15.02"/>
    <n v="15.041195999999999"/>
    <n v="21.35"/>
    <n v="18"/>
    <n v="16"/>
    <n v="132"/>
    <n v="276"/>
    <n v="4151.37"/>
    <n v="18"/>
    <n v="258"/>
    <n v="10.72"/>
    <n v="1"/>
    <n v="96"/>
    <n v="2049.6"/>
    <n v="0"/>
    <x v="0"/>
    <s v="OK"/>
  </r>
  <r>
    <s v="IT-10074"/>
    <s v="Pillow block 20-74"/>
    <x v="0"/>
    <x v="0"/>
    <x v="1"/>
    <s v="2026-03"/>
    <n v="14.86"/>
    <n v="14.86"/>
    <n v="15.014829000000001"/>
    <n v="21.35"/>
    <n v="18"/>
    <n v="31"/>
    <n v="47"/>
    <n v="205"/>
    <n v="3078.04"/>
    <n v="33"/>
    <n v="172"/>
    <n v="7.34"/>
    <n v="4"/>
    <n v="118"/>
    <n v="2519.3000000000002"/>
    <n v="0"/>
    <x v="0"/>
    <s v="OK"/>
  </r>
  <r>
    <s v="IT-10074"/>
    <s v="Pillow block 20-74"/>
    <x v="0"/>
    <x v="0"/>
    <x v="1"/>
    <s v="2026-04"/>
    <n v="15.78"/>
    <n v="15.78"/>
    <n v="15.139766"/>
    <n v="21.35"/>
    <n v="18"/>
    <n v="22"/>
    <n v="40"/>
    <n v="128"/>
    <n v="1937.89"/>
    <n v="7"/>
    <n v="121"/>
    <n v="4.92"/>
    <n v="5"/>
    <n v="117"/>
    <n v="2497.9499999999998"/>
    <n v="0"/>
    <x v="0"/>
    <s v="OK"/>
  </r>
  <r>
    <s v="IT-10074"/>
    <s v="Pillow block 20-74"/>
    <x v="0"/>
    <x v="0"/>
    <x v="1"/>
    <s v="2026-05"/>
    <n v="15.47"/>
    <n v="15.47"/>
    <n v="15.335817"/>
    <n v="21.35"/>
    <n v="18"/>
    <n v="17"/>
    <n v="187"/>
    <n v="251"/>
    <n v="3849.29"/>
    <n v="11"/>
    <n v="240"/>
    <n v="11.03"/>
    <n v="1"/>
    <n v="64"/>
    <n v="1366.4"/>
    <n v="0"/>
    <x v="0"/>
    <s v="OK"/>
  </r>
  <r>
    <s v="IT-10074"/>
    <s v="Pillow block 20-74"/>
    <x v="0"/>
    <x v="0"/>
    <x v="1"/>
    <s v="2026-06"/>
    <n v="15.49"/>
    <n v="15.49"/>
    <n v="15.391268999999999"/>
    <n v="21.35"/>
    <n v="18"/>
    <n v="16"/>
    <n v="141"/>
    <n v="260"/>
    <n v="4001.73"/>
    <n v="29"/>
    <n v="231"/>
    <n v="10.8"/>
    <n v="1"/>
    <n v="132"/>
    <n v="2818.2"/>
    <n v="0"/>
    <x v="0"/>
    <s v="OK"/>
  </r>
  <r>
    <s v="IT-10074"/>
    <s v="Pillow block 20-74"/>
    <x v="0"/>
    <x v="0"/>
    <x v="1"/>
    <s v="2026-07"/>
    <n v="15.43"/>
    <n v="15.43"/>
    <n v="15.399673999999999"/>
    <n v="21.35"/>
    <n v="18"/>
    <n v="17"/>
    <n v="72"/>
    <n v="184"/>
    <n v="2833.54"/>
    <n v="29"/>
    <n v="155"/>
    <n v="7.03"/>
    <n v="1"/>
    <n v="148"/>
    <n v="3159.8"/>
    <n v="0"/>
    <x v="0"/>
    <s v="OK"/>
  </r>
  <r>
    <s v="IT-10074"/>
    <s v="Pillow block 20-74"/>
    <x v="0"/>
    <x v="0"/>
    <x v="1"/>
    <s v="2026-08"/>
    <n v="15.38"/>
    <n v="15.38"/>
    <n v="15.388375999999999"/>
    <n v="21.35"/>
    <n v="18"/>
    <n v="17"/>
    <n v="249"/>
    <n v="314"/>
    <n v="4831.95"/>
    <n v="33"/>
    <n v="281"/>
    <n v="10.34"/>
    <n v="0"/>
    <n v="119"/>
    <n v="2540.65"/>
    <n v="0"/>
    <x v="0"/>
    <s v="OK"/>
  </r>
  <r>
    <s v="IT-10075"/>
    <s v="Roller bearing 20-75"/>
    <x v="0"/>
    <x v="0"/>
    <x v="0"/>
    <s v="2024-09"/>
    <n v="229.94"/>
    <n v="229.94"/>
    <n v="233.419524"/>
    <n v="312.7"/>
    <n v="20"/>
    <n v="19"/>
    <n v="22"/>
    <n v="21"/>
    <n v="4901.8100000000004"/>
    <n v="4"/>
    <n v="17"/>
    <n v="5.52"/>
    <n v="4"/>
    <n v="23"/>
    <n v="7192.1"/>
    <n v="0"/>
    <x v="0"/>
    <s v="OK"/>
  </r>
  <r>
    <s v="IT-10075"/>
    <s v="Roller bearing 20-75"/>
    <x v="0"/>
    <x v="0"/>
    <x v="0"/>
    <s v="2024-10"/>
    <n v="229.15"/>
    <n v="229.15"/>
    <n v="230.28491199999999"/>
    <n v="312.7"/>
    <n v="20"/>
    <n v="19"/>
    <n v="58"/>
    <n v="57"/>
    <n v="13126.24"/>
    <n v="6"/>
    <n v="51"/>
    <n v="11.35"/>
    <n v="7"/>
    <n v="22"/>
    <n v="6879.4"/>
    <n v="0"/>
    <x v="0"/>
    <s v="OK"/>
  </r>
  <r>
    <s v="IT-10075"/>
    <s v="Roller bearing 20-75"/>
    <x v="0"/>
    <x v="0"/>
    <x v="0"/>
    <s v="2024-11"/>
    <n v="235.14"/>
    <n v="235.14"/>
    <n v="230.284828"/>
    <n v="312.7"/>
    <n v="20"/>
    <m/>
    <n v="0"/>
    <n v="29"/>
    <n v="6678.26"/>
    <n v="6"/>
    <n v="23"/>
    <n v="5.16"/>
    <n v="7"/>
    <n v="28"/>
    <n v="8755.6"/>
    <n v="0"/>
    <x v="0"/>
    <s v="OK"/>
  </r>
  <r>
    <s v="IT-10075"/>
    <s v="Roller bearing 20-75"/>
    <x v="0"/>
    <x v="0"/>
    <x v="0"/>
    <s v="2024-12"/>
    <n v="237.22"/>
    <n v="237.22"/>
    <n v="234.12589299999999"/>
    <n v="312.7"/>
    <n v="20"/>
    <n v="17"/>
    <n v="36"/>
    <n v="56"/>
    <n v="13111.05"/>
    <n v="2"/>
    <n v="54"/>
    <n v="12.47"/>
    <n v="9"/>
    <n v="9"/>
    <n v="2814.3"/>
    <n v="0"/>
    <x v="0"/>
    <s v="OK"/>
  </r>
  <r>
    <s v="IT-10075"/>
    <s v="Roller bearing 20-75"/>
    <x v="0"/>
    <x v="0"/>
    <x v="0"/>
    <s v="2025-01"/>
    <n v="235.65"/>
    <n v="235.65"/>
    <n v="234.12586999999999"/>
    <n v="312.7"/>
    <n v="20"/>
    <m/>
    <n v="0"/>
    <n v="46"/>
    <n v="10769.79"/>
    <n v="4"/>
    <n v="42"/>
    <n v="12.86"/>
    <n v="2"/>
    <n v="10"/>
    <n v="3127"/>
    <n v="0"/>
    <x v="0"/>
    <s v="OK"/>
  </r>
  <r>
    <s v="IT-10075"/>
    <s v="Roller bearing 20-75"/>
    <x v="0"/>
    <x v="0"/>
    <x v="0"/>
    <s v="2025-02"/>
    <n v="236.93"/>
    <n v="236.93"/>
    <n v="234.6266"/>
    <n v="329.77"/>
    <n v="20"/>
    <n v="18"/>
    <n v="10"/>
    <n v="50"/>
    <n v="11731.33"/>
    <n v="2"/>
    <n v="48"/>
    <n v="25.71"/>
    <n v="5"/>
    <n v="6"/>
    <n v="1978.62"/>
    <n v="0"/>
    <x v="0"/>
    <s v="OK"/>
  </r>
  <r>
    <s v="IT-10075"/>
    <s v="Roller bearing 20-75"/>
    <x v="0"/>
    <x v="0"/>
    <x v="0"/>
    <s v="2025-03"/>
    <n v="235.46"/>
    <n v="235.46"/>
    <n v="234.765556"/>
    <n v="329.77"/>
    <n v="20"/>
    <n v="25"/>
    <n v="10"/>
    <n v="36"/>
    <n v="8451.56"/>
    <n v="3"/>
    <n v="33"/>
    <n v="11.57"/>
    <n v="2"/>
    <n v="24"/>
    <n v="7914.48"/>
    <n v="0"/>
    <x v="0"/>
    <s v="OK"/>
  </r>
  <r>
    <s v="IT-10075"/>
    <s v="Roller bearing 20-75"/>
    <x v="0"/>
    <x v="0"/>
    <x v="0"/>
    <s v="2025-04"/>
    <n v="244.06"/>
    <n v="244.06"/>
    <n v="234.76541700000001"/>
    <n v="329.77"/>
    <n v="20"/>
    <m/>
    <n v="0"/>
    <n v="24"/>
    <n v="5634.37"/>
    <n v="5"/>
    <n v="19"/>
    <n v="7.27"/>
    <n v="2"/>
    <n v="12"/>
    <n v="3957.24"/>
    <n v="0"/>
    <x v="0"/>
    <s v="OK"/>
  </r>
  <r>
    <s v="IT-10075"/>
    <s v="Roller bearing 20-75"/>
    <x v="0"/>
    <x v="0"/>
    <x v="0"/>
    <s v="2025-05"/>
    <n v="238.06"/>
    <n v="238.06"/>
    <n v="236.86189200000001"/>
    <n v="329.77"/>
    <n v="20"/>
    <n v="19"/>
    <n v="42"/>
    <n v="37"/>
    <n v="8763.89"/>
    <n v="6"/>
    <n v="31"/>
    <n v="7.48"/>
    <n v="1"/>
    <n v="29"/>
    <n v="9563.33"/>
    <n v="0"/>
    <x v="0"/>
    <s v="OK"/>
  </r>
  <r>
    <s v="IT-10075"/>
    <s v="Roller bearing 20-75"/>
    <x v="0"/>
    <x v="0"/>
    <x v="0"/>
    <s v="2025-06"/>
    <n v="239.58"/>
    <n v="239.58"/>
    <n v="237.75153800000001"/>
    <n v="329.77"/>
    <n v="20"/>
    <n v="19"/>
    <n v="18"/>
    <n v="39"/>
    <n v="9272.31"/>
    <n v="1"/>
    <n v="38"/>
    <n v="8.89"/>
    <n v="6"/>
    <n v="16"/>
    <n v="5276.32"/>
    <n v="0"/>
    <x v="0"/>
    <s v="OK"/>
  </r>
  <r>
    <s v="IT-10075"/>
    <s v="Roller bearing 20-75"/>
    <x v="0"/>
    <x v="0"/>
    <x v="0"/>
    <s v="2025-07"/>
    <n v="239.02"/>
    <n v="239.02"/>
    <n v="238.0104"/>
    <n v="329.77"/>
    <n v="20"/>
    <n v="25"/>
    <n v="10"/>
    <n v="25"/>
    <n v="5950.26"/>
    <n v="2"/>
    <n v="23"/>
    <n v="4.76"/>
    <n v="8"/>
    <n v="24"/>
    <n v="7914.48"/>
    <n v="0"/>
    <x v="0"/>
    <s v="OK"/>
  </r>
  <r>
    <s v="IT-10075"/>
    <s v="Roller bearing 20-75"/>
    <x v="0"/>
    <x v="0"/>
    <x v="0"/>
    <s v="2025-08"/>
    <n v="238.31"/>
    <n v="238.31"/>
    <n v="238.166"/>
    <n v="329.77"/>
    <n v="20"/>
    <n v="18"/>
    <n v="27"/>
    <n v="30"/>
    <n v="7144.98"/>
    <n v="2"/>
    <n v="28"/>
    <n v="6.36"/>
    <n v="5"/>
    <n v="22"/>
    <n v="7254.94"/>
    <n v="0"/>
    <x v="0"/>
    <s v="OK"/>
  </r>
  <r>
    <s v="IT-10075"/>
    <s v="Roller bearing 20-75"/>
    <x v="0"/>
    <x v="0"/>
    <x v="0"/>
    <s v="2025-09"/>
    <n v="239.77"/>
    <n v="239.77"/>
    <n v="238.72399999999999"/>
    <n v="329.77"/>
    <n v="20"/>
    <n v="17"/>
    <n v="16"/>
    <n v="35"/>
    <n v="8355.34"/>
    <n v="2"/>
    <n v="33"/>
    <n v="8.07"/>
    <n v="3"/>
    <n v="11"/>
    <n v="3627.47"/>
    <n v="0"/>
    <x v="0"/>
    <s v="OK"/>
  </r>
  <r>
    <s v="IT-10075"/>
    <s v="Roller bearing 20-75"/>
    <x v="0"/>
    <x v="0"/>
    <x v="0"/>
    <s v="2025-10"/>
    <n v="241.34"/>
    <n v="241.34"/>
    <n v="239.305172"/>
    <n v="329.77"/>
    <n v="20"/>
    <n v="19"/>
    <n v="10"/>
    <n v="29"/>
    <n v="6939.85"/>
    <n v="5"/>
    <n v="24"/>
    <n v="7.78"/>
    <n v="12"/>
    <n v="16"/>
    <n v="5276.32"/>
    <n v="0"/>
    <x v="0"/>
    <s v="OK"/>
  </r>
  <r>
    <s v="IT-10075"/>
    <s v="Roller bearing 20-75"/>
    <x v="0"/>
    <x v="0"/>
    <x v="0"/>
    <s v="2025-11"/>
    <n v="242.88"/>
    <n v="242.88"/>
    <n v="239.30500000000001"/>
    <n v="329.77"/>
    <n v="20"/>
    <m/>
    <n v="0"/>
    <n v="12"/>
    <n v="2871.66"/>
    <n v="4"/>
    <n v="8"/>
    <n v="3.55"/>
    <n v="8"/>
    <n v="17"/>
    <n v="5606.09"/>
    <n v="0"/>
    <x v="0"/>
    <s v="OK"/>
  </r>
  <r>
    <s v="IT-10075"/>
    <s v="Roller bearing 20-75"/>
    <x v="0"/>
    <x v="0"/>
    <x v="0"/>
    <s v="2025-12"/>
    <n v="243.2"/>
    <n v="243.2"/>
    <n v="242.38"/>
    <n v="329.77"/>
    <n v="20"/>
    <n v="17"/>
    <n v="45"/>
    <n v="38"/>
    <n v="9210.44"/>
    <n v="6"/>
    <n v="32"/>
    <n v="9.6"/>
    <n v="3"/>
    <n v="19"/>
    <n v="6265.63"/>
    <n v="0"/>
    <x v="0"/>
    <s v="OK"/>
  </r>
  <r>
    <s v="IT-10075"/>
    <s v="Roller bearing 20-75"/>
    <x v="0"/>
    <x v="0"/>
    <x v="0"/>
    <s v="2026-01"/>
    <n v="237.44"/>
    <n v="237.44"/>
    <n v="241.05"/>
    <n v="329.77"/>
    <n v="20"/>
    <n v="19"/>
    <n v="14"/>
    <n v="30"/>
    <n v="7231.5"/>
    <n v="2"/>
    <n v="28"/>
    <n v="6.8"/>
    <n v="3"/>
    <n v="22"/>
    <n v="7254.94"/>
    <n v="0"/>
    <x v="0"/>
    <s v="OK"/>
  </r>
  <r>
    <s v="IT-10075"/>
    <s v="Roller bearing 20-75"/>
    <x v="0"/>
    <x v="0"/>
    <x v="0"/>
    <s v="2026-02"/>
    <n v="242.21"/>
    <n v="242.21"/>
    <n v="241.34"/>
    <n v="347.77"/>
    <n v="20"/>
    <n v="19"/>
    <n v="10"/>
    <n v="29"/>
    <n v="6998.86"/>
    <n v="1"/>
    <n v="28"/>
    <n v="7.17"/>
    <n v="12"/>
    <n v="11"/>
    <n v="3825.47"/>
    <n v="0"/>
    <x v="0"/>
    <s v="OK"/>
  </r>
  <r>
    <s v="IT-10075"/>
    <s v="Roller bearing 20-75"/>
    <x v="0"/>
    <x v="0"/>
    <x v="0"/>
    <s v="2026-03"/>
    <n v="238.73"/>
    <n v="238.73"/>
    <n v="241.34"/>
    <n v="347.77"/>
    <n v="20"/>
    <m/>
    <n v="0"/>
    <n v="18"/>
    <n v="4344.12"/>
    <n v="5"/>
    <n v="13"/>
    <n v="5.26"/>
    <n v="10"/>
    <n v="11"/>
    <n v="3825.47"/>
    <n v="0"/>
    <x v="0"/>
    <s v="OK"/>
  </r>
  <r>
    <s v="IT-10075"/>
    <s v="Roller bearing 20-75"/>
    <x v="0"/>
    <x v="0"/>
    <x v="0"/>
    <s v="2026-04"/>
    <n v="246.36"/>
    <n v="246.36"/>
    <n v="244.62227300000001"/>
    <n v="347.77"/>
    <n v="20"/>
    <n v="19"/>
    <n v="34"/>
    <n v="44"/>
    <n v="10763.38"/>
    <n v="3"/>
    <n v="41"/>
    <n v="18.649999999999999"/>
    <n v="17"/>
    <n v="8"/>
    <n v="2782.16"/>
    <n v="0"/>
    <x v="0"/>
    <s v="OK"/>
  </r>
  <r>
    <s v="IT-10075"/>
    <s v="Roller bearing 20-75"/>
    <x v="0"/>
    <x v="0"/>
    <x v="0"/>
    <s v="2026-05"/>
    <n v="242.89"/>
    <n v="242.89"/>
    <n v="244.622083"/>
    <n v="347.77"/>
    <n v="20"/>
    <m/>
    <n v="0"/>
    <n v="24"/>
    <n v="5870.93"/>
    <n v="2"/>
    <n v="22"/>
    <n v="8.09"/>
    <n v="4"/>
    <n v="20"/>
    <n v="6955.4"/>
    <n v="0"/>
    <x v="0"/>
    <s v="OK"/>
  </r>
  <r>
    <s v="IT-10075"/>
    <s v="Roller bearing 20-75"/>
    <x v="0"/>
    <x v="0"/>
    <x v="0"/>
    <s v="2026-06"/>
    <n v="242.89"/>
    <n v="242.89"/>
    <n v="243.59450000000001"/>
    <n v="347.77"/>
    <n v="20"/>
    <n v="18"/>
    <n v="35"/>
    <n v="40"/>
    <n v="9743.7800000000007"/>
    <n v="5"/>
    <n v="35"/>
    <n v="11.06"/>
    <n v="2"/>
    <n v="19"/>
    <n v="6607.63"/>
    <n v="0"/>
    <x v="0"/>
    <s v="OK"/>
  </r>
  <r>
    <s v="IT-10075"/>
    <s v="Roller bearing 20-75"/>
    <x v="0"/>
    <x v="0"/>
    <x v="0"/>
    <s v="2026-07"/>
    <n v="243.71"/>
    <n v="243.71"/>
    <n v="243.62285700000001"/>
    <n v="347.77"/>
    <n v="20"/>
    <n v="19"/>
    <n v="13"/>
    <n v="35"/>
    <n v="8526.7999999999993"/>
    <n v="4"/>
    <n v="31"/>
    <n v="8.07"/>
    <n v="18"/>
    <n v="18"/>
    <n v="6259.86"/>
    <n v="0"/>
    <x v="0"/>
    <s v="OK"/>
  </r>
  <r>
    <s v="IT-10075"/>
    <s v="Roller bearing 20-75"/>
    <x v="0"/>
    <x v="0"/>
    <x v="0"/>
    <s v="2026-08"/>
    <n v="251.91"/>
    <n v="251.91"/>
    <n v="243.62307699999999"/>
    <n v="347.77"/>
    <n v="20"/>
    <m/>
    <n v="0"/>
    <n v="13"/>
    <n v="3167.1"/>
    <n v="1"/>
    <n v="12"/>
    <n v="2.9"/>
    <n v="18"/>
    <n v="22"/>
    <n v="7650.94"/>
    <n v="0"/>
    <x v="0"/>
    <s v="OK"/>
  </r>
  <r>
    <s v="IT-10076"/>
    <s v="Gear set 20-76"/>
    <x v="4"/>
    <x v="4"/>
    <x v="1"/>
    <s v="2024-09"/>
    <n v="88.05"/>
    <n v="88.05"/>
    <n v="87.949883999999997"/>
    <n v="116.7"/>
    <n v="39"/>
    <n v="39"/>
    <n v="42"/>
    <n v="86"/>
    <n v="7563.69"/>
    <n v="10"/>
    <n v="76"/>
    <n v="7.85"/>
    <n v="0"/>
    <n v="20"/>
    <n v="2334"/>
    <n v="0"/>
    <x v="0"/>
    <s v="OK"/>
  </r>
  <r>
    <s v="IT-10076"/>
    <s v="Gear set 20-76"/>
    <x v="4"/>
    <x v="4"/>
    <x v="1"/>
    <s v="2024-10"/>
    <n v="93.28"/>
    <n v="93.28"/>
    <n v="90.733407"/>
    <n v="116.7"/>
    <n v="39"/>
    <n v="36"/>
    <n v="94"/>
    <n v="135"/>
    <n v="12249.01"/>
    <n v="8"/>
    <n v="127"/>
    <n v="14.43"/>
    <n v="2"/>
    <n v="45"/>
    <n v="5251.5"/>
    <n v="0"/>
    <x v="0"/>
    <s v="OK"/>
  </r>
  <r>
    <s v="IT-10076"/>
    <s v="Gear set 20-76"/>
    <x v="4"/>
    <x v="4"/>
    <x v="1"/>
    <s v="2024-11"/>
    <n v="92.35"/>
    <n v="92.35"/>
    <n v="91.116983000000005"/>
    <n v="116.7"/>
    <n v="39"/>
    <n v="39"/>
    <n v="42"/>
    <n v="116"/>
    <n v="10569.57"/>
    <n v="8"/>
    <n v="108"/>
    <n v="11.97"/>
    <n v="2"/>
    <n v="61"/>
    <n v="7118.7"/>
    <n v="0"/>
    <x v="0"/>
    <s v="OK"/>
  </r>
  <r>
    <s v="IT-10076"/>
    <s v="Gear set 20-76"/>
    <x v="4"/>
    <x v="4"/>
    <x v="1"/>
    <s v="2024-12"/>
    <n v="90.52"/>
    <n v="90.52"/>
    <n v="91.116940999999997"/>
    <n v="116.7"/>
    <n v="39"/>
    <m/>
    <n v="0"/>
    <n v="85"/>
    <n v="7744.94"/>
    <n v="10"/>
    <n v="75"/>
    <n v="8.15"/>
    <n v="7"/>
    <n v="31"/>
    <n v="3617.7"/>
    <n v="0"/>
    <x v="0"/>
    <s v="OK"/>
  </r>
  <r>
    <s v="IT-10076"/>
    <s v="Gear set 20-76"/>
    <x v="4"/>
    <x v="4"/>
    <x v="1"/>
    <s v="2025-01"/>
    <n v="91.1"/>
    <n v="91.1"/>
    <n v="91.111340999999996"/>
    <n v="116.7"/>
    <n v="39"/>
    <n v="36"/>
    <n v="42"/>
    <n v="82"/>
    <n v="7471.13"/>
    <n v="6"/>
    <n v="76"/>
    <n v="7.87"/>
    <n v="4"/>
    <n v="45"/>
    <n v="5251.5"/>
    <n v="0"/>
    <x v="0"/>
    <s v="OK"/>
  </r>
  <r>
    <s v="IT-10076"/>
    <s v="Gear set 20-76"/>
    <x v="4"/>
    <x v="4"/>
    <x v="1"/>
    <s v="2025-02"/>
    <n v="92.79"/>
    <n v="92.79"/>
    <n v="91.777917000000002"/>
    <n v="120.75"/>
    <n v="39"/>
    <n v="38"/>
    <n v="54"/>
    <n v="96"/>
    <n v="8810.68"/>
    <n v="4"/>
    <n v="92"/>
    <n v="10.64"/>
    <n v="10"/>
    <n v="40"/>
    <n v="4830"/>
    <n v="0"/>
    <x v="0"/>
    <s v="OK"/>
  </r>
  <r>
    <s v="IT-10076"/>
    <s v="Gear set 20-76"/>
    <x v="4"/>
    <x v="4"/>
    <x v="1"/>
    <s v="2025-03"/>
    <n v="92.41"/>
    <n v="92.41"/>
    <n v="92.085487999999998"/>
    <n v="120.75"/>
    <n v="39"/>
    <n v="35"/>
    <n v="91"/>
    <n v="164"/>
    <n v="15102.02"/>
    <n v="11"/>
    <n v="153"/>
    <n v="19.52"/>
    <n v="8"/>
    <n v="23"/>
    <n v="2777.25"/>
    <n v="0"/>
    <x v="0"/>
    <s v="OK"/>
  </r>
  <r>
    <s v="IT-10076"/>
    <s v="Gear set 20-76"/>
    <x v="4"/>
    <x v="4"/>
    <x v="1"/>
    <s v="2025-04"/>
    <n v="91.59"/>
    <n v="91.59"/>
    <n v="91.984493000000001"/>
    <n v="120.75"/>
    <n v="39"/>
    <n v="36"/>
    <n v="42"/>
    <n v="138"/>
    <n v="12693.86"/>
    <n v="8"/>
    <n v="130"/>
    <n v="13.39"/>
    <n v="0"/>
    <n v="68"/>
    <n v="8211"/>
    <n v="0"/>
    <x v="0"/>
    <s v="OK"/>
  </r>
  <r>
    <s v="IT-10076"/>
    <s v="Gear set 20-76"/>
    <x v="4"/>
    <x v="4"/>
    <x v="1"/>
    <s v="2025-05"/>
    <n v="90.64"/>
    <n v="90.64"/>
    <n v="91.984536000000006"/>
    <n v="120.75"/>
    <n v="39"/>
    <m/>
    <n v="0"/>
    <n v="97"/>
    <n v="8922.5"/>
    <n v="11"/>
    <n v="86"/>
    <n v="9.66"/>
    <n v="0"/>
    <n v="41"/>
    <n v="4950.75"/>
    <n v="0"/>
    <x v="0"/>
    <s v="OK"/>
  </r>
  <r>
    <s v="IT-10076"/>
    <s v="Gear set 20-76"/>
    <x v="4"/>
    <x v="4"/>
    <x v="1"/>
    <s v="2025-06"/>
    <n v="91.73"/>
    <n v="91.73"/>
    <n v="91.984515999999999"/>
    <n v="120.75"/>
    <n v="39"/>
    <m/>
    <n v="0"/>
    <n v="62"/>
    <n v="5703.04"/>
    <n v="13"/>
    <n v="49"/>
    <n v="5.6"/>
    <n v="1"/>
    <n v="35"/>
    <n v="4226.25"/>
    <n v="0"/>
    <x v="0"/>
    <s v="OK"/>
  </r>
  <r>
    <s v="IT-10076"/>
    <s v="Gear set 20-76"/>
    <x v="4"/>
    <x v="4"/>
    <x v="1"/>
    <s v="2025-07"/>
    <n v="92.27"/>
    <n v="92.27"/>
    <n v="92.099783000000002"/>
    <n v="120.75"/>
    <n v="39"/>
    <n v="63"/>
    <n v="42"/>
    <n v="46"/>
    <n v="4236.59"/>
    <n v="3"/>
    <n v="43"/>
    <n v="4.51"/>
    <n v="9"/>
    <n v="58"/>
    <n v="7003.5"/>
    <n v="0"/>
    <x v="0"/>
    <s v="OK"/>
  </r>
  <r>
    <s v="IT-10076"/>
    <s v="Gear set 20-76"/>
    <x v="4"/>
    <x v="4"/>
    <x v="1"/>
    <s v="2025-08"/>
    <n v="91.24"/>
    <n v="91.24"/>
    <n v="91.491868999999994"/>
    <n v="120.75"/>
    <n v="39"/>
    <n v="36"/>
    <n v="111"/>
    <n v="107"/>
    <n v="9789.6299999999992"/>
    <n v="11"/>
    <n v="96"/>
    <n v="9.83"/>
    <n v="3"/>
    <n v="50"/>
    <n v="6037.5"/>
    <n v="0"/>
    <x v="0"/>
    <s v="OK"/>
  </r>
  <r>
    <s v="IT-10076"/>
    <s v="Gear set 20-76"/>
    <x v="4"/>
    <x v="4"/>
    <x v="1"/>
    <s v="2025-09"/>
    <n v="92.83"/>
    <n v="92.83"/>
    <n v="91.869043000000005"/>
    <n v="120.75"/>
    <n v="39"/>
    <n v="35"/>
    <n v="42"/>
    <n v="94"/>
    <n v="8635.69"/>
    <n v="13"/>
    <n v="81"/>
    <n v="7.58"/>
    <n v="0"/>
    <n v="55"/>
    <n v="6641.25"/>
    <n v="0"/>
    <x v="0"/>
    <s v="OK"/>
  </r>
  <r>
    <s v="IT-10076"/>
    <s v="Gear set 20-76"/>
    <x v="4"/>
    <x v="4"/>
    <x v="1"/>
    <s v="2025-10"/>
    <n v="98.69"/>
    <n v="98.69"/>
    <n v="95.333071000000004"/>
    <n v="120.75"/>
    <n v="39"/>
    <n v="35"/>
    <n v="97"/>
    <n v="140"/>
    <n v="13346.63"/>
    <n v="10"/>
    <n v="130"/>
    <n v="11.79"/>
    <n v="3"/>
    <n v="51"/>
    <n v="6158.25"/>
    <n v="0"/>
    <x v="0"/>
    <s v="OK"/>
  </r>
  <r>
    <s v="IT-10076"/>
    <s v="Gear set 20-76"/>
    <x v="4"/>
    <x v="4"/>
    <x v="1"/>
    <s v="2025-11"/>
    <n v="95.89"/>
    <n v="95.89"/>
    <n v="95.333108999999993"/>
    <n v="120.75"/>
    <n v="39"/>
    <m/>
    <n v="0"/>
    <n v="119"/>
    <n v="11344.64"/>
    <n v="13"/>
    <n v="106"/>
    <n v="12.18"/>
    <n v="4"/>
    <n v="21"/>
    <n v="2535.75"/>
    <n v="0"/>
    <x v="0"/>
    <s v="OK"/>
  </r>
  <r>
    <s v="IT-10076"/>
    <s v="Gear set 20-76"/>
    <x v="4"/>
    <x v="4"/>
    <x v="1"/>
    <s v="2025-12"/>
    <n v="97.4"/>
    <n v="97.4"/>
    <n v="95.872236999999998"/>
    <n v="120.75"/>
    <n v="39"/>
    <n v="34"/>
    <n v="42"/>
    <n v="76"/>
    <n v="7286.29"/>
    <n v="14"/>
    <n v="62"/>
    <n v="6.36"/>
    <n v="0"/>
    <n v="85"/>
    <n v="10263.75"/>
    <n v="0"/>
    <x v="0"/>
    <s v="OK"/>
  </r>
  <r>
    <s v="IT-10076"/>
    <s v="Gear set 20-76"/>
    <x v="4"/>
    <x v="4"/>
    <x v="1"/>
    <s v="2026-01"/>
    <n v="98.82"/>
    <n v="98.82"/>
    <n v="96.921391999999997"/>
    <n v="120.75"/>
    <n v="39"/>
    <n v="38"/>
    <n v="42"/>
    <n v="79"/>
    <n v="7656.79"/>
    <n v="3"/>
    <n v="76"/>
    <n v="7.16"/>
    <n v="4"/>
    <n v="39"/>
    <n v="4709.25"/>
    <n v="0"/>
    <x v="0"/>
    <s v="OK"/>
  </r>
  <r>
    <s v="IT-10076"/>
    <s v="Gear set 20-76"/>
    <x v="4"/>
    <x v="4"/>
    <x v="1"/>
    <s v="2026-02"/>
    <n v="99.24"/>
    <n v="99.24"/>
    <n v="97.726207000000002"/>
    <n v="124.94"/>
    <n v="39"/>
    <n v="36"/>
    <n v="42"/>
    <n v="87"/>
    <n v="8502.18"/>
    <n v="14"/>
    <n v="73"/>
    <n v="7.08"/>
    <n v="1"/>
    <n v="34"/>
    <n v="4247.96"/>
    <n v="0"/>
    <x v="0"/>
    <s v="OK"/>
  </r>
  <r>
    <s v="IT-10076"/>
    <s v="Gear set 20-76"/>
    <x v="4"/>
    <x v="4"/>
    <x v="1"/>
    <s v="2026-03"/>
    <n v="97.06"/>
    <n v="97.06"/>
    <n v="97.726249999999993"/>
    <n v="124.94"/>
    <n v="39"/>
    <m/>
    <n v="0"/>
    <n v="32"/>
    <n v="3127.24"/>
    <n v="13"/>
    <n v="19"/>
    <n v="3.21"/>
    <n v="1"/>
    <n v="55"/>
    <n v="6871.7"/>
    <n v="0"/>
    <x v="0"/>
    <s v="OK"/>
  </r>
  <r>
    <s v="IT-10076"/>
    <s v="Gear set 20-76"/>
    <x v="4"/>
    <x v="4"/>
    <x v="1"/>
    <s v="2026-04"/>
    <n v="98.05"/>
    <n v="98.05"/>
    <n v="97.988"/>
    <n v="124.94"/>
    <n v="39"/>
    <n v="36"/>
    <n v="135"/>
    <n v="130"/>
    <n v="12738.44"/>
    <n v="8"/>
    <n v="122"/>
    <n v="13.12"/>
    <n v="0"/>
    <n v="37"/>
    <n v="4622.78"/>
    <n v="0"/>
    <x v="0"/>
    <s v="OK"/>
  </r>
  <r>
    <s v="IT-10076"/>
    <s v="Gear set 20-76"/>
    <x v="4"/>
    <x v="4"/>
    <x v="1"/>
    <s v="2026-05"/>
    <n v="98.74"/>
    <n v="98.74"/>
    <n v="98.171640999999994"/>
    <n v="124.94"/>
    <n v="39"/>
    <n v="38"/>
    <n v="42"/>
    <n v="128"/>
    <n v="12565.97"/>
    <n v="10"/>
    <n v="118"/>
    <n v="12.37"/>
    <n v="0"/>
    <n v="44"/>
    <n v="5497.36"/>
    <n v="0"/>
    <x v="0"/>
    <s v="OK"/>
  </r>
  <r>
    <s v="IT-10076"/>
    <s v="Gear set 20-76"/>
    <x v="4"/>
    <x v="4"/>
    <x v="1"/>
    <s v="2026-06"/>
    <n v="96.99"/>
    <n v="96.99"/>
    <n v="97.874474000000006"/>
    <n v="124.94"/>
    <n v="39"/>
    <n v="35"/>
    <n v="43"/>
    <n v="152"/>
    <n v="14876.92"/>
    <n v="4"/>
    <n v="148"/>
    <n v="19.760000000000002"/>
    <n v="5"/>
    <n v="19"/>
    <n v="2373.86"/>
    <n v="0"/>
    <x v="0"/>
    <s v="OK"/>
  </r>
  <r>
    <s v="IT-10076"/>
    <s v="Gear set 20-76"/>
    <x v="4"/>
    <x v="4"/>
    <x v="1"/>
    <s v="2026-07"/>
    <n v="97.5"/>
    <n v="97.5"/>
    <n v="97.793383000000006"/>
    <n v="124.94"/>
    <n v="39"/>
    <n v="37"/>
    <n v="42"/>
    <n v="133"/>
    <n v="13006.52"/>
    <n v="7"/>
    <n v="126"/>
    <n v="14.1"/>
    <n v="0"/>
    <n v="61"/>
    <n v="7621.34"/>
    <n v="0"/>
    <x v="0"/>
    <s v="OK"/>
  </r>
  <r>
    <s v="IT-10076"/>
    <s v="Gear set 20-76"/>
    <x v="4"/>
    <x v="4"/>
    <x v="1"/>
    <s v="2026-08"/>
    <n v="98.21"/>
    <n v="98.21"/>
    <n v="97.793363999999997"/>
    <n v="124.94"/>
    <n v="39"/>
    <m/>
    <n v="0"/>
    <n v="107"/>
    <n v="10463.89"/>
    <n v="10"/>
    <n v="97"/>
    <n v="13.27"/>
    <n v="13"/>
    <n v="26"/>
    <n v="3248.44"/>
    <n v="0"/>
    <x v="0"/>
    <s v="OK"/>
  </r>
  <r>
    <s v="IT-10077"/>
    <s v="Coupling M-77"/>
    <x v="4"/>
    <x v="4"/>
    <x v="1"/>
    <s v="2024-09"/>
    <n v="48.23"/>
    <n v="48.23"/>
    <n v="47.485970999999999"/>
    <n v="70.12"/>
    <n v="31"/>
    <n v="30"/>
    <n v="122"/>
    <n v="278"/>
    <n v="13201.1"/>
    <n v="28"/>
    <n v="250"/>
    <n v="7.93"/>
    <n v="1"/>
    <n v="187"/>
    <n v="13112.44"/>
    <n v="0"/>
    <x v="0"/>
    <s v="OK"/>
  </r>
  <r>
    <s v="IT-10077"/>
    <s v="Coupling M-77"/>
    <x v="4"/>
    <x v="4"/>
    <x v="1"/>
    <s v="2024-10"/>
    <n v="49.67"/>
    <n v="49.67"/>
    <n v="47.997388999999998"/>
    <n v="70.12"/>
    <n v="31"/>
    <n v="29"/>
    <n v="85"/>
    <n v="180"/>
    <n v="8639.5300000000007"/>
    <n v="49"/>
    <n v="131"/>
    <n v="3.99"/>
    <n v="0"/>
    <n v="183"/>
    <n v="12831.96"/>
    <n v="0"/>
    <x v="0"/>
    <s v="OK"/>
  </r>
  <r>
    <s v="IT-10077"/>
    <s v="Coupling M-77"/>
    <x v="4"/>
    <x v="4"/>
    <x v="1"/>
    <s v="2024-11"/>
    <n v="51.11"/>
    <n v="51.11"/>
    <n v="49.518352"/>
    <n v="70.12"/>
    <n v="31"/>
    <n v="28"/>
    <n v="172"/>
    <n v="91"/>
    <n v="4506.17"/>
    <n v="56"/>
    <n v="35"/>
    <n v="1.87"/>
    <n v="0"/>
    <n v="261"/>
    <n v="18301.32"/>
    <n v="0"/>
    <x v="0"/>
    <s v="OK"/>
  </r>
  <r>
    <s v="IT-10077"/>
    <s v="Coupling M-77"/>
    <x v="4"/>
    <x v="4"/>
    <x v="1"/>
    <s v="2024-12"/>
    <n v="50.32"/>
    <n v="50.32"/>
    <n v="50.191561"/>
    <n v="70.12"/>
    <n v="31"/>
    <n v="28"/>
    <n v="477"/>
    <n v="378"/>
    <n v="18972.41"/>
    <n v="63"/>
    <n v="315"/>
    <n v="7.84"/>
    <n v="0"/>
    <n v="190"/>
    <n v="13322.8"/>
    <n v="0"/>
    <x v="0"/>
    <s v="OK"/>
  </r>
  <r>
    <s v="IT-10077"/>
    <s v="Coupling M-77"/>
    <x v="4"/>
    <x v="4"/>
    <x v="1"/>
    <s v="2025-01"/>
    <n v="49.58"/>
    <n v="49.58"/>
    <n v="50.077136000000003"/>
    <n v="70.12"/>
    <n v="31"/>
    <n v="31"/>
    <n v="87"/>
    <n v="220"/>
    <n v="11016.97"/>
    <n v="21"/>
    <n v="199"/>
    <n v="4.1500000000000004"/>
    <n v="0"/>
    <n v="245"/>
    <n v="17179.400000000001"/>
    <n v="0"/>
    <x v="0"/>
    <s v="OK"/>
  </r>
  <r>
    <s v="IT-10077"/>
    <s v="Coupling M-77"/>
    <x v="4"/>
    <x v="4"/>
    <x v="1"/>
    <s v="2025-02"/>
    <n v="49.54"/>
    <n v="49.54"/>
    <n v="50.077136000000003"/>
    <n v="72.48"/>
    <n v="31"/>
    <m/>
    <n v="0"/>
    <n v="0"/>
    <n v="0"/>
    <n v="0"/>
    <n v="0"/>
    <n v="0"/>
    <n v="5"/>
    <n v="220"/>
    <n v="15945.6"/>
    <n v="103"/>
    <x v="1"/>
    <s v="OK"/>
  </r>
  <r>
    <s v="IT-10077"/>
    <s v="Coupling M-77"/>
    <x v="4"/>
    <x v="4"/>
    <x v="1"/>
    <s v="2025-03"/>
    <n v="50.82"/>
    <n v="50.82"/>
    <n v="50.82"/>
    <n v="72.48"/>
    <n v="31"/>
    <n v="31"/>
    <n v="125"/>
    <n v="0"/>
    <n v="0"/>
    <n v="0"/>
    <n v="0"/>
    <n v="0"/>
    <n v="2"/>
    <n v="125"/>
    <n v="9060"/>
    <n v="139"/>
    <x v="1"/>
    <s v="OK"/>
  </r>
  <r>
    <s v="IT-10077"/>
    <s v="Coupling M-77"/>
    <x v="4"/>
    <x v="4"/>
    <x v="1"/>
    <s v="2025-04"/>
    <n v="50"/>
    <n v="50"/>
    <n v="50"/>
    <n v="72.48"/>
    <n v="31"/>
    <n v="41"/>
    <n v="161"/>
    <n v="41"/>
    <n v="2050"/>
    <n v="21"/>
    <n v="20"/>
    <n v="1.1200000000000001"/>
    <n v="7"/>
    <n v="120"/>
    <n v="8697.6"/>
    <n v="0"/>
    <x v="0"/>
    <s v="OK"/>
  </r>
  <r>
    <s v="IT-10077"/>
    <s v="Coupling M-77"/>
    <x v="4"/>
    <x v="4"/>
    <x v="1"/>
    <s v="2025-05"/>
    <n v="50.65"/>
    <n v="50.65"/>
    <n v="50.608032999999999"/>
    <n v="72.48"/>
    <n v="31"/>
    <n v="29"/>
    <n v="594"/>
    <n v="361"/>
    <n v="18269.5"/>
    <n v="28"/>
    <n v="333"/>
    <n v="9.14"/>
    <n v="0"/>
    <n v="274"/>
    <n v="19859.52"/>
    <n v="0"/>
    <x v="0"/>
    <s v="OK"/>
  </r>
  <r>
    <s v="IT-10077"/>
    <s v="Coupling M-77"/>
    <x v="4"/>
    <x v="4"/>
    <x v="1"/>
    <s v="2025-06"/>
    <n v="50.8"/>
    <n v="50.8"/>
    <n v="50.608047999999997"/>
    <n v="72.48"/>
    <n v="31"/>
    <m/>
    <n v="0"/>
    <n v="251"/>
    <n v="12702.62"/>
    <n v="35"/>
    <n v="216"/>
    <n v="6.47"/>
    <n v="5"/>
    <n v="110"/>
    <n v="7972.8"/>
    <n v="0"/>
    <x v="0"/>
    <s v="OK"/>
  </r>
  <r>
    <s v="IT-10077"/>
    <s v="Coupling M-77"/>
    <x v="4"/>
    <x v="4"/>
    <x v="1"/>
    <s v="2025-07"/>
    <n v="49.8"/>
    <n v="49.8"/>
    <n v="50.496938999999998"/>
    <n v="72.48"/>
    <n v="31"/>
    <n v="35"/>
    <n v="40"/>
    <n v="49"/>
    <n v="2474.35"/>
    <n v="49"/>
    <n v="0"/>
    <n v="1.03"/>
    <n v="0"/>
    <n v="242"/>
    <n v="17540.16"/>
    <n v="0"/>
    <x v="0"/>
    <s v="OK"/>
  </r>
  <r>
    <s v="IT-10077"/>
    <s v="Coupling M-77"/>
    <x v="4"/>
    <x v="4"/>
    <x v="1"/>
    <s v="2025-08"/>
    <n v="51.25"/>
    <n v="51.25"/>
    <n v="51.151330999999999"/>
    <n v="72.48"/>
    <n v="31"/>
    <n v="53"/>
    <n v="325"/>
    <n v="323"/>
    <n v="16521.88"/>
    <n v="49"/>
    <n v="274"/>
    <n v="10.53"/>
    <n v="0"/>
    <n v="51"/>
    <n v="3696.48"/>
    <n v="0"/>
    <x v="0"/>
    <s v="OK"/>
  </r>
  <r>
    <s v="IT-10077"/>
    <s v="Coupling M-77"/>
    <x v="4"/>
    <x v="4"/>
    <x v="1"/>
    <s v="2025-09"/>
    <n v="51.2"/>
    <n v="51.2"/>
    <n v="51.165826000000003"/>
    <n v="72.48"/>
    <n v="31"/>
    <n v="38"/>
    <n v="137"/>
    <n v="230"/>
    <n v="11768.14"/>
    <n v="49"/>
    <n v="181"/>
    <n v="5.78"/>
    <n v="1"/>
    <n v="230"/>
    <n v="16670.400000000001"/>
    <n v="0"/>
    <x v="0"/>
    <s v="OK"/>
  </r>
  <r>
    <s v="IT-10077"/>
    <s v="Coupling M-77"/>
    <x v="4"/>
    <x v="4"/>
    <x v="1"/>
    <s v="2025-10"/>
    <n v="53.46"/>
    <n v="53.46"/>
    <n v="52.514367"/>
    <n v="72.48"/>
    <n v="31"/>
    <n v="27"/>
    <n v="328"/>
    <n v="403"/>
    <n v="21163.29"/>
    <n v="63"/>
    <n v="340"/>
    <n v="12.15"/>
    <n v="0"/>
    <n v="155"/>
    <n v="11234.4"/>
    <n v="0"/>
    <x v="0"/>
    <s v="OK"/>
  </r>
  <r>
    <s v="IT-10077"/>
    <s v="Coupling M-77"/>
    <x v="4"/>
    <x v="4"/>
    <x v="1"/>
    <s v="2025-11"/>
    <n v="53.52"/>
    <n v="53.52"/>
    <n v="52.514389000000001"/>
    <n v="72.48"/>
    <n v="31"/>
    <m/>
    <n v="0"/>
    <n v="221"/>
    <n v="11605.68"/>
    <n v="28"/>
    <n v="193"/>
    <n v="5.07"/>
    <n v="1"/>
    <n v="182"/>
    <n v="13191.36"/>
    <n v="0"/>
    <x v="0"/>
    <s v="OK"/>
  </r>
  <r>
    <s v="IT-10077"/>
    <s v="Coupling M-77"/>
    <x v="4"/>
    <x v="4"/>
    <x v="1"/>
    <s v="2025-12"/>
    <n v="52.69"/>
    <n v="52.69"/>
    <n v="52.598253"/>
    <n v="72.48"/>
    <n v="31"/>
    <n v="28"/>
    <n v="202"/>
    <n v="229"/>
    <n v="12045"/>
    <n v="21"/>
    <n v="208"/>
    <n v="5.67"/>
    <n v="0"/>
    <n v="194"/>
    <n v="14061.12"/>
    <n v="0"/>
    <x v="0"/>
    <s v="OK"/>
  </r>
  <r>
    <s v="IT-10077"/>
    <s v="Coupling M-77"/>
    <x v="4"/>
    <x v="4"/>
    <x v="1"/>
    <s v="2026-01"/>
    <n v="52.9"/>
    <n v="52.9"/>
    <n v="52.735067000000001"/>
    <n v="72.48"/>
    <n v="31"/>
    <n v="29"/>
    <n v="190"/>
    <n v="223"/>
    <n v="11759.92"/>
    <n v="70"/>
    <n v="153"/>
    <n v="5.12"/>
    <n v="3"/>
    <n v="196"/>
    <n v="14206.08"/>
    <n v="0"/>
    <x v="0"/>
    <s v="OK"/>
  </r>
  <r>
    <s v="IT-10077"/>
    <s v="Coupling M-77"/>
    <x v="4"/>
    <x v="4"/>
    <x v="1"/>
    <s v="2026-02"/>
    <n v="54.16"/>
    <n v="54.16"/>
    <n v="52.735067000000001"/>
    <n v="74.92"/>
    <n v="31"/>
    <m/>
    <n v="0"/>
    <n v="0"/>
    <n v="0"/>
    <n v="0"/>
    <n v="0"/>
    <n v="0"/>
    <n v="0"/>
    <n v="223"/>
    <n v="16707.16"/>
    <n v="78"/>
    <x v="1"/>
    <s v="OK"/>
  </r>
  <r>
    <s v="IT-10077"/>
    <s v="Coupling M-77"/>
    <x v="4"/>
    <x v="4"/>
    <x v="1"/>
    <s v="2026-03"/>
    <n v="54.19"/>
    <n v="54.19"/>
    <n v="54.19"/>
    <n v="74.92"/>
    <n v="31"/>
    <n v="27"/>
    <n v="624"/>
    <n v="467"/>
    <n v="25306.73"/>
    <n v="63"/>
    <n v="404"/>
    <n v="10.42"/>
    <n v="0"/>
    <n v="157"/>
    <n v="11762.44"/>
    <n v="0"/>
    <x v="0"/>
    <s v="OK"/>
  </r>
  <r>
    <s v="IT-10077"/>
    <s v="Coupling M-77"/>
    <x v="4"/>
    <x v="4"/>
    <x v="1"/>
    <s v="2026-04"/>
    <n v="54.43"/>
    <n v="54.43"/>
    <n v="54.19"/>
    <n v="74.92"/>
    <n v="31"/>
    <m/>
    <n v="0"/>
    <n v="268"/>
    <n v="14522.92"/>
    <n v="42"/>
    <n v="226"/>
    <n v="5.89"/>
    <n v="2"/>
    <n v="199"/>
    <n v="14909.08"/>
    <n v="0"/>
    <x v="0"/>
    <s v="OK"/>
  </r>
  <r>
    <s v="IT-10077"/>
    <s v="Coupling M-77"/>
    <x v="4"/>
    <x v="4"/>
    <x v="1"/>
    <s v="2026-05"/>
    <n v="53.26"/>
    <n v="53.26"/>
    <n v="53.731164999999997"/>
    <n v="74.92"/>
    <n v="31"/>
    <n v="30"/>
    <n v="261"/>
    <n v="266"/>
    <n v="14292.49"/>
    <n v="70"/>
    <n v="196"/>
    <n v="5.65"/>
    <n v="0"/>
    <n v="263"/>
    <n v="19703.96"/>
    <n v="0"/>
    <x v="0"/>
    <s v="OK"/>
  </r>
  <r>
    <s v="IT-10077"/>
    <s v="Coupling M-77"/>
    <x v="4"/>
    <x v="4"/>
    <x v="1"/>
    <s v="2026-06"/>
    <n v="53.73"/>
    <n v="53.73"/>
    <n v="53.731175999999998"/>
    <n v="74.92"/>
    <n v="31"/>
    <n v="27"/>
    <n v="24"/>
    <n v="34"/>
    <n v="1826.86"/>
    <n v="34"/>
    <n v="0"/>
    <n v="0.62"/>
    <n v="4"/>
    <n v="256"/>
    <n v="19179.52"/>
    <n v="0"/>
    <x v="0"/>
    <s v="OK"/>
  </r>
  <r>
    <s v="IT-10077"/>
    <s v="Coupling M-77"/>
    <x v="4"/>
    <x v="4"/>
    <x v="1"/>
    <s v="2026-07"/>
    <n v="53.73"/>
    <n v="53.73"/>
    <n v="53.730150000000002"/>
    <n v="74.92"/>
    <n v="31"/>
    <n v="29"/>
    <n v="255"/>
    <n v="266"/>
    <n v="14292.22"/>
    <n v="14"/>
    <n v="252"/>
    <n v="6.45"/>
    <n v="11"/>
    <n v="23"/>
    <n v="1723.16"/>
    <n v="0"/>
    <x v="0"/>
    <s v="OK"/>
  </r>
  <r>
    <s v="IT-10077"/>
    <s v="Coupling M-77"/>
    <x v="4"/>
    <x v="4"/>
    <x v="1"/>
    <s v="2026-08"/>
    <n v="53.99"/>
    <n v="53.99"/>
    <n v="53.730207999999998"/>
    <n v="74.92"/>
    <n v="31"/>
    <m/>
    <n v="0"/>
    <n v="48"/>
    <n v="2579.0500000000002"/>
    <n v="48"/>
    <n v="0"/>
    <n v="1.27"/>
    <n v="1"/>
    <n v="218"/>
    <n v="16332.56"/>
    <n v="0"/>
    <x v="0"/>
    <s v="OK"/>
  </r>
  <r>
    <s v="IT-10078"/>
    <s v="Roller bearing M-78"/>
    <x v="0"/>
    <x v="0"/>
    <x v="1"/>
    <s v="2024-09"/>
    <n v="314.39"/>
    <n v="314.39"/>
    <n v="312.53416700000002"/>
    <n v="419.42"/>
    <n v="14"/>
    <n v="19"/>
    <n v="29"/>
    <n v="48"/>
    <n v="15001.64"/>
    <n v="4"/>
    <n v="44"/>
    <n v="15.39"/>
    <n v="6"/>
    <n v="4"/>
    <n v="1677.68"/>
    <n v="0"/>
    <x v="0"/>
    <s v="OK"/>
  </r>
  <r>
    <s v="IT-10078"/>
    <s v="Roller bearing M-78"/>
    <x v="0"/>
    <x v="0"/>
    <x v="1"/>
    <s v="2024-10"/>
    <n v="311.23"/>
    <n v="311.23"/>
    <n v="312.53399999999999"/>
    <n v="419.42"/>
    <n v="14"/>
    <m/>
    <n v="0"/>
    <n v="30"/>
    <n v="9376.02"/>
    <n v="6"/>
    <n v="24"/>
    <n v="9.39"/>
    <n v="10"/>
    <n v="18"/>
    <n v="7549.56"/>
    <n v="0"/>
    <x v="0"/>
    <s v="OK"/>
  </r>
  <r>
    <s v="IT-10078"/>
    <s v="Roller bearing M-78"/>
    <x v="0"/>
    <x v="0"/>
    <x v="1"/>
    <s v="2024-11"/>
    <n v="309.11"/>
    <n v="309.11"/>
    <n v="311.1644"/>
    <n v="419.42"/>
    <n v="14"/>
    <n v="17"/>
    <n v="20"/>
    <n v="25"/>
    <n v="7779.11"/>
    <n v="4"/>
    <n v="21"/>
    <n v="6.91"/>
    <n v="2"/>
    <n v="25"/>
    <n v="10485.5"/>
    <n v="0"/>
    <x v="0"/>
    <s v="OK"/>
  </r>
  <r>
    <s v="IT-10078"/>
    <s v="Roller bearing M-78"/>
    <x v="0"/>
    <x v="0"/>
    <x v="1"/>
    <s v="2024-12"/>
    <n v="314.58999999999997"/>
    <n v="314.58999999999997"/>
    <n v="313.11346900000001"/>
    <n v="419.42"/>
    <n v="14"/>
    <n v="19"/>
    <n v="33"/>
    <n v="49"/>
    <n v="15342.56"/>
    <n v="4"/>
    <n v="45"/>
    <n v="12.38"/>
    <n v="1"/>
    <n v="9"/>
    <n v="3774.78"/>
    <n v="0"/>
    <x v="0"/>
    <s v="OK"/>
  </r>
  <r>
    <s v="IT-10078"/>
    <s v="Roller bearing M-78"/>
    <x v="0"/>
    <x v="0"/>
    <x v="1"/>
    <s v="2025-01"/>
    <n v="314.99"/>
    <n v="314.99"/>
    <n v="313.11348800000002"/>
    <n v="419.42"/>
    <n v="14"/>
    <m/>
    <n v="0"/>
    <n v="43"/>
    <n v="13463.88"/>
    <n v="3"/>
    <n v="40"/>
    <n v="14.13"/>
    <n v="3"/>
    <n v="6"/>
    <n v="2516.52"/>
    <n v="0"/>
    <x v="0"/>
    <s v="OK"/>
  </r>
  <r>
    <s v="IT-10078"/>
    <s v="Roller bearing M-78"/>
    <x v="0"/>
    <x v="0"/>
    <x v="1"/>
    <s v="2025-02"/>
    <n v="305.75"/>
    <n v="305.75"/>
    <n v="313.11357099999998"/>
    <n v="430.54"/>
    <n v="14"/>
    <m/>
    <n v="0"/>
    <n v="14"/>
    <n v="4383.59"/>
    <n v="6"/>
    <n v="8"/>
    <n v="4.09"/>
    <n v="0"/>
    <n v="29"/>
    <n v="12485.66"/>
    <n v="0"/>
    <x v="0"/>
    <s v="OK"/>
  </r>
  <r>
    <s v="IT-10078"/>
    <s v="Roller bearing M-78"/>
    <x v="0"/>
    <x v="0"/>
    <x v="1"/>
    <s v="2025-03"/>
    <n v="306.05"/>
    <n v="306.05"/>
    <n v="307.988947"/>
    <n v="430.54"/>
    <n v="14"/>
    <n v="14"/>
    <n v="37"/>
    <n v="19"/>
    <n v="5851.79"/>
    <n v="4"/>
    <n v="15"/>
    <n v="3.65"/>
    <n v="9"/>
    <n v="32"/>
    <n v="13777.28"/>
    <n v="0"/>
    <x v="0"/>
    <s v="OK"/>
  </r>
  <r>
    <s v="IT-10078"/>
    <s v="Roller bearing M-78"/>
    <x v="0"/>
    <x v="0"/>
    <x v="1"/>
    <s v="2025-04"/>
    <n v="321.7"/>
    <n v="321.7"/>
    <n v="317.35810800000002"/>
    <n v="430.54"/>
    <n v="14"/>
    <n v="22"/>
    <n v="41"/>
    <n v="37"/>
    <n v="11742.25"/>
    <n v="3"/>
    <n v="34"/>
    <n v="5.6"/>
    <n v="1"/>
    <n v="23"/>
    <n v="9902.42"/>
    <n v="0"/>
    <x v="0"/>
    <s v="OK"/>
  </r>
  <r>
    <s v="IT-10078"/>
    <s v="Roller bearing M-78"/>
    <x v="0"/>
    <x v="0"/>
    <x v="1"/>
    <s v="2025-05"/>
    <n v="314.69"/>
    <n v="314.69"/>
    <n v="316.42205899999999"/>
    <n v="430.54"/>
    <n v="14"/>
    <n v="16"/>
    <n v="20"/>
    <n v="34"/>
    <n v="10758.35"/>
    <n v="1"/>
    <n v="33"/>
    <n v="5.73"/>
    <n v="4"/>
    <n v="23"/>
    <n v="9902.42"/>
    <n v="0"/>
    <x v="0"/>
    <s v="OK"/>
  </r>
  <r>
    <s v="IT-10078"/>
    <s v="Roller bearing M-78"/>
    <x v="0"/>
    <x v="0"/>
    <x v="1"/>
    <s v="2025-06"/>
    <n v="315.81"/>
    <n v="315.81"/>
    <n v="316.42166700000001"/>
    <n v="430.54"/>
    <n v="14"/>
    <m/>
    <n v="0"/>
    <n v="6"/>
    <n v="1898.53"/>
    <n v="4"/>
    <n v="2"/>
    <n v="1.05"/>
    <n v="7"/>
    <n v="28"/>
    <n v="12055.12"/>
    <n v="0"/>
    <x v="0"/>
    <s v="OK"/>
  </r>
  <r>
    <s v="IT-10078"/>
    <s v="Roller bearing M-78"/>
    <x v="0"/>
    <x v="0"/>
    <x v="1"/>
    <s v="2025-07"/>
    <n v="314.64999999999998"/>
    <n v="314.64999999999998"/>
    <n v="314.84689700000001"/>
    <n v="430.54"/>
    <n v="14"/>
    <n v="13"/>
    <n v="48"/>
    <n v="29"/>
    <n v="9130.56"/>
    <n v="6"/>
    <n v="23"/>
    <n v="5.0199999999999996"/>
    <n v="1"/>
    <n v="25"/>
    <n v="10763.5"/>
    <n v="0"/>
    <x v="0"/>
    <s v="OK"/>
  </r>
  <r>
    <s v="IT-10078"/>
    <s v="Roller bearing M-78"/>
    <x v="0"/>
    <x v="0"/>
    <x v="1"/>
    <s v="2025-08"/>
    <n v="325.91000000000003"/>
    <n v="325.91000000000003"/>
    <n v="321.19200000000001"/>
    <n v="430.54"/>
    <n v="14"/>
    <n v="16"/>
    <n v="39"/>
    <n v="50"/>
    <n v="16059.6"/>
    <n v="6"/>
    <n v="44"/>
    <n v="9.26"/>
    <n v="2"/>
    <n v="18"/>
    <n v="7749.72"/>
    <n v="0"/>
    <x v="0"/>
    <s v="OK"/>
  </r>
  <r>
    <s v="IT-10078"/>
    <s v="Roller bearing M-78"/>
    <x v="0"/>
    <x v="0"/>
    <x v="1"/>
    <s v="2025-09"/>
    <n v="322.58999999999997"/>
    <n v="322.58999999999997"/>
    <n v="321.591522"/>
    <n v="430.54"/>
    <n v="14"/>
    <n v="20"/>
    <n v="20"/>
    <n v="46"/>
    <n v="14793.21"/>
    <n v="4"/>
    <n v="42"/>
    <n v="9.02"/>
    <n v="0"/>
    <n v="24"/>
    <n v="10332.959999999999"/>
    <n v="0"/>
    <x v="0"/>
    <s v="OK"/>
  </r>
  <r>
    <s v="IT-10078"/>
    <s v="Roller bearing M-78"/>
    <x v="0"/>
    <x v="0"/>
    <x v="1"/>
    <s v="2025-10"/>
    <n v="324.45"/>
    <n v="324.45"/>
    <n v="322.45765999999998"/>
    <n v="430.54"/>
    <n v="14"/>
    <n v="13"/>
    <n v="20"/>
    <n v="47"/>
    <n v="15155.51"/>
    <n v="5"/>
    <n v="42"/>
    <n v="10.130000000000001"/>
    <n v="0"/>
    <n v="19"/>
    <n v="8180.26"/>
    <n v="0"/>
    <x v="0"/>
    <s v="OK"/>
  </r>
  <r>
    <s v="IT-10078"/>
    <s v="Roller bearing M-78"/>
    <x v="0"/>
    <x v="0"/>
    <x v="1"/>
    <s v="2025-11"/>
    <n v="326.25"/>
    <n v="326.25"/>
    <n v="322.45763199999999"/>
    <n v="430.54"/>
    <n v="14"/>
    <m/>
    <n v="0"/>
    <n v="38"/>
    <n v="12253.39"/>
    <n v="7"/>
    <n v="31"/>
    <n v="9.5"/>
    <n v="1"/>
    <n v="9"/>
    <n v="3874.86"/>
    <n v="0"/>
    <x v="0"/>
    <s v="OK"/>
  </r>
  <r>
    <s v="IT-10078"/>
    <s v="Roller bearing M-78"/>
    <x v="0"/>
    <x v="0"/>
    <x v="1"/>
    <s v="2025-12"/>
    <n v="322.74"/>
    <n v="322.74"/>
    <n v="322.55500000000001"/>
    <n v="430.54"/>
    <n v="14"/>
    <n v="23"/>
    <n v="20"/>
    <n v="50"/>
    <n v="16127.75"/>
    <n v="6"/>
    <n v="44"/>
    <n v="18.25"/>
    <n v="10"/>
    <n v="8"/>
    <n v="3444.32"/>
    <n v="0"/>
    <x v="0"/>
    <s v="OK"/>
  </r>
  <r>
    <s v="IT-10078"/>
    <s v="Roller bearing M-78"/>
    <x v="0"/>
    <x v="0"/>
    <x v="1"/>
    <s v="2026-01"/>
    <n v="325.47000000000003"/>
    <n v="325.47000000000003"/>
    <n v="322.55500000000001"/>
    <n v="430.54"/>
    <n v="14"/>
    <m/>
    <n v="0"/>
    <n v="26"/>
    <n v="8386.43"/>
    <n v="4"/>
    <n v="22"/>
    <n v="8.33"/>
    <n v="0"/>
    <n v="24"/>
    <n v="10332.959999999999"/>
    <n v="0"/>
    <x v="0"/>
    <s v="OK"/>
  </r>
  <r>
    <s v="IT-10078"/>
    <s v="Roller bearing M-78"/>
    <x v="0"/>
    <x v="0"/>
    <x v="1"/>
    <s v="2026-02"/>
    <n v="318.95"/>
    <n v="318.95"/>
    <n v="320.62374999999997"/>
    <n v="441.95"/>
    <n v="14"/>
    <n v="13"/>
    <n v="30"/>
    <n v="32"/>
    <n v="10259.959999999999"/>
    <n v="2"/>
    <n v="30"/>
    <n v="7.35"/>
    <n v="2"/>
    <n v="24"/>
    <n v="10606.8"/>
    <n v="0"/>
    <x v="0"/>
    <s v="OK"/>
  </r>
  <r>
    <s v="IT-10078"/>
    <s v="Roller bearing M-78"/>
    <x v="0"/>
    <x v="0"/>
    <x v="1"/>
    <s v="2026-03"/>
    <n v="315.27"/>
    <n v="315.27"/>
    <n v="318.564571"/>
    <n v="441.95"/>
    <n v="14"/>
    <n v="12"/>
    <n v="20"/>
    <n v="35"/>
    <n v="11149.76"/>
    <n v="6"/>
    <n v="29"/>
    <n v="6.92"/>
    <n v="6"/>
    <n v="17"/>
    <n v="7513.15"/>
    <n v="0"/>
    <x v="0"/>
    <s v="OK"/>
  </r>
  <r>
    <s v="IT-10078"/>
    <s v="Roller bearing M-78"/>
    <x v="0"/>
    <x v="0"/>
    <x v="1"/>
    <s v="2026-04"/>
    <n v="328.38"/>
    <n v="328.38"/>
    <n v="322.65441900000002"/>
    <n v="441.95"/>
    <n v="14"/>
    <n v="21"/>
    <n v="25"/>
    <n v="43"/>
    <n v="13874.14"/>
    <n v="2"/>
    <n v="41"/>
    <n v="9.43"/>
    <n v="11"/>
    <n v="17"/>
    <n v="7513.15"/>
    <n v="0"/>
    <x v="0"/>
    <s v="OK"/>
  </r>
  <r>
    <s v="IT-10078"/>
    <s v="Roller bearing M-78"/>
    <x v="0"/>
    <x v="0"/>
    <x v="1"/>
    <s v="2026-05"/>
    <n v="336.91"/>
    <n v="336.91"/>
    <n v="322.65428600000001"/>
    <n v="441.95"/>
    <n v="14"/>
    <m/>
    <n v="0"/>
    <n v="7"/>
    <n v="2258.58"/>
    <n v="4"/>
    <n v="3"/>
    <n v="1.31"/>
    <n v="5"/>
    <n v="36"/>
    <n v="15910.2"/>
    <n v="0"/>
    <x v="0"/>
    <s v="OK"/>
  </r>
  <r>
    <s v="IT-10078"/>
    <s v="Roller bearing M-78"/>
    <x v="0"/>
    <x v="0"/>
    <x v="1"/>
    <s v="2026-06"/>
    <n v="333.79"/>
    <n v="333.79"/>
    <n v="332.095417"/>
    <n v="441.95"/>
    <n v="14"/>
    <n v="12"/>
    <n v="39"/>
    <n v="24"/>
    <n v="7970.29"/>
    <n v="2"/>
    <n v="22"/>
    <n v="4.16"/>
    <n v="2"/>
    <n v="22"/>
    <n v="9722.9"/>
    <n v="0"/>
    <x v="0"/>
    <s v="OK"/>
  </r>
  <r>
    <s v="IT-10078"/>
    <s v="Roller bearing M-78"/>
    <x v="0"/>
    <x v="0"/>
    <x v="1"/>
    <s v="2026-07"/>
    <n v="326.77999999999997"/>
    <n v="326.77999999999997"/>
    <n v="329.614667"/>
    <n v="441.95"/>
    <n v="14"/>
    <n v="14"/>
    <n v="21"/>
    <n v="15"/>
    <n v="4944.22"/>
    <n v="6"/>
    <n v="9"/>
    <n v="2.2400000000000002"/>
    <n v="5"/>
    <n v="30"/>
    <n v="13258.5"/>
    <n v="0"/>
    <x v="0"/>
    <s v="OK"/>
  </r>
  <r>
    <s v="IT-10078"/>
    <s v="Roller bearing M-78"/>
    <x v="0"/>
    <x v="0"/>
    <x v="1"/>
    <s v="2026-08"/>
    <n v="328.02"/>
    <n v="328.02"/>
    <n v="328.703462"/>
    <n v="441.95"/>
    <n v="14"/>
    <n v="13"/>
    <n v="20"/>
    <n v="26"/>
    <n v="8546.2900000000009"/>
    <n v="4"/>
    <n v="22"/>
    <n v="5.6"/>
    <n v="5"/>
    <n v="9"/>
    <n v="3977.55"/>
    <n v="0"/>
    <x v="0"/>
    <s v="OK"/>
  </r>
  <r>
    <s v="IT-10079"/>
    <s v="Filter cartridge 10-79"/>
    <x v="1"/>
    <x v="1"/>
    <x v="0"/>
    <s v="2024-09"/>
    <n v="5.4"/>
    <n v="5.4"/>
    <n v="5.4207390000000002"/>
    <n v="7.68"/>
    <n v="22"/>
    <n v="21"/>
    <n v="1392"/>
    <n v="2517"/>
    <n v="13644"/>
    <n v="360"/>
    <n v="2157"/>
    <n v="7.94"/>
    <n v="0"/>
    <n v="1565"/>
    <n v="12019.2"/>
    <n v="0"/>
    <x v="0"/>
    <s v="OK"/>
  </r>
  <r>
    <s v="IT-10079"/>
    <s v="Filter cartridge 10-79"/>
    <x v="1"/>
    <x v="1"/>
    <x v="0"/>
    <s v="2024-10"/>
    <n v="5.46"/>
    <n v="5.46"/>
    <n v="5.4207400000000003"/>
    <n v="7.68"/>
    <n v="22"/>
    <m/>
    <n v="0"/>
    <n v="2325"/>
    <n v="12603.22"/>
    <n v="72"/>
    <n v="2253"/>
    <n v="9.64"/>
    <n v="0"/>
    <n v="192"/>
    <n v="1474.56"/>
    <n v="0"/>
    <x v="0"/>
    <s v="OK"/>
  </r>
  <r>
    <s v="IT-10079"/>
    <s v="Filter cartridge 10-79"/>
    <x v="1"/>
    <x v="1"/>
    <x v="0"/>
    <s v="2024-11"/>
    <n v="5.38"/>
    <n v="5.38"/>
    <n v="5.4207400000000003"/>
    <n v="7.68"/>
    <n v="22"/>
    <m/>
    <n v="0"/>
    <n v="1148"/>
    <n v="6223.01"/>
    <n v="324"/>
    <n v="824"/>
    <n v="5.09"/>
    <n v="1"/>
    <n v="1177"/>
    <n v="9039.36"/>
    <n v="0"/>
    <x v="0"/>
    <s v="OK"/>
  </r>
  <r>
    <s v="IT-10079"/>
    <s v="Filter cartridge 10-79"/>
    <x v="1"/>
    <x v="1"/>
    <x v="0"/>
    <s v="2024-12"/>
    <n v="5.44"/>
    <n v="5.44"/>
    <n v="5.4314140000000002"/>
    <n v="7.68"/>
    <n v="22"/>
    <n v="20"/>
    <n v="1426"/>
    <n v="1259"/>
    <n v="6838.15"/>
    <n v="288"/>
    <n v="971"/>
    <n v="6.16"/>
    <n v="0"/>
    <n v="1315"/>
    <n v="10099.200000000001"/>
    <n v="0"/>
    <x v="0"/>
    <s v="OK"/>
  </r>
  <r>
    <s v="IT-10079"/>
    <s v="Filter cartridge 10-79"/>
    <x v="1"/>
    <x v="1"/>
    <x v="0"/>
    <s v="2025-01"/>
    <n v="5.7"/>
    <n v="5.7"/>
    <n v="5.5196550000000002"/>
    <n v="7.68"/>
    <n v="22"/>
    <n v="22"/>
    <n v="616"/>
    <n v="869"/>
    <n v="4796.58"/>
    <n v="180"/>
    <n v="689"/>
    <n v="3.27"/>
    <n v="1"/>
    <n v="1006"/>
    <n v="7726.08"/>
    <n v="0"/>
    <x v="0"/>
    <s v="OK"/>
  </r>
  <r>
    <s v="IT-10079"/>
    <s v="Filter cartridge 10-79"/>
    <x v="1"/>
    <x v="1"/>
    <x v="0"/>
    <s v="2025-02"/>
    <n v="5.68"/>
    <n v="5.68"/>
    <n v="5.6241519999999996"/>
    <n v="7.91"/>
    <n v="22"/>
    <n v="21"/>
    <n v="1626"/>
    <n v="1758"/>
    <n v="9887.26"/>
    <n v="360"/>
    <n v="1398"/>
    <n v="7.39"/>
    <n v="1"/>
    <n v="737"/>
    <n v="5829.67"/>
    <n v="0"/>
    <x v="0"/>
    <s v="OK"/>
  </r>
  <r>
    <s v="IT-10079"/>
    <s v="Filter cartridge 10-79"/>
    <x v="1"/>
    <x v="1"/>
    <x v="0"/>
    <s v="2025-03"/>
    <n v="5.55"/>
    <n v="5.55"/>
    <n v="5.5917849999999998"/>
    <n v="7.91"/>
    <n v="22"/>
    <n v="19"/>
    <n v="1362"/>
    <n v="1479"/>
    <n v="8270.25"/>
    <n v="216"/>
    <n v="1263"/>
    <n v="5.62"/>
    <n v="0"/>
    <n v="1641"/>
    <n v="12980.31"/>
    <n v="0"/>
    <x v="0"/>
    <s v="OK"/>
  </r>
  <r>
    <s v="IT-10079"/>
    <s v="Filter cartridge 10-79"/>
    <x v="1"/>
    <x v="1"/>
    <x v="0"/>
    <s v="2025-04"/>
    <n v="5.63"/>
    <n v="5.63"/>
    <n v="5.6176839999999997"/>
    <n v="7.91"/>
    <n v="22"/>
    <n v="28"/>
    <n v="3110"/>
    <n v="3597"/>
    <n v="20206.810000000001"/>
    <n v="72"/>
    <n v="3525"/>
    <n v="13.57"/>
    <n v="1"/>
    <n v="992"/>
    <n v="7846.72"/>
    <n v="0"/>
    <x v="0"/>
    <s v="OK"/>
  </r>
  <r>
    <s v="IT-10079"/>
    <s v="Filter cartridge 10-79"/>
    <x v="1"/>
    <x v="1"/>
    <x v="0"/>
    <s v="2025-05"/>
    <n v="5.59"/>
    <n v="5.59"/>
    <n v="5.6176849999999998"/>
    <n v="7.91"/>
    <n v="22"/>
    <m/>
    <n v="0"/>
    <n v="3136"/>
    <n v="17617.060000000001"/>
    <n v="216"/>
    <n v="2920"/>
    <n v="13.32"/>
    <n v="0"/>
    <n v="461"/>
    <n v="3646.51"/>
    <n v="0"/>
    <x v="0"/>
    <s v="OK"/>
  </r>
  <r>
    <s v="IT-10079"/>
    <s v="Filter cartridge 10-79"/>
    <x v="1"/>
    <x v="1"/>
    <x v="0"/>
    <s v="2025-06"/>
    <n v="5.63"/>
    <n v="5.63"/>
    <n v="5.6176849999999998"/>
    <n v="7.91"/>
    <n v="22"/>
    <m/>
    <n v="0"/>
    <n v="1875"/>
    <n v="10533.16"/>
    <n v="108"/>
    <n v="1767"/>
    <n v="8.98"/>
    <n v="0"/>
    <n v="1261"/>
    <n v="9974.51"/>
    <n v="0"/>
    <x v="0"/>
    <s v="OK"/>
  </r>
  <r>
    <s v="IT-10079"/>
    <s v="Filter cartridge 10-79"/>
    <x v="1"/>
    <x v="1"/>
    <x v="0"/>
    <s v="2025-07"/>
    <n v="5.64"/>
    <n v="5.64"/>
    <n v="5.6220809999999997"/>
    <n v="7.91"/>
    <n v="22"/>
    <n v="21"/>
    <n v="460"/>
    <n v="1105"/>
    <n v="6212.4"/>
    <n v="324"/>
    <n v="781"/>
    <n v="4.92"/>
    <n v="0"/>
    <n v="1230"/>
    <n v="9729.2999999999993"/>
    <n v="0"/>
    <x v="0"/>
    <s v="OK"/>
  </r>
  <r>
    <s v="IT-10079"/>
    <s v="Filter cartridge 10-79"/>
    <x v="1"/>
    <x v="1"/>
    <x v="0"/>
    <s v="2025-08"/>
    <n v="5.56"/>
    <n v="5.56"/>
    <n v="5.6220809999999997"/>
    <n v="7.91"/>
    <n v="22"/>
    <m/>
    <n v="0"/>
    <n v="0"/>
    <n v="0"/>
    <n v="0"/>
    <n v="0"/>
    <n v="0"/>
    <n v="0"/>
    <n v="1105"/>
    <n v="8740.5499999999993"/>
    <n v="675"/>
    <x v="1"/>
    <s v="OK"/>
  </r>
  <r>
    <s v="IT-10079"/>
    <s v="Filter cartridge 10-79"/>
    <x v="1"/>
    <x v="1"/>
    <x v="0"/>
    <s v="2025-09"/>
    <n v="5.67"/>
    <n v="5.67"/>
    <n v="5.67"/>
    <n v="7.91"/>
    <n v="22"/>
    <n v="33"/>
    <n v="1638"/>
    <n v="119"/>
    <n v="674.73"/>
    <n v="108"/>
    <n v="11"/>
    <n v="0.41"/>
    <n v="0"/>
    <n v="1519"/>
    <n v="12015.29"/>
    <n v="0"/>
    <x v="0"/>
    <s v="OK"/>
  </r>
  <r>
    <s v="IT-10079"/>
    <s v="Filter cartridge 10-79"/>
    <x v="1"/>
    <x v="1"/>
    <x v="0"/>
    <s v="2025-10"/>
    <n v="5.61"/>
    <n v="5.61"/>
    <n v="5.6130190000000004"/>
    <n v="7.91"/>
    <n v="22"/>
    <n v="21"/>
    <n v="2247"/>
    <n v="1285"/>
    <n v="7212.73"/>
    <n v="216"/>
    <n v="1069"/>
    <n v="4.5599999999999996"/>
    <n v="0"/>
    <n v="1081"/>
    <n v="8550.7099999999991"/>
    <n v="0"/>
    <x v="0"/>
    <s v="OK"/>
  </r>
  <r>
    <s v="IT-10079"/>
    <s v="Filter cartridge 10-79"/>
    <x v="1"/>
    <x v="1"/>
    <x v="0"/>
    <s v="2025-11"/>
    <n v="5.58"/>
    <n v="5.58"/>
    <n v="5.5939030000000001"/>
    <n v="7.91"/>
    <n v="22"/>
    <n v="30"/>
    <n v="1767"/>
    <n v="1909"/>
    <n v="10678.76"/>
    <n v="324"/>
    <n v="1585"/>
    <n v="6.63"/>
    <n v="1"/>
    <n v="1143"/>
    <n v="9041.1299999999992"/>
    <n v="0"/>
    <x v="0"/>
    <s v="OK"/>
  </r>
  <r>
    <s v="IT-10079"/>
    <s v="Filter cartridge 10-79"/>
    <x v="1"/>
    <x v="1"/>
    <x v="0"/>
    <s v="2025-12"/>
    <n v="5.55"/>
    <n v="5.55"/>
    <n v="5.5741040000000002"/>
    <n v="7.91"/>
    <n v="22"/>
    <n v="20"/>
    <n v="1568"/>
    <n v="3477"/>
    <n v="19381.16"/>
    <n v="216"/>
    <n v="3261"/>
    <n v="20.55"/>
    <n v="32"/>
    <n v="0"/>
    <n v="0"/>
    <n v="0"/>
    <x v="0"/>
    <s v="OK"/>
  </r>
  <r>
    <s v="IT-10079"/>
    <s v="Filter cartridge 10-79"/>
    <x v="1"/>
    <x v="1"/>
    <x v="0"/>
    <s v="2026-01"/>
    <n v="5.94"/>
    <n v="5.94"/>
    <n v="5.5741059999999996"/>
    <n v="7.91"/>
    <n v="22"/>
    <m/>
    <n v="0"/>
    <n v="2075"/>
    <n v="11566.27"/>
    <n v="288"/>
    <n v="1787"/>
    <n v="10.72"/>
    <n v="1"/>
    <n v="1402"/>
    <n v="11089.82"/>
    <n v="0"/>
    <x v="0"/>
    <s v="OK"/>
  </r>
  <r>
    <s v="IT-10079"/>
    <s v="Filter cartridge 10-79"/>
    <x v="1"/>
    <x v="1"/>
    <x v="0"/>
    <s v="2026-02"/>
    <n v="5.84"/>
    <n v="5.84"/>
    <n v="5.657972"/>
    <n v="8.14"/>
    <n v="22"/>
    <n v="19"/>
    <n v="956"/>
    <n v="1652"/>
    <n v="9346.9699999999993"/>
    <n v="360"/>
    <n v="1292"/>
    <n v="7.64"/>
    <n v="1"/>
    <n v="1379"/>
    <n v="11225.06"/>
    <n v="0"/>
    <x v="0"/>
    <s v="OK"/>
  </r>
  <r>
    <s v="IT-10079"/>
    <s v="Filter cartridge 10-79"/>
    <x v="1"/>
    <x v="1"/>
    <x v="0"/>
    <s v="2026-03"/>
    <n v="5.83"/>
    <n v="5.83"/>
    <n v="5.6677939999999998"/>
    <n v="8.14"/>
    <n v="22"/>
    <n v="20"/>
    <n v="100"/>
    <n v="553"/>
    <n v="3134.29"/>
    <n v="108"/>
    <n v="445"/>
    <n v="1.79"/>
    <n v="0"/>
    <n v="1199"/>
    <n v="9759.86"/>
    <n v="0"/>
    <x v="0"/>
    <s v="OK"/>
  </r>
  <r>
    <s v="IT-10079"/>
    <s v="Filter cartridge 10-79"/>
    <x v="1"/>
    <x v="1"/>
    <x v="0"/>
    <s v="2026-04"/>
    <n v="5.92"/>
    <n v="5.92"/>
    <n v="5.8663379999999998"/>
    <n v="8.14"/>
    <n v="22"/>
    <n v="20"/>
    <n v="2046"/>
    <n v="2018"/>
    <n v="11838.27"/>
    <n v="324"/>
    <n v="1694"/>
    <n v="8.1199999999999992"/>
    <n v="2"/>
    <n v="581"/>
    <n v="4729.34"/>
    <n v="0"/>
    <x v="0"/>
    <s v="OK"/>
  </r>
  <r>
    <s v="IT-10079"/>
    <s v="Filter cartridge 10-79"/>
    <x v="1"/>
    <x v="1"/>
    <x v="0"/>
    <s v="2026-05"/>
    <n v="5.77"/>
    <n v="5.77"/>
    <n v="5.8531510000000004"/>
    <n v="8.14"/>
    <n v="22"/>
    <n v="30"/>
    <n v="320"/>
    <n v="1552"/>
    <n v="9084.09"/>
    <n v="144"/>
    <n v="1408"/>
    <n v="7.95"/>
    <n v="1"/>
    <n v="786"/>
    <n v="6398.04"/>
    <n v="0"/>
    <x v="0"/>
    <s v="OK"/>
  </r>
  <r>
    <s v="IT-10079"/>
    <s v="Filter cartridge 10-79"/>
    <x v="1"/>
    <x v="1"/>
    <x v="0"/>
    <s v="2026-06"/>
    <n v="5.96"/>
    <n v="5.96"/>
    <n v="5.8531579999999996"/>
    <n v="8.14"/>
    <n v="22"/>
    <m/>
    <n v="0"/>
    <n v="608"/>
    <n v="3558.72"/>
    <n v="180"/>
    <n v="428"/>
    <n v="3.42"/>
    <n v="0"/>
    <n v="944"/>
    <n v="7684.16"/>
    <n v="0"/>
    <x v="0"/>
    <s v="OK"/>
  </r>
  <r>
    <s v="IT-10079"/>
    <s v="Filter cartridge 10-79"/>
    <x v="1"/>
    <x v="1"/>
    <x v="0"/>
    <s v="2026-07"/>
    <n v="5.8"/>
    <n v="5.8"/>
    <n v="5.8107290000000003"/>
    <n v="8.14"/>
    <n v="22"/>
    <n v="22"/>
    <n v="2404"/>
    <n v="1784"/>
    <n v="10366.34"/>
    <n v="108"/>
    <n v="1676"/>
    <n v="7.93"/>
    <n v="1"/>
    <n v="1228"/>
    <n v="9995.92"/>
    <n v="0"/>
    <x v="0"/>
    <s v="OK"/>
  </r>
  <r>
    <s v="IT-10079"/>
    <s v="Filter cartridge 10-79"/>
    <x v="1"/>
    <x v="1"/>
    <x v="0"/>
    <s v="2026-08"/>
    <n v="5.9"/>
    <n v="5.9"/>
    <n v="5.8547960000000003"/>
    <n v="8.14"/>
    <n v="22"/>
    <n v="30"/>
    <n v="1739"/>
    <n v="2671"/>
    <n v="15638.16"/>
    <n v="216"/>
    <n v="2455"/>
    <n v="11.61"/>
    <n v="0"/>
    <n v="852"/>
    <n v="6935.28"/>
    <n v="0"/>
    <x v="0"/>
    <s v="OK"/>
  </r>
  <r>
    <s v="IT-10080"/>
    <s v="Anchor bolt A-80"/>
    <x v="2"/>
    <x v="2"/>
    <x v="1"/>
    <s v="2024-09"/>
    <n v="14.57"/>
    <n v="14.57"/>
    <n v="14.583777"/>
    <n v="19.91"/>
    <n v="46"/>
    <n v="43"/>
    <n v="512"/>
    <n v="376"/>
    <n v="5483.5"/>
    <n v="20"/>
    <n v="356"/>
    <n v="6.66"/>
    <n v="4"/>
    <n v="194"/>
    <n v="3862.54"/>
    <n v="0"/>
    <x v="0"/>
    <s v="OK"/>
  </r>
  <r>
    <s v="IT-10080"/>
    <s v="Anchor bolt A-80"/>
    <x v="2"/>
    <x v="2"/>
    <x v="1"/>
    <s v="2024-10"/>
    <n v="14.68"/>
    <n v="14.68"/>
    <n v="14.583780000000001"/>
    <n v="19.91"/>
    <n v="46"/>
    <m/>
    <n v="0"/>
    <n v="254"/>
    <n v="3704.28"/>
    <n v="46"/>
    <n v="208"/>
    <n v="5.62"/>
    <n v="4"/>
    <n v="122"/>
    <n v="2429.02"/>
    <n v="0"/>
    <x v="0"/>
    <s v="OK"/>
  </r>
  <r>
    <s v="IT-10080"/>
    <s v="Anchor bolt A-80"/>
    <x v="2"/>
    <x v="2"/>
    <x v="1"/>
    <s v="2024-11"/>
    <n v="14.81"/>
    <n v="14.81"/>
    <n v="14.721869999999999"/>
    <n v="19.91"/>
    <n v="46"/>
    <n v="45"/>
    <n v="398"/>
    <n v="353"/>
    <n v="5196.82"/>
    <n v="59"/>
    <n v="294"/>
    <n v="7.46"/>
    <n v="1"/>
    <n v="299"/>
    <n v="5953.09"/>
    <n v="0"/>
    <x v="0"/>
    <s v="OK"/>
  </r>
  <r>
    <s v="IT-10080"/>
    <s v="Anchor bolt A-80"/>
    <x v="2"/>
    <x v="2"/>
    <x v="1"/>
    <s v="2024-12"/>
    <n v="15.04"/>
    <n v="15.04"/>
    <n v="14.721868000000001"/>
    <n v="19.91"/>
    <n v="46"/>
    <m/>
    <n v="0"/>
    <n v="182"/>
    <n v="2679.38"/>
    <n v="52"/>
    <n v="130"/>
    <n v="4.04"/>
    <n v="3"/>
    <n v="171"/>
    <n v="3404.61"/>
    <n v="0"/>
    <x v="0"/>
    <s v="OK"/>
  </r>
  <r>
    <s v="IT-10080"/>
    <s v="Anchor bolt A-80"/>
    <x v="2"/>
    <x v="2"/>
    <x v="1"/>
    <s v="2025-01"/>
    <n v="15.26"/>
    <n v="15.26"/>
    <n v="15.123785"/>
    <n v="19.91"/>
    <n v="46"/>
    <n v="41"/>
    <n v="537"/>
    <n v="465"/>
    <n v="7032.56"/>
    <n v="33"/>
    <n v="432"/>
    <n v="8.44"/>
    <n v="2"/>
    <n v="254"/>
    <n v="5057.1400000000003"/>
    <n v="0"/>
    <x v="0"/>
    <s v="OK"/>
  </r>
  <r>
    <s v="IT-10080"/>
    <s v="Anchor bolt A-80"/>
    <x v="2"/>
    <x v="2"/>
    <x v="1"/>
    <s v="2025-02"/>
    <n v="15.18"/>
    <n v="15.18"/>
    <n v="15.123791000000001"/>
    <n v="20.41"/>
    <n v="46"/>
    <m/>
    <n v="0"/>
    <n v="401"/>
    <n v="6064.64"/>
    <n v="26"/>
    <n v="375"/>
    <n v="10.54"/>
    <n v="5"/>
    <n v="64"/>
    <n v="1306.24"/>
    <n v="0"/>
    <x v="0"/>
    <s v="OK"/>
  </r>
  <r>
    <s v="IT-10080"/>
    <s v="Anchor bolt A-80"/>
    <x v="2"/>
    <x v="2"/>
    <x v="1"/>
    <s v="2025-03"/>
    <n v="15.41"/>
    <n v="15.41"/>
    <n v="15.123783"/>
    <n v="20.41"/>
    <n v="46"/>
    <m/>
    <n v="0"/>
    <n v="267"/>
    <n v="4038.05"/>
    <n v="26"/>
    <n v="241"/>
    <n v="7.59"/>
    <n v="3"/>
    <n v="134"/>
    <n v="2734.94"/>
    <n v="0"/>
    <x v="0"/>
    <s v="OK"/>
  </r>
  <r>
    <s v="IT-10080"/>
    <s v="Anchor bolt A-80"/>
    <x v="2"/>
    <x v="2"/>
    <x v="1"/>
    <s v="2025-04"/>
    <n v="15.15"/>
    <n v="15.15"/>
    <n v="15.132680000000001"/>
    <n v="20.41"/>
    <n v="46"/>
    <n v="44"/>
    <n v="137"/>
    <n v="362"/>
    <n v="5478.03"/>
    <n v="13"/>
    <n v="349"/>
    <n v="19.18"/>
    <n v="1"/>
    <n v="42"/>
    <n v="857.22"/>
    <n v="0"/>
    <x v="0"/>
    <s v="OK"/>
  </r>
  <r>
    <s v="IT-10080"/>
    <s v="Anchor bolt A-80"/>
    <x v="2"/>
    <x v="2"/>
    <x v="1"/>
    <s v="2025-05"/>
    <n v="14.93"/>
    <n v="14.93"/>
    <n v="15.074438000000001"/>
    <n v="20.41"/>
    <n v="46"/>
    <n v="41"/>
    <n v="146"/>
    <n v="347"/>
    <n v="5230.83"/>
    <n v="39"/>
    <n v="308"/>
    <n v="13.53"/>
    <n v="1"/>
    <n v="161"/>
    <n v="3286.01"/>
    <n v="0"/>
    <x v="0"/>
    <s v="OK"/>
  </r>
  <r>
    <s v="IT-10080"/>
    <s v="Anchor bolt A-80"/>
    <x v="2"/>
    <x v="2"/>
    <x v="1"/>
    <s v="2025-06"/>
    <n v="15.1"/>
    <n v="15.1"/>
    <n v="15.085452"/>
    <n v="20.41"/>
    <n v="46"/>
    <n v="40"/>
    <n v="263"/>
    <n v="431"/>
    <n v="6501.83"/>
    <n v="46"/>
    <n v="385"/>
    <n v="14.67"/>
    <n v="0"/>
    <n v="179"/>
    <n v="3653.39"/>
    <n v="0"/>
    <x v="0"/>
    <s v="OK"/>
  </r>
  <r>
    <s v="IT-10080"/>
    <s v="Anchor bolt A-80"/>
    <x v="2"/>
    <x v="2"/>
    <x v="1"/>
    <s v="2025-07"/>
    <n v="15.07"/>
    <n v="15.07"/>
    <n v="15.08545"/>
    <n v="20.41"/>
    <n v="46"/>
    <m/>
    <n v="0"/>
    <n v="222"/>
    <n v="3348.97"/>
    <n v="33"/>
    <n v="189"/>
    <n v="5.31"/>
    <n v="0"/>
    <n v="209"/>
    <n v="4265.6899999999996"/>
    <n v="0"/>
    <x v="0"/>
    <s v="OK"/>
  </r>
  <r>
    <s v="IT-10080"/>
    <s v="Anchor bolt A-80"/>
    <x v="2"/>
    <x v="2"/>
    <x v="1"/>
    <s v="2025-08"/>
    <n v="15.08"/>
    <n v="15.08"/>
    <n v="15.083102999999999"/>
    <n v="20.41"/>
    <n v="46"/>
    <n v="51"/>
    <n v="168"/>
    <n v="261"/>
    <n v="3936.69"/>
    <n v="39"/>
    <n v="222"/>
    <n v="6.63"/>
    <n v="0"/>
    <n v="129"/>
    <n v="2632.89"/>
    <n v="0"/>
    <x v="0"/>
    <s v="OK"/>
  </r>
  <r>
    <s v="IT-10080"/>
    <s v="Anchor bolt A-80"/>
    <x v="2"/>
    <x v="2"/>
    <x v="1"/>
    <s v="2025-09"/>
    <n v="14.89"/>
    <n v="14.89"/>
    <n v="15.0832"/>
    <n v="20.41"/>
    <n v="46"/>
    <m/>
    <n v="0"/>
    <n v="50"/>
    <n v="754.16"/>
    <n v="46"/>
    <n v="4"/>
    <n v="1.2"/>
    <n v="0"/>
    <n v="211"/>
    <n v="4306.51"/>
    <n v="0"/>
    <x v="0"/>
    <s v="OK"/>
  </r>
  <r>
    <s v="IT-10080"/>
    <s v="Anchor bolt A-80"/>
    <x v="2"/>
    <x v="2"/>
    <x v="1"/>
    <s v="2025-10"/>
    <n v="15.09"/>
    <n v="15.09"/>
    <n v="15.0832"/>
    <n v="20.41"/>
    <n v="46"/>
    <m/>
    <n v="0"/>
    <n v="0"/>
    <n v="0"/>
    <n v="0"/>
    <n v="0"/>
    <n v="0"/>
    <n v="2"/>
    <n v="50"/>
    <n v="1020.5"/>
    <n v="148"/>
    <x v="1"/>
    <s v="OK"/>
  </r>
  <r>
    <s v="IT-10080"/>
    <s v="Anchor bolt A-80"/>
    <x v="2"/>
    <x v="2"/>
    <x v="1"/>
    <s v="2025-11"/>
    <n v="14.91"/>
    <n v="14.91"/>
    <n v="14.91"/>
    <n v="20.41"/>
    <n v="46"/>
    <n v="79"/>
    <n v="101"/>
    <n v="0"/>
    <n v="0"/>
    <n v="0"/>
    <n v="0"/>
    <n v="0"/>
    <n v="7"/>
    <n v="101"/>
    <n v="2061.41"/>
    <n v="116"/>
    <x v="1"/>
    <s v="OK"/>
  </r>
  <r>
    <s v="IT-10080"/>
    <s v="Anchor bolt A-80"/>
    <x v="2"/>
    <x v="2"/>
    <x v="1"/>
    <s v="2025-12"/>
    <n v="15.68"/>
    <n v="15.68"/>
    <n v="15.68"/>
    <n v="20.41"/>
    <n v="46"/>
    <n v="44"/>
    <n v="569"/>
    <n v="339"/>
    <n v="5315.52"/>
    <n v="66"/>
    <n v="273"/>
    <n v="11.69"/>
    <n v="5"/>
    <n v="230"/>
    <n v="4694.3"/>
    <n v="0"/>
    <x v="0"/>
    <s v="OK"/>
  </r>
  <r>
    <s v="IT-10080"/>
    <s v="Anchor bolt A-80"/>
    <x v="2"/>
    <x v="2"/>
    <x v="1"/>
    <s v="2026-01"/>
    <n v="15.3"/>
    <n v="15.3"/>
    <n v="15.68"/>
    <n v="20.41"/>
    <n v="46"/>
    <m/>
    <n v="0"/>
    <n v="179"/>
    <n v="2806.72"/>
    <n v="33"/>
    <n v="146"/>
    <n v="4.79"/>
    <n v="1"/>
    <n v="160"/>
    <n v="3265.6"/>
    <n v="0"/>
    <x v="0"/>
    <s v="OK"/>
  </r>
  <r>
    <s v="IT-10080"/>
    <s v="Anchor bolt A-80"/>
    <x v="2"/>
    <x v="2"/>
    <x v="1"/>
    <s v="2026-02"/>
    <n v="15.38"/>
    <n v="15.38"/>
    <n v="15.68"/>
    <n v="20.92"/>
    <n v="46"/>
    <m/>
    <n v="0"/>
    <n v="0"/>
    <n v="0"/>
    <n v="0"/>
    <n v="0"/>
    <n v="0"/>
    <n v="3"/>
    <n v="179"/>
    <n v="3744.68"/>
    <n v="63"/>
    <x v="1"/>
    <s v="OK"/>
  </r>
  <r>
    <s v="IT-10080"/>
    <s v="Anchor bolt A-80"/>
    <x v="2"/>
    <x v="2"/>
    <x v="1"/>
    <s v="2026-03"/>
    <n v="15.58"/>
    <n v="15.58"/>
    <n v="15.68"/>
    <n v="20.92"/>
    <n v="46"/>
    <m/>
    <n v="0"/>
    <n v="0"/>
    <n v="0"/>
    <n v="0"/>
    <n v="0"/>
    <n v="0"/>
    <n v="34"/>
    <n v="0"/>
    <n v="0"/>
    <n v="271"/>
    <x v="1"/>
    <s v="OK"/>
  </r>
  <r>
    <s v="IT-10080"/>
    <s v="Anchor bolt A-80"/>
    <x v="2"/>
    <x v="2"/>
    <x v="1"/>
    <s v="2026-04"/>
    <n v="15.68"/>
    <n v="15.68"/>
    <n v="15.68"/>
    <n v="20.92"/>
    <n v="46"/>
    <n v="57"/>
    <n v="672"/>
    <n v="429"/>
    <n v="6726.72"/>
    <n v="20"/>
    <n v="409"/>
    <n v="12.93"/>
    <n v="3"/>
    <n v="243"/>
    <n v="5083.5600000000004"/>
    <n v="0"/>
    <x v="0"/>
    <s v="OK"/>
  </r>
  <r>
    <s v="IT-10080"/>
    <s v="Anchor bolt A-80"/>
    <x v="2"/>
    <x v="2"/>
    <x v="1"/>
    <s v="2026-05"/>
    <n v="15.63"/>
    <n v="15.63"/>
    <n v="15.68"/>
    <n v="20.92"/>
    <n v="46"/>
    <m/>
    <n v="0"/>
    <n v="294"/>
    <n v="4609.92"/>
    <n v="39"/>
    <n v="255"/>
    <n v="10.220000000000001"/>
    <n v="0"/>
    <n v="135"/>
    <n v="2824.2"/>
    <n v="0"/>
    <x v="0"/>
    <s v="OK"/>
  </r>
  <r>
    <s v="IT-10080"/>
    <s v="Anchor bolt A-80"/>
    <x v="2"/>
    <x v="2"/>
    <x v="1"/>
    <s v="2026-06"/>
    <n v="15.73"/>
    <n v="15.73"/>
    <n v="15.693269000000001"/>
    <n v="20.92"/>
    <n v="46"/>
    <n v="45"/>
    <n v="106"/>
    <n v="104"/>
    <n v="1632.1"/>
    <n v="33"/>
    <n v="71"/>
    <n v="2.0099999999999998"/>
    <n v="1"/>
    <n v="296"/>
    <n v="6192.32"/>
    <n v="0"/>
    <x v="0"/>
    <s v="OK"/>
  </r>
  <r>
    <s v="IT-10080"/>
    <s v="Anchor bolt A-80"/>
    <x v="2"/>
    <x v="2"/>
    <x v="1"/>
    <s v="2026-07"/>
    <n v="15.84"/>
    <n v="15.84"/>
    <n v="15.783068999999999"/>
    <n v="20.92"/>
    <n v="46"/>
    <n v="40"/>
    <n v="164"/>
    <n v="101"/>
    <n v="1594.09"/>
    <n v="26"/>
    <n v="75"/>
    <n v="2.2200000000000002"/>
    <n v="5"/>
    <n v="167"/>
    <n v="3493.64"/>
    <n v="0"/>
    <x v="0"/>
    <s v="OK"/>
  </r>
  <r>
    <s v="IT-10080"/>
    <s v="Anchor bolt A-80"/>
    <x v="2"/>
    <x v="2"/>
    <x v="1"/>
    <s v="2026-08"/>
    <n v="15.54"/>
    <n v="15.54"/>
    <n v="15.590612"/>
    <n v="20.92"/>
    <n v="46"/>
    <n v="44"/>
    <n v="384"/>
    <n v="278"/>
    <n v="4334.1899999999996"/>
    <n v="13"/>
    <n v="265"/>
    <n v="5.45"/>
    <n v="2"/>
    <n v="207"/>
    <n v="4330.4399999999996"/>
    <n v="0"/>
    <x v="0"/>
    <s v="OK"/>
  </r>
  <r>
    <s v="IT-10081"/>
    <s v="Relay 10-81"/>
    <x v="3"/>
    <x v="3"/>
    <x v="0"/>
    <s v="2024-09"/>
    <n v="105.39"/>
    <n v="105.39"/>
    <n v="105.453537"/>
    <n v="141.30000000000001"/>
    <n v="51"/>
    <m/>
    <n v="0"/>
    <n v="82"/>
    <n v="8647.19"/>
    <n v="10"/>
    <n v="72"/>
    <n v="13.64"/>
    <n v="12"/>
    <n v="10"/>
    <n v="1413"/>
    <n v="0"/>
    <x v="0"/>
    <s v="OK"/>
  </r>
  <r>
    <s v="IT-10081"/>
    <s v="Relay 10-81"/>
    <x v="3"/>
    <x v="3"/>
    <x v="0"/>
    <s v="2024-10"/>
    <n v="103.62"/>
    <n v="103.62"/>
    <n v="104.962391"/>
    <n v="141.30000000000001"/>
    <n v="51"/>
    <n v="63"/>
    <n v="30"/>
    <n v="92"/>
    <n v="9656.5400000000009"/>
    <n v="4"/>
    <n v="88"/>
    <n v="16.559999999999999"/>
    <n v="2"/>
    <n v="20"/>
    <n v="2826"/>
    <n v="0"/>
    <x v="0"/>
    <s v="OK"/>
  </r>
  <r>
    <s v="IT-10081"/>
    <s v="Relay 10-81"/>
    <x v="3"/>
    <x v="3"/>
    <x v="0"/>
    <s v="2024-11"/>
    <n v="106.05"/>
    <n v="106.05"/>
    <n v="105.2803"/>
    <n v="141.30000000000001"/>
    <n v="51"/>
    <n v="83"/>
    <n v="38"/>
    <n v="100"/>
    <n v="10528.03"/>
    <n v="2"/>
    <n v="98"/>
    <n v="21.67"/>
    <n v="0"/>
    <n v="30"/>
    <n v="4239"/>
    <n v="0"/>
    <x v="0"/>
    <s v="OK"/>
  </r>
  <r>
    <s v="IT-10081"/>
    <s v="Relay 10-81"/>
    <x v="3"/>
    <x v="3"/>
    <x v="0"/>
    <s v="2024-12"/>
    <n v="105.89"/>
    <n v="105.89"/>
    <n v="105.28037"/>
    <n v="141.30000000000001"/>
    <n v="51"/>
    <m/>
    <n v="0"/>
    <n v="54"/>
    <n v="5685.14"/>
    <n v="3"/>
    <n v="51"/>
    <n v="7.39"/>
    <n v="3"/>
    <n v="46"/>
    <n v="6499.8"/>
    <n v="0"/>
    <x v="0"/>
    <s v="OK"/>
  </r>
  <r>
    <s v="IT-10081"/>
    <s v="Relay 10-81"/>
    <x v="3"/>
    <x v="3"/>
    <x v="0"/>
    <s v="2025-01"/>
    <n v="104.24"/>
    <n v="104.24"/>
    <n v="105.11799999999999"/>
    <n v="141.30000000000001"/>
    <n v="51"/>
    <n v="89"/>
    <n v="10"/>
    <n v="10"/>
    <n v="1051.18"/>
    <n v="5"/>
    <n v="5"/>
    <n v="1.01"/>
    <n v="0"/>
    <n v="54"/>
    <n v="7630.2"/>
    <n v="0"/>
    <x v="0"/>
    <s v="OK"/>
  </r>
  <r>
    <s v="IT-10081"/>
    <s v="Relay 10-81"/>
    <x v="3"/>
    <x v="3"/>
    <x v="0"/>
    <s v="2025-02"/>
    <n v="105.91"/>
    <n v="105.91"/>
    <n v="105.11799999999999"/>
    <n v="147.29"/>
    <n v="51"/>
    <m/>
    <n v="0"/>
    <n v="0"/>
    <n v="0"/>
    <n v="0"/>
    <n v="0"/>
    <n v="0"/>
    <n v="3"/>
    <n v="10"/>
    <n v="1472.9"/>
    <n v="37"/>
    <x v="1"/>
    <s v="OK"/>
  </r>
  <r>
    <s v="IT-10081"/>
    <s v="Relay 10-81"/>
    <x v="3"/>
    <x v="3"/>
    <x v="0"/>
    <s v="2025-03"/>
    <n v="109.2"/>
    <n v="109.2"/>
    <n v="109.2"/>
    <n v="147.29"/>
    <n v="51"/>
    <n v="74"/>
    <n v="120"/>
    <n v="94"/>
    <n v="10264.799999999999"/>
    <n v="2"/>
    <n v="92"/>
    <n v="13.43"/>
    <n v="10"/>
    <n v="26"/>
    <n v="3829.54"/>
    <n v="0"/>
    <x v="0"/>
    <s v="OK"/>
  </r>
  <r>
    <s v="IT-10081"/>
    <s v="Relay 10-81"/>
    <x v="3"/>
    <x v="3"/>
    <x v="0"/>
    <s v="2025-04"/>
    <n v="110.18"/>
    <n v="110.18"/>
    <n v="109.294237"/>
    <n v="147.29"/>
    <n v="51"/>
    <n v="76"/>
    <n v="10"/>
    <n v="59"/>
    <n v="6448.36"/>
    <n v="5"/>
    <n v="54"/>
    <n v="9.26"/>
    <n v="8"/>
    <n v="45"/>
    <n v="6628.05"/>
    <n v="0"/>
    <x v="0"/>
    <s v="OK"/>
  </r>
  <r>
    <s v="IT-10081"/>
    <s v="Relay 10-81"/>
    <x v="3"/>
    <x v="3"/>
    <x v="0"/>
    <s v="2025-05"/>
    <n v="110.16"/>
    <n v="110.16"/>
    <n v="109.668806"/>
    <n v="147.29"/>
    <n v="51"/>
    <n v="62"/>
    <n v="45"/>
    <n v="67"/>
    <n v="7347.81"/>
    <n v="4"/>
    <n v="63"/>
    <n v="8.15"/>
    <n v="4"/>
    <n v="37"/>
    <n v="5449.73"/>
    <n v="0"/>
    <x v="0"/>
    <s v="OK"/>
  </r>
  <r>
    <s v="IT-10081"/>
    <s v="Relay 10-81"/>
    <x v="3"/>
    <x v="3"/>
    <x v="0"/>
    <s v="2025-06"/>
    <n v="112.93"/>
    <n v="112.93"/>
    <n v="109.66880999999999"/>
    <n v="147.29"/>
    <n v="51"/>
    <m/>
    <n v="0"/>
    <n v="42"/>
    <n v="4606.09"/>
    <n v="5"/>
    <n v="37"/>
    <n v="5.0999999999999996"/>
    <n v="4"/>
    <n v="25"/>
    <n v="3682.25"/>
    <n v="0"/>
    <x v="0"/>
    <s v="OK"/>
  </r>
  <r>
    <s v="IT-10081"/>
    <s v="Relay 10-81"/>
    <x v="3"/>
    <x v="3"/>
    <x v="0"/>
    <s v="2025-07"/>
    <n v="112.59"/>
    <n v="112.59"/>
    <n v="111.681228"/>
    <n v="147.29"/>
    <n v="51"/>
    <n v="50"/>
    <n v="93"/>
    <n v="114"/>
    <n v="12731.66"/>
    <n v="7"/>
    <n v="107"/>
    <n v="18.05"/>
    <n v="5"/>
    <n v="21"/>
    <n v="3093.09"/>
    <n v="0"/>
    <x v="0"/>
    <s v="OK"/>
  </r>
  <r>
    <s v="IT-10081"/>
    <s v="Relay 10-81"/>
    <x v="3"/>
    <x v="3"/>
    <x v="0"/>
    <s v="2025-08"/>
    <n v="110.31"/>
    <n v="110.31"/>
    <n v="111.681236"/>
    <n v="147.29"/>
    <n v="51"/>
    <m/>
    <n v="0"/>
    <n v="89"/>
    <n v="9939.6299999999992"/>
    <n v="7"/>
    <n v="82"/>
    <n v="16.47"/>
    <n v="1"/>
    <n v="25"/>
    <n v="3682.25"/>
    <n v="0"/>
    <x v="0"/>
    <s v="OK"/>
  </r>
  <r>
    <s v="IT-10081"/>
    <s v="Relay 10-81"/>
    <x v="3"/>
    <x v="3"/>
    <x v="0"/>
    <s v="2025-09"/>
    <n v="112.28"/>
    <n v="112.28"/>
    <n v="111.888182"/>
    <n v="147.29"/>
    <n v="51"/>
    <n v="46"/>
    <n v="47"/>
    <n v="121"/>
    <n v="13538.47"/>
    <n v="8"/>
    <n v="113"/>
    <n v="26.07"/>
    <n v="11"/>
    <n v="15"/>
    <n v="2209.35"/>
    <n v="0"/>
    <x v="0"/>
    <s v="OK"/>
  </r>
  <r>
    <s v="IT-10081"/>
    <s v="Relay 10-81"/>
    <x v="3"/>
    <x v="3"/>
    <x v="0"/>
    <s v="2025-10"/>
    <n v="112.57"/>
    <n v="112.57"/>
    <n v="111.940259"/>
    <n v="147.29"/>
    <n v="51"/>
    <n v="58"/>
    <n v="10"/>
    <n v="116"/>
    <n v="12985.07"/>
    <n v="2"/>
    <n v="114"/>
    <n v="27.72"/>
    <n v="6"/>
    <n v="15"/>
    <n v="2209.35"/>
    <n v="0"/>
    <x v="0"/>
    <s v="OK"/>
  </r>
  <r>
    <s v="IT-10081"/>
    <s v="Relay 10-81"/>
    <x v="3"/>
    <x v="3"/>
    <x v="0"/>
    <s v="2025-11"/>
    <n v="108.99"/>
    <n v="108.99"/>
    <n v="111.940303"/>
    <n v="147.29"/>
    <n v="51"/>
    <m/>
    <n v="0"/>
    <n v="66"/>
    <n v="7388.06"/>
    <n v="10"/>
    <n v="56"/>
    <n v="10.73"/>
    <n v="8"/>
    <n v="50"/>
    <n v="7364.5"/>
    <n v="0"/>
    <x v="0"/>
    <s v="OK"/>
  </r>
  <r>
    <s v="IT-10081"/>
    <s v="Relay 10-81"/>
    <x v="3"/>
    <x v="3"/>
    <x v="0"/>
    <s v="2025-12"/>
    <n v="112.56"/>
    <n v="112.56"/>
    <n v="112.184783"/>
    <n v="147.29"/>
    <n v="51"/>
    <n v="46"/>
    <n v="43"/>
    <n v="92"/>
    <n v="10321"/>
    <n v="2"/>
    <n v="90"/>
    <n v="14.75"/>
    <n v="4"/>
    <n v="17"/>
    <n v="2503.9299999999998"/>
    <n v="0"/>
    <x v="0"/>
    <s v="OK"/>
  </r>
  <r>
    <s v="IT-10081"/>
    <s v="Relay 10-81"/>
    <x v="3"/>
    <x v="3"/>
    <x v="0"/>
    <s v="2026-01"/>
    <n v="110.47"/>
    <n v="110.47"/>
    <n v="111.83"/>
    <n v="147.29"/>
    <n v="51"/>
    <n v="47"/>
    <n v="24"/>
    <n v="79"/>
    <n v="8834.57"/>
    <n v="7"/>
    <n v="72"/>
    <n v="9.98"/>
    <n v="6"/>
    <n v="37"/>
    <n v="5449.73"/>
    <n v="0"/>
    <x v="0"/>
    <s v="OK"/>
  </r>
  <r>
    <s v="IT-10081"/>
    <s v="Relay 10-81"/>
    <x v="3"/>
    <x v="3"/>
    <x v="0"/>
    <s v="2026-02"/>
    <n v="112.94"/>
    <n v="112.94"/>
    <n v="111.83"/>
    <n v="153.53"/>
    <n v="51"/>
    <m/>
    <n v="0"/>
    <n v="53"/>
    <n v="5926.99"/>
    <n v="9"/>
    <n v="44"/>
    <n v="8.52"/>
    <n v="2"/>
    <n v="26"/>
    <n v="3991.78"/>
    <n v="0"/>
    <x v="0"/>
    <s v="OK"/>
  </r>
  <r>
    <s v="IT-10081"/>
    <s v="Relay 10-81"/>
    <x v="3"/>
    <x v="3"/>
    <x v="0"/>
    <s v="2026-03"/>
    <n v="118.53"/>
    <n v="118.53"/>
    <n v="115.68924699999999"/>
    <n v="153.53"/>
    <n v="51"/>
    <n v="48"/>
    <n v="72"/>
    <n v="93"/>
    <n v="10759.1"/>
    <n v="3"/>
    <n v="90"/>
    <n v="12.59"/>
    <n v="0"/>
    <n v="32"/>
    <n v="4912.96"/>
    <n v="0"/>
    <x v="0"/>
    <s v="OK"/>
  </r>
  <r>
    <s v="IT-10081"/>
    <s v="Relay 10-81"/>
    <x v="3"/>
    <x v="3"/>
    <x v="0"/>
    <s v="2026-04"/>
    <n v="118.71"/>
    <n v="118.71"/>
    <n v="116.74547200000001"/>
    <n v="153.53"/>
    <n v="51"/>
    <n v="45"/>
    <n v="50"/>
    <n v="106"/>
    <n v="12375.02"/>
    <n v="7"/>
    <n v="99"/>
    <n v="14.19"/>
    <n v="5"/>
    <n v="37"/>
    <n v="5680.61"/>
    <n v="0"/>
    <x v="0"/>
    <s v="OK"/>
  </r>
  <r>
    <s v="IT-10081"/>
    <s v="Relay 10-81"/>
    <x v="3"/>
    <x v="3"/>
    <x v="0"/>
    <s v="2026-05"/>
    <n v="116.38"/>
    <n v="116.38"/>
    <n v="116.745417"/>
    <n v="153.53"/>
    <n v="51"/>
    <m/>
    <n v="0"/>
    <n v="72"/>
    <n v="8405.67"/>
    <n v="7"/>
    <n v="65"/>
    <n v="9.19"/>
    <n v="1"/>
    <n v="34"/>
    <n v="5220.0200000000004"/>
    <n v="0"/>
    <x v="0"/>
    <s v="OK"/>
  </r>
  <r>
    <s v="IT-10081"/>
    <s v="Relay 10-81"/>
    <x v="3"/>
    <x v="3"/>
    <x v="0"/>
    <s v="2026-06"/>
    <n v="116.76"/>
    <n v="116.76"/>
    <n v="116.750213"/>
    <n v="153.53"/>
    <n v="51"/>
    <n v="82"/>
    <n v="35"/>
    <n v="94"/>
    <n v="10974.52"/>
    <n v="8"/>
    <n v="86"/>
    <n v="14.55"/>
    <n v="2"/>
    <n v="13"/>
    <n v="1995.89"/>
    <n v="0"/>
    <x v="0"/>
    <s v="OK"/>
  </r>
  <r>
    <s v="IT-10081"/>
    <s v="Relay 10-81"/>
    <x v="3"/>
    <x v="3"/>
    <x v="0"/>
    <s v="2026-07"/>
    <n v="118.45"/>
    <n v="118.45"/>
    <n v="116.750179"/>
    <n v="153.53"/>
    <n v="51"/>
    <m/>
    <n v="0"/>
    <n v="56"/>
    <n v="6538.01"/>
    <n v="3"/>
    <n v="53"/>
    <n v="8.66"/>
    <n v="0"/>
    <n v="38"/>
    <n v="5834.14"/>
    <n v="0"/>
    <x v="0"/>
    <s v="OK"/>
  </r>
  <r>
    <s v="IT-10081"/>
    <s v="Relay 10-81"/>
    <x v="3"/>
    <x v="3"/>
    <x v="0"/>
    <s v="2026-08"/>
    <n v="119.19"/>
    <n v="119.19"/>
    <n v="118.162696"/>
    <n v="153.53"/>
    <n v="51"/>
    <n v="46"/>
    <n v="77"/>
    <n v="115"/>
    <n v="13588.71"/>
    <n v="8"/>
    <n v="107"/>
    <n v="21.9"/>
    <n v="5"/>
    <n v="18"/>
    <n v="2763.54"/>
    <n v="0"/>
    <x v="0"/>
    <s v="OK"/>
  </r>
  <r>
    <s v="IT-10082"/>
    <s v="Roller bearing S-82"/>
    <x v="0"/>
    <x v="0"/>
    <x v="0"/>
    <s v="2024-09"/>
    <n v="9.84"/>
    <n v="10.69"/>
    <n v="10.713939"/>
    <n v="14.35"/>
    <n v="29"/>
    <n v="48"/>
    <n v="67"/>
    <n v="66"/>
    <n v="707.12"/>
    <n v="22"/>
    <n v="44"/>
    <n v="2.72"/>
    <n v="12"/>
    <n v="186"/>
    <n v="2669.1"/>
    <n v="0"/>
    <x v="0"/>
    <s v="OK"/>
  </r>
  <r>
    <s v="IT-10082"/>
    <s v="Roller bearing S-82"/>
    <x v="0"/>
    <x v="0"/>
    <x v="0"/>
    <s v="2024-10"/>
    <n v="9.89"/>
    <n v="10.74"/>
    <n v="10.73236"/>
    <n v="14.35"/>
    <n v="29"/>
    <n v="26"/>
    <n v="158"/>
    <n v="89"/>
    <n v="955.18"/>
    <n v="31"/>
    <n v="58"/>
    <n v="2.98"/>
    <n v="7"/>
    <n v="135"/>
    <n v="1937.25"/>
    <n v="0"/>
    <x v="0"/>
    <s v="OK"/>
  </r>
  <r>
    <s v="IT-10082"/>
    <s v="Roller bearing S-82"/>
    <x v="0"/>
    <x v="0"/>
    <x v="0"/>
    <s v="2024-11"/>
    <n v="9.8699999999999992"/>
    <n v="10.72"/>
    <n v="10.722811"/>
    <n v="14.35"/>
    <n v="29"/>
    <n v="25"/>
    <n v="301"/>
    <n v="281"/>
    <n v="3013.11"/>
    <n v="27"/>
    <n v="254"/>
    <n v="8.5"/>
    <n v="2"/>
    <n v="109"/>
    <n v="1564.15"/>
    <n v="0"/>
    <x v="0"/>
    <s v="OK"/>
  </r>
  <r>
    <s v="IT-10082"/>
    <s v="Roller bearing S-82"/>
    <x v="0"/>
    <x v="0"/>
    <x v="0"/>
    <s v="2024-12"/>
    <n v="9.8800000000000008"/>
    <n v="10.73"/>
    <n v="10.722832"/>
    <n v="14.35"/>
    <n v="29"/>
    <m/>
    <n v="0"/>
    <n v="113"/>
    <n v="1211.68"/>
    <n v="27"/>
    <n v="86"/>
    <n v="3.6"/>
    <n v="2"/>
    <n v="168"/>
    <n v="2410.8000000000002"/>
    <n v="0"/>
    <x v="0"/>
    <s v="OK"/>
  </r>
  <r>
    <s v="IT-10082"/>
    <s v="Roller bearing S-82"/>
    <x v="0"/>
    <x v="0"/>
    <x v="0"/>
    <s v="2025-01"/>
    <n v="9.81"/>
    <n v="10.65"/>
    <n v="10.685305"/>
    <n v="14.35"/>
    <n v="29"/>
    <n v="25"/>
    <n v="120"/>
    <n v="213"/>
    <n v="2275.9699999999998"/>
    <n v="27"/>
    <n v="186"/>
    <n v="9.43"/>
    <n v="3"/>
    <n v="20"/>
    <n v="287"/>
    <n v="0"/>
    <x v="0"/>
    <s v="OK"/>
  </r>
  <r>
    <s v="IT-10082"/>
    <s v="Roller bearing S-82"/>
    <x v="0"/>
    <x v="0"/>
    <x v="0"/>
    <s v="2025-02"/>
    <n v="10.130000000000001"/>
    <n v="11"/>
    <n v="10.685349"/>
    <n v="14.72"/>
    <n v="29"/>
    <m/>
    <n v="0"/>
    <n v="86"/>
    <n v="918.94"/>
    <n v="36"/>
    <n v="50"/>
    <n v="3.51"/>
    <n v="2"/>
    <n v="127"/>
    <n v="1869.44"/>
    <n v="0"/>
    <x v="0"/>
    <s v="OK"/>
  </r>
  <r>
    <s v="IT-10082"/>
    <s v="Roller bearing S-82"/>
    <x v="0"/>
    <x v="0"/>
    <x v="0"/>
    <s v="2025-03"/>
    <n v="9.83"/>
    <n v="10.68"/>
    <n v="10.681093000000001"/>
    <n v="14.72"/>
    <n v="29"/>
    <n v="26"/>
    <n v="332"/>
    <n v="302"/>
    <n v="3225.69"/>
    <n v="36"/>
    <n v="266"/>
    <n v="14.76"/>
    <n v="3"/>
    <n v="116"/>
    <n v="1707.52"/>
    <n v="0"/>
    <x v="0"/>
    <s v="OK"/>
  </r>
  <r>
    <s v="IT-10082"/>
    <s v="Roller bearing S-82"/>
    <x v="0"/>
    <x v="0"/>
    <x v="0"/>
    <s v="2025-04"/>
    <n v="10.220000000000001"/>
    <n v="11.1"/>
    <n v="10.681084"/>
    <n v="14.72"/>
    <n v="29"/>
    <m/>
    <n v="0"/>
    <n v="203"/>
    <n v="2168.2600000000002"/>
    <n v="13"/>
    <n v="190"/>
    <n v="7.55"/>
    <n v="1"/>
    <n v="99"/>
    <n v="1457.28"/>
    <n v="0"/>
    <x v="0"/>
    <s v="OK"/>
  </r>
  <r>
    <s v="IT-10082"/>
    <s v="Roller bearing S-82"/>
    <x v="0"/>
    <x v="0"/>
    <x v="0"/>
    <s v="2025-05"/>
    <n v="10.4"/>
    <n v="11.29"/>
    <n v="10.823594"/>
    <n v="14.72"/>
    <n v="29"/>
    <n v="28"/>
    <n v="62"/>
    <n v="64"/>
    <n v="692.71"/>
    <n v="36"/>
    <n v="28"/>
    <n v="2.02"/>
    <n v="2"/>
    <n v="201"/>
    <n v="2958.72"/>
    <n v="0"/>
    <x v="0"/>
    <s v="OK"/>
  </r>
  <r>
    <s v="IT-10082"/>
    <s v="Roller bearing S-82"/>
    <x v="0"/>
    <x v="0"/>
    <x v="0"/>
    <s v="2025-06"/>
    <n v="10.17"/>
    <n v="11.04"/>
    <n v="11.006292999999999"/>
    <n v="14.72"/>
    <n v="29"/>
    <n v="29"/>
    <n v="347"/>
    <n v="259"/>
    <n v="2850.63"/>
    <n v="22"/>
    <n v="237"/>
    <n v="7.45"/>
    <n v="3"/>
    <n v="152"/>
    <n v="2237.44"/>
    <n v="0"/>
    <x v="0"/>
    <s v="OK"/>
  </r>
  <r>
    <s v="IT-10082"/>
    <s v="Roller bearing S-82"/>
    <x v="0"/>
    <x v="0"/>
    <x v="0"/>
    <s v="2025-07"/>
    <n v="10.07"/>
    <n v="10.94"/>
    <n v="11.006316"/>
    <n v="14.72"/>
    <n v="29"/>
    <m/>
    <n v="0"/>
    <n v="57"/>
    <n v="627.36"/>
    <n v="27"/>
    <n v="30"/>
    <n v="1.35"/>
    <n v="0"/>
    <n v="202"/>
    <n v="2973.44"/>
    <n v="0"/>
    <x v="0"/>
    <s v="OK"/>
  </r>
  <r>
    <s v="IT-10082"/>
    <s v="Roller bearing S-82"/>
    <x v="0"/>
    <x v="0"/>
    <x v="0"/>
    <s v="2025-08"/>
    <n v="10.19"/>
    <n v="11.07"/>
    <n v="11.054570999999999"/>
    <n v="14.72"/>
    <n v="29"/>
    <n v="48"/>
    <n v="178"/>
    <n v="35"/>
    <n v="386.91"/>
    <n v="22"/>
    <n v="13"/>
    <n v="0.83"/>
    <n v="2"/>
    <n v="200"/>
    <n v="2944"/>
    <n v="0"/>
    <x v="0"/>
    <s v="OK"/>
  </r>
  <r>
    <s v="IT-10082"/>
    <s v="Roller bearing S-82"/>
    <x v="0"/>
    <x v="0"/>
    <x v="0"/>
    <s v="2025-09"/>
    <n v="10.39"/>
    <n v="11.28"/>
    <n v="11.257896000000001"/>
    <n v="14.72"/>
    <n v="29"/>
    <n v="27"/>
    <n v="322"/>
    <n v="309"/>
    <n v="3478.69"/>
    <n v="36"/>
    <n v="273"/>
    <n v="9.02"/>
    <n v="4"/>
    <n v="48"/>
    <n v="706.56"/>
    <n v="0"/>
    <x v="0"/>
    <s v="OK"/>
  </r>
  <r>
    <s v="IT-10082"/>
    <s v="Roller bearing S-82"/>
    <x v="0"/>
    <x v="0"/>
    <x v="0"/>
    <s v="2025-10"/>
    <n v="10.3"/>
    <n v="11.19"/>
    <n v="11.240795"/>
    <n v="14.72"/>
    <n v="29"/>
    <n v="29"/>
    <n v="104"/>
    <n v="302"/>
    <n v="3394.72"/>
    <n v="27"/>
    <n v="275"/>
    <n v="11.06"/>
    <n v="3"/>
    <n v="111"/>
    <n v="1633.92"/>
    <n v="0"/>
    <x v="0"/>
    <s v="OK"/>
  </r>
  <r>
    <s v="IT-10082"/>
    <s v="Roller bearing S-82"/>
    <x v="0"/>
    <x v="0"/>
    <x v="0"/>
    <s v="2025-11"/>
    <n v="10.4"/>
    <n v="11.29"/>
    <n v="11.252112"/>
    <n v="14.72"/>
    <n v="29"/>
    <n v="26"/>
    <n v="90"/>
    <n v="251"/>
    <n v="2824.28"/>
    <n v="40"/>
    <n v="211"/>
    <n v="10.88"/>
    <n v="0"/>
    <n v="141"/>
    <n v="2075.52"/>
    <n v="0"/>
    <x v="0"/>
    <s v="OK"/>
  </r>
  <r>
    <s v="IT-10082"/>
    <s v="Roller bearing S-82"/>
    <x v="0"/>
    <x v="0"/>
    <x v="0"/>
    <s v="2025-12"/>
    <n v="10.11"/>
    <n v="10.98"/>
    <n v="11.252134"/>
    <n v="14.72"/>
    <n v="29"/>
    <m/>
    <n v="0"/>
    <n v="164"/>
    <n v="1845.35"/>
    <n v="40"/>
    <n v="124"/>
    <n v="6.36"/>
    <n v="0"/>
    <n v="87"/>
    <n v="1280.6400000000001"/>
    <n v="0"/>
    <x v="0"/>
    <s v="OK"/>
  </r>
  <r>
    <s v="IT-10082"/>
    <s v="Roller bearing S-82"/>
    <x v="0"/>
    <x v="0"/>
    <x v="0"/>
    <s v="2026-01"/>
    <n v="10.14"/>
    <n v="11.01"/>
    <n v="11.148846000000001"/>
    <n v="14.72"/>
    <n v="29"/>
    <n v="42"/>
    <n v="122"/>
    <n v="286"/>
    <n v="3188.57"/>
    <n v="44"/>
    <n v="242"/>
    <n v="16.489999999999998"/>
    <n v="31"/>
    <n v="0"/>
    <n v="0"/>
    <n v="0"/>
    <x v="0"/>
    <s v="OK"/>
  </r>
  <r>
    <s v="IT-10082"/>
    <s v="Roller bearing S-82"/>
    <x v="0"/>
    <x v="0"/>
    <x v="0"/>
    <s v="2026-02"/>
    <n v="10.36"/>
    <n v="11.25"/>
    <n v="11.169639"/>
    <n v="15.1"/>
    <n v="29"/>
    <n v="28"/>
    <n v="74"/>
    <n v="360"/>
    <n v="4021.07"/>
    <n v="22"/>
    <n v="338"/>
    <n v="53.2"/>
    <n v="59"/>
    <n v="0"/>
    <n v="0"/>
    <n v="0"/>
    <x v="0"/>
    <s v="OK"/>
  </r>
  <r>
    <s v="IT-10082"/>
    <s v="Roller bearing S-82"/>
    <x v="0"/>
    <x v="0"/>
    <x v="0"/>
    <s v="2026-03"/>
    <n v="10.17"/>
    <n v="11.04"/>
    <n v="11.169639"/>
    <n v="15.1"/>
    <n v="29"/>
    <m/>
    <n v="0"/>
    <n v="360"/>
    <n v="4021.07"/>
    <n v="40"/>
    <n v="320"/>
    <m/>
    <n v="90"/>
    <n v="0"/>
    <n v="0"/>
    <n v="0"/>
    <x v="0"/>
    <s v="OK"/>
  </r>
  <r>
    <s v="IT-10082"/>
    <s v="Roller bearing S-82"/>
    <x v="0"/>
    <x v="0"/>
    <x v="0"/>
    <s v="2026-04"/>
    <n v="10.74"/>
    <n v="11.66"/>
    <n v="11.169639"/>
    <n v="15.1"/>
    <n v="29"/>
    <m/>
    <n v="0"/>
    <n v="360"/>
    <n v="4021.07"/>
    <n v="18"/>
    <n v="342"/>
    <m/>
    <n v="120"/>
    <n v="0"/>
    <n v="0"/>
    <n v="0"/>
    <x v="0"/>
    <s v="OK"/>
  </r>
  <r>
    <s v="IT-10082"/>
    <s v="Roller bearing S-82"/>
    <x v="0"/>
    <x v="0"/>
    <x v="0"/>
    <s v="2026-05"/>
    <n v="10.5"/>
    <n v="11.4"/>
    <n v="11.241434"/>
    <n v="15.1"/>
    <n v="29"/>
    <n v="49"/>
    <n v="163"/>
    <n v="523"/>
    <n v="5879.27"/>
    <n v="36"/>
    <n v="487"/>
    <m/>
    <n v="151"/>
    <n v="0"/>
    <n v="0"/>
    <n v="0"/>
    <x v="0"/>
    <s v="OK"/>
  </r>
  <r>
    <s v="IT-10082"/>
    <s v="Roller bearing S-82"/>
    <x v="0"/>
    <x v="0"/>
    <x v="0"/>
    <s v="2026-06"/>
    <n v="10.51"/>
    <n v="11.41"/>
    <n v="11.241434"/>
    <n v="15.1"/>
    <n v="29"/>
    <m/>
    <n v="0"/>
    <n v="523"/>
    <n v="5879.27"/>
    <n v="40"/>
    <n v="483"/>
    <m/>
    <n v="181"/>
    <n v="0"/>
    <n v="0"/>
    <n v="0"/>
    <x v="0"/>
    <s v="OK"/>
  </r>
  <r>
    <s v="IT-10082"/>
    <s v="Roller bearing S-82"/>
    <x v="0"/>
    <x v="0"/>
    <x v="0"/>
    <s v="2026-07"/>
    <n v="10.71"/>
    <n v="11.63"/>
    <n v="11.241434"/>
    <n v="15.1"/>
    <n v="29"/>
    <m/>
    <n v="0"/>
    <n v="523"/>
    <n v="5879.27"/>
    <n v="9"/>
    <n v="514"/>
    <m/>
    <n v="212"/>
    <n v="0"/>
    <n v="0"/>
    <n v="0"/>
    <x v="0"/>
    <s v="OK"/>
  </r>
  <r>
    <s v="IT-10082"/>
    <s v="Roller bearing S-82"/>
    <x v="0"/>
    <x v="0"/>
    <x v="0"/>
    <s v="2026-08"/>
    <n v="10.52"/>
    <n v="11.42"/>
    <n v="11.241434"/>
    <n v="15.1"/>
    <n v="29"/>
    <m/>
    <n v="0"/>
    <n v="523"/>
    <n v="5879.27"/>
    <n v="44"/>
    <n v="479"/>
    <m/>
    <n v="243"/>
    <n v="0"/>
    <n v="0"/>
    <n v="0"/>
    <x v="0"/>
    <s v="OK"/>
  </r>
  <r>
    <s v="IT-10083"/>
    <s v="Bolt assortment 10-83"/>
    <x v="2"/>
    <x v="2"/>
    <x v="1"/>
    <s v="2024-09"/>
    <n v="630.04"/>
    <n v="630.04"/>
    <n v="629.63946699999997"/>
    <n v="892.82"/>
    <n v="30"/>
    <n v="41"/>
    <n v="29"/>
    <n v="75"/>
    <n v="47222.96"/>
    <n v="2"/>
    <n v="73"/>
    <n v="16.71"/>
    <n v="9"/>
    <n v="20"/>
    <n v="17856.400000000001"/>
    <n v="0"/>
    <x v="0"/>
    <s v="OK"/>
  </r>
  <r>
    <s v="IT-10083"/>
    <s v="Bolt assortment 10-83"/>
    <x v="2"/>
    <x v="2"/>
    <x v="1"/>
    <s v="2024-10"/>
    <n v="631.39"/>
    <n v="631.39"/>
    <n v="630.03654800000004"/>
    <n v="892.82"/>
    <n v="30"/>
    <n v="28"/>
    <n v="22"/>
    <n v="84"/>
    <n v="52923.07"/>
    <n v="2"/>
    <n v="82"/>
    <n v="19.37"/>
    <n v="2"/>
    <n v="13"/>
    <n v="11606.66"/>
    <n v="0"/>
    <x v="0"/>
    <s v="OK"/>
  </r>
  <r>
    <s v="IT-10083"/>
    <s v="Bolt assortment 10-83"/>
    <x v="2"/>
    <x v="2"/>
    <x v="1"/>
    <s v="2024-11"/>
    <n v="634.59"/>
    <n v="634.59"/>
    <n v="630.03654800000004"/>
    <n v="892.82"/>
    <n v="30"/>
    <m/>
    <n v="0"/>
    <n v="84"/>
    <n v="52923.07"/>
    <n v="4"/>
    <n v="80"/>
    <n v="33.090000000000003"/>
    <n v="32"/>
    <n v="0"/>
    <n v="0"/>
    <n v="0"/>
    <x v="0"/>
    <s v="OK"/>
  </r>
  <r>
    <s v="IT-10083"/>
    <s v="Bolt assortment 10-83"/>
    <x v="2"/>
    <x v="2"/>
    <x v="1"/>
    <s v="2024-12"/>
    <n v="663.07"/>
    <n v="663.07"/>
    <n v="639.55469700000003"/>
    <n v="892.82"/>
    <n v="30"/>
    <n v="27"/>
    <n v="34"/>
    <n v="66"/>
    <n v="42210.61"/>
    <n v="6"/>
    <n v="60"/>
    <n v="13.35"/>
    <n v="5"/>
    <n v="52"/>
    <n v="46426.64"/>
    <n v="0"/>
    <x v="0"/>
    <s v="OK"/>
  </r>
  <r>
    <s v="IT-10083"/>
    <s v="Bolt assortment 10-83"/>
    <x v="2"/>
    <x v="2"/>
    <x v="1"/>
    <s v="2025-01"/>
    <n v="660.54"/>
    <n v="660.54"/>
    <n v="639.55462999999997"/>
    <n v="892.82"/>
    <n v="30"/>
    <m/>
    <n v="0"/>
    <n v="54"/>
    <n v="34535.949999999997"/>
    <n v="6"/>
    <n v="48"/>
    <n v="11.09"/>
    <n v="2"/>
    <n v="12"/>
    <n v="10713.84"/>
    <n v="0"/>
    <x v="0"/>
    <s v="OK"/>
  </r>
  <r>
    <s v="IT-10083"/>
    <s v="Bolt assortment 10-83"/>
    <x v="2"/>
    <x v="2"/>
    <x v="1"/>
    <s v="2025-02"/>
    <n v="655.57"/>
    <n v="655.57"/>
    <n v="642.66222200000004"/>
    <n v="934.95"/>
    <n v="30"/>
    <n v="42"/>
    <n v="13"/>
    <n v="36"/>
    <n v="23135.84"/>
    <n v="3"/>
    <n v="33"/>
    <n v="4.87"/>
    <n v="9"/>
    <n v="31"/>
    <n v="28983.45"/>
    <n v="0"/>
    <x v="0"/>
    <s v="OK"/>
  </r>
  <r>
    <s v="IT-10083"/>
    <s v="Bolt assortment 10-83"/>
    <x v="2"/>
    <x v="2"/>
    <x v="1"/>
    <s v="2025-03"/>
    <n v="653.69000000000005"/>
    <n v="653.69000000000005"/>
    <n v="642.66250000000002"/>
    <n v="934.95"/>
    <n v="30"/>
    <m/>
    <n v="0"/>
    <n v="4"/>
    <n v="2570.65"/>
    <n v="4"/>
    <n v="0"/>
    <n v="0.69"/>
    <n v="8"/>
    <n v="32"/>
    <n v="29918.400000000001"/>
    <n v="0"/>
    <x v="0"/>
    <s v="OK"/>
  </r>
  <r>
    <s v="IT-10083"/>
    <s v="Bolt assortment 10-83"/>
    <x v="2"/>
    <x v="2"/>
    <x v="1"/>
    <s v="2025-04"/>
    <n v="643.26"/>
    <n v="643.26"/>
    <n v="643.23559999999998"/>
    <n v="934.95"/>
    <n v="30"/>
    <n v="29"/>
    <n v="94"/>
    <n v="75"/>
    <n v="48242.67"/>
    <n v="6"/>
    <n v="69"/>
    <n v="11.09"/>
    <n v="1"/>
    <n v="23"/>
    <n v="21503.85"/>
    <n v="0"/>
    <x v="0"/>
    <s v="OK"/>
  </r>
  <r>
    <s v="IT-10083"/>
    <s v="Bolt assortment 10-83"/>
    <x v="2"/>
    <x v="2"/>
    <x v="1"/>
    <s v="2025-05"/>
    <n v="646.17999999999995"/>
    <n v="646.17999999999995"/>
    <n v="643.64178600000002"/>
    <n v="934.95"/>
    <n v="30"/>
    <n v="27"/>
    <n v="12"/>
    <n v="56"/>
    <n v="36043.94"/>
    <n v="2"/>
    <n v="54"/>
    <n v="8.56"/>
    <n v="4"/>
    <n v="31"/>
    <n v="28983.45"/>
    <n v="0"/>
    <x v="0"/>
    <s v="OK"/>
  </r>
  <r>
    <s v="IT-10083"/>
    <s v="Bolt assortment 10-83"/>
    <x v="2"/>
    <x v="2"/>
    <x v="1"/>
    <s v="2025-06"/>
    <n v="643.04"/>
    <n v="643.04"/>
    <n v="643.35208799999998"/>
    <n v="934.95"/>
    <n v="30"/>
    <n v="27"/>
    <n v="52"/>
    <n v="91"/>
    <n v="58545.04"/>
    <n v="6"/>
    <n v="85"/>
    <n v="16.66"/>
    <n v="3"/>
    <n v="17"/>
    <n v="15894.15"/>
    <n v="0"/>
    <x v="0"/>
    <s v="OK"/>
  </r>
  <r>
    <s v="IT-10083"/>
    <s v="Bolt assortment 10-83"/>
    <x v="2"/>
    <x v="2"/>
    <x v="1"/>
    <s v="2025-07"/>
    <n v="641.76"/>
    <n v="641.76"/>
    <n v="643.35205900000005"/>
    <n v="934.95"/>
    <n v="30"/>
    <m/>
    <n v="0"/>
    <n v="68"/>
    <n v="43747.94"/>
    <n v="2"/>
    <n v="66"/>
    <n v="12.59"/>
    <n v="0"/>
    <n v="23"/>
    <n v="21503.85"/>
    <n v="0"/>
    <x v="0"/>
    <s v="OK"/>
  </r>
  <r>
    <s v="IT-10083"/>
    <s v="Bolt assortment 10-83"/>
    <x v="2"/>
    <x v="2"/>
    <x v="1"/>
    <s v="2025-08"/>
    <n v="640.96"/>
    <n v="640.96"/>
    <n v="642.43868699999996"/>
    <n v="934.95"/>
    <n v="30"/>
    <n v="45"/>
    <n v="42"/>
    <n v="99"/>
    <n v="63601.43"/>
    <n v="3"/>
    <n v="96"/>
    <n v="25.51"/>
    <n v="2"/>
    <n v="11"/>
    <n v="10284.450000000001"/>
    <n v="0"/>
    <x v="0"/>
    <s v="OK"/>
  </r>
  <r>
    <s v="IT-10083"/>
    <s v="Bolt assortment 10-83"/>
    <x v="2"/>
    <x v="2"/>
    <x v="1"/>
    <s v="2025-09"/>
    <n v="640.07000000000005"/>
    <n v="640.07000000000005"/>
    <n v="642.12698799999998"/>
    <n v="934.95"/>
    <n v="30"/>
    <n v="27"/>
    <n v="15"/>
    <n v="83"/>
    <n v="53296.54"/>
    <n v="2"/>
    <n v="81"/>
    <n v="16.78"/>
    <n v="3"/>
    <n v="31"/>
    <n v="28983.45"/>
    <n v="0"/>
    <x v="0"/>
    <s v="OK"/>
  </r>
  <r>
    <s v="IT-10083"/>
    <s v="Bolt assortment 10-83"/>
    <x v="2"/>
    <x v="2"/>
    <x v="1"/>
    <s v="2025-10"/>
    <n v="639.94000000000005"/>
    <n v="639.94000000000005"/>
    <n v="642.12692300000003"/>
    <n v="934.95"/>
    <n v="30"/>
    <m/>
    <n v="0"/>
    <n v="39"/>
    <n v="25042.95"/>
    <n v="4"/>
    <n v="35"/>
    <n v="5.96"/>
    <n v="2"/>
    <n v="44"/>
    <n v="41137.800000000003"/>
    <n v="0"/>
    <x v="0"/>
    <s v="OK"/>
  </r>
  <r>
    <s v="IT-10083"/>
    <s v="Bolt assortment 10-83"/>
    <x v="2"/>
    <x v="2"/>
    <x v="1"/>
    <s v="2025-11"/>
    <n v="661"/>
    <n v="661"/>
    <n v="642.12750000000005"/>
    <n v="934.95"/>
    <n v="30"/>
    <m/>
    <n v="0"/>
    <n v="8"/>
    <n v="5137.0200000000004"/>
    <n v="6"/>
    <n v="2"/>
    <n v="0.98"/>
    <n v="0"/>
    <n v="31"/>
    <n v="28983.45"/>
    <n v="0"/>
    <x v="0"/>
    <s v="OK"/>
  </r>
  <r>
    <s v="IT-10083"/>
    <s v="Bolt assortment 10-83"/>
    <x v="2"/>
    <x v="2"/>
    <x v="1"/>
    <s v="2025-12"/>
    <n v="680.84"/>
    <n v="680.84"/>
    <n v="677.99865899999998"/>
    <n v="934.95"/>
    <n v="30"/>
    <n v="28"/>
    <n v="101"/>
    <n v="82"/>
    <n v="55595.89"/>
    <n v="7"/>
    <n v="75"/>
    <n v="10.57"/>
    <n v="11"/>
    <n v="27"/>
    <n v="25243.65"/>
    <n v="0"/>
    <x v="0"/>
    <s v="OK"/>
  </r>
  <r>
    <s v="IT-10083"/>
    <s v="Bolt assortment 10-83"/>
    <x v="2"/>
    <x v="2"/>
    <x v="1"/>
    <s v="2026-01"/>
    <n v="677.04"/>
    <n v="677.04"/>
    <n v="677.82613300000003"/>
    <n v="934.95"/>
    <n v="30"/>
    <n v="30"/>
    <n v="18"/>
    <n v="75"/>
    <n v="50836.959999999999"/>
    <n v="2"/>
    <n v="73"/>
    <n v="11.88"/>
    <n v="1"/>
    <n v="25"/>
    <n v="23373.75"/>
    <n v="0"/>
    <x v="0"/>
    <s v="OK"/>
  </r>
  <r>
    <s v="IT-10083"/>
    <s v="Bolt assortment 10-83"/>
    <x v="2"/>
    <x v="2"/>
    <x v="1"/>
    <s v="2026-02"/>
    <n v="670.53"/>
    <n v="670.53"/>
    <n v="676.29011600000001"/>
    <n v="979.06"/>
    <n v="30"/>
    <n v="26"/>
    <n v="20"/>
    <n v="86"/>
    <n v="58160.95"/>
    <n v="6"/>
    <n v="80"/>
    <n v="18.13"/>
    <n v="7"/>
    <n v="9"/>
    <n v="8811.5400000000009"/>
    <n v="0"/>
    <x v="0"/>
    <s v="OK"/>
  </r>
  <r>
    <s v="IT-10083"/>
    <s v="Bolt assortment 10-83"/>
    <x v="2"/>
    <x v="2"/>
    <x v="1"/>
    <s v="2026-03"/>
    <n v="669.34"/>
    <n v="669.34"/>
    <n v="674.32088899999997"/>
    <n v="979.06"/>
    <n v="30"/>
    <n v="27"/>
    <n v="34"/>
    <n v="90"/>
    <n v="60688.88"/>
    <n v="3"/>
    <n v="87"/>
    <n v="18.079999999999998"/>
    <n v="20"/>
    <n v="30"/>
    <n v="29371.8"/>
    <n v="0"/>
    <x v="0"/>
    <s v="OK"/>
  </r>
  <r>
    <s v="IT-10083"/>
    <s v="Bolt assortment 10-83"/>
    <x v="2"/>
    <x v="2"/>
    <x v="1"/>
    <s v="2026-04"/>
    <n v="662.34"/>
    <n v="662.34"/>
    <n v="672.60931500000004"/>
    <n v="979.06"/>
    <n v="30"/>
    <n v="28"/>
    <n v="15"/>
    <n v="73"/>
    <n v="49100.480000000003"/>
    <n v="3"/>
    <n v="70"/>
    <n v="13.07"/>
    <n v="3"/>
    <n v="32"/>
    <n v="31329.919999999998"/>
    <n v="0"/>
    <x v="0"/>
    <s v="OK"/>
  </r>
  <r>
    <s v="IT-10083"/>
    <s v="Bolt assortment 10-83"/>
    <x v="2"/>
    <x v="2"/>
    <x v="1"/>
    <s v="2026-05"/>
    <n v="678.59"/>
    <n v="678.59"/>
    <n v="674.13492299999996"/>
    <n v="979.06"/>
    <n v="30"/>
    <n v="26"/>
    <n v="25"/>
    <n v="65"/>
    <n v="43818.77"/>
    <n v="4"/>
    <n v="61"/>
    <n v="8.99"/>
    <n v="3"/>
    <n v="33"/>
    <n v="32308.98"/>
    <n v="0"/>
    <x v="0"/>
    <s v="OK"/>
  </r>
  <r>
    <s v="IT-10083"/>
    <s v="Bolt assortment 10-83"/>
    <x v="2"/>
    <x v="2"/>
    <x v="1"/>
    <s v="2026-06"/>
    <n v="668.46"/>
    <n v="668.46"/>
    <n v="672.55861500000003"/>
    <n v="979.06"/>
    <n v="30"/>
    <n v="28"/>
    <n v="25"/>
    <n v="65"/>
    <n v="43716.31"/>
    <n v="5"/>
    <n v="60"/>
    <n v="9.39"/>
    <n v="0"/>
    <n v="25"/>
    <n v="24476.5"/>
    <n v="0"/>
    <x v="0"/>
    <s v="OK"/>
  </r>
  <r>
    <s v="IT-10083"/>
    <s v="Bolt assortment 10-83"/>
    <x v="2"/>
    <x v="2"/>
    <x v="1"/>
    <s v="2026-07"/>
    <n v="672.71"/>
    <n v="672.71"/>
    <n v="672.55882399999996"/>
    <n v="979.06"/>
    <n v="30"/>
    <m/>
    <n v="0"/>
    <n v="17"/>
    <n v="11433.5"/>
    <n v="2"/>
    <n v="15"/>
    <n v="2.11"/>
    <n v="0"/>
    <n v="48"/>
    <n v="46994.879999999997"/>
    <n v="0"/>
    <x v="0"/>
    <s v="OK"/>
  </r>
  <r>
    <s v="IT-10083"/>
    <s v="Bolt assortment 10-83"/>
    <x v="2"/>
    <x v="2"/>
    <x v="1"/>
    <s v="2026-08"/>
    <n v="664.63"/>
    <n v="664.63"/>
    <n v="666.23472700000002"/>
    <n v="979.06"/>
    <n v="30"/>
    <n v="27"/>
    <n v="67"/>
    <n v="55"/>
    <n v="36642.910000000003"/>
    <n v="6"/>
    <n v="49"/>
    <n v="7.09"/>
    <n v="2"/>
    <n v="29"/>
    <n v="28392.74"/>
    <n v="0"/>
    <x v="0"/>
    <s v="OK"/>
  </r>
  <r>
    <s v="IT-10084"/>
    <s v="Roller bearing L-84"/>
    <x v="0"/>
    <x v="0"/>
    <x v="0"/>
    <s v="2024-09"/>
    <n v="22.56"/>
    <n v="22.56"/>
    <n v="22.758077"/>
    <n v="32.21"/>
    <n v="36"/>
    <m/>
    <n v="0"/>
    <n v="260"/>
    <n v="5917.1"/>
    <n v="11"/>
    <n v="249"/>
    <n v="12.94"/>
    <n v="4"/>
    <n v="76"/>
    <n v="2447.96"/>
    <n v="0"/>
    <x v="0"/>
    <s v="OK"/>
  </r>
  <r>
    <s v="IT-10084"/>
    <s v="Roller bearing L-84"/>
    <x v="0"/>
    <x v="0"/>
    <x v="0"/>
    <s v="2024-10"/>
    <n v="22.93"/>
    <n v="22.93"/>
    <n v="22.834285999999999"/>
    <n v="32.21"/>
    <n v="36"/>
    <n v="31"/>
    <n v="207"/>
    <n v="392"/>
    <n v="8951.0400000000009"/>
    <n v="32"/>
    <n v="360"/>
    <n v="18.53"/>
    <n v="2"/>
    <n v="75"/>
    <n v="2415.75"/>
    <n v="0"/>
    <x v="0"/>
    <s v="OK"/>
  </r>
  <r>
    <s v="IT-10084"/>
    <s v="Roller bearing L-84"/>
    <x v="0"/>
    <x v="0"/>
    <x v="0"/>
    <s v="2024-11"/>
    <n v="22.78"/>
    <n v="22.78"/>
    <n v="22.833601999999999"/>
    <n v="32.21"/>
    <n v="36"/>
    <n v="53"/>
    <n v="5"/>
    <n v="347"/>
    <n v="7923.26"/>
    <n v="25"/>
    <n v="322"/>
    <n v="22.44"/>
    <n v="4"/>
    <n v="50"/>
    <n v="1610.5"/>
    <n v="0"/>
    <x v="0"/>
    <s v="OK"/>
  </r>
  <r>
    <s v="IT-10084"/>
    <s v="Roller bearing L-84"/>
    <x v="0"/>
    <x v="0"/>
    <x v="0"/>
    <s v="2024-12"/>
    <n v="23.13"/>
    <n v="23.13"/>
    <n v="22.844298999999999"/>
    <n v="32.21"/>
    <n v="36"/>
    <n v="47"/>
    <n v="13"/>
    <n v="221"/>
    <n v="5048.59"/>
    <n v="25"/>
    <n v="196"/>
    <n v="11"/>
    <n v="0"/>
    <n v="139"/>
    <n v="4477.1899999999996"/>
    <n v="0"/>
    <x v="0"/>
    <s v="OK"/>
  </r>
  <r>
    <s v="IT-10084"/>
    <s v="Roller bearing L-84"/>
    <x v="0"/>
    <x v="0"/>
    <x v="0"/>
    <s v="2025-01"/>
    <n v="22.73"/>
    <n v="22.73"/>
    <n v="22.805389000000002"/>
    <n v="32.21"/>
    <n v="36"/>
    <n v="33"/>
    <n v="114"/>
    <n v="321"/>
    <n v="7320.53"/>
    <n v="25"/>
    <n v="296"/>
    <n v="20.78"/>
    <n v="7"/>
    <n v="14"/>
    <n v="450.94"/>
    <n v="0"/>
    <x v="0"/>
    <s v="OK"/>
  </r>
  <r>
    <s v="IT-10084"/>
    <s v="Roller bearing L-84"/>
    <x v="0"/>
    <x v="0"/>
    <x v="0"/>
    <s v="2025-02"/>
    <n v="23.04"/>
    <n v="23.04"/>
    <n v="22.837546"/>
    <n v="33.840000000000003"/>
    <n v="36"/>
    <n v="57"/>
    <n v="51"/>
    <n v="273"/>
    <n v="6234.65"/>
    <n v="7"/>
    <n v="266"/>
    <n v="13.93"/>
    <n v="1"/>
    <n v="99"/>
    <n v="3350.16"/>
    <n v="0"/>
    <x v="0"/>
    <s v="OK"/>
  </r>
  <r>
    <s v="IT-10084"/>
    <s v="Roller bearing L-84"/>
    <x v="0"/>
    <x v="0"/>
    <x v="0"/>
    <s v="2025-03"/>
    <n v="22.73"/>
    <n v="22.73"/>
    <n v="22.837516000000001"/>
    <n v="33.840000000000003"/>
    <n v="36"/>
    <m/>
    <n v="0"/>
    <n v="153"/>
    <n v="3494.14"/>
    <n v="21"/>
    <n v="132"/>
    <n v="8.44"/>
    <n v="0"/>
    <n v="120"/>
    <n v="4060.8"/>
    <n v="0"/>
    <x v="0"/>
    <s v="OK"/>
  </r>
  <r>
    <s v="IT-10084"/>
    <s v="Roller bearing L-84"/>
    <x v="0"/>
    <x v="0"/>
    <x v="0"/>
    <s v="2025-04"/>
    <n v="23.35"/>
    <n v="23.35"/>
    <n v="23.114550000000001"/>
    <n v="33.840000000000003"/>
    <n v="36"/>
    <n v="58"/>
    <n v="180"/>
    <n v="211"/>
    <n v="4877.17"/>
    <n v="35"/>
    <n v="176"/>
    <n v="7.87"/>
    <n v="2"/>
    <n v="122"/>
    <n v="4128.4799999999996"/>
    <n v="0"/>
    <x v="0"/>
    <s v="OK"/>
  </r>
  <r>
    <s v="IT-10084"/>
    <s v="Roller bearing L-84"/>
    <x v="0"/>
    <x v="0"/>
    <x v="0"/>
    <s v="2025-05"/>
    <n v="23.18"/>
    <n v="23.18"/>
    <n v="23.145555999999999"/>
    <n v="33.840000000000003"/>
    <n v="36"/>
    <n v="42"/>
    <n v="190"/>
    <n v="261"/>
    <n v="6040.99"/>
    <n v="32"/>
    <n v="229"/>
    <n v="8.98"/>
    <n v="0"/>
    <n v="140"/>
    <n v="4737.6000000000004"/>
    <n v="0"/>
    <x v="0"/>
    <s v="OK"/>
  </r>
  <r>
    <s v="IT-10084"/>
    <s v="Roller bearing L-84"/>
    <x v="0"/>
    <x v="0"/>
    <x v="0"/>
    <s v="2025-06"/>
    <n v="23.26"/>
    <n v="23.26"/>
    <n v="23.159096000000002"/>
    <n v="33.840000000000003"/>
    <n v="36"/>
    <n v="34"/>
    <n v="35"/>
    <n v="166"/>
    <n v="3844.41"/>
    <n v="18"/>
    <n v="148"/>
    <n v="5.51"/>
    <n v="0"/>
    <n v="130"/>
    <n v="4399.2"/>
    <n v="0"/>
    <x v="0"/>
    <s v="OK"/>
  </r>
  <r>
    <s v="IT-10084"/>
    <s v="Roller bearing L-84"/>
    <x v="0"/>
    <x v="0"/>
    <x v="0"/>
    <s v="2025-07"/>
    <n v="23.52"/>
    <n v="23.52"/>
    <n v="23.332798"/>
    <n v="33.840000000000003"/>
    <n v="36"/>
    <n v="49"/>
    <n v="154"/>
    <n v="218"/>
    <n v="5086.55"/>
    <n v="14"/>
    <n v="204"/>
    <n v="7.7"/>
    <n v="5"/>
    <n v="102"/>
    <n v="3451.68"/>
    <n v="0"/>
    <x v="0"/>
    <s v="OK"/>
  </r>
  <r>
    <s v="IT-10084"/>
    <s v="Roller bearing L-84"/>
    <x v="0"/>
    <x v="0"/>
    <x v="0"/>
    <s v="2025-08"/>
    <n v="23.13"/>
    <n v="23.13"/>
    <n v="23.223268000000001"/>
    <n v="33.840000000000003"/>
    <n v="36"/>
    <n v="31"/>
    <n v="256"/>
    <n v="358"/>
    <n v="8313.93"/>
    <n v="7"/>
    <n v="351"/>
    <n v="13.52"/>
    <n v="1"/>
    <n v="116"/>
    <n v="3925.44"/>
    <n v="0"/>
    <x v="0"/>
    <s v="OK"/>
  </r>
  <r>
    <s v="IT-10084"/>
    <s v="Roller bearing L-84"/>
    <x v="0"/>
    <x v="0"/>
    <x v="0"/>
    <s v="2025-09"/>
    <n v="24.02"/>
    <n v="24.02"/>
    <n v="23.223277"/>
    <n v="33.840000000000003"/>
    <n v="36"/>
    <m/>
    <n v="0"/>
    <n v="238"/>
    <n v="5527.14"/>
    <n v="28"/>
    <n v="210"/>
    <n v="9.25"/>
    <n v="2"/>
    <n v="120"/>
    <n v="4060.8"/>
    <n v="0"/>
    <x v="0"/>
    <s v="OK"/>
  </r>
  <r>
    <s v="IT-10084"/>
    <s v="Roller bearing L-84"/>
    <x v="0"/>
    <x v="0"/>
    <x v="0"/>
    <s v="2025-10"/>
    <n v="23.34"/>
    <n v="23.34"/>
    <n v="23.277864000000001"/>
    <n v="33.840000000000003"/>
    <n v="36"/>
    <n v="35"/>
    <n v="209"/>
    <n v="323"/>
    <n v="7518.75"/>
    <n v="35"/>
    <n v="288"/>
    <n v="11.79"/>
    <n v="1"/>
    <n v="124"/>
    <n v="4196.16"/>
    <n v="0"/>
    <x v="0"/>
    <s v="OK"/>
  </r>
  <r>
    <s v="IT-10084"/>
    <s v="Roller bearing L-84"/>
    <x v="0"/>
    <x v="0"/>
    <x v="0"/>
    <s v="2025-11"/>
    <n v="23.68"/>
    <n v="23.68"/>
    <n v="23.277857000000001"/>
    <n v="33.840000000000003"/>
    <n v="36"/>
    <m/>
    <n v="0"/>
    <n v="252"/>
    <n v="5866.02"/>
    <n v="14"/>
    <n v="238"/>
    <n v="10.4"/>
    <n v="2"/>
    <n v="71"/>
    <n v="2402.64"/>
    <n v="0"/>
    <x v="0"/>
    <s v="OK"/>
  </r>
  <r>
    <s v="IT-10084"/>
    <s v="Roller bearing L-84"/>
    <x v="0"/>
    <x v="0"/>
    <x v="0"/>
    <s v="2025-12"/>
    <n v="23.14"/>
    <n v="23.14"/>
    <n v="23.201159000000001"/>
    <n v="33.840000000000003"/>
    <n v="36"/>
    <n v="31"/>
    <n v="316"/>
    <n v="414"/>
    <n v="9605.2800000000007"/>
    <n v="25"/>
    <n v="389"/>
    <n v="15.59"/>
    <n v="3"/>
    <n v="154"/>
    <n v="5211.3599999999997"/>
    <n v="0"/>
    <x v="0"/>
    <s v="OK"/>
  </r>
  <r>
    <s v="IT-10084"/>
    <s v="Roller bearing L-84"/>
    <x v="0"/>
    <x v="0"/>
    <x v="0"/>
    <s v="2026-01"/>
    <n v="23.62"/>
    <n v="23.62"/>
    <n v="23.201165"/>
    <n v="33.840000000000003"/>
    <n v="36"/>
    <m/>
    <n v="0"/>
    <n v="266"/>
    <n v="6171.51"/>
    <n v="11"/>
    <n v="255"/>
    <n v="9.3699999999999992"/>
    <n v="0"/>
    <n v="148"/>
    <n v="5008.32"/>
    <n v="0"/>
    <x v="0"/>
    <s v="OK"/>
  </r>
  <r>
    <s v="IT-10084"/>
    <s v="Roller bearing L-84"/>
    <x v="0"/>
    <x v="0"/>
    <x v="0"/>
    <s v="2026-02"/>
    <n v="23.32"/>
    <n v="23.32"/>
    <n v="23.244926"/>
    <n v="35.549999999999997"/>
    <n v="36"/>
    <n v="34"/>
    <n v="155"/>
    <n v="337"/>
    <n v="7833.54"/>
    <n v="18"/>
    <n v="319"/>
    <n v="11.23"/>
    <n v="1"/>
    <n v="84"/>
    <n v="2986.2"/>
    <n v="0"/>
    <x v="0"/>
    <s v="OK"/>
  </r>
  <r>
    <s v="IT-10084"/>
    <s v="Roller bearing L-84"/>
    <x v="0"/>
    <x v="0"/>
    <x v="0"/>
    <s v="2026-03"/>
    <n v="23.89"/>
    <n v="23.89"/>
    <n v="23.407969000000001"/>
    <n v="35.549999999999997"/>
    <n v="36"/>
    <n v="55"/>
    <n v="114"/>
    <n v="320"/>
    <n v="7490.55"/>
    <n v="21"/>
    <n v="299"/>
    <n v="11.33"/>
    <n v="0"/>
    <n v="131"/>
    <n v="4657.05"/>
    <n v="0"/>
    <x v="0"/>
    <s v="OK"/>
  </r>
  <r>
    <s v="IT-10084"/>
    <s v="Roller bearing L-84"/>
    <x v="0"/>
    <x v="0"/>
    <x v="0"/>
    <s v="2026-04"/>
    <n v="24.25"/>
    <n v="24.25"/>
    <n v="23.407961"/>
    <n v="35.549999999999997"/>
    <n v="36"/>
    <m/>
    <n v="0"/>
    <n v="103"/>
    <n v="2411.02"/>
    <n v="28"/>
    <n v="75"/>
    <n v="3.03"/>
    <n v="0"/>
    <n v="217"/>
    <n v="7714.35"/>
    <n v="0"/>
    <x v="0"/>
    <s v="OK"/>
  </r>
  <r>
    <s v="IT-10084"/>
    <s v="Roller bearing L-84"/>
    <x v="0"/>
    <x v="0"/>
    <x v="0"/>
    <s v="2026-05"/>
    <n v="24.47"/>
    <n v="24.47"/>
    <n v="23.720745000000001"/>
    <n v="35.549999999999997"/>
    <n v="36"/>
    <n v="52"/>
    <n v="43"/>
    <n v="94"/>
    <n v="2229.75"/>
    <n v="25"/>
    <n v="69"/>
    <n v="3.09"/>
    <n v="0"/>
    <n v="52"/>
    <n v="1848.6"/>
    <n v="0"/>
    <x v="0"/>
    <s v="OK"/>
  </r>
  <r>
    <s v="IT-10084"/>
    <s v="Roller bearing L-84"/>
    <x v="0"/>
    <x v="0"/>
    <x v="0"/>
    <s v="2026-06"/>
    <n v="24.69"/>
    <n v="24.69"/>
    <n v="24.455195"/>
    <n v="35.549999999999997"/>
    <n v="36"/>
    <n v="35"/>
    <n v="294"/>
    <n v="308"/>
    <n v="7532.2"/>
    <n v="14"/>
    <n v="294"/>
    <n v="11.47"/>
    <n v="0"/>
    <n v="80"/>
    <n v="2844"/>
    <n v="0"/>
    <x v="0"/>
    <s v="OK"/>
  </r>
  <r>
    <s v="IT-10084"/>
    <s v="Roller bearing L-84"/>
    <x v="0"/>
    <x v="0"/>
    <x v="0"/>
    <s v="2026-07"/>
    <n v="24.12"/>
    <n v="24.12"/>
    <n v="24.455189000000001"/>
    <n v="35.549999999999997"/>
    <n v="36"/>
    <m/>
    <n v="0"/>
    <n v="212"/>
    <n v="5184.5"/>
    <n v="7"/>
    <n v="205"/>
    <n v="12.22"/>
    <n v="0"/>
    <n v="96"/>
    <n v="3412.8"/>
    <n v="0"/>
    <x v="0"/>
    <s v="OK"/>
  </r>
  <r>
    <s v="IT-10084"/>
    <s v="Roller bearing L-84"/>
    <x v="0"/>
    <x v="0"/>
    <x v="0"/>
    <s v="2026-08"/>
    <n v="23.88"/>
    <n v="23.88"/>
    <n v="24.183312999999998"/>
    <n v="35.549999999999997"/>
    <n v="36"/>
    <n v="32"/>
    <n v="190"/>
    <n v="163"/>
    <n v="3941.88"/>
    <n v="21"/>
    <n v="142"/>
    <n v="5.16"/>
    <n v="5"/>
    <n v="239"/>
    <n v="8496.4500000000007"/>
    <n v="0"/>
    <x v="0"/>
    <s v="OK"/>
  </r>
  <r>
    <s v="IT-10085"/>
    <s v="Roller bearing A-85"/>
    <x v="0"/>
    <x v="0"/>
    <x v="0"/>
    <s v="2024-09"/>
    <n v="4.4800000000000004"/>
    <n v="4.4800000000000004"/>
    <n v="4.3899999999999997"/>
    <n v="6.34"/>
    <n v="48"/>
    <m/>
    <n v="0"/>
    <n v="0"/>
    <n v="0"/>
    <n v="0"/>
    <n v="0"/>
    <m/>
    <n v="230"/>
    <n v="0"/>
    <n v="0"/>
    <n v="0"/>
    <x v="0"/>
    <s v="OK"/>
  </r>
  <r>
    <s v="IT-10085"/>
    <s v="Roller bearing A-85"/>
    <x v="0"/>
    <x v="0"/>
    <x v="0"/>
    <s v="2024-10"/>
    <n v="4.54"/>
    <n v="4.54"/>
    <n v="4.3899999999999997"/>
    <n v="6.34"/>
    <n v="48"/>
    <m/>
    <n v="0"/>
    <n v="0"/>
    <n v="0"/>
    <n v="0"/>
    <n v="0"/>
    <m/>
    <n v="261"/>
    <n v="0"/>
    <n v="0"/>
    <n v="0"/>
    <x v="0"/>
    <s v="OK"/>
  </r>
  <r>
    <s v="IT-10085"/>
    <s v="Roller bearing A-85"/>
    <x v="0"/>
    <x v="0"/>
    <x v="0"/>
    <s v="2024-11"/>
    <n v="4.49"/>
    <n v="4.49"/>
    <n v="4.3899999999999997"/>
    <n v="6.34"/>
    <n v="48"/>
    <m/>
    <n v="0"/>
    <n v="0"/>
    <n v="0"/>
    <n v="0"/>
    <n v="0"/>
    <m/>
    <n v="291"/>
    <n v="0"/>
    <n v="0"/>
    <n v="0"/>
    <x v="0"/>
    <s v="OK"/>
  </r>
  <r>
    <s v="IT-10085"/>
    <s v="Roller bearing A-85"/>
    <x v="0"/>
    <x v="0"/>
    <x v="0"/>
    <s v="2024-12"/>
    <n v="4.4400000000000004"/>
    <n v="4.4400000000000004"/>
    <n v="4.3899999999999997"/>
    <n v="6.34"/>
    <n v="48"/>
    <m/>
    <n v="0"/>
    <n v="0"/>
    <n v="0"/>
    <n v="0"/>
    <n v="0"/>
    <m/>
    <n v="322"/>
    <n v="0"/>
    <n v="0"/>
    <n v="0"/>
    <x v="0"/>
    <s v="OK"/>
  </r>
  <r>
    <s v="IT-10085"/>
    <s v="Roller bearing A-85"/>
    <x v="0"/>
    <x v="0"/>
    <x v="0"/>
    <s v="2025-01"/>
    <n v="4.49"/>
    <n v="4.49"/>
    <n v="4.3899999999999997"/>
    <n v="6.34"/>
    <n v="48"/>
    <m/>
    <n v="0"/>
    <n v="0"/>
    <n v="0"/>
    <n v="0"/>
    <n v="0"/>
    <m/>
    <n v="353"/>
    <n v="0"/>
    <n v="0"/>
    <n v="0"/>
    <x v="0"/>
    <s v="OK"/>
  </r>
  <r>
    <s v="IT-10085"/>
    <s v="Roller bearing A-85"/>
    <x v="0"/>
    <x v="0"/>
    <x v="0"/>
    <s v="2025-02"/>
    <n v="4.4800000000000004"/>
    <n v="4.4800000000000004"/>
    <n v="4.3899999999999997"/>
    <n v="6.61"/>
    <n v="48"/>
    <m/>
    <n v="0"/>
    <n v="0"/>
    <n v="0"/>
    <n v="0"/>
    <n v="0"/>
    <m/>
    <n v="381"/>
    <n v="0"/>
    <n v="0"/>
    <n v="0"/>
    <x v="0"/>
    <s v="OK"/>
  </r>
  <r>
    <s v="IT-10085"/>
    <s v="Roller bearing A-85"/>
    <x v="0"/>
    <x v="0"/>
    <x v="0"/>
    <s v="2025-03"/>
    <n v="4.51"/>
    <n v="4.51"/>
    <n v="4.3899999999999997"/>
    <n v="6.61"/>
    <n v="48"/>
    <m/>
    <n v="0"/>
    <n v="0"/>
    <n v="0"/>
    <n v="0"/>
    <n v="0"/>
    <m/>
    <n v="412"/>
    <n v="0"/>
    <n v="0"/>
    <n v="0"/>
    <x v="0"/>
    <s v="OK"/>
  </r>
  <r>
    <s v="IT-10085"/>
    <s v="Roller bearing A-85"/>
    <x v="0"/>
    <x v="0"/>
    <x v="0"/>
    <s v="2025-04"/>
    <n v="4.67"/>
    <n v="4.67"/>
    <n v="4.3899999999999997"/>
    <n v="6.61"/>
    <n v="48"/>
    <m/>
    <n v="0"/>
    <n v="0"/>
    <n v="0"/>
    <n v="0"/>
    <n v="0"/>
    <m/>
    <n v="442"/>
    <n v="0"/>
    <n v="0"/>
    <n v="0"/>
    <x v="0"/>
    <s v="OK"/>
  </r>
  <r>
    <s v="IT-10085"/>
    <s v="Roller bearing A-85"/>
    <x v="0"/>
    <x v="0"/>
    <x v="0"/>
    <s v="2025-05"/>
    <n v="4.74"/>
    <n v="4.74"/>
    <n v="4.3899999999999997"/>
    <n v="6.61"/>
    <n v="48"/>
    <m/>
    <n v="0"/>
    <n v="0"/>
    <n v="0"/>
    <n v="0"/>
    <n v="0"/>
    <m/>
    <n v="473"/>
    <n v="0"/>
    <n v="0"/>
    <n v="0"/>
    <x v="0"/>
    <s v="OK"/>
  </r>
  <r>
    <s v="IT-10085"/>
    <s v="Roller bearing A-85"/>
    <x v="0"/>
    <x v="0"/>
    <x v="0"/>
    <s v="2025-06"/>
    <n v="4.62"/>
    <n v="4.62"/>
    <n v="4.3899999999999997"/>
    <n v="6.61"/>
    <n v="48"/>
    <m/>
    <n v="0"/>
    <n v="0"/>
    <n v="0"/>
    <n v="0"/>
    <n v="0"/>
    <m/>
    <n v="503"/>
    <n v="0"/>
    <n v="0"/>
    <n v="0"/>
    <x v="0"/>
    <s v="OK"/>
  </r>
  <r>
    <s v="IT-10085"/>
    <s v="Roller bearing A-85"/>
    <x v="0"/>
    <x v="0"/>
    <x v="0"/>
    <s v="2025-07"/>
    <n v="4.58"/>
    <n v="4.58"/>
    <n v="4.3899999999999997"/>
    <n v="6.61"/>
    <n v="48"/>
    <m/>
    <n v="0"/>
    <n v="0"/>
    <n v="0"/>
    <n v="0"/>
    <n v="0"/>
    <m/>
    <n v="534"/>
    <n v="0"/>
    <n v="0"/>
    <n v="0"/>
    <x v="0"/>
    <s v="OK"/>
  </r>
  <r>
    <s v="IT-10085"/>
    <s v="Roller bearing A-85"/>
    <x v="0"/>
    <x v="0"/>
    <x v="0"/>
    <s v="2025-08"/>
    <n v="4.72"/>
    <n v="4.72"/>
    <n v="4.3899999999999997"/>
    <n v="6.61"/>
    <n v="48"/>
    <m/>
    <n v="0"/>
    <n v="0"/>
    <n v="0"/>
    <n v="0"/>
    <n v="0"/>
    <m/>
    <n v="565"/>
    <n v="0"/>
    <n v="0"/>
    <n v="0"/>
    <x v="0"/>
    <s v="OK"/>
  </r>
  <r>
    <s v="IT-10085"/>
    <s v="Roller bearing A-85"/>
    <x v="0"/>
    <x v="0"/>
    <x v="0"/>
    <s v="2025-09"/>
    <n v="4.6399999999999997"/>
    <n v="4.6399999999999997"/>
    <n v="4.3899999999999997"/>
    <n v="6.61"/>
    <n v="48"/>
    <m/>
    <n v="0"/>
    <n v="0"/>
    <n v="0"/>
    <n v="0"/>
    <n v="0"/>
    <m/>
    <n v="595"/>
    <n v="0"/>
    <n v="0"/>
    <n v="0"/>
    <x v="0"/>
    <s v="OK"/>
  </r>
  <r>
    <s v="IT-10085"/>
    <s v="Roller bearing A-85"/>
    <x v="0"/>
    <x v="0"/>
    <x v="0"/>
    <s v="2025-10"/>
    <n v="4.62"/>
    <n v="4.62"/>
    <n v="4.62"/>
    <n v="6.61"/>
    <n v="48"/>
    <n v="43"/>
    <n v="834"/>
    <n v="510"/>
    <n v="2356.1999999999998"/>
    <n v="33"/>
    <n v="477"/>
    <n v="20.69"/>
    <n v="1"/>
    <n v="324"/>
    <n v="2141.64"/>
    <n v="0"/>
    <x v="0"/>
    <s v="OK"/>
  </r>
  <r>
    <s v="IT-10085"/>
    <s v="Roller bearing A-85"/>
    <x v="0"/>
    <x v="0"/>
    <x v="0"/>
    <s v="2025-11"/>
    <n v="4.72"/>
    <n v="4.72"/>
    <n v="4.6752950000000002"/>
    <n v="6.61"/>
    <n v="48"/>
    <n v="42"/>
    <n v="631"/>
    <n v="644"/>
    <n v="3010.89"/>
    <n v="78"/>
    <n v="566"/>
    <n v="10.199999999999999"/>
    <n v="0"/>
    <n v="497"/>
    <n v="3285.17"/>
    <n v="0"/>
    <x v="0"/>
    <s v="OK"/>
  </r>
  <r>
    <s v="IT-10085"/>
    <s v="Roller bearing A-85"/>
    <x v="0"/>
    <x v="0"/>
    <x v="0"/>
    <s v="2025-12"/>
    <n v="4.7300000000000004"/>
    <n v="4.7300000000000004"/>
    <n v="4.7022219999999999"/>
    <n v="6.61"/>
    <n v="48"/>
    <n v="53"/>
    <n v="624"/>
    <n v="333"/>
    <n v="1565.84"/>
    <n v="166"/>
    <n v="167"/>
    <n v="2.4900000000000002"/>
    <n v="2"/>
    <n v="935"/>
    <n v="6180.35"/>
    <n v="0"/>
    <x v="0"/>
    <s v="OK"/>
  </r>
  <r>
    <s v="IT-10085"/>
    <s v="Roller bearing A-85"/>
    <x v="0"/>
    <x v="0"/>
    <x v="0"/>
    <s v="2026-01"/>
    <n v="4.62"/>
    <n v="4.62"/>
    <n v="4.6377649999999999"/>
    <n v="6.61"/>
    <n v="48"/>
    <n v="46"/>
    <n v="1208"/>
    <n v="886"/>
    <n v="4109.0600000000004"/>
    <n v="33"/>
    <n v="853"/>
    <n v="5.58"/>
    <n v="0"/>
    <n v="655"/>
    <n v="4329.55"/>
    <n v="0"/>
    <x v="0"/>
    <s v="OK"/>
  </r>
  <r>
    <s v="IT-10085"/>
    <s v="Roller bearing A-85"/>
    <x v="0"/>
    <x v="0"/>
    <x v="0"/>
    <s v="2026-02"/>
    <n v="4.71"/>
    <n v="4.71"/>
    <n v="4.6694950000000004"/>
    <n v="6.89"/>
    <n v="48"/>
    <n v="46"/>
    <n v="694"/>
    <n v="1148"/>
    <n v="5360.58"/>
    <n v="50"/>
    <n v="1098"/>
    <n v="7.3"/>
    <n v="0"/>
    <n v="432"/>
    <n v="2976.48"/>
    <n v="0"/>
    <x v="0"/>
    <s v="OK"/>
  </r>
  <r>
    <s v="IT-10085"/>
    <s v="Roller bearing A-85"/>
    <x v="0"/>
    <x v="0"/>
    <x v="0"/>
    <s v="2026-03"/>
    <n v="4.57"/>
    <n v="4.57"/>
    <n v="4.6645519999999996"/>
    <n v="6.89"/>
    <n v="48"/>
    <n v="47"/>
    <n v="60"/>
    <n v="848"/>
    <n v="3955.54"/>
    <n v="166"/>
    <n v="682"/>
    <n v="7.53"/>
    <n v="3"/>
    <n v="360"/>
    <n v="2480.4"/>
    <n v="0"/>
    <x v="0"/>
    <s v="OK"/>
  </r>
  <r>
    <s v="IT-10085"/>
    <s v="Roller bearing A-85"/>
    <x v="0"/>
    <x v="0"/>
    <x v="0"/>
    <s v="2026-04"/>
    <n v="4.8899999999999997"/>
    <n v="4.8899999999999997"/>
    <n v="4.7957749999999999"/>
    <n v="6.89"/>
    <n v="48"/>
    <n v="41"/>
    <n v="1181"/>
    <n v="1619"/>
    <n v="7764.36"/>
    <n v="100"/>
    <n v="1519"/>
    <n v="17.13"/>
    <n v="0"/>
    <n v="410"/>
    <n v="2824.9"/>
    <n v="0"/>
    <x v="0"/>
    <s v="OK"/>
  </r>
  <r>
    <s v="IT-10085"/>
    <s v="Roller bearing A-85"/>
    <x v="0"/>
    <x v="0"/>
    <x v="0"/>
    <s v="2026-05"/>
    <n v="4.7699999999999996"/>
    <n v="4.7699999999999996"/>
    <n v="4.7880580000000004"/>
    <n v="6.89"/>
    <n v="48"/>
    <n v="45"/>
    <n v="692"/>
    <n v="1725"/>
    <n v="8259.4"/>
    <n v="117"/>
    <n v="1608"/>
    <n v="16.72"/>
    <n v="0"/>
    <n v="586"/>
    <n v="4037.54"/>
    <n v="0"/>
    <x v="0"/>
    <s v="OK"/>
  </r>
  <r>
    <s v="IT-10085"/>
    <s v="Roller bearing A-85"/>
    <x v="0"/>
    <x v="0"/>
    <x v="0"/>
    <s v="2026-06"/>
    <n v="4.8899999999999997"/>
    <n v="4.8899999999999997"/>
    <n v="4.7880529999999997"/>
    <n v="6.89"/>
    <n v="48"/>
    <m/>
    <n v="0"/>
    <n v="976"/>
    <n v="4673.1400000000003"/>
    <n v="50"/>
    <n v="926"/>
    <n v="7.27"/>
    <n v="2"/>
    <n v="749"/>
    <n v="5160.6099999999997"/>
    <n v="0"/>
    <x v="0"/>
    <s v="OK"/>
  </r>
  <r>
    <s v="IT-10085"/>
    <s v="Roller bearing A-85"/>
    <x v="0"/>
    <x v="0"/>
    <x v="0"/>
    <s v="2026-07"/>
    <n v="4.7699999999999996"/>
    <n v="4.7699999999999996"/>
    <n v="4.7800849999999997"/>
    <n v="6.89"/>
    <n v="48"/>
    <n v="47"/>
    <n v="771"/>
    <n v="1291"/>
    <n v="6171.09"/>
    <n v="117"/>
    <n v="1174"/>
    <n v="9.4700000000000006"/>
    <n v="1"/>
    <n v="456"/>
    <n v="3141.84"/>
    <n v="0"/>
    <x v="0"/>
    <s v="OK"/>
  </r>
  <r>
    <s v="IT-10085"/>
    <s v="Roller bearing A-85"/>
    <x v="0"/>
    <x v="0"/>
    <x v="0"/>
    <s v="2026-08"/>
    <n v="4.7699999999999996"/>
    <n v="4.7699999999999996"/>
    <n v="4.7800840000000004"/>
    <n v="6.89"/>
    <n v="48"/>
    <m/>
    <n v="0"/>
    <n v="713"/>
    <n v="3408.2"/>
    <n v="83"/>
    <n v="630"/>
    <n v="5.26"/>
    <n v="0"/>
    <n v="578"/>
    <n v="3982.42"/>
    <n v="0"/>
    <x v="0"/>
    <s v="OK"/>
  </r>
  <r>
    <s v="IT-10086"/>
    <s v="Roller bearing 20-86"/>
    <x v="0"/>
    <x v="0"/>
    <x v="0"/>
    <s v="2024-09"/>
    <n v="455.6"/>
    <n v="486.24"/>
    <n v="489.54790300000002"/>
    <n v="658.3"/>
    <n v="50"/>
    <n v="48"/>
    <n v="50"/>
    <n v="124"/>
    <n v="60703.94"/>
    <n v="2"/>
    <n v="122"/>
    <n v="22.32"/>
    <n v="2"/>
    <n v="22"/>
    <n v="14482.6"/>
    <n v="0"/>
    <x v="0"/>
    <s v="OK"/>
  </r>
  <r>
    <s v="IT-10086"/>
    <s v="Roller bearing 20-86"/>
    <x v="0"/>
    <x v="0"/>
    <x v="0"/>
    <s v="2024-10"/>
    <n v="460.73"/>
    <n v="491.72"/>
    <n v="489.54792800000001"/>
    <n v="658.3"/>
    <n v="50"/>
    <m/>
    <n v="0"/>
    <n v="111"/>
    <n v="54339.82"/>
    <n v="4"/>
    <n v="107"/>
    <n v="22.1"/>
    <n v="4"/>
    <n v="13"/>
    <n v="8557.9"/>
    <n v="0"/>
    <x v="0"/>
    <s v="OK"/>
  </r>
  <r>
    <s v="IT-10086"/>
    <s v="Roller bearing 20-86"/>
    <x v="0"/>
    <x v="0"/>
    <x v="0"/>
    <s v="2024-11"/>
    <n v="455.34"/>
    <n v="485.96"/>
    <n v="488.449118"/>
    <n v="658.3"/>
    <n v="50"/>
    <n v="43"/>
    <n v="49"/>
    <n v="136"/>
    <n v="66429.08"/>
    <n v="8"/>
    <n v="128"/>
    <n v="29.97"/>
    <n v="13"/>
    <n v="24"/>
    <n v="15799.2"/>
    <n v="0"/>
    <x v="0"/>
    <s v="OK"/>
  </r>
  <r>
    <s v="IT-10086"/>
    <s v="Roller bearing 20-86"/>
    <x v="0"/>
    <x v="0"/>
    <x v="0"/>
    <s v="2024-12"/>
    <n v="468.47"/>
    <n v="499.98"/>
    <n v="490.35911299999998"/>
    <n v="658.3"/>
    <n v="50"/>
    <n v="43"/>
    <n v="27"/>
    <n v="124"/>
    <n v="60804.53"/>
    <n v="4"/>
    <n v="120"/>
    <n v="21.44"/>
    <n v="10"/>
    <n v="39"/>
    <n v="25673.7"/>
    <n v="0"/>
    <x v="0"/>
    <s v="OK"/>
  </r>
  <r>
    <s v="IT-10086"/>
    <s v="Roller bearing 20-86"/>
    <x v="0"/>
    <x v="0"/>
    <x v="0"/>
    <s v="2025-01"/>
    <n v="457.89"/>
    <n v="488.68"/>
    <n v="490.05885000000001"/>
    <n v="658.3"/>
    <n v="50"/>
    <n v="56"/>
    <n v="27"/>
    <n v="113"/>
    <n v="55376.65"/>
    <n v="8"/>
    <n v="105"/>
    <n v="14.7"/>
    <n v="2"/>
    <n v="38"/>
    <n v="25015.4"/>
    <n v="0"/>
    <x v="0"/>
    <s v="OK"/>
  </r>
  <r>
    <s v="IT-10086"/>
    <s v="Roller bearing 20-86"/>
    <x v="0"/>
    <x v="0"/>
    <x v="0"/>
    <s v="2025-02"/>
    <n v="456.99"/>
    <n v="487.72"/>
    <n v="490.058876"/>
    <n v="696.19"/>
    <n v="50"/>
    <m/>
    <n v="0"/>
    <n v="89"/>
    <n v="43615.24"/>
    <n v="6"/>
    <n v="83"/>
    <n v="11.33"/>
    <n v="3"/>
    <n v="24"/>
    <n v="16708.560000000001"/>
    <n v="0"/>
    <x v="0"/>
    <s v="OK"/>
  </r>
  <r>
    <s v="IT-10086"/>
    <s v="Roller bearing 20-86"/>
    <x v="0"/>
    <x v="0"/>
    <x v="0"/>
    <s v="2025-03"/>
    <n v="468.33"/>
    <n v="499.83"/>
    <n v="492.33317599999998"/>
    <n v="696.19"/>
    <n v="50"/>
    <n v="50"/>
    <n v="27"/>
    <n v="85"/>
    <n v="41848.32"/>
    <n v="8"/>
    <n v="77"/>
    <n v="11.75"/>
    <n v="3"/>
    <n v="31"/>
    <n v="21581.89"/>
    <n v="0"/>
    <x v="0"/>
    <s v="OK"/>
  </r>
  <r>
    <s v="IT-10086"/>
    <s v="Roller bearing 20-86"/>
    <x v="0"/>
    <x v="0"/>
    <x v="0"/>
    <s v="2025-04"/>
    <n v="483.52"/>
    <n v="516.04"/>
    <n v="492.33311099999997"/>
    <n v="696.19"/>
    <n v="50"/>
    <m/>
    <n v="0"/>
    <n v="45"/>
    <n v="22154.99"/>
    <n v="5"/>
    <n v="40"/>
    <n v="6.02"/>
    <n v="1"/>
    <n v="40"/>
    <n v="27847.599999999999"/>
    <n v="0"/>
    <x v="0"/>
    <s v="OK"/>
  </r>
  <r>
    <s v="IT-10086"/>
    <s v="Roller bearing 20-86"/>
    <x v="0"/>
    <x v="0"/>
    <x v="0"/>
    <s v="2025-05"/>
    <n v="475.88"/>
    <n v="507.88"/>
    <n v="501.02108099999998"/>
    <n v="696.19"/>
    <n v="50"/>
    <n v="44"/>
    <n v="57"/>
    <n v="74"/>
    <n v="37075.56"/>
    <n v="4"/>
    <n v="70"/>
    <n v="9.82"/>
    <n v="3"/>
    <n v="28"/>
    <n v="19493.32"/>
    <n v="0"/>
    <x v="0"/>
    <s v="OK"/>
  </r>
  <r>
    <s v="IT-10086"/>
    <s v="Roller bearing 20-86"/>
    <x v="0"/>
    <x v="0"/>
    <x v="0"/>
    <s v="2025-06"/>
    <n v="465.27"/>
    <n v="496.56"/>
    <n v="499.09938499999998"/>
    <n v="696.19"/>
    <n v="50"/>
    <n v="44"/>
    <n v="56"/>
    <n v="130"/>
    <n v="64882.92"/>
    <n v="7"/>
    <n v="123"/>
    <n v="24.85"/>
    <n v="33"/>
    <n v="0"/>
    <n v="0"/>
    <n v="0"/>
    <x v="0"/>
    <s v="OK"/>
  </r>
  <r>
    <s v="IT-10086"/>
    <s v="Roller bearing 20-86"/>
    <x v="0"/>
    <x v="0"/>
    <x v="0"/>
    <s v="2025-07"/>
    <n v="481.12"/>
    <n v="513.48"/>
    <n v="499.09938799999998"/>
    <n v="696.19"/>
    <n v="50"/>
    <m/>
    <n v="0"/>
    <n v="98"/>
    <n v="48911.74"/>
    <n v="2"/>
    <n v="96"/>
    <n v="21.47"/>
    <n v="0"/>
    <n v="32"/>
    <n v="22278.080000000002"/>
    <n v="0"/>
    <x v="0"/>
    <s v="OK"/>
  </r>
  <r>
    <s v="IT-10086"/>
    <s v="Roller bearing 20-86"/>
    <x v="0"/>
    <x v="0"/>
    <x v="0"/>
    <s v="2025-08"/>
    <n v="468.35"/>
    <n v="499.85"/>
    <n v="499.26147700000001"/>
    <n v="696.19"/>
    <n v="50"/>
    <n v="44"/>
    <n v="27"/>
    <n v="88"/>
    <n v="43935.01"/>
    <n v="7"/>
    <n v="81"/>
    <n v="16.760000000000002"/>
    <n v="1"/>
    <n v="37"/>
    <n v="25759.03"/>
    <n v="0"/>
    <x v="0"/>
    <s v="OK"/>
  </r>
  <r>
    <s v="IT-10086"/>
    <s v="Roller bearing 20-86"/>
    <x v="0"/>
    <x v="0"/>
    <x v="0"/>
    <s v="2025-09"/>
    <n v="483.69"/>
    <n v="516.22"/>
    <n v="503.24306799999999"/>
    <n v="696.19"/>
    <n v="50"/>
    <n v="56"/>
    <n v="27"/>
    <n v="88"/>
    <n v="44285.39"/>
    <n v="2"/>
    <n v="86"/>
    <n v="12.05"/>
    <n v="14"/>
    <n v="27"/>
    <n v="18797.13"/>
    <n v="0"/>
    <x v="0"/>
    <s v="OK"/>
  </r>
  <r>
    <s v="IT-10086"/>
    <s v="Roller bearing 20-86"/>
    <x v="0"/>
    <x v="0"/>
    <x v="0"/>
    <s v="2025-10"/>
    <n v="473.48"/>
    <n v="505.32"/>
    <n v="503.730704"/>
    <n v="696.19"/>
    <n v="50"/>
    <n v="44"/>
    <n v="27"/>
    <n v="71"/>
    <n v="35764.879999999997"/>
    <n v="4"/>
    <n v="67"/>
    <n v="8.64"/>
    <n v="6"/>
    <n v="44"/>
    <n v="30632.36"/>
    <n v="0"/>
    <x v="0"/>
    <s v="OK"/>
  </r>
  <r>
    <s v="IT-10086"/>
    <s v="Roller bearing 20-86"/>
    <x v="0"/>
    <x v="0"/>
    <x v="0"/>
    <s v="2025-11"/>
    <n v="471.73"/>
    <n v="503.45"/>
    <n v="503.65342500000003"/>
    <n v="696.19"/>
    <n v="50"/>
    <n v="49"/>
    <n v="27"/>
    <n v="73"/>
    <n v="36766.699999999997"/>
    <n v="8"/>
    <n v="65"/>
    <n v="9.89"/>
    <n v="2"/>
    <n v="25"/>
    <n v="17404.75"/>
    <n v="0"/>
    <x v="0"/>
    <s v="OK"/>
  </r>
  <r>
    <s v="IT-10086"/>
    <s v="Roller bearing 20-86"/>
    <x v="0"/>
    <x v="0"/>
    <x v="0"/>
    <s v="2025-12"/>
    <n v="474.14"/>
    <n v="506.03"/>
    <n v="503.65333299999998"/>
    <n v="696.19"/>
    <n v="50"/>
    <m/>
    <n v="0"/>
    <n v="45"/>
    <n v="22664.400000000001"/>
    <n v="3"/>
    <n v="42"/>
    <n v="6.1"/>
    <n v="5"/>
    <n v="28"/>
    <n v="19493.32"/>
    <n v="0"/>
    <x v="0"/>
    <s v="OK"/>
  </r>
  <r>
    <s v="IT-10086"/>
    <s v="Roller bearing 20-86"/>
    <x v="0"/>
    <x v="0"/>
    <x v="0"/>
    <s v="2026-01"/>
    <n v="465.28"/>
    <n v="496.57"/>
    <n v="503.65333299999998"/>
    <n v="696.19"/>
    <n v="50"/>
    <m/>
    <n v="0"/>
    <n v="45"/>
    <n v="22664.400000000001"/>
    <n v="7"/>
    <n v="38"/>
    <n v="11.16"/>
    <n v="36"/>
    <n v="0"/>
    <n v="0"/>
    <n v="0"/>
    <x v="0"/>
    <s v="OK"/>
  </r>
  <r>
    <s v="IT-10086"/>
    <s v="Roller bearing 20-86"/>
    <x v="0"/>
    <x v="0"/>
    <x v="0"/>
    <s v="2026-02"/>
    <n v="474.94"/>
    <n v="506.88"/>
    <n v="505.73666700000001"/>
    <n v="736.26"/>
    <n v="50"/>
    <n v="59"/>
    <n v="82"/>
    <n v="84"/>
    <n v="42481.88"/>
    <n v="2"/>
    <n v="82"/>
    <n v="15.21"/>
    <n v="1"/>
    <n v="43"/>
    <n v="31659.18"/>
    <n v="0"/>
    <x v="0"/>
    <s v="OK"/>
  </r>
  <r>
    <s v="IT-10086"/>
    <s v="Roller bearing 20-86"/>
    <x v="0"/>
    <x v="0"/>
    <x v="0"/>
    <s v="2026-03"/>
    <n v="474.81"/>
    <n v="506.74"/>
    <n v="505.98750000000001"/>
    <n v="736.26"/>
    <n v="50"/>
    <n v="46"/>
    <n v="28"/>
    <n v="88"/>
    <n v="44526.9"/>
    <n v="8"/>
    <n v="80"/>
    <n v="16.89"/>
    <n v="6"/>
    <n v="24"/>
    <n v="17670.240000000002"/>
    <n v="0"/>
    <x v="0"/>
    <s v="OK"/>
  </r>
  <r>
    <s v="IT-10086"/>
    <s v="Roller bearing 20-86"/>
    <x v="0"/>
    <x v="0"/>
    <x v="0"/>
    <s v="2026-04"/>
    <n v="497.91"/>
    <n v="531.4"/>
    <n v="514.45827599999996"/>
    <n v="736.26"/>
    <n v="50"/>
    <n v="43"/>
    <n v="44"/>
    <n v="87"/>
    <n v="44757.87"/>
    <n v="9"/>
    <n v="78"/>
    <n v="9.8800000000000008"/>
    <n v="0"/>
    <n v="45"/>
    <n v="33131.699999999997"/>
    <n v="0"/>
    <x v="0"/>
    <s v="OK"/>
  </r>
  <r>
    <s v="IT-10086"/>
    <s v="Roller bearing 20-86"/>
    <x v="0"/>
    <x v="0"/>
    <x v="0"/>
    <s v="2026-05"/>
    <n v="480.54"/>
    <n v="512.86"/>
    <n v="514.07971399999997"/>
    <n v="736.26"/>
    <n v="50"/>
    <n v="60"/>
    <n v="27"/>
    <n v="70"/>
    <n v="35985.58"/>
    <n v="3"/>
    <n v="67"/>
    <n v="8.14"/>
    <n v="3"/>
    <n v="44"/>
    <n v="32395.439999999999"/>
    <n v="0"/>
    <x v="0"/>
    <s v="OK"/>
  </r>
  <r>
    <s v="IT-10086"/>
    <s v="Roller bearing 20-86"/>
    <x v="0"/>
    <x v="0"/>
    <x v="0"/>
    <s v="2026-06"/>
    <n v="491.01"/>
    <n v="524.03"/>
    <n v="516.84937500000001"/>
    <n v="736.26"/>
    <n v="50"/>
    <n v="49"/>
    <n v="27"/>
    <n v="64"/>
    <n v="33078.36"/>
    <n v="6"/>
    <n v="58"/>
    <n v="6.82"/>
    <n v="12"/>
    <n v="33"/>
    <n v="24296.58"/>
    <n v="0"/>
    <x v="0"/>
    <s v="OK"/>
  </r>
  <r>
    <s v="IT-10086"/>
    <s v="Roller bearing 20-86"/>
    <x v="0"/>
    <x v="0"/>
    <x v="0"/>
    <s v="2026-07"/>
    <n v="494.61"/>
    <n v="527.87"/>
    <n v="522.08865900000001"/>
    <n v="736.26"/>
    <n v="50"/>
    <n v="45"/>
    <n v="58"/>
    <n v="82"/>
    <n v="42811.27"/>
    <n v="3"/>
    <n v="79"/>
    <n v="9.2100000000000009"/>
    <n v="1"/>
    <n v="40"/>
    <n v="29450.400000000001"/>
    <n v="0"/>
    <x v="0"/>
    <s v="OK"/>
  </r>
  <r>
    <s v="IT-10086"/>
    <s v="Roller bearing 20-86"/>
    <x v="0"/>
    <x v="0"/>
    <x v="0"/>
    <s v="2026-08"/>
    <n v="490.95"/>
    <n v="523.97"/>
    <n v="522.08866699999999"/>
    <n v="736.26"/>
    <n v="50"/>
    <m/>
    <n v="0"/>
    <n v="45"/>
    <n v="23493.99"/>
    <n v="6"/>
    <n v="39"/>
    <n v="5.38"/>
    <n v="6"/>
    <n v="37"/>
    <n v="27241.62"/>
    <n v="0"/>
    <x v="0"/>
    <s v="OK"/>
  </r>
  <r>
    <s v="IT-10087"/>
    <s v="Sprocket 20-87"/>
    <x v="4"/>
    <x v="4"/>
    <x v="1"/>
    <s v="2024-09"/>
    <n v="11.49"/>
    <n v="12.55"/>
    <n v="12.359277000000001"/>
    <n v="17.079999999999998"/>
    <n v="38"/>
    <n v="35"/>
    <n v="17"/>
    <n v="761"/>
    <n v="9405.41"/>
    <n v="72"/>
    <n v="689"/>
    <n v="33.450000000000003"/>
    <n v="1"/>
    <n v="113"/>
    <n v="1930.04"/>
    <n v="0"/>
    <x v="0"/>
    <s v="OK"/>
  </r>
  <r>
    <s v="IT-10087"/>
    <s v="Sprocket 20-87"/>
    <x v="4"/>
    <x v="4"/>
    <x v="1"/>
    <s v="2024-10"/>
    <n v="12.09"/>
    <n v="13.21"/>
    <n v="12.35928"/>
    <n v="17.079999999999998"/>
    <n v="38"/>
    <m/>
    <n v="0"/>
    <n v="514"/>
    <n v="6352.67"/>
    <n v="72"/>
    <n v="442"/>
    <n v="14.75"/>
    <n v="0"/>
    <n v="247"/>
    <n v="4218.76"/>
    <n v="0"/>
    <x v="0"/>
    <s v="OK"/>
  </r>
  <r>
    <s v="IT-10087"/>
    <s v="Sprocket 20-87"/>
    <x v="4"/>
    <x v="4"/>
    <x v="1"/>
    <s v="2024-11"/>
    <n v="12.16"/>
    <n v="13.29"/>
    <n v="12.35927"/>
    <n v="17.079999999999998"/>
    <n v="38"/>
    <m/>
    <n v="0"/>
    <n v="274"/>
    <n v="3386.44"/>
    <n v="29"/>
    <n v="245"/>
    <n v="5.94"/>
    <n v="0"/>
    <n v="240"/>
    <n v="4099.2"/>
    <n v="0"/>
    <x v="0"/>
    <s v="OK"/>
  </r>
  <r>
    <s v="IT-10087"/>
    <s v="Sprocket 20-87"/>
    <x v="4"/>
    <x v="4"/>
    <x v="1"/>
    <s v="2024-12"/>
    <n v="12.17"/>
    <n v="13.3"/>
    <n v="12.803352"/>
    <n v="17.079999999999998"/>
    <n v="38"/>
    <n v="37"/>
    <n v="245"/>
    <n v="361"/>
    <n v="4622.01"/>
    <n v="72"/>
    <n v="289"/>
    <n v="7.36"/>
    <n v="1"/>
    <n v="158"/>
    <n v="2698.64"/>
    <n v="0"/>
    <x v="0"/>
    <s v="OK"/>
  </r>
  <r>
    <s v="IT-10087"/>
    <s v="Sprocket 20-87"/>
    <x v="4"/>
    <x v="4"/>
    <x v="1"/>
    <s v="2025-01"/>
    <n v="11.96"/>
    <n v="13.07"/>
    <n v="12.816015"/>
    <n v="17.079999999999998"/>
    <n v="38"/>
    <n v="50"/>
    <n v="18"/>
    <n v="261"/>
    <n v="3344.98"/>
    <n v="57"/>
    <n v="204"/>
    <n v="6.65"/>
    <n v="1"/>
    <n v="118"/>
    <n v="2015.44"/>
    <n v="0"/>
    <x v="0"/>
    <s v="OK"/>
  </r>
  <r>
    <s v="IT-10087"/>
    <s v="Sprocket 20-87"/>
    <x v="4"/>
    <x v="4"/>
    <x v="1"/>
    <s v="2025-02"/>
    <n v="11.92"/>
    <n v="13.02"/>
    <n v="12.912658"/>
    <n v="17.690000000000001"/>
    <n v="38"/>
    <n v="37"/>
    <n v="235"/>
    <n v="316"/>
    <n v="4080.4"/>
    <n v="21"/>
    <n v="295"/>
    <n v="8.91"/>
    <n v="0"/>
    <n v="180"/>
    <n v="3184.2"/>
    <n v="0"/>
    <x v="0"/>
    <s v="OK"/>
  </r>
  <r>
    <s v="IT-10087"/>
    <s v="Sprocket 20-87"/>
    <x v="4"/>
    <x v="4"/>
    <x v="1"/>
    <s v="2025-03"/>
    <n v="11.95"/>
    <n v="13.06"/>
    <n v="12.999617000000001"/>
    <n v="17.690000000000001"/>
    <n v="38"/>
    <n v="54"/>
    <n v="455"/>
    <n v="392"/>
    <n v="5095.8500000000004"/>
    <n v="43"/>
    <n v="349"/>
    <n v="7.44"/>
    <n v="0"/>
    <n v="379"/>
    <n v="6704.51"/>
    <n v="0"/>
    <x v="0"/>
    <s v="OK"/>
  </r>
  <r>
    <s v="IT-10087"/>
    <s v="Sprocket 20-87"/>
    <x v="4"/>
    <x v="4"/>
    <x v="1"/>
    <s v="2025-04"/>
    <n v="11.99"/>
    <n v="13.1"/>
    <n v="13.012938999999999"/>
    <n v="17.690000000000001"/>
    <n v="38"/>
    <n v="36"/>
    <n v="60"/>
    <n v="330"/>
    <n v="4294.2700000000004"/>
    <n v="64"/>
    <n v="266"/>
    <n v="6.16"/>
    <n v="0"/>
    <n v="122"/>
    <n v="2158.1799999999998"/>
    <n v="0"/>
    <x v="0"/>
    <s v="OK"/>
  </r>
  <r>
    <s v="IT-10087"/>
    <s v="Sprocket 20-87"/>
    <x v="4"/>
    <x v="4"/>
    <x v="1"/>
    <s v="2025-05"/>
    <n v="12.14"/>
    <n v="13.27"/>
    <n v="13.012935000000001"/>
    <n v="17.690000000000001"/>
    <n v="38"/>
    <m/>
    <n v="0"/>
    <n v="310"/>
    <n v="4034.01"/>
    <n v="29"/>
    <n v="281"/>
    <n v="7.82"/>
    <n v="4"/>
    <n v="20"/>
    <n v="353.8"/>
    <n v="0"/>
    <x v="0"/>
    <s v="OK"/>
  </r>
  <r>
    <s v="IT-10087"/>
    <s v="Sprocket 20-87"/>
    <x v="4"/>
    <x v="4"/>
    <x v="1"/>
    <s v="2025-06"/>
    <n v="12.05"/>
    <n v="13.17"/>
    <n v="13.098929"/>
    <n v="17.690000000000001"/>
    <n v="38"/>
    <n v="62"/>
    <n v="375"/>
    <n v="495"/>
    <n v="6483.97"/>
    <n v="64"/>
    <n v="431"/>
    <n v="19.38"/>
    <n v="2"/>
    <n v="190"/>
    <n v="3361.1"/>
    <n v="0"/>
    <x v="0"/>
    <s v="OK"/>
  </r>
  <r>
    <s v="IT-10087"/>
    <s v="Sprocket 20-87"/>
    <x v="4"/>
    <x v="4"/>
    <x v="1"/>
    <s v="2025-07"/>
    <n v="11.84"/>
    <n v="12.94"/>
    <n v="13.049409000000001"/>
    <n v="17.690000000000001"/>
    <n v="38"/>
    <n v="34"/>
    <n v="224"/>
    <n v="440"/>
    <n v="5741.74"/>
    <n v="43"/>
    <n v="397"/>
    <n v="11.83"/>
    <n v="0"/>
    <n v="279"/>
    <n v="4935.51"/>
    <n v="0"/>
    <x v="0"/>
    <s v="OK"/>
  </r>
  <r>
    <s v="IT-10087"/>
    <s v="Sprocket 20-87"/>
    <x v="4"/>
    <x v="4"/>
    <x v="1"/>
    <s v="2025-08"/>
    <n v="11.91"/>
    <n v="13.01"/>
    <n v="13.03553"/>
    <n v="17.690000000000001"/>
    <n v="38"/>
    <n v="36"/>
    <n v="239"/>
    <n v="472"/>
    <n v="6152.77"/>
    <n v="43"/>
    <n v="429"/>
    <n v="9.18"/>
    <n v="1"/>
    <n v="207"/>
    <n v="3661.83"/>
    <n v="0"/>
    <x v="0"/>
    <s v="OK"/>
  </r>
  <r>
    <s v="IT-10087"/>
    <s v="Sprocket 20-87"/>
    <x v="4"/>
    <x v="4"/>
    <x v="1"/>
    <s v="2025-09"/>
    <n v="11.8"/>
    <n v="12.89"/>
    <n v="13.035543000000001"/>
    <n v="17.690000000000001"/>
    <n v="38"/>
    <m/>
    <n v="0"/>
    <n v="184"/>
    <n v="2398.54"/>
    <n v="43"/>
    <n v="141"/>
    <n v="3.12"/>
    <n v="1"/>
    <n v="288"/>
    <n v="5094.72"/>
    <n v="0"/>
    <x v="0"/>
    <s v="OK"/>
  </r>
  <r>
    <s v="IT-10087"/>
    <s v="Sprocket 20-87"/>
    <x v="4"/>
    <x v="4"/>
    <x v="1"/>
    <s v="2025-10"/>
    <n v="12.46"/>
    <n v="13.61"/>
    <n v="13.372472999999999"/>
    <n v="17.690000000000001"/>
    <n v="38"/>
    <n v="43"/>
    <n v="261"/>
    <n v="186"/>
    <n v="2487.2800000000002"/>
    <n v="43"/>
    <n v="143"/>
    <n v="3.24"/>
    <n v="1"/>
    <n v="259"/>
    <n v="4581.71"/>
    <n v="0"/>
    <x v="0"/>
    <s v="OK"/>
  </r>
  <r>
    <s v="IT-10087"/>
    <s v="Sprocket 20-87"/>
    <x v="4"/>
    <x v="4"/>
    <x v="1"/>
    <s v="2025-11"/>
    <n v="12.85"/>
    <n v="14.04"/>
    <n v="13.807499999999999"/>
    <n v="17.690000000000001"/>
    <n v="38"/>
    <n v="34"/>
    <n v="348"/>
    <n v="316"/>
    <n v="4363.17"/>
    <n v="36"/>
    <n v="280"/>
    <n v="5.37"/>
    <n v="2"/>
    <n v="218"/>
    <n v="3856.42"/>
    <n v="0"/>
    <x v="0"/>
    <s v="OK"/>
  </r>
  <r>
    <s v="IT-10087"/>
    <s v="Sprocket 20-87"/>
    <x v="4"/>
    <x v="4"/>
    <x v="1"/>
    <s v="2025-12"/>
    <n v="12.89"/>
    <n v="14.08"/>
    <n v="13.807454999999999"/>
    <n v="17.690000000000001"/>
    <n v="38"/>
    <m/>
    <n v="0"/>
    <n v="110"/>
    <n v="1518.82"/>
    <n v="72"/>
    <n v="38"/>
    <n v="2.12"/>
    <n v="0"/>
    <n v="206"/>
    <n v="3644.14"/>
    <n v="0"/>
    <x v="0"/>
    <s v="OK"/>
  </r>
  <r>
    <s v="IT-10087"/>
    <s v="Sprocket 20-87"/>
    <x v="4"/>
    <x v="4"/>
    <x v="1"/>
    <s v="2026-01"/>
    <n v="12.86"/>
    <n v="14.05"/>
    <n v="14.019472"/>
    <n v="17.690000000000001"/>
    <n v="38"/>
    <n v="35"/>
    <n v="764"/>
    <n v="757"/>
    <n v="10612.74"/>
    <n v="57"/>
    <n v="700"/>
    <n v="18.39"/>
    <n v="2"/>
    <n v="117"/>
    <n v="2069.73"/>
    <n v="0"/>
    <x v="0"/>
    <s v="OK"/>
  </r>
  <r>
    <s v="IT-10087"/>
    <s v="Sprocket 20-87"/>
    <x v="4"/>
    <x v="4"/>
    <x v="1"/>
    <s v="2026-02"/>
    <n v="12.7"/>
    <n v="13.88"/>
    <n v="14.019469000000001"/>
    <n v="18.32"/>
    <n v="38"/>
    <m/>
    <n v="0"/>
    <n v="490"/>
    <n v="6869.54"/>
    <n v="64"/>
    <n v="426"/>
    <n v="10.68"/>
    <n v="0"/>
    <n v="267"/>
    <n v="4891.4399999999996"/>
    <n v="0"/>
    <x v="0"/>
    <s v="OK"/>
  </r>
  <r>
    <s v="IT-10087"/>
    <s v="Sprocket 20-87"/>
    <x v="4"/>
    <x v="4"/>
    <x v="1"/>
    <s v="2026-03"/>
    <n v="12.57"/>
    <n v="13.73"/>
    <n v="13.960635999999999"/>
    <n v="18.32"/>
    <n v="38"/>
    <n v="37"/>
    <n v="125"/>
    <n v="393"/>
    <n v="5486.53"/>
    <n v="43"/>
    <n v="350"/>
    <n v="8.34"/>
    <n v="0"/>
    <n v="222"/>
    <n v="4067.04"/>
    <n v="0"/>
    <x v="0"/>
    <s v="OK"/>
  </r>
  <r>
    <s v="IT-10087"/>
    <s v="Sprocket 20-87"/>
    <x v="4"/>
    <x v="4"/>
    <x v="1"/>
    <s v="2026-04"/>
    <n v="12.86"/>
    <n v="14.05"/>
    <n v="13.960660000000001"/>
    <n v="18.32"/>
    <n v="38"/>
    <m/>
    <n v="0"/>
    <n v="106"/>
    <n v="1479.83"/>
    <n v="36"/>
    <n v="70"/>
    <n v="1.74"/>
    <n v="0"/>
    <n v="287"/>
    <n v="5257.84"/>
    <n v="0"/>
    <x v="0"/>
    <s v="OK"/>
  </r>
  <r>
    <s v="IT-10087"/>
    <s v="Sprocket 20-87"/>
    <x v="4"/>
    <x v="4"/>
    <x v="1"/>
    <s v="2026-05"/>
    <n v="12.86"/>
    <n v="14.05"/>
    <n v="14.034663"/>
    <n v="18.32"/>
    <n v="38"/>
    <n v="32"/>
    <n v="512"/>
    <n v="356"/>
    <n v="4996.34"/>
    <n v="29"/>
    <n v="327"/>
    <n v="6.07"/>
    <n v="0"/>
    <n v="262"/>
    <n v="4799.84"/>
    <n v="0"/>
    <x v="0"/>
    <s v="OK"/>
  </r>
  <r>
    <s v="IT-10087"/>
    <s v="Sprocket 20-87"/>
    <x v="4"/>
    <x v="4"/>
    <x v="1"/>
    <s v="2026-06"/>
    <n v="12.86"/>
    <n v="14.05"/>
    <n v="14.041111000000001"/>
    <n v="18.32"/>
    <n v="38"/>
    <n v="47"/>
    <n v="258"/>
    <n v="234"/>
    <n v="3285.62"/>
    <n v="50"/>
    <n v="184"/>
    <n v="3.27"/>
    <n v="1"/>
    <n v="380"/>
    <n v="6961.6"/>
    <n v="0"/>
    <x v="0"/>
    <s v="OK"/>
  </r>
  <r>
    <s v="IT-10087"/>
    <s v="Sprocket 20-87"/>
    <x v="4"/>
    <x v="4"/>
    <x v="1"/>
    <s v="2026-07"/>
    <n v="12.92"/>
    <n v="14.12"/>
    <n v="14.074206999999999"/>
    <n v="18.32"/>
    <n v="38"/>
    <n v="35"/>
    <n v="169"/>
    <n v="328"/>
    <n v="4616.34"/>
    <n v="57"/>
    <n v="271"/>
    <n v="6.01"/>
    <n v="0"/>
    <n v="75"/>
    <n v="1374"/>
    <n v="0"/>
    <x v="0"/>
    <s v="OK"/>
  </r>
  <r>
    <s v="IT-10087"/>
    <s v="Sprocket 20-87"/>
    <x v="4"/>
    <x v="4"/>
    <x v="1"/>
    <s v="2026-08"/>
    <n v="12.92"/>
    <n v="14.12"/>
    <n v="14.101542"/>
    <n v="18.32"/>
    <n v="38"/>
    <n v="33"/>
    <n v="486"/>
    <n v="577"/>
    <n v="8136.59"/>
    <n v="29"/>
    <n v="548"/>
    <n v="10.96"/>
    <n v="2"/>
    <n v="237"/>
    <n v="4341.84"/>
    <n v="0"/>
    <x v="0"/>
    <s v="OK"/>
  </r>
  <r>
    <s v="IT-10088"/>
    <s v="Relay 20-88"/>
    <x v="3"/>
    <x v="3"/>
    <x v="0"/>
    <s v="2024-09"/>
    <n v="131.03"/>
    <n v="143.47999999999999"/>
    <n v="143.54499999999999"/>
    <n v="200.87"/>
    <n v="56"/>
    <n v="52"/>
    <n v="3"/>
    <n v="18"/>
    <n v="2583.81"/>
    <n v="0"/>
    <n v="18"/>
    <n v="59.14"/>
    <n v="11"/>
    <n v="2"/>
    <n v="401.74"/>
    <n v="0"/>
    <x v="0"/>
    <s v="OK"/>
  </r>
  <r>
    <s v="IT-10088"/>
    <s v="Relay 20-88"/>
    <x v="3"/>
    <x v="3"/>
    <x v="0"/>
    <s v="2024-10"/>
    <n v="133.93"/>
    <n v="146.66"/>
    <n v="143.54499999999999"/>
    <n v="200.87"/>
    <n v="56"/>
    <m/>
    <n v="0"/>
    <n v="16"/>
    <n v="2296.7199999999998"/>
    <n v="0"/>
    <n v="16"/>
    <n v="42.06"/>
    <n v="24"/>
    <n v="2"/>
    <n v="401.74"/>
    <n v="0"/>
    <x v="0"/>
    <s v="OK"/>
  </r>
  <r>
    <s v="IT-10088"/>
    <s v="Relay 20-88"/>
    <x v="3"/>
    <x v="3"/>
    <x v="0"/>
    <s v="2024-11"/>
    <n v="133.81"/>
    <n v="146.52000000000001"/>
    <n v="143.54461499999999"/>
    <n v="200.87"/>
    <n v="56"/>
    <m/>
    <n v="0"/>
    <n v="13"/>
    <n v="1866.08"/>
    <n v="1"/>
    <n v="12"/>
    <n v="24.14"/>
    <n v="27"/>
    <n v="3"/>
    <n v="602.61"/>
    <n v="0"/>
    <x v="0"/>
    <s v="OK"/>
  </r>
  <r>
    <s v="IT-10088"/>
    <s v="Relay 20-88"/>
    <x v="3"/>
    <x v="3"/>
    <x v="0"/>
    <s v="2024-12"/>
    <n v="129.93"/>
    <n v="142.28"/>
    <n v="143.101765"/>
    <n v="200.87"/>
    <n v="56"/>
    <n v="49"/>
    <n v="7"/>
    <n v="17"/>
    <n v="2432.73"/>
    <n v="1"/>
    <n v="16"/>
    <n v="27.93"/>
    <n v="14"/>
    <n v="3"/>
    <n v="602.61"/>
    <n v="0"/>
    <x v="0"/>
    <s v="OK"/>
  </r>
  <r>
    <s v="IT-10088"/>
    <s v="Relay 20-88"/>
    <x v="3"/>
    <x v="3"/>
    <x v="0"/>
    <s v="2025-01"/>
    <n v="131.38"/>
    <n v="143.86000000000001"/>
    <n v="143.101429"/>
    <n v="200.87"/>
    <n v="56"/>
    <m/>
    <n v="0"/>
    <n v="14"/>
    <n v="2003.42"/>
    <n v="1"/>
    <n v="13"/>
    <n v="20.440000000000001"/>
    <n v="11"/>
    <n v="3"/>
    <n v="602.61"/>
    <n v="0"/>
    <x v="0"/>
    <s v="OK"/>
  </r>
  <r>
    <s v="IT-10088"/>
    <s v="Relay 20-88"/>
    <x v="3"/>
    <x v="3"/>
    <x v="0"/>
    <s v="2025-02"/>
    <n v="132.25"/>
    <n v="144.82"/>
    <n v="143.55357100000001"/>
    <n v="206.44"/>
    <n v="56"/>
    <n v="53"/>
    <n v="5"/>
    <n v="14"/>
    <n v="2009.75"/>
    <n v="1"/>
    <n v="13"/>
    <n v="16.36"/>
    <n v="8"/>
    <n v="5"/>
    <n v="1032.2"/>
    <n v="0"/>
    <x v="0"/>
    <s v="OK"/>
  </r>
  <r>
    <s v="IT-10088"/>
    <s v="Relay 20-88"/>
    <x v="3"/>
    <x v="3"/>
    <x v="0"/>
    <s v="2025-03"/>
    <n v="138.03"/>
    <n v="151.15"/>
    <n v="143.55363600000001"/>
    <n v="206.44"/>
    <n v="56"/>
    <m/>
    <n v="0"/>
    <n v="11"/>
    <n v="1579.09"/>
    <n v="1"/>
    <n v="10"/>
    <n v="12.86"/>
    <n v="18"/>
    <n v="3"/>
    <n v="619.32000000000005"/>
    <n v="0"/>
    <x v="0"/>
    <s v="OK"/>
  </r>
  <r>
    <s v="IT-10088"/>
    <s v="Relay 20-88"/>
    <x v="3"/>
    <x v="3"/>
    <x v="0"/>
    <s v="2025-04"/>
    <n v="140.96"/>
    <n v="154.35"/>
    <n v="148.69499999999999"/>
    <n v="206.44"/>
    <n v="56"/>
    <n v="48"/>
    <n v="10"/>
    <n v="18"/>
    <n v="2676.51"/>
    <n v="1"/>
    <n v="17"/>
    <n v="20.81"/>
    <n v="10"/>
    <n v="3"/>
    <n v="619.32000000000005"/>
    <n v="0"/>
    <x v="0"/>
    <s v="OK"/>
  </r>
  <r>
    <s v="IT-10088"/>
    <s v="Relay 20-88"/>
    <x v="3"/>
    <x v="3"/>
    <x v="0"/>
    <s v="2025-05"/>
    <n v="141.41"/>
    <n v="154.85"/>
    <n v="148.69499999999999"/>
    <n v="206.44"/>
    <n v="56"/>
    <m/>
    <n v="0"/>
    <n v="14"/>
    <n v="2081.73"/>
    <n v="1"/>
    <n v="13"/>
    <n v="18.399999999999999"/>
    <n v="1"/>
    <n v="4"/>
    <n v="825.76"/>
    <n v="0"/>
    <x v="0"/>
    <s v="OK"/>
  </r>
  <r>
    <s v="IT-10088"/>
    <s v="Relay 20-88"/>
    <x v="3"/>
    <x v="3"/>
    <x v="0"/>
    <s v="2025-06"/>
    <n v="141.09"/>
    <n v="154.5"/>
    <n v="148.69454500000001"/>
    <n v="206.44"/>
    <n v="56"/>
    <m/>
    <n v="0"/>
    <n v="11"/>
    <n v="1635.64"/>
    <n v="1"/>
    <n v="10"/>
    <n v="14.3"/>
    <n v="1"/>
    <n v="3"/>
    <n v="619.32000000000005"/>
    <n v="0"/>
    <x v="0"/>
    <s v="OK"/>
  </r>
  <r>
    <s v="IT-10088"/>
    <s v="Relay 20-88"/>
    <x v="3"/>
    <x v="3"/>
    <x v="0"/>
    <s v="2025-07"/>
    <n v="140.80000000000001"/>
    <n v="154.18"/>
    <n v="150.63062500000001"/>
    <n v="206.44"/>
    <n v="56"/>
    <n v="49"/>
    <n v="6"/>
    <n v="16"/>
    <n v="2410.09"/>
    <n v="0"/>
    <n v="16"/>
    <n v="26.29"/>
    <n v="27"/>
    <n v="1"/>
    <n v="206.44"/>
    <n v="0"/>
    <x v="0"/>
    <s v="OK"/>
  </r>
  <r>
    <s v="IT-10088"/>
    <s v="Relay 20-88"/>
    <x v="3"/>
    <x v="3"/>
    <x v="0"/>
    <s v="2025-08"/>
    <n v="140.68"/>
    <n v="154.05000000000001"/>
    <n v="150.63076899999999"/>
    <n v="206.44"/>
    <n v="56"/>
    <m/>
    <n v="0"/>
    <n v="13"/>
    <n v="1958.2"/>
    <n v="0"/>
    <n v="13"/>
    <n v="24.41"/>
    <n v="2"/>
    <n v="3"/>
    <n v="619.32000000000005"/>
    <n v="0"/>
    <x v="0"/>
    <s v="OK"/>
  </r>
  <r>
    <s v="IT-10088"/>
    <s v="Relay 20-88"/>
    <x v="3"/>
    <x v="3"/>
    <x v="0"/>
    <s v="2025-09"/>
    <n v="142.09"/>
    <n v="155.59"/>
    <n v="150.630909"/>
    <n v="206.44"/>
    <n v="56"/>
    <m/>
    <n v="0"/>
    <n v="11"/>
    <n v="1656.94"/>
    <n v="1"/>
    <n v="10"/>
    <n v="24.1"/>
    <n v="9"/>
    <n v="2"/>
    <n v="412.88"/>
    <n v="0"/>
    <x v="0"/>
    <s v="OK"/>
  </r>
  <r>
    <s v="IT-10088"/>
    <s v="Relay 20-88"/>
    <x v="3"/>
    <x v="3"/>
    <x v="0"/>
    <s v="2025-10"/>
    <n v="139.91999999999999"/>
    <n v="153.22"/>
    <n v="151.18545499999999"/>
    <n v="206.44"/>
    <n v="56"/>
    <n v="50"/>
    <n v="3"/>
    <n v="11"/>
    <n v="1663.04"/>
    <n v="1"/>
    <n v="10"/>
    <n v="18.07"/>
    <n v="0"/>
    <n v="3"/>
    <n v="619.32000000000005"/>
    <n v="0"/>
    <x v="0"/>
    <s v="OK"/>
  </r>
  <r>
    <s v="IT-10088"/>
    <s v="Relay 20-88"/>
    <x v="3"/>
    <x v="3"/>
    <x v="0"/>
    <s v="2025-11"/>
    <n v="137.94999999999999"/>
    <n v="151.06"/>
    <n v="151.185"/>
    <n v="206.44"/>
    <n v="56"/>
    <m/>
    <n v="0"/>
    <n v="8"/>
    <n v="1209.48"/>
    <n v="1"/>
    <n v="7"/>
    <n v="13"/>
    <n v="15"/>
    <n v="3"/>
    <n v="619.32000000000005"/>
    <n v="0"/>
    <x v="0"/>
    <s v="OK"/>
  </r>
  <r>
    <s v="IT-10088"/>
    <s v="Relay 20-88"/>
    <x v="3"/>
    <x v="3"/>
    <x v="0"/>
    <s v="2025-12"/>
    <n v="142.25"/>
    <n v="155.77000000000001"/>
    <n v="153.324444"/>
    <n v="206.44"/>
    <n v="56"/>
    <n v="68"/>
    <n v="7"/>
    <n v="9"/>
    <n v="1379.92"/>
    <n v="0"/>
    <n v="9"/>
    <n v="9.86"/>
    <n v="8"/>
    <n v="6"/>
    <n v="1238.6400000000001"/>
    <n v="0"/>
    <x v="0"/>
    <s v="OK"/>
  </r>
  <r>
    <s v="IT-10088"/>
    <s v="Relay 20-88"/>
    <x v="3"/>
    <x v="3"/>
    <x v="0"/>
    <s v="2026-01"/>
    <n v="140.43"/>
    <n v="153.77000000000001"/>
    <n v="153.32499999999999"/>
    <n v="206.44"/>
    <n v="56"/>
    <m/>
    <n v="0"/>
    <n v="4"/>
    <n v="613.29999999999995"/>
    <n v="1"/>
    <n v="3"/>
    <n v="3.76"/>
    <n v="3"/>
    <n v="5"/>
    <n v="1032.2"/>
    <n v="0"/>
    <x v="0"/>
    <s v="OK"/>
  </r>
  <r>
    <s v="IT-10088"/>
    <s v="Relay 20-88"/>
    <x v="3"/>
    <x v="3"/>
    <x v="0"/>
    <s v="2026-02"/>
    <n v="137.36000000000001"/>
    <n v="150.41"/>
    <n v="151.306667"/>
    <n v="212.16"/>
    <n v="56"/>
    <n v="54"/>
    <n v="9"/>
    <n v="12"/>
    <n v="1815.68"/>
    <n v="1"/>
    <n v="11"/>
    <n v="12.86"/>
    <n v="4"/>
    <n v="1"/>
    <n v="212.16"/>
    <n v="0"/>
    <x v="0"/>
    <s v="OK"/>
  </r>
  <r>
    <s v="IT-10088"/>
    <s v="Relay 20-88"/>
    <x v="3"/>
    <x v="3"/>
    <x v="0"/>
    <s v="2026-03"/>
    <n v="149.03"/>
    <n v="163.19"/>
    <n v="157.24842100000001"/>
    <n v="212.16"/>
    <n v="56"/>
    <n v="51"/>
    <n v="12"/>
    <n v="19"/>
    <n v="2987.72"/>
    <n v="1"/>
    <n v="18"/>
    <n v="22.21"/>
    <n v="13"/>
    <n v="5"/>
    <n v="1060.8"/>
    <n v="0"/>
    <x v="0"/>
    <s v="OK"/>
  </r>
  <r>
    <s v="IT-10088"/>
    <s v="Relay 20-88"/>
    <x v="3"/>
    <x v="3"/>
    <x v="0"/>
    <s v="2026-04"/>
    <n v="151.09"/>
    <n v="165.45"/>
    <n v="157.24812499999999"/>
    <n v="212.16"/>
    <n v="56"/>
    <m/>
    <n v="0"/>
    <n v="16"/>
    <n v="2515.9699999999998"/>
    <n v="1"/>
    <n v="15"/>
    <n v="22.6"/>
    <n v="21"/>
    <n v="3"/>
    <n v="636.48"/>
    <n v="0"/>
    <x v="0"/>
    <s v="OK"/>
  </r>
  <r>
    <s v="IT-10088"/>
    <s v="Relay 20-88"/>
    <x v="3"/>
    <x v="3"/>
    <x v="0"/>
    <s v="2026-05"/>
    <n v="148.62"/>
    <n v="162.74"/>
    <n v="157.24785700000001"/>
    <n v="212.16"/>
    <n v="56"/>
    <m/>
    <n v="0"/>
    <n v="14"/>
    <n v="2201.4699999999998"/>
    <n v="0"/>
    <n v="14"/>
    <n v="18.399999999999999"/>
    <n v="24"/>
    <n v="2"/>
    <n v="424.32"/>
    <n v="0"/>
    <x v="0"/>
    <s v="OK"/>
  </r>
  <r>
    <s v="IT-10088"/>
    <s v="Relay 20-88"/>
    <x v="3"/>
    <x v="3"/>
    <x v="0"/>
    <s v="2026-06"/>
    <n v="148.30000000000001"/>
    <n v="162.38999999999999"/>
    <n v="157.24785700000001"/>
    <n v="212.16"/>
    <n v="56"/>
    <m/>
    <n v="0"/>
    <n v="14"/>
    <n v="2201.4699999999998"/>
    <n v="1"/>
    <n v="13"/>
    <n v="36.4"/>
    <n v="54"/>
    <n v="0"/>
    <n v="0"/>
    <n v="0"/>
    <x v="0"/>
    <s v="OK"/>
  </r>
  <r>
    <s v="IT-10088"/>
    <s v="Relay 20-88"/>
    <x v="3"/>
    <x v="3"/>
    <x v="0"/>
    <s v="2026-07"/>
    <n v="147.5"/>
    <n v="161.52000000000001"/>
    <n v="158.00200000000001"/>
    <n v="212.16"/>
    <n v="56"/>
    <n v="48"/>
    <n v="3"/>
    <n v="15"/>
    <n v="2370.0300000000002"/>
    <n v="1"/>
    <n v="14"/>
    <n v="49.29"/>
    <n v="26"/>
    <n v="2"/>
    <n v="424.32"/>
    <n v="0"/>
    <x v="0"/>
    <s v="OK"/>
  </r>
  <r>
    <s v="IT-10088"/>
    <s v="Relay 20-88"/>
    <x v="3"/>
    <x v="3"/>
    <x v="0"/>
    <s v="2026-08"/>
    <n v="147.79"/>
    <n v="161.83000000000001"/>
    <n v="158.63999999999999"/>
    <n v="212.16"/>
    <n v="56"/>
    <n v="100"/>
    <n v="3"/>
    <n v="15"/>
    <n v="2379.6"/>
    <n v="1"/>
    <n v="14"/>
    <n v="39.43"/>
    <n v="0"/>
    <n v="3"/>
    <n v="636.48"/>
    <n v="0"/>
    <x v="0"/>
    <s v="OK"/>
  </r>
  <r>
    <s v="IT-10089"/>
    <s v="Sensor unit M-89"/>
    <x v="3"/>
    <x v="3"/>
    <x v="1"/>
    <s v="2024-09"/>
    <n v="235.75"/>
    <n v="235.75"/>
    <n v="235.28573299999999"/>
    <n v="320.29000000000002"/>
    <n v="51"/>
    <n v="50"/>
    <n v="28"/>
    <n v="75"/>
    <n v="17646.43"/>
    <n v="11"/>
    <n v="64"/>
    <n v="9.2100000000000009"/>
    <n v="2"/>
    <n v="36"/>
    <n v="11530.44"/>
    <n v="0"/>
    <x v="0"/>
    <s v="OK"/>
  </r>
  <r>
    <s v="IT-10089"/>
    <s v="Sensor unit M-89"/>
    <x v="3"/>
    <x v="3"/>
    <x v="1"/>
    <s v="2024-10"/>
    <n v="234.73"/>
    <n v="234.73"/>
    <n v="235.19836699999999"/>
    <n v="320.29000000000002"/>
    <n v="51"/>
    <n v="46"/>
    <n v="14"/>
    <n v="49"/>
    <n v="11524.72"/>
    <n v="4"/>
    <n v="45"/>
    <n v="5.8"/>
    <n v="5"/>
    <n v="40"/>
    <n v="12811.6"/>
    <n v="0"/>
    <x v="0"/>
    <s v="OK"/>
  </r>
  <r>
    <s v="IT-10089"/>
    <s v="Sensor unit M-89"/>
    <x v="3"/>
    <x v="3"/>
    <x v="1"/>
    <s v="2024-11"/>
    <n v="232.43"/>
    <n v="232.43"/>
    <n v="233.524"/>
    <n v="320.29000000000002"/>
    <n v="51"/>
    <n v="48"/>
    <n v="75"/>
    <n v="75"/>
    <n v="17514.3"/>
    <n v="8"/>
    <n v="67"/>
    <n v="7.8"/>
    <n v="2"/>
    <n v="49"/>
    <n v="15694.21"/>
    <n v="0"/>
    <x v="0"/>
    <s v="OK"/>
  </r>
  <r>
    <s v="IT-10089"/>
    <s v="Sensor unit M-89"/>
    <x v="3"/>
    <x v="3"/>
    <x v="1"/>
    <s v="2024-12"/>
    <n v="239.01"/>
    <n v="239.01"/>
    <n v="233.52391299999999"/>
    <n v="320.29000000000002"/>
    <n v="51"/>
    <m/>
    <n v="0"/>
    <n v="46"/>
    <n v="10742.1"/>
    <n v="7"/>
    <n v="39"/>
    <n v="5.12"/>
    <n v="6"/>
    <n v="29"/>
    <n v="9288.41"/>
    <n v="0"/>
    <x v="0"/>
    <s v="OK"/>
  </r>
  <r>
    <s v="IT-10089"/>
    <s v="Sensor unit M-89"/>
    <x v="3"/>
    <x v="3"/>
    <x v="1"/>
    <s v="2025-01"/>
    <n v="230.23"/>
    <n v="230.23"/>
    <n v="231.482268"/>
    <n v="320.29000000000002"/>
    <n v="51"/>
    <n v="48"/>
    <n v="75"/>
    <n v="97"/>
    <n v="22453.78"/>
    <n v="2"/>
    <n v="95"/>
    <n v="12.5"/>
    <n v="2"/>
    <n v="24"/>
    <n v="7686.96"/>
    <n v="0"/>
    <x v="0"/>
    <s v="OK"/>
  </r>
  <r>
    <s v="IT-10089"/>
    <s v="Sensor unit M-89"/>
    <x v="3"/>
    <x v="3"/>
    <x v="1"/>
    <s v="2025-02"/>
    <n v="238.64"/>
    <n v="238.64"/>
    <n v="233.45866699999999"/>
    <n v="339.26"/>
    <n v="51"/>
    <n v="50"/>
    <n v="37"/>
    <n v="120"/>
    <n v="28015.040000000001"/>
    <n v="8"/>
    <n v="112"/>
    <n v="23.03"/>
    <n v="0"/>
    <n v="14"/>
    <n v="4749.6400000000003"/>
    <n v="0"/>
    <x v="0"/>
    <s v="OK"/>
  </r>
  <r>
    <s v="IT-10089"/>
    <s v="Sensor unit M-89"/>
    <x v="3"/>
    <x v="3"/>
    <x v="1"/>
    <s v="2025-03"/>
    <n v="253.2"/>
    <n v="253.2"/>
    <n v="233.45863199999999"/>
    <n v="339.26"/>
    <n v="51"/>
    <m/>
    <n v="0"/>
    <n v="95"/>
    <n v="22178.57"/>
    <n v="6"/>
    <n v="89"/>
    <n v="19.39"/>
    <n v="3"/>
    <n v="25"/>
    <n v="8481.5"/>
    <n v="0"/>
    <x v="0"/>
    <s v="OK"/>
  </r>
  <r>
    <s v="IT-10089"/>
    <s v="Sensor unit M-89"/>
    <x v="3"/>
    <x v="3"/>
    <x v="1"/>
    <s v="2025-04"/>
    <n v="248.17"/>
    <n v="248.17"/>
    <n v="236.12186700000001"/>
    <n v="339.26"/>
    <n v="51"/>
    <n v="44"/>
    <n v="21"/>
    <n v="75"/>
    <n v="17709.14"/>
    <n v="10"/>
    <n v="65"/>
    <n v="11.92"/>
    <n v="6"/>
    <n v="41"/>
    <n v="13909.66"/>
    <n v="0"/>
    <x v="0"/>
    <s v="OK"/>
  </r>
  <r>
    <s v="IT-10089"/>
    <s v="Sensor unit M-89"/>
    <x v="3"/>
    <x v="3"/>
    <x v="1"/>
    <s v="2025-05"/>
    <n v="248.55"/>
    <n v="248.55"/>
    <n v="237.584"/>
    <n v="339.26"/>
    <n v="51"/>
    <n v="50"/>
    <n v="10"/>
    <n v="30"/>
    <n v="7127.52"/>
    <n v="6"/>
    <n v="24"/>
    <n v="3.26"/>
    <n v="11"/>
    <n v="55"/>
    <n v="18659.3"/>
    <n v="0"/>
    <x v="0"/>
    <s v="OK"/>
  </r>
  <r>
    <s v="IT-10089"/>
    <s v="Sensor unit M-89"/>
    <x v="3"/>
    <x v="3"/>
    <x v="1"/>
    <s v="2025-06"/>
    <n v="244.83"/>
    <n v="244.83"/>
    <n v="243.309853"/>
    <n v="339.26"/>
    <n v="51"/>
    <n v="50"/>
    <n v="113"/>
    <n v="136"/>
    <n v="33090.14"/>
    <n v="3"/>
    <n v="133"/>
    <n v="17.170000000000002"/>
    <n v="3"/>
    <n v="7"/>
    <n v="2374.8200000000002"/>
    <n v="0"/>
    <x v="0"/>
    <s v="OK"/>
  </r>
  <r>
    <s v="IT-10089"/>
    <s v="Sensor unit M-89"/>
    <x v="3"/>
    <x v="3"/>
    <x v="1"/>
    <s v="2025-07"/>
    <n v="248.63"/>
    <n v="248.63"/>
    <n v="243.30989400000001"/>
    <n v="339.26"/>
    <n v="51"/>
    <m/>
    <n v="0"/>
    <n v="94"/>
    <n v="22871.13"/>
    <n v="7"/>
    <n v="87"/>
    <n v="11.88"/>
    <n v="3"/>
    <n v="42"/>
    <n v="14248.92"/>
    <n v="0"/>
    <x v="0"/>
    <s v="OK"/>
  </r>
  <r>
    <s v="IT-10089"/>
    <s v="Sensor unit M-89"/>
    <x v="3"/>
    <x v="3"/>
    <x v="1"/>
    <s v="2025-08"/>
    <n v="249.38"/>
    <n v="249.38"/>
    <n v="243.309853"/>
    <n v="339.26"/>
    <n v="51"/>
    <m/>
    <n v="0"/>
    <n v="68"/>
    <n v="16545.07"/>
    <n v="3"/>
    <n v="65"/>
    <n v="11.92"/>
    <n v="2"/>
    <n v="26"/>
    <n v="8820.76"/>
    <n v="0"/>
    <x v="0"/>
    <s v="OK"/>
  </r>
  <r>
    <s v="IT-10089"/>
    <s v="Sensor unit M-89"/>
    <x v="3"/>
    <x v="3"/>
    <x v="1"/>
    <s v="2025-09"/>
    <n v="253.08"/>
    <n v="253.08"/>
    <n v="245.354839"/>
    <n v="339.26"/>
    <n v="51"/>
    <n v="82"/>
    <n v="18"/>
    <n v="62"/>
    <n v="15212"/>
    <n v="6"/>
    <n v="56"/>
    <n v="8.86"/>
    <n v="4"/>
    <n v="24"/>
    <n v="8142.24"/>
    <n v="0"/>
    <x v="0"/>
    <s v="OK"/>
  </r>
  <r>
    <s v="IT-10089"/>
    <s v="Sensor unit M-89"/>
    <x v="3"/>
    <x v="3"/>
    <x v="1"/>
    <s v="2025-10"/>
    <n v="244.53"/>
    <n v="244.53"/>
    <n v="244.95263700000001"/>
    <n v="339.26"/>
    <n v="51"/>
    <n v="47"/>
    <n v="59"/>
    <n v="91"/>
    <n v="22290.69"/>
    <n v="10"/>
    <n v="81"/>
    <n v="14.95"/>
    <n v="6"/>
    <n v="30"/>
    <n v="10177.799999999999"/>
    <n v="0"/>
    <x v="0"/>
    <s v="OK"/>
  </r>
  <r>
    <s v="IT-10089"/>
    <s v="Sensor unit M-89"/>
    <x v="3"/>
    <x v="3"/>
    <x v="1"/>
    <s v="2025-11"/>
    <n v="249.1"/>
    <n v="249.1"/>
    <n v="244.952642"/>
    <n v="339.26"/>
    <n v="51"/>
    <m/>
    <n v="0"/>
    <n v="53"/>
    <n v="12982.49"/>
    <n v="2"/>
    <n v="51"/>
    <n v="7.49"/>
    <n v="4"/>
    <n v="38"/>
    <n v="12891.88"/>
    <n v="0"/>
    <x v="0"/>
    <s v="OK"/>
  </r>
  <r>
    <s v="IT-10089"/>
    <s v="Sensor unit M-89"/>
    <x v="3"/>
    <x v="3"/>
    <x v="1"/>
    <s v="2025-12"/>
    <n v="246.8"/>
    <n v="246.8"/>
    <n v="244.95249999999999"/>
    <n v="339.26"/>
    <n v="51"/>
    <m/>
    <n v="0"/>
    <n v="16"/>
    <n v="3919.24"/>
    <n v="10"/>
    <n v="6"/>
    <n v="2"/>
    <n v="2"/>
    <n v="37"/>
    <n v="12552.62"/>
    <n v="0"/>
    <x v="0"/>
    <s v="OK"/>
  </r>
  <r>
    <s v="IT-10089"/>
    <s v="Sensor unit M-89"/>
    <x v="3"/>
    <x v="3"/>
    <x v="1"/>
    <s v="2026-01"/>
    <n v="248.45"/>
    <n v="248.45"/>
    <n v="247.98753199999999"/>
    <n v="339.26"/>
    <n v="51"/>
    <n v="49"/>
    <n v="105"/>
    <n v="77"/>
    <n v="19095.04"/>
    <n v="8"/>
    <n v="69"/>
    <n v="8.5"/>
    <n v="2"/>
    <n v="44"/>
    <n v="14927.44"/>
    <n v="0"/>
    <x v="0"/>
    <s v="OK"/>
  </r>
  <r>
    <s v="IT-10089"/>
    <s v="Sensor unit M-89"/>
    <x v="3"/>
    <x v="3"/>
    <x v="1"/>
    <s v="2026-02"/>
    <n v="252.83"/>
    <n v="252.83"/>
    <n v="248.90507199999999"/>
    <n v="359.35"/>
    <n v="51"/>
    <n v="50"/>
    <n v="18"/>
    <n v="69"/>
    <n v="17174.45"/>
    <n v="4"/>
    <n v="65"/>
    <n v="8.2899999999999991"/>
    <n v="8"/>
    <n v="26"/>
    <n v="9343.1"/>
    <n v="0"/>
    <x v="0"/>
    <s v="OK"/>
  </r>
  <r>
    <s v="IT-10089"/>
    <s v="Sensor unit M-89"/>
    <x v="3"/>
    <x v="3"/>
    <x v="1"/>
    <s v="2026-03"/>
    <n v="264.58999999999997"/>
    <n v="264.58999999999997"/>
    <n v="255.791111"/>
    <n v="359.35"/>
    <n v="51"/>
    <n v="49"/>
    <n v="54"/>
    <n v="90"/>
    <n v="23021.200000000001"/>
    <n v="2"/>
    <n v="88"/>
    <n v="11.23"/>
    <n v="1"/>
    <n v="33"/>
    <n v="11858.55"/>
    <n v="0"/>
    <x v="0"/>
    <s v="OK"/>
  </r>
  <r>
    <s v="IT-10089"/>
    <s v="Sensor unit M-89"/>
    <x v="3"/>
    <x v="3"/>
    <x v="1"/>
    <s v="2026-04"/>
    <n v="263.76"/>
    <n v="263.76"/>
    <n v="255.791111"/>
    <n v="359.35"/>
    <n v="51"/>
    <m/>
    <n v="0"/>
    <n v="63"/>
    <n v="16114.84"/>
    <n v="10"/>
    <n v="53"/>
    <n v="9.31"/>
    <n v="6"/>
    <n v="27"/>
    <n v="9702.4500000000007"/>
    <n v="0"/>
    <x v="0"/>
    <s v="OK"/>
  </r>
  <r>
    <s v="IT-10089"/>
    <s v="Sensor unit M-89"/>
    <x v="3"/>
    <x v="3"/>
    <x v="1"/>
    <s v="2026-05"/>
    <n v="259.77"/>
    <n v="259.77"/>
    <n v="255.790952"/>
    <n v="359.35"/>
    <n v="51"/>
    <m/>
    <n v="0"/>
    <n v="21"/>
    <n v="5371.61"/>
    <n v="3"/>
    <n v="18"/>
    <n v="2.71"/>
    <n v="0"/>
    <n v="42"/>
    <n v="15092.7"/>
    <n v="0"/>
    <x v="0"/>
    <s v="OK"/>
  </r>
  <r>
    <s v="IT-10089"/>
    <s v="Sensor unit M-89"/>
    <x v="3"/>
    <x v="3"/>
    <x v="1"/>
    <s v="2026-06"/>
    <n v="262.31"/>
    <n v="262.31"/>
    <n v="261.10912500000001"/>
    <n v="359.35"/>
    <n v="51"/>
    <n v="83"/>
    <n v="93"/>
    <n v="80"/>
    <n v="20888.73"/>
    <n v="8"/>
    <n v="72"/>
    <n v="10.1"/>
    <n v="2"/>
    <n v="34"/>
    <n v="12217.9"/>
    <n v="0"/>
    <x v="0"/>
    <s v="OK"/>
  </r>
  <r>
    <s v="IT-10089"/>
    <s v="Sensor unit M-89"/>
    <x v="3"/>
    <x v="3"/>
    <x v="1"/>
    <s v="2026-07"/>
    <n v="259.33"/>
    <n v="259.33"/>
    <n v="261.10912999999999"/>
    <n v="359.35"/>
    <n v="51"/>
    <m/>
    <n v="0"/>
    <n v="23"/>
    <n v="6005.51"/>
    <n v="11"/>
    <n v="12"/>
    <n v="2.27"/>
    <n v="7"/>
    <n v="57"/>
    <n v="20482.95"/>
    <n v="0"/>
    <x v="0"/>
    <s v="OK"/>
  </r>
  <r>
    <s v="IT-10089"/>
    <s v="Sensor unit M-89"/>
    <x v="3"/>
    <x v="3"/>
    <x v="1"/>
    <s v="2026-08"/>
    <n v="261.08999999999997"/>
    <n v="261.08999999999997"/>
    <n v="261.09677399999998"/>
    <n v="359.35"/>
    <n v="51"/>
    <n v="47"/>
    <n v="42"/>
    <n v="31"/>
    <n v="8094"/>
    <n v="3"/>
    <n v="28"/>
    <n v="3.26"/>
    <n v="1"/>
    <n v="34"/>
    <n v="12217.9"/>
    <n v="0"/>
    <x v="0"/>
    <s v="OK"/>
  </r>
  <r>
    <s v="IT-10090"/>
    <s v="Relay 20-90"/>
    <x v="3"/>
    <x v="3"/>
    <x v="0"/>
    <s v="2024-09"/>
    <n v="115.45"/>
    <n v="115.45"/>
    <n v="116.097857"/>
    <n v="155.35"/>
    <n v="31"/>
    <n v="26"/>
    <n v="22"/>
    <n v="42"/>
    <n v="4876.1099999999997"/>
    <n v="1"/>
    <n v="41"/>
    <n v="15.77"/>
    <n v="16"/>
    <n v="7"/>
    <n v="1087.45"/>
    <n v="0"/>
    <x v="0"/>
    <s v="OK"/>
  </r>
  <r>
    <s v="IT-10090"/>
    <s v="Relay 20-90"/>
    <x v="3"/>
    <x v="3"/>
    <x v="0"/>
    <s v="2024-10"/>
    <n v="115"/>
    <n v="115"/>
    <n v="115.853846"/>
    <n v="155.35"/>
    <n v="31"/>
    <n v="29"/>
    <n v="12"/>
    <n v="39"/>
    <n v="4518.3"/>
    <n v="1"/>
    <n v="38"/>
    <n v="12.5"/>
    <n v="4"/>
    <n v="15"/>
    <n v="2330.25"/>
    <n v="0"/>
    <x v="0"/>
    <s v="OK"/>
  </r>
  <r>
    <s v="IT-10090"/>
    <s v="Relay 20-90"/>
    <x v="3"/>
    <x v="3"/>
    <x v="0"/>
    <s v="2024-11"/>
    <n v="114.81"/>
    <n v="114.81"/>
    <n v="115.512"/>
    <n v="155.35"/>
    <n v="31"/>
    <n v="29"/>
    <n v="19"/>
    <n v="40"/>
    <n v="4620.4799999999996"/>
    <n v="2"/>
    <n v="38"/>
    <n v="13"/>
    <n v="7"/>
    <n v="18"/>
    <n v="2796.3"/>
    <n v="0"/>
    <x v="0"/>
    <s v="OK"/>
  </r>
  <r>
    <s v="IT-10090"/>
    <s v="Relay 20-90"/>
    <x v="3"/>
    <x v="3"/>
    <x v="0"/>
    <s v="2024-12"/>
    <n v="116.02"/>
    <n v="116.02"/>
    <n v="115.663571"/>
    <n v="155.35"/>
    <n v="31"/>
    <n v="29"/>
    <n v="17"/>
    <n v="42"/>
    <n v="4857.87"/>
    <n v="4"/>
    <n v="38"/>
    <n v="11.5"/>
    <n v="7"/>
    <n v="15"/>
    <n v="2330.25"/>
    <n v="0"/>
    <x v="0"/>
    <s v="OK"/>
  </r>
  <r>
    <s v="IT-10090"/>
    <s v="Relay 20-90"/>
    <x v="3"/>
    <x v="3"/>
    <x v="0"/>
    <s v="2025-01"/>
    <n v="118.44"/>
    <n v="118.44"/>
    <n v="115.66333299999999"/>
    <n v="155.35"/>
    <n v="31"/>
    <m/>
    <n v="0"/>
    <n v="21"/>
    <n v="2428.9299999999998"/>
    <n v="4"/>
    <n v="17"/>
    <n v="5.1100000000000003"/>
    <n v="1"/>
    <n v="21"/>
    <n v="3262.35"/>
    <n v="0"/>
    <x v="0"/>
    <s v="OK"/>
  </r>
  <r>
    <s v="IT-10090"/>
    <s v="Relay 20-90"/>
    <x v="3"/>
    <x v="3"/>
    <x v="0"/>
    <s v="2025-02"/>
    <n v="114.18"/>
    <n v="114.18"/>
    <n v="115.663"/>
    <n v="164.19"/>
    <n v="31"/>
    <m/>
    <n v="0"/>
    <n v="10"/>
    <n v="1156.6300000000001"/>
    <n v="2"/>
    <n v="8"/>
    <n v="2.74"/>
    <n v="12"/>
    <n v="11"/>
    <n v="1806.09"/>
    <n v="0"/>
    <x v="0"/>
    <s v="OK"/>
  </r>
  <r>
    <s v="IT-10090"/>
    <s v="Relay 20-90"/>
    <x v="3"/>
    <x v="3"/>
    <x v="0"/>
    <s v="2025-03"/>
    <n v="121.19"/>
    <n v="121.19"/>
    <n v="119.961714"/>
    <n v="164.19"/>
    <n v="31"/>
    <n v="29"/>
    <n v="35"/>
    <n v="35"/>
    <n v="4198.66"/>
    <n v="2"/>
    <n v="33"/>
    <n v="10.71"/>
    <n v="7"/>
    <n v="10"/>
    <n v="1641.9"/>
    <n v="0"/>
    <x v="0"/>
    <s v="OK"/>
  </r>
  <r>
    <s v="IT-10090"/>
    <s v="Relay 20-90"/>
    <x v="3"/>
    <x v="3"/>
    <x v="0"/>
    <s v="2025-04"/>
    <n v="122.76"/>
    <n v="122.76"/>
    <n v="121.399697"/>
    <n v="164.19"/>
    <n v="31"/>
    <n v="29"/>
    <n v="37"/>
    <n v="66"/>
    <n v="8012.38"/>
    <n v="3"/>
    <n v="63"/>
    <n v="31.08"/>
    <n v="18"/>
    <n v="6"/>
    <n v="985.14"/>
    <n v="0"/>
    <x v="0"/>
    <s v="OK"/>
  </r>
  <r>
    <s v="IT-10090"/>
    <s v="Relay 20-90"/>
    <x v="3"/>
    <x v="3"/>
    <x v="0"/>
    <s v="2025-05"/>
    <n v="123.19"/>
    <n v="123.19"/>
    <n v="121.399767"/>
    <n v="164.19"/>
    <n v="31"/>
    <m/>
    <n v="0"/>
    <n v="43"/>
    <n v="5220.1899999999996"/>
    <n v="2"/>
    <n v="41"/>
    <n v="14.49"/>
    <n v="7"/>
    <n v="23"/>
    <n v="3776.37"/>
    <n v="0"/>
    <x v="0"/>
    <s v="OK"/>
  </r>
  <r>
    <s v="IT-10090"/>
    <s v="Relay 20-90"/>
    <x v="3"/>
    <x v="3"/>
    <x v="0"/>
    <s v="2025-06"/>
    <n v="123.5"/>
    <n v="123.5"/>
    <n v="121.39960000000001"/>
    <n v="164.19"/>
    <n v="31"/>
    <m/>
    <n v="0"/>
    <n v="25"/>
    <n v="3034.99"/>
    <n v="2"/>
    <n v="23"/>
    <n v="6.91"/>
    <n v="4"/>
    <n v="18"/>
    <n v="2955.42"/>
    <n v="0"/>
    <x v="0"/>
    <s v="OK"/>
  </r>
  <r>
    <s v="IT-10090"/>
    <s v="Relay 20-90"/>
    <x v="3"/>
    <x v="3"/>
    <x v="0"/>
    <s v="2025-07"/>
    <n v="122.83"/>
    <n v="122.83"/>
    <n v="122.12875"/>
    <n v="164.19"/>
    <n v="31"/>
    <n v="36"/>
    <n v="26"/>
    <n v="40"/>
    <n v="4885.1499999999996"/>
    <n v="1"/>
    <n v="39"/>
    <n v="10.11"/>
    <n v="2"/>
    <n v="11"/>
    <n v="1806.09"/>
    <n v="0"/>
    <x v="0"/>
    <s v="OK"/>
  </r>
  <r>
    <s v="IT-10090"/>
    <s v="Relay 20-90"/>
    <x v="3"/>
    <x v="3"/>
    <x v="0"/>
    <s v="2025-08"/>
    <n v="124.19"/>
    <n v="124.19"/>
    <n v="122.128846"/>
    <n v="164.19"/>
    <n v="31"/>
    <m/>
    <n v="0"/>
    <n v="26"/>
    <n v="3175.35"/>
    <n v="3"/>
    <n v="23"/>
    <n v="7.95"/>
    <n v="2"/>
    <n v="14"/>
    <n v="2298.66"/>
    <n v="0"/>
    <x v="0"/>
    <s v="OK"/>
  </r>
  <r>
    <s v="IT-10090"/>
    <s v="Relay 20-90"/>
    <x v="3"/>
    <x v="3"/>
    <x v="0"/>
    <s v="2025-09"/>
    <n v="124.54"/>
    <n v="124.54"/>
    <n v="123.010909"/>
    <n v="164.19"/>
    <n v="31"/>
    <n v="37"/>
    <n v="15"/>
    <n v="22"/>
    <n v="2706.24"/>
    <n v="3"/>
    <n v="19"/>
    <n v="6.57"/>
    <n v="6"/>
    <n v="19"/>
    <n v="3119.61"/>
    <n v="0"/>
    <x v="0"/>
    <s v="OK"/>
  </r>
  <r>
    <s v="IT-10090"/>
    <s v="Relay 20-90"/>
    <x v="3"/>
    <x v="3"/>
    <x v="0"/>
    <s v="2025-10"/>
    <n v="123.18"/>
    <n v="123.18"/>
    <n v="123.100769"/>
    <n v="164.19"/>
    <n v="31"/>
    <n v="29"/>
    <n v="25"/>
    <n v="39"/>
    <n v="4800.93"/>
    <n v="2"/>
    <n v="37"/>
    <n v="12.5"/>
    <n v="0"/>
    <n v="8"/>
    <n v="1313.52"/>
    <n v="0"/>
    <x v="0"/>
    <s v="OK"/>
  </r>
  <r>
    <s v="IT-10090"/>
    <s v="Relay 20-90"/>
    <x v="3"/>
    <x v="3"/>
    <x v="0"/>
    <s v="2025-11"/>
    <n v="123.56"/>
    <n v="123.56"/>
    <n v="123.266327"/>
    <n v="164.19"/>
    <n v="31"/>
    <n v="29"/>
    <n v="22"/>
    <n v="49"/>
    <n v="6040.05"/>
    <n v="3"/>
    <n v="46"/>
    <n v="16.329999999999998"/>
    <n v="2"/>
    <n v="12"/>
    <n v="1970.28"/>
    <n v="0"/>
    <x v="0"/>
    <s v="OK"/>
  </r>
  <r>
    <s v="IT-10090"/>
    <s v="Relay 20-90"/>
    <x v="3"/>
    <x v="3"/>
    <x v="0"/>
    <s v="2025-12"/>
    <n v="124.23"/>
    <n v="124.23"/>
    <n v="123.266364"/>
    <n v="164.19"/>
    <n v="31"/>
    <m/>
    <n v="0"/>
    <n v="33"/>
    <n v="4067.79"/>
    <n v="3"/>
    <n v="30"/>
    <n v="12.05"/>
    <n v="1"/>
    <n v="16"/>
    <n v="2627.04"/>
    <n v="0"/>
    <x v="0"/>
    <s v="OK"/>
  </r>
  <r>
    <s v="IT-10090"/>
    <s v="Relay 20-90"/>
    <x v="3"/>
    <x v="3"/>
    <x v="0"/>
    <s v="2026-01"/>
    <n v="123.98"/>
    <n v="123.98"/>
    <n v="123.551765"/>
    <n v="164.19"/>
    <n v="31"/>
    <n v="26"/>
    <n v="22"/>
    <n v="51"/>
    <n v="6301.14"/>
    <n v="1"/>
    <n v="50"/>
    <n v="20.95"/>
    <n v="27"/>
    <n v="4"/>
    <n v="656.76"/>
    <n v="0"/>
    <x v="0"/>
    <s v="OK"/>
  </r>
  <r>
    <s v="IT-10090"/>
    <s v="Relay 20-90"/>
    <x v="3"/>
    <x v="3"/>
    <x v="0"/>
    <s v="2026-02"/>
    <n v="125.26"/>
    <n v="125.26"/>
    <n v="123.55175"/>
    <n v="173.54"/>
    <n v="31"/>
    <m/>
    <n v="0"/>
    <n v="40"/>
    <n v="4942.07"/>
    <n v="2"/>
    <n v="38"/>
    <n v="16.59"/>
    <n v="4"/>
    <n v="11"/>
    <n v="1908.94"/>
    <n v="0"/>
    <x v="0"/>
    <s v="OK"/>
  </r>
  <r>
    <s v="IT-10090"/>
    <s v="Relay 20-90"/>
    <x v="3"/>
    <x v="3"/>
    <x v="0"/>
    <s v="2026-03"/>
    <n v="130.12"/>
    <n v="130.12"/>
    <n v="123.551613"/>
    <n v="173.54"/>
    <n v="31"/>
    <m/>
    <n v="0"/>
    <n v="31"/>
    <n v="3830.1"/>
    <n v="4"/>
    <n v="27"/>
    <n v="16.61"/>
    <n v="7"/>
    <n v="9"/>
    <n v="1561.86"/>
    <n v="0"/>
    <x v="0"/>
    <s v="OK"/>
  </r>
  <r>
    <s v="IT-10090"/>
    <s v="Relay 20-90"/>
    <x v="3"/>
    <x v="3"/>
    <x v="0"/>
    <s v="2026-04"/>
    <n v="128.96"/>
    <n v="128.96"/>
    <n v="125.735682"/>
    <n v="173.54"/>
    <n v="31"/>
    <n v="35"/>
    <n v="21"/>
    <n v="44"/>
    <n v="5532.37"/>
    <n v="2"/>
    <n v="42"/>
    <n v="19.98"/>
    <n v="6"/>
    <n v="8"/>
    <n v="1388.32"/>
    <n v="0"/>
    <x v="0"/>
    <s v="OK"/>
  </r>
  <r>
    <s v="IT-10090"/>
    <s v="Relay 20-90"/>
    <x v="3"/>
    <x v="3"/>
    <x v="0"/>
    <s v="2026-05"/>
    <n v="131.91"/>
    <n v="131.91"/>
    <n v="126.36562499999999"/>
    <n v="173.54"/>
    <n v="31"/>
    <n v="28"/>
    <n v="5"/>
    <n v="32"/>
    <n v="4043.7"/>
    <n v="2"/>
    <n v="30"/>
    <n v="12.37"/>
    <n v="2"/>
    <n v="17"/>
    <n v="2950.18"/>
    <n v="0"/>
    <x v="0"/>
    <s v="OK"/>
  </r>
  <r>
    <s v="IT-10090"/>
    <s v="Relay 20-90"/>
    <x v="3"/>
    <x v="3"/>
    <x v="0"/>
    <s v="2026-06"/>
    <n v="133.16999999999999"/>
    <n v="133.16999999999999"/>
    <n v="126.365882"/>
    <n v="173.54"/>
    <n v="31"/>
    <m/>
    <n v="0"/>
    <n v="17"/>
    <n v="2148.2199999999998"/>
    <n v="3"/>
    <n v="14"/>
    <n v="5.53"/>
    <n v="2"/>
    <n v="15"/>
    <n v="2603.1"/>
    <n v="0"/>
    <x v="0"/>
    <s v="OK"/>
  </r>
  <r>
    <s v="IT-10090"/>
    <s v="Relay 20-90"/>
    <x v="3"/>
    <x v="3"/>
    <x v="0"/>
    <s v="2026-07"/>
    <n v="129.6"/>
    <n v="129.6"/>
    <n v="128.19043500000001"/>
    <n v="173.54"/>
    <n v="31"/>
    <n v="38"/>
    <n v="22"/>
    <n v="23"/>
    <n v="2948.38"/>
    <n v="2"/>
    <n v="21"/>
    <n v="6.3"/>
    <n v="4"/>
    <n v="16"/>
    <n v="2776.64"/>
    <n v="0"/>
    <x v="0"/>
    <s v="OK"/>
  </r>
  <r>
    <s v="IT-10090"/>
    <s v="Relay 20-90"/>
    <x v="3"/>
    <x v="3"/>
    <x v="0"/>
    <s v="2026-08"/>
    <n v="132.82"/>
    <n v="132.82"/>
    <n v="131.015333"/>
    <n v="173.54"/>
    <n v="31"/>
    <n v="29"/>
    <n v="36"/>
    <n v="45"/>
    <n v="5895.69"/>
    <n v="3"/>
    <n v="42"/>
    <n v="13.14"/>
    <n v="0"/>
    <n v="14"/>
    <n v="2429.56"/>
    <n v="0"/>
    <x v="0"/>
    <s v="OK"/>
  </r>
  <r>
    <s v="IT-10091"/>
    <s v="Sprocket M-91"/>
    <x v="4"/>
    <x v="4"/>
    <x v="1"/>
    <s v="2024-09"/>
    <n v="9.93"/>
    <n v="9.93"/>
    <n v="10.107847"/>
    <n v="14.31"/>
    <n v="34"/>
    <m/>
    <n v="0"/>
    <n v="288"/>
    <n v="2911.06"/>
    <n v="12"/>
    <n v="276"/>
    <n v="15.32"/>
    <n v="0"/>
    <n v="77"/>
    <n v="1101.8699999999999"/>
    <n v="0"/>
    <x v="0"/>
    <s v="OK"/>
  </r>
  <r>
    <s v="IT-10091"/>
    <s v="Sprocket M-91"/>
    <x v="4"/>
    <x v="4"/>
    <x v="1"/>
    <s v="2024-10"/>
    <n v="10.54"/>
    <n v="10.54"/>
    <n v="10.115219"/>
    <n v="14.31"/>
    <n v="34"/>
    <n v="30"/>
    <n v="5"/>
    <n v="228"/>
    <n v="2306.27"/>
    <n v="15"/>
    <n v="213"/>
    <n v="15.06"/>
    <n v="9"/>
    <n v="65"/>
    <n v="930.15"/>
    <n v="0"/>
    <x v="0"/>
    <s v="OK"/>
  </r>
  <r>
    <s v="IT-10091"/>
    <s v="Sprocket M-91"/>
    <x v="4"/>
    <x v="4"/>
    <x v="1"/>
    <s v="2024-11"/>
    <n v="10.7"/>
    <n v="10.7"/>
    <n v="10.115205"/>
    <n v="14.31"/>
    <n v="34"/>
    <m/>
    <n v="0"/>
    <n v="146"/>
    <n v="1476.82"/>
    <n v="15"/>
    <n v="131"/>
    <n v="8.4700000000000006"/>
    <n v="2"/>
    <n v="82"/>
    <n v="1173.42"/>
    <n v="0"/>
    <x v="0"/>
    <s v="OK"/>
  </r>
  <r>
    <s v="IT-10091"/>
    <s v="Sprocket M-91"/>
    <x v="4"/>
    <x v="4"/>
    <x v="1"/>
    <s v="2024-12"/>
    <n v="10.31"/>
    <n v="10.31"/>
    <n v="10.184182"/>
    <n v="14.31"/>
    <n v="34"/>
    <n v="34"/>
    <n v="80"/>
    <n v="165"/>
    <n v="1680.39"/>
    <n v="19"/>
    <n v="146"/>
    <n v="10.43"/>
    <n v="2"/>
    <n v="61"/>
    <n v="872.91"/>
    <n v="0"/>
    <x v="0"/>
    <s v="OK"/>
  </r>
  <r>
    <s v="IT-10091"/>
    <s v="Sprocket M-91"/>
    <x v="4"/>
    <x v="4"/>
    <x v="1"/>
    <s v="2025-01"/>
    <n v="10.6"/>
    <n v="10.6"/>
    <n v="10.330947"/>
    <n v="14.31"/>
    <n v="34"/>
    <n v="30"/>
    <n v="90"/>
    <n v="190"/>
    <n v="1962.88"/>
    <n v="5"/>
    <n v="185"/>
    <n v="12.01"/>
    <n v="1"/>
    <n v="65"/>
    <n v="930.15"/>
    <n v="0"/>
    <x v="0"/>
    <s v="OK"/>
  </r>
  <r>
    <s v="IT-10091"/>
    <s v="Sprocket M-91"/>
    <x v="4"/>
    <x v="4"/>
    <x v="1"/>
    <s v="2025-02"/>
    <n v="10.54"/>
    <n v="10.54"/>
    <n v="10.330909"/>
    <n v="15.15"/>
    <n v="34"/>
    <m/>
    <n v="0"/>
    <n v="66"/>
    <n v="681.84"/>
    <n v="10"/>
    <n v="56"/>
    <n v="3.39"/>
    <n v="4"/>
    <n v="124"/>
    <n v="1878.6"/>
    <n v="0"/>
    <x v="0"/>
    <s v="OK"/>
  </r>
  <r>
    <s v="IT-10091"/>
    <s v="Sprocket M-91"/>
    <x v="4"/>
    <x v="4"/>
    <x v="1"/>
    <s v="2025-03"/>
    <n v="10.58"/>
    <n v="10.58"/>
    <n v="10.524076000000001"/>
    <n v="15.15"/>
    <n v="34"/>
    <n v="30"/>
    <n v="228"/>
    <n v="211"/>
    <n v="2220.58"/>
    <n v="19"/>
    <n v="192"/>
    <n v="9.9700000000000006"/>
    <n v="2"/>
    <n v="83"/>
    <n v="1257.45"/>
    <n v="0"/>
    <x v="0"/>
    <s v="OK"/>
  </r>
  <r>
    <s v="IT-10091"/>
    <s v="Sprocket M-91"/>
    <x v="4"/>
    <x v="4"/>
    <x v="1"/>
    <s v="2025-04"/>
    <n v="10.57"/>
    <n v="10.57"/>
    <n v="10.542714"/>
    <n v="15.15"/>
    <n v="34"/>
    <n v="29"/>
    <n v="144"/>
    <n v="280"/>
    <n v="2951.96"/>
    <n v="17"/>
    <n v="263"/>
    <n v="12.62"/>
    <n v="2"/>
    <n v="75"/>
    <n v="1136.25"/>
    <n v="0"/>
    <x v="0"/>
    <s v="OK"/>
  </r>
  <r>
    <s v="IT-10091"/>
    <s v="Sprocket M-91"/>
    <x v="4"/>
    <x v="4"/>
    <x v="1"/>
    <s v="2025-05"/>
    <n v="10.62"/>
    <n v="10.62"/>
    <n v="10.542724"/>
    <n v="15.15"/>
    <n v="34"/>
    <m/>
    <n v="0"/>
    <n v="246"/>
    <n v="2593.5100000000002"/>
    <n v="12"/>
    <n v="234"/>
    <n v="16.84"/>
    <n v="0"/>
    <n v="34"/>
    <n v="515.1"/>
    <n v="0"/>
    <x v="0"/>
    <s v="OK"/>
  </r>
  <r>
    <s v="IT-10091"/>
    <s v="Sprocket M-91"/>
    <x v="4"/>
    <x v="4"/>
    <x v="1"/>
    <s v="2025-06"/>
    <n v="10.55"/>
    <n v="10.55"/>
    <n v="10.542737000000001"/>
    <n v="15.15"/>
    <n v="34"/>
    <m/>
    <n v="0"/>
    <n v="179"/>
    <n v="1887.15"/>
    <n v="15"/>
    <n v="164"/>
    <n v="13.22"/>
    <n v="0"/>
    <n v="67"/>
    <n v="1015.05"/>
    <n v="0"/>
    <x v="0"/>
    <s v="OK"/>
  </r>
  <r>
    <s v="IT-10091"/>
    <s v="Sprocket M-91"/>
    <x v="4"/>
    <x v="4"/>
    <x v="1"/>
    <s v="2025-07"/>
    <n v="10.32"/>
    <n v="10.32"/>
    <n v="10.52764"/>
    <n v="15.15"/>
    <n v="34"/>
    <n v="32"/>
    <n v="13"/>
    <n v="89"/>
    <n v="936.96"/>
    <n v="19"/>
    <n v="70"/>
    <n v="5.73"/>
    <n v="0"/>
    <n v="103"/>
    <n v="1560.45"/>
    <n v="0"/>
    <x v="0"/>
    <s v="OK"/>
  </r>
  <r>
    <s v="IT-10091"/>
    <s v="Sprocket M-91"/>
    <x v="4"/>
    <x v="4"/>
    <x v="1"/>
    <s v="2025-08"/>
    <n v="10.68"/>
    <n v="10.68"/>
    <n v="10.605511999999999"/>
    <n v="15.15"/>
    <n v="34"/>
    <n v="34"/>
    <n v="93"/>
    <n v="127"/>
    <n v="1346.9"/>
    <n v="24"/>
    <n v="103"/>
    <n v="7.42"/>
    <n v="3"/>
    <n v="55"/>
    <n v="833.25"/>
    <n v="0"/>
    <x v="0"/>
    <s v="OK"/>
  </r>
  <r>
    <s v="IT-10091"/>
    <s v="Sprocket M-91"/>
    <x v="4"/>
    <x v="4"/>
    <x v="1"/>
    <s v="2025-09"/>
    <n v="10.42"/>
    <n v="10.42"/>
    <n v="10.513118"/>
    <n v="15.15"/>
    <n v="34"/>
    <n v="42"/>
    <n v="126"/>
    <n v="170"/>
    <n v="1787.23"/>
    <n v="22"/>
    <n v="148"/>
    <n v="9.27"/>
    <n v="0"/>
    <n v="83"/>
    <n v="1257.45"/>
    <n v="0"/>
    <x v="0"/>
    <s v="OK"/>
  </r>
  <r>
    <s v="IT-10091"/>
    <s v="Sprocket M-91"/>
    <x v="4"/>
    <x v="4"/>
    <x v="1"/>
    <s v="2025-10"/>
    <n v="10.92"/>
    <n v="10.92"/>
    <n v="10.513235"/>
    <n v="15.15"/>
    <n v="34"/>
    <m/>
    <n v="0"/>
    <n v="34"/>
    <n v="357.45"/>
    <n v="5"/>
    <n v="29"/>
    <n v="1.63"/>
    <n v="0"/>
    <n v="136"/>
    <n v="2060.4"/>
    <n v="0"/>
    <x v="0"/>
    <s v="OK"/>
  </r>
  <r>
    <s v="IT-10091"/>
    <s v="Sprocket M-91"/>
    <x v="4"/>
    <x v="4"/>
    <x v="1"/>
    <s v="2025-11"/>
    <n v="11.23"/>
    <n v="11.23"/>
    <n v="11.166214"/>
    <n v="15.15"/>
    <n v="34"/>
    <n v="29"/>
    <n v="348"/>
    <n v="346"/>
    <n v="3863.51"/>
    <n v="22"/>
    <n v="324"/>
    <n v="17.64"/>
    <n v="2"/>
    <n v="36"/>
    <n v="545.4"/>
    <n v="0"/>
    <x v="0"/>
    <s v="OK"/>
  </r>
  <r>
    <s v="IT-10091"/>
    <s v="Sprocket M-91"/>
    <x v="4"/>
    <x v="4"/>
    <x v="1"/>
    <s v="2025-12"/>
    <n v="11.2"/>
    <n v="11.2"/>
    <n v="11.166214999999999"/>
    <n v="15.15"/>
    <n v="34"/>
    <m/>
    <n v="0"/>
    <n v="251"/>
    <n v="2802.72"/>
    <n v="5"/>
    <n v="246"/>
    <n v="12.36"/>
    <n v="8"/>
    <n v="95"/>
    <n v="1439.25"/>
    <n v="0"/>
    <x v="0"/>
    <s v="OK"/>
  </r>
  <r>
    <s v="IT-10091"/>
    <s v="Sprocket M-91"/>
    <x v="4"/>
    <x v="4"/>
    <x v="1"/>
    <s v="2026-01"/>
    <n v="11.25"/>
    <n v="11.25"/>
    <n v="11.191082"/>
    <n v="15.15"/>
    <n v="34"/>
    <n v="31"/>
    <n v="106"/>
    <n v="268"/>
    <n v="2999.21"/>
    <n v="17"/>
    <n v="251"/>
    <n v="16.010000000000002"/>
    <n v="5"/>
    <n v="89"/>
    <n v="1348.35"/>
    <n v="0"/>
    <x v="0"/>
    <s v="OK"/>
  </r>
  <r>
    <s v="IT-10091"/>
    <s v="Sprocket M-91"/>
    <x v="4"/>
    <x v="4"/>
    <x v="1"/>
    <s v="2026-02"/>
    <n v="10.94"/>
    <n v="10.94"/>
    <n v="11.191067"/>
    <n v="16.04"/>
    <n v="34"/>
    <m/>
    <n v="0"/>
    <n v="225"/>
    <n v="2517.9899999999998"/>
    <n v="5"/>
    <n v="220"/>
    <n v="12.74"/>
    <n v="3"/>
    <n v="43"/>
    <n v="689.72"/>
    <n v="0"/>
    <x v="0"/>
    <s v="OK"/>
  </r>
  <r>
    <s v="IT-10091"/>
    <s v="Sprocket M-91"/>
    <x v="4"/>
    <x v="4"/>
    <x v="1"/>
    <s v="2026-03"/>
    <n v="10.98"/>
    <n v="10.98"/>
    <n v="11.159896"/>
    <n v="16.04"/>
    <n v="34"/>
    <n v="31"/>
    <n v="39"/>
    <n v="192"/>
    <n v="2142.6999999999998"/>
    <n v="5"/>
    <n v="187"/>
    <n v="12.1"/>
    <n v="4"/>
    <n v="72"/>
    <n v="1154.8800000000001"/>
    <n v="0"/>
    <x v="0"/>
    <s v="OK"/>
  </r>
  <r>
    <s v="IT-10091"/>
    <s v="Sprocket M-91"/>
    <x v="4"/>
    <x v="4"/>
    <x v="1"/>
    <s v="2026-04"/>
    <n v="11.03"/>
    <n v="11.03"/>
    <n v="11.127840000000001"/>
    <n v="16.04"/>
    <n v="34"/>
    <n v="32"/>
    <n v="63"/>
    <n v="125"/>
    <n v="1390.98"/>
    <n v="7"/>
    <n v="118"/>
    <n v="6.49"/>
    <n v="0"/>
    <n v="130"/>
    <n v="2085.1999999999998"/>
    <n v="0"/>
    <x v="0"/>
    <s v="OK"/>
  </r>
  <r>
    <s v="IT-10091"/>
    <s v="Sprocket M-91"/>
    <x v="4"/>
    <x v="4"/>
    <x v="1"/>
    <s v="2026-05"/>
    <n v="10.96"/>
    <n v="10.96"/>
    <n v="11.036275"/>
    <n v="16.04"/>
    <n v="34"/>
    <n v="32"/>
    <n v="150"/>
    <n v="153"/>
    <n v="1688.55"/>
    <n v="15"/>
    <n v="138"/>
    <n v="6.21"/>
    <n v="1"/>
    <n v="122"/>
    <n v="1956.88"/>
    <n v="0"/>
    <x v="0"/>
    <s v="OK"/>
  </r>
  <r>
    <s v="IT-10091"/>
    <s v="Sprocket M-91"/>
    <x v="4"/>
    <x v="4"/>
    <x v="1"/>
    <s v="2026-06"/>
    <n v="11.06"/>
    <n v="11.06"/>
    <n v="11.036279"/>
    <n v="16.04"/>
    <n v="34"/>
    <m/>
    <n v="0"/>
    <n v="86"/>
    <n v="949.12"/>
    <n v="5"/>
    <n v="81"/>
    <n v="3.5"/>
    <n v="0"/>
    <n v="67"/>
    <n v="1074.68"/>
    <n v="0"/>
    <x v="0"/>
    <s v="OK"/>
  </r>
  <r>
    <s v="IT-10091"/>
    <s v="Sprocket M-91"/>
    <x v="4"/>
    <x v="4"/>
    <x v="1"/>
    <s v="2026-07"/>
    <n v="11.11"/>
    <n v="11.11"/>
    <n v="11.087263999999999"/>
    <n v="16.04"/>
    <n v="34"/>
    <n v="34"/>
    <n v="193"/>
    <n v="201"/>
    <n v="2228.54"/>
    <n v="15"/>
    <n v="186"/>
    <n v="9.89"/>
    <n v="0"/>
    <n v="78"/>
    <n v="1251.1199999999999"/>
    <n v="0"/>
    <x v="0"/>
    <s v="OK"/>
  </r>
  <r>
    <s v="IT-10091"/>
    <s v="Sprocket M-91"/>
    <x v="4"/>
    <x v="4"/>
    <x v="1"/>
    <s v="2026-08"/>
    <n v="11.21"/>
    <n v="11.21"/>
    <n v="11.087273"/>
    <n v="16.04"/>
    <n v="34"/>
    <m/>
    <n v="0"/>
    <n v="110"/>
    <n v="1219.5999999999999"/>
    <n v="5"/>
    <n v="105"/>
    <n v="6.13"/>
    <n v="4"/>
    <n v="91"/>
    <n v="1459.64"/>
    <n v="0"/>
    <x v="0"/>
    <s v="OK"/>
  </r>
  <r>
    <s v="IT-10092"/>
    <s v="Hydraulic hose B-92"/>
    <x v="1"/>
    <x v="1"/>
    <x v="1"/>
    <s v="2024-09"/>
    <n v="563.11"/>
    <n v="563.11"/>
    <n v="567.51800000000003"/>
    <n v="777.67"/>
    <n v="44"/>
    <n v="41"/>
    <n v="20"/>
    <n v="5"/>
    <n v="2837.59"/>
    <n v="5"/>
    <n v="0"/>
    <n v="0.4"/>
    <n v="0"/>
    <n v="54"/>
    <n v="41994.18"/>
    <n v="0"/>
    <x v="0"/>
    <s v="OK"/>
  </r>
  <r>
    <s v="IT-10092"/>
    <s v="Hydraulic hose B-92"/>
    <x v="1"/>
    <x v="1"/>
    <x v="1"/>
    <s v="2024-10"/>
    <n v="559.97"/>
    <n v="559.97"/>
    <n v="560.26480400000003"/>
    <n v="777.67"/>
    <n v="44"/>
    <n v="43"/>
    <n v="123"/>
    <n v="102"/>
    <n v="57147.01"/>
    <n v="4"/>
    <n v="98"/>
    <n v="9.7100000000000009"/>
    <n v="3"/>
    <n v="26"/>
    <n v="20219.419999999998"/>
    <n v="0"/>
    <x v="0"/>
    <s v="OK"/>
  </r>
  <r>
    <s v="IT-10092"/>
    <s v="Hydraulic hose B-92"/>
    <x v="1"/>
    <x v="1"/>
    <x v="1"/>
    <s v="2024-11"/>
    <n v="574.63"/>
    <n v="574.63"/>
    <n v="560.264769"/>
    <n v="777.67"/>
    <n v="44"/>
    <m/>
    <n v="0"/>
    <n v="65"/>
    <n v="36417.21"/>
    <n v="10"/>
    <n v="55"/>
    <n v="7.22"/>
    <n v="7"/>
    <n v="37"/>
    <n v="28773.79"/>
    <n v="0"/>
    <x v="0"/>
    <s v="OK"/>
  </r>
  <r>
    <s v="IT-10092"/>
    <s v="Hydraulic hose B-92"/>
    <x v="1"/>
    <x v="1"/>
    <x v="1"/>
    <s v="2024-12"/>
    <n v="563.76"/>
    <n v="563.76"/>
    <n v="561.63670000000002"/>
    <n v="777.67"/>
    <n v="44"/>
    <n v="42"/>
    <n v="42"/>
    <n v="100"/>
    <n v="56163.67"/>
    <n v="8"/>
    <n v="92"/>
    <n v="18.78"/>
    <n v="5"/>
    <n v="7"/>
    <n v="5443.69"/>
    <n v="0"/>
    <x v="0"/>
    <s v="OK"/>
  </r>
  <r>
    <s v="IT-10092"/>
    <s v="Hydraulic hose B-92"/>
    <x v="1"/>
    <x v="1"/>
    <x v="1"/>
    <s v="2025-01"/>
    <n v="581.58000000000004"/>
    <n v="581.58000000000004"/>
    <n v="564.96064100000001"/>
    <n v="777.67"/>
    <n v="44"/>
    <n v="41"/>
    <n v="20"/>
    <n v="78"/>
    <n v="44066.93"/>
    <n v="2"/>
    <n v="76"/>
    <n v="11.92"/>
    <n v="2"/>
    <n v="42"/>
    <n v="32662.14"/>
    <n v="0"/>
    <x v="0"/>
    <s v="OK"/>
  </r>
  <r>
    <s v="IT-10092"/>
    <s v="Hydraulic hose B-92"/>
    <x v="1"/>
    <x v="1"/>
    <x v="1"/>
    <s v="2025-02"/>
    <n v="584.89"/>
    <n v="584.89"/>
    <n v="570.08538499999997"/>
    <n v="824.04"/>
    <n v="44"/>
    <n v="50"/>
    <n v="27"/>
    <n v="52"/>
    <n v="29644.44"/>
    <n v="11"/>
    <n v="41"/>
    <n v="6.55"/>
    <n v="0"/>
    <n v="53"/>
    <n v="43674.12"/>
    <n v="0"/>
    <x v="0"/>
    <s v="OK"/>
  </r>
  <r>
    <s v="IT-10092"/>
    <s v="Hydraulic hose B-92"/>
    <x v="1"/>
    <x v="1"/>
    <x v="1"/>
    <s v="2025-03"/>
    <n v="590.76"/>
    <n v="590.76"/>
    <n v="579.32299999999998"/>
    <n v="824.04"/>
    <n v="44"/>
    <n v="43"/>
    <n v="42"/>
    <n v="50"/>
    <n v="28966.15"/>
    <n v="2"/>
    <n v="48"/>
    <n v="4.62"/>
    <n v="4"/>
    <n v="44"/>
    <n v="36257.760000000002"/>
    <n v="0"/>
    <x v="0"/>
    <s v="OK"/>
  </r>
  <r>
    <s v="IT-10092"/>
    <s v="Hydraulic hose B-92"/>
    <x v="1"/>
    <x v="1"/>
    <x v="1"/>
    <s v="2025-04"/>
    <n v="591.02"/>
    <n v="591.02"/>
    <n v="579.32296299999996"/>
    <n v="824.04"/>
    <n v="44"/>
    <m/>
    <n v="0"/>
    <n v="27"/>
    <n v="15641.72"/>
    <n v="5"/>
    <n v="22"/>
    <n v="2.86"/>
    <n v="7"/>
    <n v="23"/>
    <n v="18952.919999999998"/>
    <n v="0"/>
    <x v="0"/>
    <s v="OK"/>
  </r>
  <r>
    <s v="IT-10092"/>
    <s v="Hydraulic hose B-92"/>
    <x v="1"/>
    <x v="1"/>
    <x v="1"/>
    <s v="2025-05"/>
    <n v="589.87"/>
    <n v="589.87"/>
    <n v="586.77461500000004"/>
    <n v="824.04"/>
    <n v="44"/>
    <n v="72"/>
    <n v="65"/>
    <n v="65"/>
    <n v="38140.35"/>
    <n v="7"/>
    <n v="58"/>
    <n v="9.09"/>
    <n v="0"/>
    <n v="27"/>
    <n v="22249.08"/>
    <n v="0"/>
    <x v="0"/>
    <s v="OK"/>
  </r>
  <r>
    <s v="IT-10092"/>
    <s v="Hydraulic hose B-92"/>
    <x v="1"/>
    <x v="1"/>
    <x v="1"/>
    <s v="2025-06"/>
    <n v="600.74"/>
    <n v="600.74"/>
    <n v="593.04722900000002"/>
    <n v="824.04"/>
    <n v="44"/>
    <n v="56"/>
    <n v="53"/>
    <n v="83"/>
    <n v="49222.92"/>
    <n v="6"/>
    <n v="77"/>
    <n v="12.69"/>
    <n v="1"/>
    <n v="35"/>
    <n v="28841.4"/>
    <n v="0"/>
    <x v="0"/>
    <s v="OK"/>
  </r>
  <r>
    <s v="IT-10092"/>
    <s v="Hydraulic hose B-92"/>
    <x v="1"/>
    <x v="1"/>
    <x v="1"/>
    <s v="2025-07"/>
    <n v="585.64"/>
    <n v="585.64"/>
    <n v="590.16060000000004"/>
    <n v="824.04"/>
    <n v="44"/>
    <n v="38"/>
    <n v="53"/>
    <n v="100"/>
    <n v="59016.06"/>
    <n v="11"/>
    <n v="89"/>
    <n v="13.41"/>
    <n v="2"/>
    <n v="36"/>
    <n v="29665.439999999999"/>
    <n v="0"/>
    <x v="0"/>
    <s v="OK"/>
  </r>
  <r>
    <s v="IT-10092"/>
    <s v="Hydraulic hose B-92"/>
    <x v="1"/>
    <x v="1"/>
    <x v="1"/>
    <s v="2025-08"/>
    <n v="595.66"/>
    <n v="595.66"/>
    <n v="591.07712300000003"/>
    <n v="824.04"/>
    <n v="44"/>
    <n v="56"/>
    <n v="20"/>
    <n v="73"/>
    <n v="43148.63"/>
    <n v="7"/>
    <n v="66"/>
    <n v="8.1300000000000008"/>
    <n v="2"/>
    <n v="47"/>
    <n v="38729.879999999997"/>
    <n v="0"/>
    <x v="0"/>
    <s v="OK"/>
  </r>
  <r>
    <s v="IT-10092"/>
    <s v="Hydraulic hose B-92"/>
    <x v="1"/>
    <x v="1"/>
    <x v="1"/>
    <s v="2025-09"/>
    <n v="601.30999999999995"/>
    <n v="601.30999999999995"/>
    <n v="593.60890400000005"/>
    <n v="824.04"/>
    <n v="44"/>
    <n v="39"/>
    <n v="24"/>
    <n v="73"/>
    <n v="43333.45"/>
    <n v="10"/>
    <n v="63"/>
    <n v="8.9700000000000006"/>
    <n v="10"/>
    <n v="24"/>
    <n v="19776.96"/>
    <n v="0"/>
    <x v="0"/>
    <s v="OK"/>
  </r>
  <r>
    <s v="IT-10092"/>
    <s v="Hydraulic hose B-92"/>
    <x v="1"/>
    <x v="1"/>
    <x v="1"/>
    <s v="2025-10"/>
    <n v="596.97"/>
    <n v="596.97"/>
    <n v="595.40719999999999"/>
    <n v="824.04"/>
    <n v="44"/>
    <n v="61"/>
    <n v="84"/>
    <n v="125"/>
    <n v="74425.899999999994"/>
    <n v="4"/>
    <n v="121"/>
    <n v="15.95"/>
    <n v="3"/>
    <n v="32"/>
    <n v="26369.279999999999"/>
    <n v="0"/>
    <x v="0"/>
    <s v="OK"/>
  </r>
  <r>
    <s v="IT-10092"/>
    <s v="Hydraulic hose B-92"/>
    <x v="1"/>
    <x v="1"/>
    <x v="1"/>
    <s v="2025-11"/>
    <n v="589.83000000000004"/>
    <n v="589.83000000000004"/>
    <n v="595.40722200000005"/>
    <n v="824.04"/>
    <n v="44"/>
    <m/>
    <n v="0"/>
    <n v="72"/>
    <n v="42869.32"/>
    <n v="7"/>
    <n v="65"/>
    <n v="8.59"/>
    <n v="0"/>
    <n v="53"/>
    <n v="43674.12"/>
    <n v="0"/>
    <x v="0"/>
    <s v="OK"/>
  </r>
  <r>
    <s v="IT-10092"/>
    <s v="Hydraulic hose B-92"/>
    <x v="1"/>
    <x v="1"/>
    <x v="1"/>
    <s v="2025-12"/>
    <n v="580.29999999999995"/>
    <n v="580.29999999999995"/>
    <n v="595.40728799999999"/>
    <n v="824.04"/>
    <n v="44"/>
    <m/>
    <n v="0"/>
    <n v="59"/>
    <n v="35129.03"/>
    <n v="11"/>
    <n v="48"/>
    <n v="7.91"/>
    <n v="5"/>
    <n v="13"/>
    <n v="10712.52"/>
    <n v="0"/>
    <x v="0"/>
    <s v="OK"/>
  </r>
  <r>
    <s v="IT-10092"/>
    <s v="Hydraulic hose B-92"/>
    <x v="1"/>
    <x v="1"/>
    <x v="1"/>
    <s v="2026-01"/>
    <n v="611.95000000000005"/>
    <n v="611.95000000000005"/>
    <n v="606.83994800000005"/>
    <n v="824.04"/>
    <n v="44"/>
    <n v="55"/>
    <n v="132"/>
    <n v="191"/>
    <n v="115906.43"/>
    <n v="2"/>
    <n v="189"/>
    <n v="38.03"/>
    <n v="36"/>
    <n v="0"/>
    <n v="0"/>
    <n v="0"/>
    <x v="0"/>
    <s v="OK"/>
  </r>
  <r>
    <s v="IT-10092"/>
    <s v="Hydraulic hose B-92"/>
    <x v="1"/>
    <x v="1"/>
    <x v="1"/>
    <s v="2026-02"/>
    <n v="600.87"/>
    <n v="600.87"/>
    <n v="606.27407600000004"/>
    <n v="873.17"/>
    <n v="44"/>
    <n v="37"/>
    <n v="20"/>
    <n v="211"/>
    <n v="127923.83"/>
    <n v="6"/>
    <n v="205"/>
    <n v="208.68"/>
    <n v="64"/>
    <n v="0"/>
    <n v="0"/>
    <n v="0"/>
    <x v="0"/>
    <s v="OK"/>
  </r>
  <r>
    <s v="IT-10092"/>
    <s v="Hydraulic hose B-92"/>
    <x v="1"/>
    <x v="1"/>
    <x v="1"/>
    <s v="2026-03"/>
    <n v="601.51"/>
    <n v="601.51"/>
    <n v="606.27407600000004"/>
    <n v="873.17"/>
    <n v="44"/>
    <m/>
    <n v="0"/>
    <n v="211"/>
    <n v="127923.83"/>
    <n v="2"/>
    <n v="209"/>
    <m/>
    <n v="95"/>
    <n v="0"/>
    <n v="0"/>
    <n v="0"/>
    <x v="0"/>
    <s v="OK"/>
  </r>
  <r>
    <s v="IT-10092"/>
    <s v="Hydraulic hose B-92"/>
    <x v="1"/>
    <x v="1"/>
    <x v="1"/>
    <s v="2026-04"/>
    <n v="612.9"/>
    <n v="612.9"/>
    <n v="606.27407600000004"/>
    <n v="873.17"/>
    <n v="44"/>
    <m/>
    <n v="0"/>
    <n v="211"/>
    <n v="127923.83"/>
    <n v="8"/>
    <n v="203"/>
    <m/>
    <n v="125"/>
    <n v="0"/>
    <n v="0"/>
    <n v="0"/>
    <x v="0"/>
    <s v="OK"/>
  </r>
  <r>
    <s v="IT-10092"/>
    <s v="Hydraulic hose B-92"/>
    <x v="1"/>
    <x v="1"/>
    <x v="1"/>
    <s v="2026-05"/>
    <n v="616.45000000000005"/>
    <n v="616.45000000000005"/>
    <n v="606.27407600000004"/>
    <n v="873.17"/>
    <n v="44"/>
    <m/>
    <n v="0"/>
    <n v="211"/>
    <n v="127923.83"/>
    <n v="12"/>
    <n v="199"/>
    <m/>
    <n v="156"/>
    <n v="0"/>
    <n v="0"/>
    <n v="0"/>
    <x v="0"/>
    <s v="OK"/>
  </r>
  <r>
    <s v="IT-10092"/>
    <s v="Hydraulic hose B-92"/>
    <x v="1"/>
    <x v="1"/>
    <x v="1"/>
    <s v="2026-06"/>
    <n v="623.24"/>
    <n v="623.24"/>
    <n v="606.27407600000004"/>
    <n v="873.17"/>
    <n v="44"/>
    <m/>
    <n v="0"/>
    <n v="211"/>
    <n v="127923.83"/>
    <n v="4"/>
    <n v="207"/>
    <m/>
    <n v="186"/>
    <n v="0"/>
    <n v="0"/>
    <n v="0"/>
    <x v="0"/>
    <s v="OK"/>
  </r>
  <r>
    <s v="IT-10092"/>
    <s v="Hydraulic hose B-92"/>
    <x v="1"/>
    <x v="1"/>
    <x v="1"/>
    <s v="2026-07"/>
    <n v="624.66"/>
    <n v="624.66"/>
    <n v="606.27407600000004"/>
    <n v="873.17"/>
    <n v="44"/>
    <m/>
    <n v="0"/>
    <n v="211"/>
    <n v="127923.83"/>
    <n v="4"/>
    <n v="207"/>
    <m/>
    <n v="217"/>
    <n v="0"/>
    <n v="0"/>
    <n v="0"/>
    <x v="0"/>
    <s v="OK"/>
  </r>
  <r>
    <s v="IT-10092"/>
    <s v="Hydraulic hose B-92"/>
    <x v="1"/>
    <x v="1"/>
    <x v="1"/>
    <s v="2026-08"/>
    <n v="600.80999999999995"/>
    <n v="600.80999999999995"/>
    <n v="606.27407600000004"/>
    <n v="873.17"/>
    <n v="44"/>
    <m/>
    <n v="0"/>
    <n v="211"/>
    <n v="127923.83"/>
    <n v="12"/>
    <n v="199"/>
    <m/>
    <n v="248"/>
    <n v="0"/>
    <n v="0"/>
    <n v="0"/>
    <x v="0"/>
    <s v="OK"/>
  </r>
  <r>
    <s v="IT-10093"/>
    <s v="Anchor bolt 10-93"/>
    <x v="2"/>
    <x v="2"/>
    <x v="0"/>
    <s v="2024-09"/>
    <n v="501.75"/>
    <n v="538.83000000000004"/>
    <n v="539.38"/>
    <n v="796.48"/>
    <n v="57"/>
    <n v="54"/>
    <n v="21"/>
    <n v="13"/>
    <n v="7011.94"/>
    <n v="2"/>
    <n v="11"/>
    <n v="4.38"/>
    <n v="1"/>
    <n v="13"/>
    <n v="10354.24"/>
    <n v="0"/>
    <x v="0"/>
    <s v="OK"/>
  </r>
  <r>
    <s v="IT-10093"/>
    <s v="Anchor bolt 10-93"/>
    <x v="2"/>
    <x v="2"/>
    <x v="0"/>
    <s v="2024-10"/>
    <n v="503.75"/>
    <n v="540.98"/>
    <n v="540.28666699999997"/>
    <n v="796.48"/>
    <n v="57"/>
    <n v="49"/>
    <n v="17"/>
    <n v="24"/>
    <n v="12966.88"/>
    <n v="1"/>
    <n v="23"/>
    <n v="9.01"/>
    <n v="7"/>
    <n v="6"/>
    <n v="4778.88"/>
    <n v="0"/>
    <x v="0"/>
    <s v="OK"/>
  </r>
  <r>
    <s v="IT-10093"/>
    <s v="Anchor bolt 10-93"/>
    <x v="2"/>
    <x v="2"/>
    <x v="0"/>
    <s v="2024-11"/>
    <n v="512.66999999999996"/>
    <n v="550.55999999999995"/>
    <n v="540.28684199999998"/>
    <n v="796.48"/>
    <n v="57"/>
    <m/>
    <n v="0"/>
    <n v="19"/>
    <n v="10265.450000000001"/>
    <n v="3"/>
    <n v="16"/>
    <n v="10.29"/>
    <n v="5"/>
    <n v="5"/>
    <n v="3982.4"/>
    <n v="0"/>
    <x v="0"/>
    <s v="OK"/>
  </r>
  <r>
    <s v="IT-10093"/>
    <s v="Anchor bolt 10-93"/>
    <x v="2"/>
    <x v="2"/>
    <x v="0"/>
    <s v="2024-12"/>
    <n v="532.41"/>
    <n v="571.76"/>
    <n v="552.47"/>
    <n v="796.48"/>
    <n v="57"/>
    <n v="55"/>
    <n v="12"/>
    <n v="23"/>
    <n v="12706.81"/>
    <n v="3"/>
    <n v="20"/>
    <n v="15.91"/>
    <n v="7"/>
    <n v="8"/>
    <n v="6371.84"/>
    <n v="0"/>
    <x v="0"/>
    <s v="OK"/>
  </r>
  <r>
    <s v="IT-10093"/>
    <s v="Anchor bolt 10-93"/>
    <x v="2"/>
    <x v="2"/>
    <x v="0"/>
    <s v="2025-01"/>
    <n v="519.82000000000005"/>
    <n v="558.24"/>
    <n v="554.092941"/>
    <n v="796.48"/>
    <n v="57"/>
    <n v="55"/>
    <n v="9"/>
    <n v="17"/>
    <n v="9419.58"/>
    <n v="3"/>
    <n v="14"/>
    <n v="7.98"/>
    <n v="14"/>
    <n v="15"/>
    <n v="11947.2"/>
    <n v="0"/>
    <x v="0"/>
    <s v="OK"/>
  </r>
  <r>
    <s v="IT-10093"/>
    <s v="Anchor bolt 10-93"/>
    <x v="2"/>
    <x v="2"/>
    <x v="0"/>
    <s v="2025-02"/>
    <n v="529.01"/>
    <n v="568.11"/>
    <n v="554.09272699999997"/>
    <n v="842.34"/>
    <n v="57"/>
    <m/>
    <n v="0"/>
    <n v="11"/>
    <n v="6095.02"/>
    <n v="2"/>
    <n v="9"/>
    <n v="4.88"/>
    <n v="7"/>
    <n v="6"/>
    <n v="5054.04"/>
    <n v="0"/>
    <x v="0"/>
    <s v="OK"/>
  </r>
  <r>
    <s v="IT-10093"/>
    <s v="Anchor bolt 10-93"/>
    <x v="2"/>
    <x v="2"/>
    <x v="0"/>
    <s v="2025-03"/>
    <n v="513.64"/>
    <n v="551.6"/>
    <n v="554.09272699999997"/>
    <n v="842.34"/>
    <n v="57"/>
    <m/>
    <n v="0"/>
    <n v="0"/>
    <n v="0"/>
    <n v="0"/>
    <n v="0"/>
    <n v="0"/>
    <n v="1"/>
    <n v="11"/>
    <n v="9265.74"/>
    <n v="1"/>
    <x v="1"/>
    <s v="OK"/>
  </r>
  <r>
    <s v="IT-10093"/>
    <s v="Anchor bolt 10-93"/>
    <x v="2"/>
    <x v="2"/>
    <x v="0"/>
    <s v="2025-04"/>
    <n v="515.91999999999996"/>
    <n v="554.04999999999995"/>
    <n v="554.04999999999995"/>
    <n v="842.34"/>
    <n v="57"/>
    <n v="55"/>
    <n v="9"/>
    <n v="1"/>
    <n v="554.04999999999995"/>
    <n v="1"/>
    <n v="0"/>
    <n v="0.51"/>
    <n v="9"/>
    <n v="8"/>
    <n v="6738.72"/>
    <n v="0"/>
    <x v="0"/>
    <s v="OK"/>
  </r>
  <r>
    <s v="IT-10093"/>
    <s v="Anchor bolt 10-93"/>
    <x v="2"/>
    <x v="2"/>
    <x v="0"/>
    <s v="2025-05"/>
    <n v="531.30999999999995"/>
    <n v="570.58000000000004"/>
    <n v="569.39857099999995"/>
    <n v="842.34"/>
    <n v="57"/>
    <n v="91"/>
    <n v="13"/>
    <n v="7"/>
    <n v="3985.79"/>
    <n v="3"/>
    <n v="4"/>
    <n v="3.54"/>
    <n v="22"/>
    <n v="7"/>
    <n v="5896.38"/>
    <n v="0"/>
    <x v="0"/>
    <s v="OK"/>
  </r>
  <r>
    <s v="IT-10093"/>
    <s v="Anchor bolt 10-93"/>
    <x v="2"/>
    <x v="2"/>
    <x v="0"/>
    <s v="2025-06"/>
    <n v="513.17999999999995"/>
    <n v="551.11"/>
    <n v="556.230952"/>
    <n v="842.34"/>
    <n v="57"/>
    <n v="72"/>
    <n v="18"/>
    <n v="21"/>
    <n v="11680.85"/>
    <n v="1"/>
    <n v="20"/>
    <n v="14.37"/>
    <n v="11"/>
    <n v="4"/>
    <n v="3369.36"/>
    <n v="0"/>
    <x v="0"/>
    <s v="OK"/>
  </r>
  <r>
    <s v="IT-10093"/>
    <s v="Anchor bolt 10-93"/>
    <x v="2"/>
    <x v="2"/>
    <x v="0"/>
    <s v="2025-07"/>
    <n v="518.27"/>
    <n v="556.57000000000005"/>
    <n v="556.33275900000001"/>
    <n v="842.34"/>
    <n v="57"/>
    <n v="54"/>
    <n v="9"/>
    <n v="29"/>
    <n v="16133.65"/>
    <n v="1"/>
    <n v="28"/>
    <n v="31.76"/>
    <n v="21"/>
    <n v="1"/>
    <n v="842.34"/>
    <n v="0"/>
    <x v="0"/>
    <s v="OK"/>
  </r>
  <r>
    <s v="IT-10093"/>
    <s v="Anchor bolt 10-93"/>
    <x v="2"/>
    <x v="2"/>
    <x v="0"/>
    <s v="2025-08"/>
    <n v="513.71"/>
    <n v="551.67999999999995"/>
    <n v="556.33272699999998"/>
    <n v="842.34"/>
    <n v="57"/>
    <m/>
    <n v="0"/>
    <n v="22"/>
    <n v="12239.32"/>
    <n v="1"/>
    <n v="21"/>
    <n v="24.1"/>
    <n v="10"/>
    <n v="7"/>
    <n v="5896.38"/>
    <n v="0"/>
    <x v="0"/>
    <s v="OK"/>
  </r>
  <r>
    <s v="IT-10093"/>
    <s v="Anchor bolt 10-93"/>
    <x v="2"/>
    <x v="2"/>
    <x v="0"/>
    <s v="2025-09"/>
    <n v="517.45000000000005"/>
    <n v="555.69000000000005"/>
    <n v="556.33266700000001"/>
    <n v="842.34"/>
    <n v="57"/>
    <m/>
    <n v="0"/>
    <n v="15"/>
    <n v="8344.99"/>
    <n v="2"/>
    <n v="13"/>
    <n v="13.14"/>
    <n v="4"/>
    <n v="7"/>
    <n v="5896.38"/>
    <n v="0"/>
    <x v="0"/>
    <s v="OK"/>
  </r>
  <r>
    <s v="IT-10093"/>
    <s v="Anchor bolt 10-93"/>
    <x v="2"/>
    <x v="2"/>
    <x v="0"/>
    <s v="2025-10"/>
    <n v="514.34"/>
    <n v="552.35"/>
    <n v="554.83888899999999"/>
    <n v="842.34"/>
    <n v="57"/>
    <n v="52"/>
    <n v="9"/>
    <n v="18"/>
    <n v="9987.1"/>
    <n v="2"/>
    <n v="16"/>
    <n v="11.83"/>
    <n v="6"/>
    <n v="6"/>
    <n v="5054.04"/>
    <n v="0"/>
    <x v="0"/>
    <s v="OK"/>
  </r>
  <r>
    <s v="IT-10093"/>
    <s v="Anchor bolt 10-93"/>
    <x v="2"/>
    <x v="2"/>
    <x v="0"/>
    <s v="2025-11"/>
    <n v="522.51"/>
    <n v="561.13"/>
    <n v="554.83909100000005"/>
    <n v="842.34"/>
    <n v="57"/>
    <m/>
    <n v="0"/>
    <n v="11"/>
    <n v="6103.23"/>
    <n v="3"/>
    <n v="8"/>
    <n v="7.15"/>
    <n v="2"/>
    <n v="7"/>
    <n v="5896.38"/>
    <n v="0"/>
    <x v="0"/>
    <s v="OK"/>
  </r>
  <r>
    <s v="IT-10093"/>
    <s v="Anchor bolt 10-93"/>
    <x v="2"/>
    <x v="2"/>
    <x v="0"/>
    <s v="2025-12"/>
    <n v="525.99"/>
    <n v="564.86"/>
    <n v="559.34888899999999"/>
    <n v="842.34"/>
    <n v="57"/>
    <n v="76"/>
    <n v="9"/>
    <n v="9"/>
    <n v="5034.1400000000003"/>
    <n v="2"/>
    <n v="7"/>
    <n v="4.93"/>
    <n v="1"/>
    <n v="11"/>
    <n v="9265.74"/>
    <n v="0"/>
    <x v="0"/>
    <s v="OK"/>
  </r>
  <r>
    <s v="IT-10093"/>
    <s v="Anchor bolt 10-93"/>
    <x v="2"/>
    <x v="2"/>
    <x v="0"/>
    <s v="2026-01"/>
    <n v="544.97"/>
    <n v="585.25"/>
    <n v="572.29999999999995"/>
    <n v="842.34"/>
    <n v="57"/>
    <n v="69"/>
    <n v="9"/>
    <n v="6"/>
    <n v="3433.8"/>
    <n v="1"/>
    <n v="5"/>
    <n v="2.63"/>
    <n v="13"/>
    <n v="12"/>
    <n v="10108.08"/>
    <n v="0"/>
    <x v="0"/>
    <s v="OK"/>
  </r>
  <r>
    <s v="IT-10093"/>
    <s v="Anchor bolt 10-93"/>
    <x v="2"/>
    <x v="2"/>
    <x v="0"/>
    <s v="2026-02"/>
    <n v="530.89"/>
    <n v="570.13"/>
    <n v="572.29999999999995"/>
    <n v="890.84"/>
    <n v="57"/>
    <m/>
    <n v="0"/>
    <n v="0"/>
    <n v="0"/>
    <n v="0"/>
    <n v="0"/>
    <n v="0"/>
    <n v="13"/>
    <n v="6"/>
    <n v="5345.04"/>
    <n v="2"/>
    <x v="1"/>
    <s v="OK"/>
  </r>
  <r>
    <s v="IT-10093"/>
    <s v="Anchor bolt 10-93"/>
    <x v="2"/>
    <x v="2"/>
    <x v="0"/>
    <s v="2026-03"/>
    <n v="534.75"/>
    <n v="574.27"/>
    <n v="574.27"/>
    <n v="890.84"/>
    <n v="57"/>
    <n v="49"/>
    <n v="10"/>
    <n v="5"/>
    <n v="2871.35"/>
    <n v="2"/>
    <n v="3"/>
    <n v="2.8"/>
    <n v="4"/>
    <n v="5"/>
    <n v="4454.2"/>
    <n v="0"/>
    <x v="0"/>
    <s v="OK"/>
  </r>
  <r>
    <s v="IT-10093"/>
    <s v="Anchor bolt 10-93"/>
    <x v="2"/>
    <x v="2"/>
    <x v="0"/>
    <s v="2026-04"/>
    <n v="536.34"/>
    <n v="575.98"/>
    <n v="574.27"/>
    <n v="890.84"/>
    <n v="57"/>
    <m/>
    <n v="0"/>
    <n v="0"/>
    <n v="0"/>
    <n v="0"/>
    <n v="0"/>
    <n v="0"/>
    <n v="20"/>
    <n v="5"/>
    <n v="4454.2"/>
    <n v="3"/>
    <x v="1"/>
    <s v="OK"/>
  </r>
  <r>
    <s v="IT-10093"/>
    <s v="Anchor bolt 10-93"/>
    <x v="2"/>
    <x v="2"/>
    <x v="0"/>
    <s v="2026-05"/>
    <n v="545.32000000000005"/>
    <n v="585.62"/>
    <n v="574.27"/>
    <n v="890.84"/>
    <n v="57"/>
    <m/>
    <n v="0"/>
    <n v="0"/>
    <n v="0"/>
    <n v="0"/>
    <n v="0"/>
    <n v="0"/>
    <n v="51"/>
    <n v="0"/>
    <n v="0"/>
    <n v="13"/>
    <x v="1"/>
    <s v="OK"/>
  </r>
  <r>
    <s v="IT-10093"/>
    <s v="Anchor bolt 10-93"/>
    <x v="2"/>
    <x v="2"/>
    <x v="0"/>
    <s v="2026-06"/>
    <n v="542.09"/>
    <n v="582.15"/>
    <n v="582.15"/>
    <n v="890.84"/>
    <n v="57"/>
    <n v="56"/>
    <n v="35"/>
    <n v="20"/>
    <n v="11643"/>
    <n v="3"/>
    <n v="17"/>
    <n v="13"/>
    <n v="7"/>
    <n v="15"/>
    <n v="13362.6"/>
    <n v="0"/>
    <x v="0"/>
    <s v="OK"/>
  </r>
  <r>
    <s v="IT-10093"/>
    <s v="Anchor bolt 10-93"/>
    <x v="2"/>
    <x v="2"/>
    <x v="0"/>
    <s v="2026-07"/>
    <n v="541.79"/>
    <n v="581.83000000000004"/>
    <n v="582.15"/>
    <n v="890.84"/>
    <n v="57"/>
    <m/>
    <n v="0"/>
    <n v="11"/>
    <n v="6403.65"/>
    <n v="1"/>
    <n v="10"/>
    <n v="6.02"/>
    <n v="16"/>
    <n v="9"/>
    <n v="8017.56"/>
    <n v="0"/>
    <x v="0"/>
    <s v="OK"/>
  </r>
  <r>
    <s v="IT-10093"/>
    <s v="Anchor bolt 10-93"/>
    <x v="2"/>
    <x v="2"/>
    <x v="0"/>
    <s v="2026-08"/>
    <n v="544.48"/>
    <n v="584.72"/>
    <n v="583.49111100000005"/>
    <n v="890.84"/>
    <n v="57"/>
    <n v="50"/>
    <n v="12"/>
    <n v="9"/>
    <n v="5251.42"/>
    <n v="3"/>
    <n v="6"/>
    <n v="3.11"/>
    <n v="4"/>
    <n v="14"/>
    <n v="12471.76"/>
    <n v="0"/>
    <x v="0"/>
    <s v="OK"/>
  </r>
  <r>
    <s v="IT-10094"/>
    <s v="Drive belt 20-94"/>
    <x v="4"/>
    <x v="4"/>
    <x v="1"/>
    <s v="2024-09"/>
    <n v="47.93"/>
    <n v="47.93"/>
    <n v="48.014736999999997"/>
    <n v="65.12"/>
    <n v="41"/>
    <n v="37"/>
    <n v="197"/>
    <n v="133"/>
    <n v="6385.96"/>
    <n v="11"/>
    <n v="122"/>
    <n v="4.99"/>
    <n v="0"/>
    <n v="131"/>
    <n v="8530.7199999999993"/>
    <n v="0"/>
    <x v="0"/>
    <s v="OK"/>
  </r>
  <r>
    <s v="IT-10094"/>
    <s v="Drive belt 20-94"/>
    <x v="4"/>
    <x v="4"/>
    <x v="1"/>
    <s v="2024-10"/>
    <n v="50.41"/>
    <n v="50.41"/>
    <n v="49.243098000000003"/>
    <n v="65.12"/>
    <n v="41"/>
    <n v="37"/>
    <n v="140"/>
    <n v="184"/>
    <n v="9060.73"/>
    <n v="5"/>
    <n v="179"/>
    <n v="7.28"/>
    <n v="0"/>
    <n v="89"/>
    <n v="5795.68"/>
    <n v="0"/>
    <x v="0"/>
    <s v="OK"/>
  </r>
  <r>
    <s v="IT-10094"/>
    <s v="Drive belt 20-94"/>
    <x v="4"/>
    <x v="4"/>
    <x v="1"/>
    <s v="2024-11"/>
    <n v="50.79"/>
    <n v="50.79"/>
    <n v="49.484341999999998"/>
    <n v="65.12"/>
    <n v="41"/>
    <n v="56"/>
    <n v="34"/>
    <n v="76"/>
    <n v="3760.81"/>
    <n v="16"/>
    <n v="60"/>
    <n v="2.73"/>
    <n v="0"/>
    <n v="142"/>
    <n v="9247.0400000000009"/>
    <n v="0"/>
    <x v="0"/>
    <s v="OK"/>
  </r>
  <r>
    <s v="IT-10094"/>
    <s v="Drive belt 20-94"/>
    <x v="4"/>
    <x v="4"/>
    <x v="1"/>
    <s v="2024-12"/>
    <n v="52.15"/>
    <n v="52.15"/>
    <n v="49.484341999999998"/>
    <n v="65.12"/>
    <n v="41"/>
    <m/>
    <n v="0"/>
    <n v="0"/>
    <n v="0"/>
    <n v="0"/>
    <n v="0"/>
    <n v="0"/>
    <n v="2"/>
    <n v="76"/>
    <n v="4949.12"/>
    <n v="23"/>
    <x v="1"/>
    <s v="OK"/>
  </r>
  <r>
    <s v="IT-10094"/>
    <s v="Drive belt 20-94"/>
    <x v="4"/>
    <x v="4"/>
    <x v="1"/>
    <s v="2025-01"/>
    <n v="51.24"/>
    <n v="51.24"/>
    <n v="51.24"/>
    <n v="65.12"/>
    <n v="41"/>
    <n v="39"/>
    <n v="263"/>
    <n v="175"/>
    <n v="8967"/>
    <n v="22"/>
    <n v="153"/>
    <n v="7.52"/>
    <n v="4"/>
    <n v="88"/>
    <n v="5730.56"/>
    <n v="0"/>
    <x v="0"/>
    <s v="OK"/>
  </r>
  <r>
    <s v="IT-10094"/>
    <s v="Drive belt 20-94"/>
    <x v="4"/>
    <x v="4"/>
    <x v="1"/>
    <s v="2025-02"/>
    <n v="50.55"/>
    <n v="50.55"/>
    <n v="51.079638000000003"/>
    <n v="67.69"/>
    <n v="41"/>
    <n v="40"/>
    <n v="53"/>
    <n v="138"/>
    <n v="7048.99"/>
    <n v="16"/>
    <n v="122"/>
    <n v="6.99"/>
    <n v="1"/>
    <n v="90"/>
    <n v="6092.1"/>
    <n v="0"/>
    <x v="0"/>
    <s v="OK"/>
  </r>
  <r>
    <s v="IT-10094"/>
    <s v="Drive belt 20-94"/>
    <x v="4"/>
    <x v="4"/>
    <x v="1"/>
    <s v="2025-03"/>
    <n v="51.32"/>
    <n v="51.32"/>
    <n v="51.211598000000002"/>
    <n v="67.69"/>
    <n v="41"/>
    <n v="36"/>
    <n v="168"/>
    <n v="244"/>
    <n v="12495.63"/>
    <n v="11"/>
    <n v="233"/>
    <n v="13.07"/>
    <n v="0"/>
    <n v="62"/>
    <n v="4196.78"/>
    <n v="0"/>
    <x v="0"/>
    <s v="OK"/>
  </r>
  <r>
    <s v="IT-10094"/>
    <s v="Drive belt 20-94"/>
    <x v="4"/>
    <x v="4"/>
    <x v="1"/>
    <s v="2025-04"/>
    <n v="51.12"/>
    <n v="51.12"/>
    <n v="51.199230999999997"/>
    <n v="67.69"/>
    <n v="41"/>
    <n v="37"/>
    <n v="38"/>
    <n v="195"/>
    <n v="9983.85"/>
    <n v="11"/>
    <n v="184"/>
    <n v="10.37"/>
    <n v="1"/>
    <n v="87"/>
    <n v="5889.03"/>
    <n v="0"/>
    <x v="0"/>
    <s v="OK"/>
  </r>
  <r>
    <s v="IT-10094"/>
    <s v="Drive belt 20-94"/>
    <x v="4"/>
    <x v="4"/>
    <x v="1"/>
    <s v="2025-05"/>
    <n v="51.79"/>
    <n v="51.79"/>
    <n v="51.254187999999999"/>
    <n v="67.69"/>
    <n v="41"/>
    <n v="40"/>
    <n v="20"/>
    <n v="160"/>
    <n v="8200.67"/>
    <n v="22"/>
    <n v="138"/>
    <n v="10.31"/>
    <n v="0"/>
    <n v="55"/>
    <n v="3722.95"/>
    <n v="0"/>
    <x v="0"/>
    <s v="OK"/>
  </r>
  <r>
    <s v="IT-10094"/>
    <s v="Drive belt 20-94"/>
    <x v="4"/>
    <x v="4"/>
    <x v="1"/>
    <s v="2025-06"/>
    <n v="50.53"/>
    <n v="50.53"/>
    <n v="50.940899000000002"/>
    <n v="67.69"/>
    <n v="41"/>
    <n v="37"/>
    <n v="122"/>
    <n v="189"/>
    <n v="9627.83"/>
    <n v="5"/>
    <n v="184"/>
    <n v="10.46"/>
    <n v="4"/>
    <n v="93"/>
    <n v="6295.17"/>
    <n v="0"/>
    <x v="0"/>
    <s v="OK"/>
  </r>
  <r>
    <s v="IT-10094"/>
    <s v="Drive belt 20-94"/>
    <x v="4"/>
    <x v="4"/>
    <x v="1"/>
    <s v="2025-07"/>
    <n v="51.23"/>
    <n v="51.23"/>
    <n v="51.026895000000003"/>
    <n v="67.69"/>
    <n v="41"/>
    <n v="47"/>
    <n v="80"/>
    <n v="219"/>
    <n v="11174.89"/>
    <n v="27"/>
    <n v="192"/>
    <n v="14.54"/>
    <n v="4"/>
    <n v="50"/>
    <n v="3384.5"/>
    <n v="0"/>
    <x v="0"/>
    <s v="OK"/>
  </r>
  <r>
    <s v="IT-10094"/>
    <s v="Drive belt 20-94"/>
    <x v="4"/>
    <x v="4"/>
    <x v="1"/>
    <s v="2025-08"/>
    <n v="50.73"/>
    <n v="50.73"/>
    <n v="50.91845"/>
    <n v="67.69"/>
    <n v="41"/>
    <n v="36"/>
    <n v="126"/>
    <n v="342"/>
    <n v="17414.11"/>
    <n v="5"/>
    <n v="337"/>
    <n v="30.79"/>
    <n v="8"/>
    <n v="3"/>
    <n v="203.07"/>
    <n v="0"/>
    <x v="0"/>
    <s v="OK"/>
  </r>
  <r>
    <s v="IT-10094"/>
    <s v="Drive belt 20-94"/>
    <x v="4"/>
    <x v="4"/>
    <x v="1"/>
    <s v="2025-09"/>
    <n v="50.34"/>
    <n v="50.34"/>
    <n v="50.792693999999997"/>
    <n v="67.69"/>
    <n v="41"/>
    <n v="37"/>
    <n v="95"/>
    <n v="412"/>
    <n v="20926.59"/>
    <n v="25"/>
    <n v="387"/>
    <n v="69.42"/>
    <n v="5"/>
    <n v="25"/>
    <n v="1692.25"/>
    <n v="0"/>
    <x v="0"/>
    <s v="OK"/>
  </r>
  <r>
    <s v="IT-10094"/>
    <s v="Drive belt 20-94"/>
    <x v="4"/>
    <x v="4"/>
    <x v="1"/>
    <s v="2025-10"/>
    <n v="54.8"/>
    <n v="54.8"/>
    <n v="50.792687999999998"/>
    <n v="67.69"/>
    <n v="41"/>
    <m/>
    <n v="0"/>
    <n v="320"/>
    <n v="16253.66"/>
    <n v="27"/>
    <n v="293"/>
    <n v="35.049999999999997"/>
    <n v="1"/>
    <n v="92"/>
    <n v="6227.48"/>
    <n v="0"/>
    <x v="0"/>
    <s v="OK"/>
  </r>
  <r>
    <s v="IT-10094"/>
    <s v="Drive belt 20-94"/>
    <x v="4"/>
    <x v="4"/>
    <x v="1"/>
    <s v="2025-11"/>
    <n v="54.92"/>
    <n v="54.92"/>
    <n v="51.584788000000003"/>
    <n v="67.69"/>
    <n v="41"/>
    <n v="39"/>
    <n v="76"/>
    <n v="307"/>
    <n v="15836.53"/>
    <n v="16"/>
    <n v="291"/>
    <n v="19.37"/>
    <n v="0"/>
    <n v="89"/>
    <n v="6024.41"/>
    <n v="0"/>
    <x v="0"/>
    <s v="OK"/>
  </r>
  <r>
    <s v="IT-10094"/>
    <s v="Drive belt 20-94"/>
    <x v="4"/>
    <x v="4"/>
    <x v="1"/>
    <s v="2025-12"/>
    <n v="54.52"/>
    <n v="54.52"/>
    <n v="51.584792999999998"/>
    <n v="67.69"/>
    <n v="41"/>
    <m/>
    <n v="0"/>
    <n v="217"/>
    <n v="11193.9"/>
    <n v="19"/>
    <n v="198"/>
    <n v="10.52"/>
    <n v="1"/>
    <n v="90"/>
    <n v="6092.1"/>
    <n v="0"/>
    <x v="0"/>
    <s v="OK"/>
  </r>
  <r>
    <s v="IT-10094"/>
    <s v="Drive belt 20-94"/>
    <x v="4"/>
    <x v="4"/>
    <x v="1"/>
    <s v="2026-01"/>
    <n v="53.73"/>
    <n v="53.73"/>
    <n v="52.073380999999998"/>
    <n v="67.69"/>
    <n v="41"/>
    <n v="36"/>
    <n v="64"/>
    <n v="281"/>
    <n v="14632.62"/>
    <n v="16"/>
    <n v="265"/>
    <n v="20.63"/>
    <n v="32"/>
    <n v="0"/>
    <n v="0"/>
    <n v="0"/>
    <x v="0"/>
    <s v="OK"/>
  </r>
  <r>
    <s v="IT-10094"/>
    <s v="Drive belt 20-94"/>
    <x v="4"/>
    <x v="4"/>
    <x v="1"/>
    <s v="2026-02"/>
    <n v="53.33"/>
    <n v="53.33"/>
    <n v="52.309451000000003"/>
    <n v="70.36"/>
    <n v="41"/>
    <n v="40"/>
    <n v="65"/>
    <n v="346"/>
    <n v="18099.07"/>
    <n v="19"/>
    <n v="327"/>
    <n v="49.43"/>
    <n v="60"/>
    <n v="0"/>
    <n v="0"/>
    <n v="0"/>
    <x v="0"/>
    <s v="OK"/>
  </r>
  <r>
    <s v="IT-10094"/>
    <s v="Drive belt 20-94"/>
    <x v="4"/>
    <x v="4"/>
    <x v="1"/>
    <s v="2026-03"/>
    <n v="54.01"/>
    <n v="54.01"/>
    <n v="52.654263"/>
    <n v="70.36"/>
    <n v="41"/>
    <n v="37"/>
    <n v="88"/>
    <n v="434"/>
    <n v="22851.95"/>
    <n v="14"/>
    <n v="420"/>
    <m/>
    <n v="91"/>
    <n v="0"/>
    <n v="0"/>
    <n v="0"/>
    <x v="0"/>
    <s v="OK"/>
  </r>
  <r>
    <s v="IT-10094"/>
    <s v="Drive belt 20-94"/>
    <x v="4"/>
    <x v="4"/>
    <x v="1"/>
    <s v="2026-04"/>
    <n v="53.23"/>
    <n v="53.23"/>
    <n v="52.654263"/>
    <n v="70.36"/>
    <n v="41"/>
    <m/>
    <n v="0"/>
    <n v="434"/>
    <n v="22851.95"/>
    <n v="14"/>
    <n v="420"/>
    <m/>
    <n v="121"/>
    <n v="0"/>
    <n v="0"/>
    <n v="0"/>
    <x v="0"/>
    <s v="OK"/>
  </r>
  <r>
    <s v="IT-10094"/>
    <s v="Drive belt 20-94"/>
    <x v="4"/>
    <x v="4"/>
    <x v="1"/>
    <s v="2026-05"/>
    <n v="55.12"/>
    <n v="55.12"/>
    <n v="52.654263"/>
    <n v="70.36"/>
    <n v="41"/>
    <m/>
    <n v="0"/>
    <n v="434"/>
    <n v="22851.95"/>
    <n v="19"/>
    <n v="415"/>
    <m/>
    <n v="152"/>
    <n v="0"/>
    <n v="0"/>
    <n v="0"/>
    <x v="0"/>
    <s v="OK"/>
  </r>
  <r>
    <s v="IT-10094"/>
    <s v="Drive belt 20-94"/>
    <x v="4"/>
    <x v="4"/>
    <x v="1"/>
    <s v="2026-06"/>
    <n v="54.38"/>
    <n v="54.38"/>
    <n v="52.654263"/>
    <n v="70.36"/>
    <n v="41"/>
    <m/>
    <n v="0"/>
    <n v="434"/>
    <n v="22851.95"/>
    <n v="11"/>
    <n v="423"/>
    <m/>
    <n v="182"/>
    <n v="0"/>
    <n v="0"/>
    <n v="0"/>
    <x v="0"/>
    <s v="OK"/>
  </r>
  <r>
    <s v="IT-10094"/>
    <s v="Drive belt 20-94"/>
    <x v="4"/>
    <x v="4"/>
    <x v="1"/>
    <s v="2026-07"/>
    <n v="54.14"/>
    <n v="54.14"/>
    <n v="52.654263"/>
    <n v="70.36"/>
    <n v="41"/>
    <m/>
    <n v="0"/>
    <n v="434"/>
    <n v="22851.95"/>
    <n v="16"/>
    <n v="418"/>
    <m/>
    <n v="213"/>
    <n v="0"/>
    <n v="0"/>
    <n v="0"/>
    <x v="0"/>
    <s v="OK"/>
  </r>
  <r>
    <s v="IT-10094"/>
    <s v="Drive belt 20-94"/>
    <x v="4"/>
    <x v="4"/>
    <x v="1"/>
    <s v="2026-08"/>
    <n v="55.19"/>
    <n v="55.19"/>
    <n v="52.654263"/>
    <n v="70.36"/>
    <n v="41"/>
    <m/>
    <n v="0"/>
    <n v="434"/>
    <n v="22851.95"/>
    <n v="8"/>
    <n v="426"/>
    <m/>
    <n v="244"/>
    <n v="0"/>
    <n v="0"/>
    <n v="0"/>
    <x v="0"/>
    <s v="OK"/>
  </r>
  <r>
    <s v="IT-10095"/>
    <s v="Sprocket 10-95"/>
    <x v="4"/>
    <x v="4"/>
    <x v="1"/>
    <s v="2024-09"/>
    <n v="240.45"/>
    <n v="240.45"/>
    <n v="237.99955600000001"/>
    <n v="329.21"/>
    <n v="34"/>
    <n v="59"/>
    <n v="22"/>
    <n v="45"/>
    <n v="10709.98"/>
    <n v="5"/>
    <n v="40"/>
    <n v="8.57"/>
    <n v="5"/>
    <n v="30"/>
    <n v="9876.2999999999993"/>
    <n v="0"/>
    <x v="0"/>
    <s v="OK"/>
  </r>
  <r>
    <s v="IT-10095"/>
    <s v="Sprocket 10-95"/>
    <x v="4"/>
    <x v="4"/>
    <x v="1"/>
    <s v="2024-10"/>
    <n v="249.52"/>
    <n v="249.52"/>
    <n v="241.158387"/>
    <n v="329.21"/>
    <n v="34"/>
    <n v="31"/>
    <n v="17"/>
    <n v="31"/>
    <n v="7475.91"/>
    <n v="5"/>
    <n v="26"/>
    <n v="5.16"/>
    <n v="3"/>
    <n v="31"/>
    <n v="10205.51"/>
    <n v="0"/>
    <x v="0"/>
    <s v="OK"/>
  </r>
  <r>
    <s v="IT-10095"/>
    <s v="Sprocket 10-95"/>
    <x v="4"/>
    <x v="4"/>
    <x v="1"/>
    <s v="2024-11"/>
    <n v="249.66"/>
    <n v="249.66"/>
    <n v="245.99960799999999"/>
    <n v="329.21"/>
    <n v="34"/>
    <n v="34"/>
    <n v="41"/>
    <n v="51"/>
    <n v="12545.98"/>
    <n v="6"/>
    <n v="45"/>
    <n v="8.09"/>
    <n v="0"/>
    <n v="21"/>
    <n v="6913.41"/>
    <n v="0"/>
    <x v="0"/>
    <s v="OK"/>
  </r>
  <r>
    <s v="IT-10095"/>
    <s v="Sprocket 10-95"/>
    <x v="4"/>
    <x v="4"/>
    <x v="1"/>
    <s v="2024-12"/>
    <n v="257.35000000000002"/>
    <n v="257.35000000000002"/>
    <n v="250.20357100000001"/>
    <n v="329.21"/>
    <n v="34"/>
    <n v="33"/>
    <n v="30"/>
    <n v="42"/>
    <n v="10508.55"/>
    <n v="5"/>
    <n v="37"/>
    <n v="6.07"/>
    <n v="7"/>
    <n v="39"/>
    <n v="12839.19"/>
    <n v="0"/>
    <x v="0"/>
    <s v="OK"/>
  </r>
  <r>
    <s v="IT-10095"/>
    <s v="Sprocket 10-95"/>
    <x v="4"/>
    <x v="4"/>
    <x v="1"/>
    <s v="2025-01"/>
    <n v="252.39"/>
    <n v="252.39"/>
    <n v="250.20349999999999"/>
    <n v="329.21"/>
    <n v="34"/>
    <m/>
    <n v="0"/>
    <n v="20"/>
    <n v="5004.07"/>
    <n v="7"/>
    <n v="13"/>
    <n v="3.21"/>
    <n v="9"/>
    <n v="22"/>
    <n v="7242.62"/>
    <n v="0"/>
    <x v="0"/>
    <s v="OK"/>
  </r>
  <r>
    <s v="IT-10095"/>
    <s v="Sprocket 10-95"/>
    <x v="4"/>
    <x v="4"/>
    <x v="1"/>
    <s v="2025-02"/>
    <n v="250.71"/>
    <n v="250.71"/>
    <n v="250.573095"/>
    <n v="337.87"/>
    <n v="34"/>
    <n v="32"/>
    <n v="54"/>
    <n v="42"/>
    <n v="10524.07"/>
    <n v="5"/>
    <n v="37"/>
    <n v="5.81"/>
    <n v="5"/>
    <n v="32"/>
    <n v="10811.84"/>
    <n v="0"/>
    <x v="0"/>
    <s v="OK"/>
  </r>
  <r>
    <s v="IT-10095"/>
    <s v="Sprocket 10-95"/>
    <x v="4"/>
    <x v="4"/>
    <x v="1"/>
    <s v="2025-03"/>
    <n v="249.71"/>
    <n v="249.71"/>
    <n v="250.13650799999999"/>
    <n v="337.87"/>
    <n v="34"/>
    <n v="31"/>
    <n v="43"/>
    <n v="63"/>
    <n v="15758.6"/>
    <n v="6"/>
    <n v="57"/>
    <n v="10.66"/>
    <n v="2"/>
    <n v="22"/>
    <n v="7433.14"/>
    <n v="0"/>
    <x v="0"/>
    <s v="OK"/>
  </r>
  <r>
    <s v="IT-10095"/>
    <s v="Sprocket 10-95"/>
    <x v="4"/>
    <x v="4"/>
    <x v="1"/>
    <s v="2025-04"/>
    <n v="247.58"/>
    <n v="247.58"/>
    <n v="250.136596"/>
    <n v="337.87"/>
    <n v="34"/>
    <m/>
    <n v="0"/>
    <n v="47"/>
    <n v="11756.42"/>
    <n v="6"/>
    <n v="41"/>
    <n v="8.5399999999999991"/>
    <n v="5"/>
    <n v="16"/>
    <n v="5405.92"/>
    <n v="0"/>
    <x v="0"/>
    <s v="OK"/>
  </r>
  <r>
    <s v="IT-10095"/>
    <s v="Sprocket 10-95"/>
    <x v="4"/>
    <x v="4"/>
    <x v="1"/>
    <s v="2025-05"/>
    <n v="255.44"/>
    <n v="255.44"/>
    <n v="252.67042599999999"/>
    <n v="337.87"/>
    <n v="34"/>
    <n v="32"/>
    <n v="43"/>
    <n v="47"/>
    <n v="11875.51"/>
    <n v="8"/>
    <n v="39"/>
    <n v="7.63"/>
    <n v="2"/>
    <n v="43"/>
    <n v="14528.41"/>
    <n v="0"/>
    <x v="0"/>
    <s v="OK"/>
  </r>
  <r>
    <s v="IT-10095"/>
    <s v="Sprocket 10-95"/>
    <x v="4"/>
    <x v="4"/>
    <x v="1"/>
    <s v="2025-06"/>
    <n v="247.85"/>
    <n v="247.85"/>
    <n v="250.515366"/>
    <n v="337.87"/>
    <n v="34"/>
    <n v="34"/>
    <n v="38"/>
    <n v="41"/>
    <n v="10271.129999999999"/>
    <n v="4"/>
    <n v="37"/>
    <n v="5.17"/>
    <n v="1"/>
    <n v="44"/>
    <n v="14866.28"/>
    <n v="0"/>
    <x v="0"/>
    <s v="OK"/>
  </r>
  <r>
    <s v="IT-10095"/>
    <s v="Sprocket 10-95"/>
    <x v="4"/>
    <x v="4"/>
    <x v="1"/>
    <s v="2025-07"/>
    <n v="249.78"/>
    <n v="249.78"/>
    <n v="249.99848499999999"/>
    <n v="337.87"/>
    <n v="34"/>
    <n v="30"/>
    <n v="97"/>
    <n v="99"/>
    <n v="24749.85"/>
    <n v="5"/>
    <n v="94"/>
    <n v="10.33"/>
    <n v="2"/>
    <n v="39"/>
    <n v="13176.93"/>
    <n v="0"/>
    <x v="0"/>
    <s v="OK"/>
  </r>
  <r>
    <s v="IT-10095"/>
    <s v="Sprocket 10-95"/>
    <x v="4"/>
    <x v="4"/>
    <x v="1"/>
    <s v="2025-08"/>
    <n v="252.87"/>
    <n v="252.87"/>
    <n v="250.61386400000001"/>
    <n v="337.87"/>
    <n v="34"/>
    <n v="31"/>
    <n v="27"/>
    <n v="88"/>
    <n v="22054.02"/>
    <n v="5"/>
    <n v="83"/>
    <n v="9.56"/>
    <n v="13"/>
    <n v="38"/>
    <n v="12839.06"/>
    <n v="0"/>
    <x v="0"/>
    <s v="OK"/>
  </r>
  <r>
    <s v="IT-10095"/>
    <s v="Sprocket 10-95"/>
    <x v="4"/>
    <x v="4"/>
    <x v="1"/>
    <s v="2025-09"/>
    <n v="249.81"/>
    <n v="249.81"/>
    <n v="250.613788"/>
    <n v="337.87"/>
    <n v="34"/>
    <m/>
    <n v="0"/>
    <n v="66"/>
    <n v="16540.509999999998"/>
    <n v="5"/>
    <n v="61"/>
    <n v="8.76"/>
    <n v="2"/>
    <n v="22"/>
    <n v="7433.14"/>
    <n v="0"/>
    <x v="0"/>
    <s v="OK"/>
  </r>
  <r>
    <s v="IT-10095"/>
    <s v="Sprocket 10-95"/>
    <x v="4"/>
    <x v="4"/>
    <x v="1"/>
    <s v="2025-10"/>
    <n v="270.17"/>
    <n v="270.17"/>
    <n v="258.94639999999998"/>
    <n v="337.87"/>
    <n v="34"/>
    <n v="33"/>
    <n v="49"/>
    <n v="100"/>
    <n v="25894.639999999999"/>
    <n v="8"/>
    <n v="92"/>
    <n v="17.52"/>
    <n v="8"/>
    <n v="15"/>
    <n v="5068.05"/>
    <n v="0"/>
    <x v="0"/>
    <s v="OK"/>
  </r>
  <r>
    <s v="IT-10095"/>
    <s v="Sprocket 10-95"/>
    <x v="4"/>
    <x v="4"/>
    <x v="1"/>
    <s v="2025-11"/>
    <n v="266.91000000000003"/>
    <n v="266.91000000000003"/>
    <n v="258.94635099999999"/>
    <n v="337.87"/>
    <n v="34"/>
    <m/>
    <n v="0"/>
    <n v="74"/>
    <n v="19162.03"/>
    <n v="2"/>
    <n v="72"/>
    <n v="15.27"/>
    <n v="1"/>
    <n v="26"/>
    <n v="8784.6200000000008"/>
    <n v="0"/>
    <x v="0"/>
    <s v="OK"/>
  </r>
  <r>
    <s v="IT-10095"/>
    <s v="Sprocket 10-95"/>
    <x v="4"/>
    <x v="4"/>
    <x v="1"/>
    <s v="2025-12"/>
    <n v="272.36"/>
    <n v="272.36"/>
    <n v="259.795278"/>
    <n v="337.87"/>
    <n v="34"/>
    <n v="33"/>
    <n v="5"/>
    <n v="36"/>
    <n v="9352.6299999999992"/>
    <n v="5"/>
    <n v="31"/>
    <n v="5.63"/>
    <n v="0"/>
    <n v="43"/>
    <n v="14528.41"/>
    <n v="0"/>
    <x v="0"/>
    <s v="OK"/>
  </r>
  <r>
    <s v="IT-10095"/>
    <s v="Sprocket 10-95"/>
    <x v="4"/>
    <x v="4"/>
    <x v="1"/>
    <s v="2026-01"/>
    <n v="267.08999999999997"/>
    <n v="267.08999999999997"/>
    <n v="264.26625000000001"/>
    <n v="337.87"/>
    <n v="34"/>
    <n v="29"/>
    <n v="57"/>
    <n v="56"/>
    <n v="14798.91"/>
    <n v="8"/>
    <n v="48"/>
    <n v="6.94"/>
    <n v="6"/>
    <n v="37"/>
    <n v="12501.19"/>
    <n v="0"/>
    <x v="0"/>
    <s v="OK"/>
  </r>
  <r>
    <s v="IT-10095"/>
    <s v="Sprocket 10-95"/>
    <x v="4"/>
    <x v="4"/>
    <x v="1"/>
    <s v="2026-02"/>
    <n v="269.99"/>
    <n v="269.99"/>
    <n v="264.26625000000001"/>
    <n v="346.76"/>
    <n v="34"/>
    <m/>
    <n v="0"/>
    <n v="56"/>
    <n v="14798.91"/>
    <n v="5"/>
    <n v="51"/>
    <n v="9"/>
    <n v="34"/>
    <n v="0"/>
    <n v="0"/>
    <n v="0"/>
    <x v="0"/>
    <s v="OK"/>
  </r>
  <r>
    <s v="IT-10095"/>
    <s v="Sprocket 10-95"/>
    <x v="4"/>
    <x v="4"/>
    <x v="1"/>
    <s v="2026-03"/>
    <n v="268.44"/>
    <n v="268.44"/>
    <n v="266.00532500000003"/>
    <n v="346.76"/>
    <n v="34"/>
    <n v="30"/>
    <n v="40"/>
    <n v="77"/>
    <n v="20482.41"/>
    <n v="9"/>
    <n v="68"/>
    <n v="17.68"/>
    <n v="2"/>
    <n v="19"/>
    <n v="6588.44"/>
    <n v="0"/>
    <x v="0"/>
    <s v="OK"/>
  </r>
  <r>
    <s v="IT-10095"/>
    <s v="Sprocket 10-95"/>
    <x v="4"/>
    <x v="4"/>
    <x v="1"/>
    <s v="2026-04"/>
    <n v="262.52999999999997"/>
    <n v="262.52999999999997"/>
    <n v="266.00540000000001"/>
    <n v="346.76"/>
    <n v="34"/>
    <m/>
    <n v="0"/>
    <n v="50"/>
    <n v="13300.27"/>
    <n v="9"/>
    <n v="41"/>
    <n v="13.82"/>
    <n v="1"/>
    <n v="27"/>
    <n v="9362.52"/>
    <n v="0"/>
    <x v="0"/>
    <s v="OK"/>
  </r>
  <r>
    <s v="IT-10095"/>
    <s v="Sprocket 10-95"/>
    <x v="4"/>
    <x v="4"/>
    <x v="1"/>
    <s v="2026-05"/>
    <n v="267.91000000000003"/>
    <n v="267.91000000000003"/>
    <n v="266.20937500000002"/>
    <n v="346.76"/>
    <n v="34"/>
    <n v="40"/>
    <n v="6"/>
    <n v="32"/>
    <n v="8518.7000000000007"/>
    <n v="6"/>
    <n v="26"/>
    <n v="6.01"/>
    <n v="7"/>
    <n v="24"/>
    <n v="8322.24"/>
    <n v="0"/>
    <x v="0"/>
    <s v="OK"/>
  </r>
  <r>
    <s v="IT-10095"/>
    <s v="Sprocket 10-95"/>
    <x v="4"/>
    <x v="4"/>
    <x v="1"/>
    <s v="2026-06"/>
    <n v="270.13"/>
    <n v="270.13"/>
    <n v="268.411429"/>
    <n v="346.76"/>
    <n v="34"/>
    <n v="32"/>
    <n v="41"/>
    <n v="35"/>
    <n v="9394.4"/>
    <n v="4"/>
    <n v="31"/>
    <n v="5.1100000000000003"/>
    <n v="0"/>
    <n v="38"/>
    <n v="13176.88"/>
    <n v="0"/>
    <x v="0"/>
    <s v="OK"/>
  </r>
  <r>
    <s v="IT-10095"/>
    <s v="Sprocket 10-95"/>
    <x v="4"/>
    <x v="4"/>
    <x v="1"/>
    <s v="2026-07"/>
    <n v="268.77"/>
    <n v="268.77"/>
    <n v="268.41125"/>
    <n v="346.76"/>
    <n v="34"/>
    <m/>
    <n v="0"/>
    <n v="8"/>
    <n v="2147.29"/>
    <n v="5"/>
    <n v="3"/>
    <n v="1.18"/>
    <n v="1"/>
    <n v="27"/>
    <n v="9362.52"/>
    <n v="0"/>
    <x v="0"/>
    <s v="OK"/>
  </r>
  <r>
    <s v="IT-10095"/>
    <s v="Sprocket 10-95"/>
    <x v="4"/>
    <x v="4"/>
    <x v="1"/>
    <s v="2026-08"/>
    <n v="272.36"/>
    <n v="272.36"/>
    <n v="272.08999999999997"/>
    <n v="346.76"/>
    <n v="34"/>
    <n v="43"/>
    <n v="109"/>
    <n v="79"/>
    <n v="21495.11"/>
    <n v="4"/>
    <n v="75"/>
    <n v="10.08"/>
    <n v="3"/>
    <n v="38"/>
    <n v="13176.88"/>
    <n v="0"/>
    <x v="0"/>
    <s v="OK"/>
  </r>
  <r>
    <s v="IT-10096"/>
    <s v="Anchor bolt B-96"/>
    <x v="2"/>
    <x v="2"/>
    <x v="1"/>
    <s v="2024-09"/>
    <n v="166.75"/>
    <n v="178.98"/>
    <n v="174.52812499999999"/>
    <n v="248.17"/>
    <n v="40"/>
    <m/>
    <n v="0"/>
    <n v="48"/>
    <n v="8377.35"/>
    <n v="6"/>
    <n v="42"/>
    <n v="9.86"/>
    <n v="2"/>
    <n v="25"/>
    <n v="6204.25"/>
    <n v="0"/>
    <x v="0"/>
    <s v="OK"/>
  </r>
  <r>
    <s v="IT-10096"/>
    <s v="Anchor bolt B-96"/>
    <x v="2"/>
    <x v="2"/>
    <x v="1"/>
    <s v="2024-10"/>
    <n v="166.35"/>
    <n v="178.55"/>
    <n v="175.752115"/>
    <n v="248.17"/>
    <n v="40"/>
    <n v="52"/>
    <n v="21"/>
    <n v="52"/>
    <n v="9139.11"/>
    <n v="4"/>
    <n v="48"/>
    <n v="9.24"/>
    <n v="4"/>
    <n v="17"/>
    <n v="4218.8900000000003"/>
    <n v="0"/>
    <x v="0"/>
    <s v="OK"/>
  </r>
  <r>
    <s v="IT-10096"/>
    <s v="Anchor bolt B-96"/>
    <x v="2"/>
    <x v="2"/>
    <x v="1"/>
    <s v="2024-11"/>
    <n v="163.25"/>
    <n v="175.22"/>
    <n v="175.48599999999999"/>
    <n v="248.17"/>
    <n v="40"/>
    <n v="39"/>
    <n v="52"/>
    <n v="85"/>
    <n v="14916.31"/>
    <n v="3"/>
    <n v="82"/>
    <n v="18.11"/>
    <n v="2"/>
    <n v="19"/>
    <n v="4715.2299999999996"/>
    <n v="0"/>
    <x v="0"/>
    <s v="OK"/>
  </r>
  <r>
    <s v="IT-10096"/>
    <s v="Anchor bolt B-96"/>
    <x v="2"/>
    <x v="2"/>
    <x v="1"/>
    <s v="2024-12"/>
    <n v="164.72"/>
    <n v="176.8"/>
    <n v="175.74631099999999"/>
    <n v="248.17"/>
    <n v="40"/>
    <n v="37"/>
    <n v="21"/>
    <n v="103"/>
    <n v="18101.87"/>
    <n v="3"/>
    <n v="100"/>
    <n v="34.71"/>
    <n v="10"/>
    <n v="3"/>
    <n v="744.51"/>
    <n v="0"/>
    <x v="0"/>
    <s v="OK"/>
  </r>
  <r>
    <s v="IT-10096"/>
    <s v="Anchor bolt B-96"/>
    <x v="2"/>
    <x v="2"/>
    <x v="1"/>
    <s v="2025-01"/>
    <n v="166.17"/>
    <n v="178.35"/>
    <n v="175.74631099999999"/>
    <n v="248.17"/>
    <n v="40"/>
    <m/>
    <n v="0"/>
    <n v="103"/>
    <n v="18101.87"/>
    <n v="3"/>
    <n v="100"/>
    <n v="61.53"/>
    <n v="41"/>
    <n v="0"/>
    <n v="0"/>
    <n v="0"/>
    <x v="0"/>
    <s v="OK"/>
  </r>
  <r>
    <s v="IT-10096"/>
    <s v="Anchor bolt B-96"/>
    <x v="2"/>
    <x v="2"/>
    <x v="1"/>
    <s v="2025-02"/>
    <n v="168.31"/>
    <n v="180.65"/>
    <n v="175.74633299999999"/>
    <n v="255.34"/>
    <n v="40"/>
    <m/>
    <n v="0"/>
    <n v="90"/>
    <n v="15817.17"/>
    <n v="4"/>
    <n v="86"/>
    <n v="72.319999999999993"/>
    <n v="3"/>
    <n v="13"/>
    <n v="3319.42"/>
    <n v="0"/>
    <x v="0"/>
    <s v="OK"/>
  </r>
  <r>
    <s v="IT-10096"/>
    <s v="Anchor bolt B-96"/>
    <x v="2"/>
    <x v="2"/>
    <x v="1"/>
    <s v="2025-03"/>
    <n v="170.95"/>
    <n v="183.48"/>
    <n v="177.20947899999999"/>
    <n v="255.34"/>
    <n v="40"/>
    <n v="40"/>
    <n v="21"/>
    <n v="96"/>
    <n v="17012.11"/>
    <n v="6"/>
    <n v="90"/>
    <n v="44.08"/>
    <n v="23"/>
    <n v="15"/>
    <n v="3830.1"/>
    <n v="0"/>
    <x v="0"/>
    <s v="OK"/>
  </r>
  <r>
    <s v="IT-10096"/>
    <s v="Anchor bolt B-96"/>
    <x v="2"/>
    <x v="2"/>
    <x v="1"/>
    <s v="2025-04"/>
    <n v="168.82"/>
    <n v="181.2"/>
    <n v="177.20941999999999"/>
    <n v="255.34"/>
    <n v="40"/>
    <m/>
    <n v="0"/>
    <n v="69"/>
    <n v="12227.45"/>
    <n v="7"/>
    <n v="62"/>
    <n v="15.95"/>
    <n v="7"/>
    <n v="27"/>
    <n v="6894.18"/>
    <n v="0"/>
    <x v="0"/>
    <s v="OK"/>
  </r>
  <r>
    <s v="IT-10096"/>
    <s v="Anchor bolt B-96"/>
    <x v="2"/>
    <x v="2"/>
    <x v="1"/>
    <s v="2025-05"/>
    <n v="168.21"/>
    <n v="180.54"/>
    <n v="177.98656700000001"/>
    <n v="255.34"/>
    <n v="40"/>
    <n v="64"/>
    <n v="21"/>
    <n v="67"/>
    <n v="11925.1"/>
    <n v="3"/>
    <n v="64"/>
    <n v="13.55"/>
    <n v="2"/>
    <n v="23"/>
    <n v="5872.82"/>
    <n v="0"/>
    <x v="0"/>
    <s v="OK"/>
  </r>
  <r>
    <s v="IT-10096"/>
    <s v="Anchor bolt B-96"/>
    <x v="2"/>
    <x v="2"/>
    <x v="1"/>
    <s v="2025-06"/>
    <n v="165.45"/>
    <n v="177.58"/>
    <n v="177.818938"/>
    <n v="255.34"/>
    <n v="40"/>
    <n v="39"/>
    <n v="47"/>
    <n v="113"/>
    <n v="20093.54"/>
    <n v="6"/>
    <n v="107"/>
    <n v="28.8"/>
    <n v="10"/>
    <n v="1"/>
    <n v="255.34"/>
    <n v="0"/>
    <x v="0"/>
    <s v="OK"/>
  </r>
  <r>
    <s v="IT-10096"/>
    <s v="Anchor bolt B-96"/>
    <x v="2"/>
    <x v="2"/>
    <x v="1"/>
    <s v="2025-07"/>
    <n v="168.37"/>
    <n v="180.71"/>
    <n v="177.81895299999999"/>
    <n v="255.34"/>
    <n v="40"/>
    <m/>
    <n v="0"/>
    <n v="86"/>
    <n v="15292.43"/>
    <n v="2"/>
    <n v="84"/>
    <n v="22.16"/>
    <n v="2"/>
    <n v="27"/>
    <n v="6894.18"/>
    <n v="0"/>
    <x v="0"/>
    <s v="OK"/>
  </r>
  <r>
    <s v="IT-10096"/>
    <s v="Anchor bolt B-96"/>
    <x v="2"/>
    <x v="2"/>
    <x v="1"/>
    <s v="2025-08"/>
    <n v="171.23"/>
    <n v="183.78"/>
    <n v="177.81888900000001"/>
    <n v="255.34"/>
    <n v="40"/>
    <m/>
    <n v="0"/>
    <n v="72"/>
    <n v="12802.96"/>
    <n v="5"/>
    <n v="67"/>
    <n v="22.53"/>
    <n v="10"/>
    <n v="14"/>
    <n v="3574.76"/>
    <n v="0"/>
    <x v="0"/>
    <s v="OK"/>
  </r>
  <r>
    <s v="IT-10096"/>
    <s v="Anchor bolt B-96"/>
    <x v="2"/>
    <x v="2"/>
    <x v="1"/>
    <s v="2025-09"/>
    <n v="168.51"/>
    <n v="180.86"/>
    <n v="177.81898000000001"/>
    <n v="255.34"/>
    <n v="40"/>
    <m/>
    <n v="0"/>
    <n v="49"/>
    <n v="8713.1299999999992"/>
    <n v="7"/>
    <n v="42"/>
    <n v="10.06"/>
    <n v="7"/>
    <n v="23"/>
    <n v="5872.82"/>
    <n v="0"/>
    <x v="0"/>
    <s v="OK"/>
  </r>
  <r>
    <s v="IT-10096"/>
    <s v="Anchor bolt B-96"/>
    <x v="2"/>
    <x v="2"/>
    <x v="1"/>
    <s v="2025-10"/>
    <n v="167.3"/>
    <n v="179.57"/>
    <n v="178.49741399999999"/>
    <n v="255.34"/>
    <n v="40"/>
    <n v="35"/>
    <n v="31"/>
    <n v="58"/>
    <n v="10352.85"/>
    <n v="7"/>
    <n v="51"/>
    <n v="12.92"/>
    <n v="9"/>
    <n v="22"/>
    <n v="5617.48"/>
    <n v="0"/>
    <x v="0"/>
    <s v="OK"/>
  </r>
  <r>
    <s v="IT-10096"/>
    <s v="Anchor bolt B-96"/>
    <x v="2"/>
    <x v="2"/>
    <x v="1"/>
    <s v="2025-11"/>
    <n v="167.57"/>
    <n v="179.86"/>
    <n v="179.15436199999999"/>
    <n v="255.34"/>
    <n v="40"/>
    <n v="38"/>
    <n v="54"/>
    <n v="94"/>
    <n v="16840.509999999998"/>
    <n v="4"/>
    <n v="90"/>
    <n v="19.399999999999999"/>
    <n v="5"/>
    <n v="18"/>
    <n v="4596.12"/>
    <n v="0"/>
    <x v="0"/>
    <s v="OK"/>
  </r>
  <r>
    <s v="IT-10096"/>
    <s v="Anchor bolt B-96"/>
    <x v="2"/>
    <x v="2"/>
    <x v="1"/>
    <s v="2025-12"/>
    <n v="173.83"/>
    <n v="186.57"/>
    <n v="179.154304"/>
    <n v="255.34"/>
    <n v="40"/>
    <m/>
    <n v="0"/>
    <n v="79"/>
    <n v="14153.19"/>
    <n v="2"/>
    <n v="77"/>
    <n v="18.88"/>
    <n v="10"/>
    <n v="15"/>
    <n v="3830.1"/>
    <n v="0"/>
    <x v="0"/>
    <s v="OK"/>
  </r>
  <r>
    <s v="IT-10096"/>
    <s v="Anchor bolt B-96"/>
    <x v="2"/>
    <x v="2"/>
    <x v="1"/>
    <s v="2026-01"/>
    <n v="174.64"/>
    <n v="187.44"/>
    <n v="179.15431000000001"/>
    <n v="255.34"/>
    <n v="40"/>
    <m/>
    <n v="0"/>
    <n v="58"/>
    <n v="10390.950000000001"/>
    <n v="4"/>
    <n v="54"/>
    <n v="14.12"/>
    <n v="0"/>
    <n v="21"/>
    <n v="5362.14"/>
    <n v="0"/>
    <x v="0"/>
    <s v="OK"/>
  </r>
  <r>
    <s v="IT-10096"/>
    <s v="Anchor bolt B-96"/>
    <x v="2"/>
    <x v="2"/>
    <x v="1"/>
    <s v="2026-02"/>
    <n v="175.12"/>
    <n v="187.96"/>
    <n v="179.15439000000001"/>
    <n v="262.72000000000003"/>
    <n v="40"/>
    <m/>
    <n v="0"/>
    <n v="41"/>
    <n v="7345.33"/>
    <n v="5"/>
    <n v="36"/>
    <n v="9.9499999999999993"/>
    <n v="9"/>
    <n v="17"/>
    <n v="4466.24"/>
    <n v="0"/>
    <x v="0"/>
    <s v="OK"/>
  </r>
  <r>
    <s v="IT-10096"/>
    <s v="Anchor bolt B-96"/>
    <x v="2"/>
    <x v="2"/>
    <x v="1"/>
    <s v="2026-03"/>
    <n v="169.29"/>
    <n v="181.7"/>
    <n v="180.686667"/>
    <n v="262.72000000000003"/>
    <n v="40"/>
    <n v="46"/>
    <n v="62"/>
    <n v="63"/>
    <n v="11383.26"/>
    <n v="6"/>
    <n v="57"/>
    <n v="10.38"/>
    <n v="10"/>
    <n v="40"/>
    <n v="10508.8"/>
    <n v="0"/>
    <x v="0"/>
    <s v="OK"/>
  </r>
  <r>
    <s v="IT-10096"/>
    <s v="Anchor bolt B-96"/>
    <x v="2"/>
    <x v="2"/>
    <x v="1"/>
    <s v="2026-04"/>
    <n v="173.82"/>
    <n v="186.56"/>
    <n v="180.68673899999999"/>
    <n v="262.72000000000003"/>
    <n v="40"/>
    <m/>
    <n v="0"/>
    <n v="46"/>
    <n v="8311.59"/>
    <n v="6"/>
    <n v="40"/>
    <n v="7.9"/>
    <n v="10"/>
    <n v="17"/>
    <n v="4466.24"/>
    <n v="0"/>
    <x v="0"/>
    <s v="OK"/>
  </r>
  <r>
    <s v="IT-10096"/>
    <s v="Anchor bolt B-96"/>
    <x v="2"/>
    <x v="2"/>
    <x v="1"/>
    <s v="2026-05"/>
    <n v="169.33"/>
    <n v="181.74"/>
    <n v="181.25555600000001"/>
    <n v="262.72000000000003"/>
    <n v="40"/>
    <n v="39"/>
    <n v="54"/>
    <n v="81"/>
    <n v="14681.7"/>
    <n v="7"/>
    <n v="74"/>
    <n v="14.01"/>
    <n v="8"/>
    <n v="19"/>
    <n v="4991.68"/>
    <n v="0"/>
    <x v="0"/>
    <s v="OK"/>
  </r>
  <r>
    <s v="IT-10096"/>
    <s v="Anchor bolt B-96"/>
    <x v="2"/>
    <x v="2"/>
    <x v="1"/>
    <s v="2026-06"/>
    <n v="171.68"/>
    <n v="184.27"/>
    <n v="181.25555600000001"/>
    <n v="262.72000000000003"/>
    <n v="40"/>
    <m/>
    <n v="0"/>
    <n v="54"/>
    <n v="9787.7999999999993"/>
    <n v="2"/>
    <n v="52"/>
    <n v="11.14"/>
    <n v="0"/>
    <n v="27"/>
    <n v="7093.44"/>
    <n v="0"/>
    <x v="0"/>
    <s v="OK"/>
  </r>
  <r>
    <s v="IT-10096"/>
    <s v="Anchor bolt B-96"/>
    <x v="2"/>
    <x v="2"/>
    <x v="1"/>
    <s v="2026-07"/>
    <n v="171.14"/>
    <n v="183.69"/>
    <n v="181.93725499999999"/>
    <n v="262.72000000000003"/>
    <n v="40"/>
    <n v="57"/>
    <n v="21"/>
    <n v="51"/>
    <n v="9278.7999999999993"/>
    <n v="6"/>
    <n v="45"/>
    <n v="9.58"/>
    <n v="6"/>
    <n v="24"/>
    <n v="6305.28"/>
    <n v="0"/>
    <x v="0"/>
    <s v="OK"/>
  </r>
  <r>
    <s v="IT-10096"/>
    <s v="Anchor bolt B-96"/>
    <x v="2"/>
    <x v="2"/>
    <x v="1"/>
    <s v="2026-08"/>
    <n v="173.67"/>
    <n v="186.4"/>
    <n v="183.92610400000001"/>
    <n v="262.72000000000003"/>
    <n v="40"/>
    <n v="40"/>
    <n v="41"/>
    <n v="77"/>
    <n v="14162.31"/>
    <n v="4"/>
    <n v="73"/>
    <n v="15.33"/>
    <n v="3"/>
    <n v="15"/>
    <n v="3940.8"/>
    <n v="0"/>
    <x v="0"/>
    <s v="OK"/>
  </r>
  <r>
    <s v="IT-10097"/>
    <s v="Roller bearing M-97"/>
    <x v="0"/>
    <x v="0"/>
    <x v="1"/>
    <s v="2024-09"/>
    <n v="14.22"/>
    <n v="14.22"/>
    <n v="14.44392"/>
    <n v="19.89"/>
    <n v="27"/>
    <m/>
    <n v="0"/>
    <n v="704"/>
    <n v="10168.52"/>
    <n v="55"/>
    <n v="649"/>
    <n v="25.07"/>
    <n v="6"/>
    <n v="125"/>
    <n v="2486.25"/>
    <n v="0"/>
    <x v="0"/>
    <s v="OK"/>
  </r>
  <r>
    <s v="IT-10097"/>
    <s v="Roller bearing M-97"/>
    <x v="0"/>
    <x v="0"/>
    <x v="1"/>
    <s v="2024-10"/>
    <n v="14.63"/>
    <n v="14.63"/>
    <n v="14.443925999999999"/>
    <n v="19.89"/>
    <n v="27"/>
    <m/>
    <n v="0"/>
    <n v="624"/>
    <n v="9013.01"/>
    <n v="12"/>
    <n v="612"/>
    <n v="40.01"/>
    <n v="2"/>
    <n v="80"/>
    <n v="1591.2"/>
    <n v="0"/>
    <x v="0"/>
    <s v="OK"/>
  </r>
  <r>
    <s v="IT-10097"/>
    <s v="Roller bearing M-97"/>
    <x v="0"/>
    <x v="0"/>
    <x v="1"/>
    <s v="2024-11"/>
    <n v="14.63"/>
    <n v="14.63"/>
    <n v="14.443917000000001"/>
    <n v="19.89"/>
    <n v="27"/>
    <m/>
    <n v="0"/>
    <n v="480"/>
    <n v="6933.08"/>
    <n v="25"/>
    <n v="455"/>
    <n v="17.88"/>
    <n v="4"/>
    <n v="144"/>
    <n v="2864.16"/>
    <n v="0"/>
    <x v="0"/>
    <s v="OK"/>
  </r>
  <r>
    <s v="IT-10097"/>
    <s v="Roller bearing M-97"/>
    <x v="0"/>
    <x v="0"/>
    <x v="1"/>
    <s v="2024-12"/>
    <n v="14.65"/>
    <n v="14.65"/>
    <n v="14.443910000000001"/>
    <n v="19.89"/>
    <n v="27"/>
    <m/>
    <n v="0"/>
    <n v="445"/>
    <n v="6427.54"/>
    <n v="49"/>
    <n v="396"/>
    <n v="22.58"/>
    <n v="0"/>
    <n v="35"/>
    <n v="696.15"/>
    <n v="0"/>
    <x v="0"/>
    <s v="OK"/>
  </r>
  <r>
    <s v="IT-10097"/>
    <s v="Roller bearing M-97"/>
    <x v="0"/>
    <x v="0"/>
    <x v="1"/>
    <s v="2025-01"/>
    <n v="14.32"/>
    <n v="14.32"/>
    <n v="14.401329"/>
    <n v="19.89"/>
    <n v="27"/>
    <n v="27"/>
    <n v="233"/>
    <n v="414"/>
    <n v="5962.15"/>
    <n v="12"/>
    <n v="402"/>
    <n v="12.28"/>
    <n v="0"/>
    <n v="264"/>
    <n v="5250.96"/>
    <n v="0"/>
    <x v="0"/>
    <s v="OK"/>
  </r>
  <r>
    <s v="IT-10097"/>
    <s v="Roller bearing M-97"/>
    <x v="0"/>
    <x v="0"/>
    <x v="1"/>
    <s v="2025-02"/>
    <n v="14.6"/>
    <n v="14.6"/>
    <n v="14.401308"/>
    <n v="20.82"/>
    <n v="27"/>
    <m/>
    <n v="0"/>
    <n v="214"/>
    <n v="3081.88"/>
    <n v="37"/>
    <n v="177"/>
    <n v="5.51"/>
    <n v="0"/>
    <n v="200"/>
    <n v="4164"/>
    <n v="0"/>
    <x v="0"/>
    <s v="OK"/>
  </r>
  <r>
    <s v="IT-10097"/>
    <s v="Roller bearing M-97"/>
    <x v="0"/>
    <x v="0"/>
    <x v="1"/>
    <s v="2025-03"/>
    <n v="14.33"/>
    <n v="14.33"/>
    <n v="14.358356000000001"/>
    <n v="20.82"/>
    <n v="27"/>
    <n v="25"/>
    <n v="324"/>
    <n v="438"/>
    <n v="6288.96"/>
    <n v="49"/>
    <n v="389"/>
    <n v="9.98"/>
    <n v="1"/>
    <n v="100"/>
    <n v="2082"/>
    <n v="0"/>
    <x v="0"/>
    <s v="OK"/>
  </r>
  <r>
    <s v="IT-10097"/>
    <s v="Roller bearing M-97"/>
    <x v="0"/>
    <x v="0"/>
    <x v="1"/>
    <s v="2025-04"/>
    <n v="14.7"/>
    <n v="14.7"/>
    <n v="14.388892"/>
    <n v="20.82"/>
    <n v="27"/>
    <n v="23"/>
    <n v="43"/>
    <n v="397"/>
    <n v="5712.39"/>
    <n v="25"/>
    <n v="372"/>
    <n v="13.14"/>
    <n v="7"/>
    <n v="84"/>
    <n v="1748.88"/>
    <n v="0"/>
    <x v="0"/>
    <s v="OK"/>
  </r>
  <r>
    <s v="IT-10097"/>
    <s v="Roller bearing M-97"/>
    <x v="0"/>
    <x v="0"/>
    <x v="1"/>
    <s v="2025-05"/>
    <n v="14.85"/>
    <n v="14.85"/>
    <n v="14.53973"/>
    <n v="20.82"/>
    <n v="27"/>
    <n v="26"/>
    <n v="193"/>
    <n v="408"/>
    <n v="5932.21"/>
    <n v="12"/>
    <n v="396"/>
    <n v="14.65"/>
    <n v="1"/>
    <n v="182"/>
    <n v="3789.24"/>
    <n v="0"/>
    <x v="0"/>
    <s v="OK"/>
  </r>
  <r>
    <s v="IT-10097"/>
    <s v="Roller bearing M-97"/>
    <x v="0"/>
    <x v="0"/>
    <x v="1"/>
    <s v="2025-06"/>
    <n v="14.84"/>
    <n v="14.84"/>
    <n v="14.584764"/>
    <n v="20.82"/>
    <n v="27"/>
    <n v="23"/>
    <n v="72"/>
    <n v="296"/>
    <n v="4317.09"/>
    <n v="37"/>
    <n v="259"/>
    <n v="8.5500000000000007"/>
    <n v="1"/>
    <n v="184"/>
    <n v="3830.88"/>
    <n v="0"/>
    <x v="0"/>
    <s v="OK"/>
  </r>
  <r>
    <s v="IT-10097"/>
    <s v="Roller bearing M-97"/>
    <x v="0"/>
    <x v="0"/>
    <x v="1"/>
    <s v="2025-07"/>
    <n v="14.61"/>
    <n v="14.61"/>
    <n v="14.591157000000001"/>
    <n v="20.82"/>
    <n v="27"/>
    <n v="23"/>
    <n v="101"/>
    <n v="121"/>
    <n v="1765.53"/>
    <n v="62"/>
    <n v="59"/>
    <n v="2.48"/>
    <n v="2"/>
    <n v="276"/>
    <n v="5746.32"/>
    <n v="0"/>
    <x v="0"/>
    <s v="OK"/>
  </r>
  <r>
    <s v="IT-10097"/>
    <s v="Roller bearing M-97"/>
    <x v="0"/>
    <x v="0"/>
    <x v="1"/>
    <s v="2025-08"/>
    <n v="15.13"/>
    <n v="15.13"/>
    <n v="14.994719"/>
    <n v="20.82"/>
    <n v="27"/>
    <n v="25"/>
    <n v="361"/>
    <n v="267"/>
    <n v="4003.59"/>
    <n v="12"/>
    <n v="255"/>
    <n v="5.2"/>
    <n v="3"/>
    <n v="215"/>
    <n v="4476.3"/>
    <n v="0"/>
    <x v="0"/>
    <s v="OK"/>
  </r>
  <r>
    <s v="IT-10097"/>
    <s v="Roller bearing M-97"/>
    <x v="0"/>
    <x v="0"/>
    <x v="1"/>
    <s v="2025-09"/>
    <n v="14.82"/>
    <n v="14.82"/>
    <n v="14.923214"/>
    <n v="20.82"/>
    <n v="27"/>
    <n v="26"/>
    <n v="185"/>
    <n v="224"/>
    <n v="3342.8"/>
    <n v="55"/>
    <n v="169"/>
    <n v="4.09"/>
    <n v="1"/>
    <n v="228"/>
    <n v="4746.96"/>
    <n v="0"/>
    <x v="0"/>
    <s v="OK"/>
  </r>
  <r>
    <s v="IT-10097"/>
    <s v="Roller bearing M-97"/>
    <x v="0"/>
    <x v="0"/>
    <x v="1"/>
    <s v="2025-10"/>
    <n v="14.73"/>
    <n v="14.73"/>
    <n v="14.832557"/>
    <n v="20.82"/>
    <n v="27"/>
    <n v="26"/>
    <n v="198"/>
    <n v="352"/>
    <n v="5221.0600000000004"/>
    <n v="62"/>
    <n v="290"/>
    <n v="9.02"/>
    <n v="9"/>
    <n v="70"/>
    <n v="1457.4"/>
    <n v="0"/>
    <x v="0"/>
    <s v="OK"/>
  </r>
  <r>
    <s v="IT-10097"/>
    <s v="Roller bearing M-97"/>
    <x v="0"/>
    <x v="0"/>
    <x v="1"/>
    <s v="2025-11"/>
    <n v="14.86"/>
    <n v="14.86"/>
    <n v="14.838873"/>
    <n v="20.82"/>
    <n v="27"/>
    <n v="27"/>
    <n v="105"/>
    <n v="284"/>
    <n v="4214.24"/>
    <n v="55"/>
    <n v="229"/>
    <n v="7.84"/>
    <n v="0"/>
    <n v="173"/>
    <n v="3601.86"/>
    <n v="0"/>
    <x v="0"/>
    <s v="OK"/>
  </r>
  <r>
    <s v="IT-10097"/>
    <s v="Roller bearing M-97"/>
    <x v="0"/>
    <x v="0"/>
    <x v="1"/>
    <s v="2025-12"/>
    <n v="15.04"/>
    <n v="15.04"/>
    <n v="14.912789999999999"/>
    <n v="20.82"/>
    <n v="27"/>
    <n v="24"/>
    <n v="165"/>
    <n v="276"/>
    <n v="4115.93"/>
    <n v="12"/>
    <n v="264"/>
    <n v="8.7200000000000006"/>
    <n v="1"/>
    <n v="173"/>
    <n v="3601.86"/>
    <n v="0"/>
    <x v="0"/>
    <s v="OK"/>
  </r>
  <r>
    <s v="IT-10097"/>
    <s v="Roller bearing M-97"/>
    <x v="0"/>
    <x v="0"/>
    <x v="1"/>
    <s v="2026-01"/>
    <n v="15.08"/>
    <n v="15.08"/>
    <n v="14.912820999999999"/>
    <n v="20.82"/>
    <n v="27"/>
    <m/>
    <n v="0"/>
    <n v="39"/>
    <n v="581.6"/>
    <n v="39"/>
    <n v="0"/>
    <n v="0.88"/>
    <n v="5"/>
    <n v="237"/>
    <n v="4934.34"/>
    <n v="0"/>
    <x v="0"/>
    <s v="OK"/>
  </r>
  <r>
    <s v="IT-10097"/>
    <s v="Roller bearing M-97"/>
    <x v="0"/>
    <x v="0"/>
    <x v="1"/>
    <s v="2026-02"/>
    <n v="14.98"/>
    <n v="14.98"/>
    <n v="14.968529"/>
    <n v="21.79"/>
    <n v="27"/>
    <n v="37"/>
    <n v="188"/>
    <n v="68"/>
    <n v="1017.86"/>
    <n v="31"/>
    <n v="37"/>
    <n v="1.54"/>
    <n v="0"/>
    <n v="159"/>
    <n v="3464.61"/>
    <n v="0"/>
    <x v="0"/>
    <s v="OK"/>
  </r>
  <r>
    <s v="IT-10097"/>
    <s v="Roller bearing M-97"/>
    <x v="0"/>
    <x v="0"/>
    <x v="1"/>
    <s v="2026-03"/>
    <n v="14.61"/>
    <n v="14.61"/>
    <n v="14.658182"/>
    <n v="21.79"/>
    <n v="27"/>
    <n v="25"/>
    <n v="438"/>
    <n v="506"/>
    <n v="7417.04"/>
    <n v="18"/>
    <n v="488"/>
    <n v="16.43"/>
    <n v="31"/>
    <n v="0"/>
    <n v="0"/>
    <n v="0"/>
    <x v="0"/>
    <s v="OK"/>
  </r>
  <r>
    <s v="IT-10097"/>
    <s v="Roller bearing M-97"/>
    <x v="0"/>
    <x v="0"/>
    <x v="1"/>
    <s v="2026-04"/>
    <n v="15.37"/>
    <n v="15.37"/>
    <n v="14.749002000000001"/>
    <n v="21.79"/>
    <n v="27"/>
    <n v="24"/>
    <n v="74"/>
    <n v="431"/>
    <n v="6356.82"/>
    <n v="55"/>
    <n v="376"/>
    <n v="17.79"/>
    <n v="3"/>
    <n v="149"/>
    <n v="3246.71"/>
    <n v="0"/>
    <x v="0"/>
    <s v="OK"/>
  </r>
  <r>
    <s v="IT-10097"/>
    <s v="Roller bearing M-97"/>
    <x v="0"/>
    <x v="0"/>
    <x v="1"/>
    <s v="2026-05"/>
    <n v="15.35"/>
    <n v="15.35"/>
    <n v="14.749029999999999"/>
    <n v="21.79"/>
    <n v="27"/>
    <m/>
    <n v="0"/>
    <n v="134"/>
    <n v="1976.37"/>
    <n v="18"/>
    <n v="116"/>
    <n v="3.95"/>
    <n v="0"/>
    <n v="297"/>
    <n v="6471.63"/>
    <n v="0"/>
    <x v="0"/>
    <s v="OK"/>
  </r>
  <r>
    <s v="IT-10097"/>
    <s v="Roller bearing M-97"/>
    <x v="0"/>
    <x v="0"/>
    <x v="1"/>
    <s v="2026-06"/>
    <n v="15.27"/>
    <n v="15.27"/>
    <n v="15.173045"/>
    <n v="21.79"/>
    <n v="27"/>
    <n v="27"/>
    <n v="586"/>
    <n v="693"/>
    <n v="10514.92"/>
    <n v="18"/>
    <n v="675"/>
    <n v="19.05"/>
    <n v="2"/>
    <n v="27"/>
    <n v="588.33000000000004"/>
    <n v="0"/>
    <x v="0"/>
    <s v="OK"/>
  </r>
  <r>
    <s v="IT-10097"/>
    <s v="Roller bearing M-97"/>
    <x v="0"/>
    <x v="0"/>
    <x v="1"/>
    <s v="2026-07"/>
    <n v="15.48"/>
    <n v="15.48"/>
    <n v="15.173052"/>
    <n v="21.79"/>
    <n v="27"/>
    <m/>
    <n v="0"/>
    <n v="675"/>
    <n v="10241.81"/>
    <n v="43"/>
    <n v="632"/>
    <n v="25.94"/>
    <n v="5"/>
    <n v="18"/>
    <n v="392.22"/>
    <n v="0"/>
    <x v="0"/>
    <s v="OK"/>
  </r>
  <r>
    <s v="IT-10097"/>
    <s v="Roller bearing M-97"/>
    <x v="0"/>
    <x v="0"/>
    <x v="1"/>
    <s v="2026-08"/>
    <n v="15.11"/>
    <n v="15.11"/>
    <n v="15.17305"/>
    <n v="21.79"/>
    <n v="27"/>
    <m/>
    <n v="0"/>
    <n v="577"/>
    <n v="8754.85"/>
    <n v="43"/>
    <n v="534"/>
    <n v="53.03"/>
    <n v="7"/>
    <n v="98"/>
    <n v="2135.42"/>
    <n v="0"/>
    <x v="0"/>
    <s v="OK"/>
  </r>
  <r>
    <s v="IT-10098"/>
    <s v="Control switch 10-98"/>
    <x v="3"/>
    <x v="3"/>
    <x v="1"/>
    <s v="2024-09"/>
    <n v="33.74"/>
    <n v="33.74"/>
    <n v="32.781471000000003"/>
    <n v="48.53"/>
    <n v="58"/>
    <m/>
    <n v="0"/>
    <n v="34"/>
    <n v="1114.57"/>
    <n v="25"/>
    <n v="9"/>
    <n v="1.48"/>
    <n v="1"/>
    <n v="123"/>
    <n v="5969.19"/>
    <n v="0"/>
    <x v="0"/>
    <s v="OK"/>
  </r>
  <r>
    <s v="IT-10098"/>
    <s v="Control switch 10-98"/>
    <x v="3"/>
    <x v="3"/>
    <x v="1"/>
    <s v="2024-10"/>
    <n v="33.31"/>
    <n v="33.31"/>
    <n v="33.207872000000002"/>
    <n v="48.53"/>
    <n v="58"/>
    <n v="89"/>
    <n v="142"/>
    <n v="94"/>
    <n v="3121.54"/>
    <n v="21"/>
    <n v="73"/>
    <n v="3.96"/>
    <n v="2"/>
    <n v="82"/>
    <n v="3979.46"/>
    <n v="0"/>
    <x v="0"/>
    <s v="OK"/>
  </r>
  <r>
    <s v="IT-10098"/>
    <s v="Control switch 10-98"/>
    <x v="3"/>
    <x v="3"/>
    <x v="1"/>
    <s v="2024-11"/>
    <n v="32.57"/>
    <n v="32.57"/>
    <n v="33.207872000000002"/>
    <n v="48.53"/>
    <n v="58"/>
    <m/>
    <n v="0"/>
    <n v="0"/>
    <n v="0"/>
    <n v="0"/>
    <n v="0"/>
    <n v="0"/>
    <n v="3"/>
    <n v="94"/>
    <n v="4561.82"/>
    <n v="77"/>
    <x v="1"/>
    <s v="OK"/>
  </r>
  <r>
    <s v="IT-10098"/>
    <s v="Control switch 10-98"/>
    <x v="3"/>
    <x v="3"/>
    <x v="1"/>
    <s v="2024-12"/>
    <n v="33.69"/>
    <n v="33.69"/>
    <n v="33.69"/>
    <n v="48.53"/>
    <n v="58"/>
    <n v="58"/>
    <n v="453"/>
    <n v="358"/>
    <n v="12061.02"/>
    <n v="25"/>
    <n v="333"/>
    <n v="17.36"/>
    <n v="0"/>
    <n v="95"/>
    <n v="4610.3500000000004"/>
    <n v="0"/>
    <x v="0"/>
    <s v="OK"/>
  </r>
  <r>
    <s v="IT-10098"/>
    <s v="Control switch 10-98"/>
    <x v="3"/>
    <x v="3"/>
    <x v="1"/>
    <s v="2025-01"/>
    <n v="32.770000000000003"/>
    <n v="32.770000000000003"/>
    <n v="33.450491"/>
    <n v="48.53"/>
    <n v="58"/>
    <n v="55"/>
    <n v="126"/>
    <n v="326"/>
    <n v="10904.86"/>
    <n v="7"/>
    <n v="319"/>
    <n v="12.35"/>
    <n v="6"/>
    <n v="158"/>
    <n v="7667.74"/>
    <n v="0"/>
    <x v="0"/>
    <s v="OK"/>
  </r>
  <r>
    <s v="IT-10098"/>
    <s v="Control switch 10-98"/>
    <x v="3"/>
    <x v="3"/>
    <x v="1"/>
    <s v="2025-02"/>
    <n v="33.17"/>
    <n v="33.17"/>
    <n v="33.450507000000002"/>
    <n v="50.58"/>
    <n v="58"/>
    <m/>
    <n v="0"/>
    <n v="276"/>
    <n v="9232.34"/>
    <n v="18"/>
    <n v="258"/>
    <n v="11.71"/>
    <n v="5"/>
    <n v="50"/>
    <n v="2529"/>
    <n v="0"/>
    <x v="0"/>
    <s v="OK"/>
  </r>
  <r>
    <s v="IT-10098"/>
    <s v="Control switch 10-98"/>
    <x v="3"/>
    <x v="3"/>
    <x v="1"/>
    <s v="2025-03"/>
    <n v="35.700000000000003"/>
    <n v="35.700000000000003"/>
    <n v="34.103963"/>
    <n v="50.58"/>
    <n v="58"/>
    <n v="77"/>
    <n v="113"/>
    <n v="270"/>
    <n v="9208.07"/>
    <n v="25"/>
    <n v="245"/>
    <n v="10.62"/>
    <n v="2"/>
    <n v="119"/>
    <n v="6019.02"/>
    <n v="0"/>
    <x v="0"/>
    <s v="OK"/>
  </r>
  <r>
    <s v="IT-10098"/>
    <s v="Control switch 10-98"/>
    <x v="3"/>
    <x v="3"/>
    <x v="1"/>
    <s v="2025-04"/>
    <n v="35.28"/>
    <n v="35.28"/>
    <n v="34.141891999999999"/>
    <n v="50.58"/>
    <n v="58"/>
    <n v="55"/>
    <n v="9"/>
    <n v="148"/>
    <n v="5053"/>
    <n v="32"/>
    <n v="116"/>
    <n v="6.27"/>
    <n v="4"/>
    <n v="131"/>
    <n v="6625.98"/>
    <n v="0"/>
    <x v="0"/>
    <s v="OK"/>
  </r>
  <r>
    <s v="IT-10098"/>
    <s v="Control switch 10-98"/>
    <x v="3"/>
    <x v="3"/>
    <x v="1"/>
    <s v="2025-05"/>
    <n v="35.909999999999997"/>
    <n v="35.909999999999997"/>
    <n v="35.372658000000001"/>
    <n v="50.58"/>
    <n v="58"/>
    <n v="57"/>
    <n v="339"/>
    <n v="316"/>
    <n v="11177.76"/>
    <n v="14"/>
    <n v="302"/>
    <n v="9.86"/>
    <n v="1"/>
    <n v="171"/>
    <n v="8649.18"/>
    <n v="0"/>
    <x v="0"/>
    <s v="OK"/>
  </r>
  <r>
    <s v="IT-10098"/>
    <s v="Control switch 10-98"/>
    <x v="3"/>
    <x v="3"/>
    <x v="1"/>
    <s v="2025-06"/>
    <n v="34.979999999999997"/>
    <n v="34.979999999999997"/>
    <n v="35.372669000000002"/>
    <n v="50.58"/>
    <n v="58"/>
    <m/>
    <n v="0"/>
    <n v="281"/>
    <n v="9939.7199999999993"/>
    <n v="14"/>
    <n v="267"/>
    <n v="10.84"/>
    <n v="0"/>
    <n v="35"/>
    <n v="1770.3"/>
    <n v="0"/>
    <x v="0"/>
    <s v="OK"/>
  </r>
  <r>
    <s v="IT-10098"/>
    <s v="Control switch 10-98"/>
    <x v="3"/>
    <x v="3"/>
    <x v="1"/>
    <s v="2025-07"/>
    <n v="35.4"/>
    <n v="35.4"/>
    <n v="35.372675000000001"/>
    <n v="50.58"/>
    <n v="58"/>
    <m/>
    <n v="0"/>
    <n v="157"/>
    <n v="5553.51"/>
    <n v="18"/>
    <n v="139"/>
    <n v="6.25"/>
    <n v="5"/>
    <n v="124"/>
    <n v="6271.92"/>
    <n v="0"/>
    <x v="0"/>
    <s v="OK"/>
  </r>
  <r>
    <s v="IT-10098"/>
    <s v="Control switch 10-98"/>
    <x v="3"/>
    <x v="3"/>
    <x v="1"/>
    <s v="2025-08"/>
    <n v="35.56"/>
    <n v="35.56"/>
    <n v="35.457887999999997"/>
    <n v="50.58"/>
    <n v="58"/>
    <n v="71"/>
    <n v="131"/>
    <n v="161"/>
    <n v="5708.72"/>
    <n v="32"/>
    <n v="129"/>
    <n v="7.4"/>
    <n v="3"/>
    <n v="127"/>
    <n v="6423.66"/>
    <n v="0"/>
    <x v="0"/>
    <s v="OK"/>
  </r>
  <r>
    <s v="IT-10098"/>
    <s v="Control switch 10-98"/>
    <x v="3"/>
    <x v="3"/>
    <x v="1"/>
    <s v="2025-09"/>
    <n v="35.65"/>
    <n v="35.65"/>
    <n v="35.457999999999998"/>
    <n v="50.58"/>
    <n v="58"/>
    <m/>
    <n v="0"/>
    <n v="40"/>
    <n v="1418.32"/>
    <n v="14"/>
    <n v="26"/>
    <n v="1.41"/>
    <n v="3"/>
    <n v="121"/>
    <n v="6120.18"/>
    <n v="0"/>
    <x v="0"/>
    <s v="OK"/>
  </r>
  <r>
    <s v="IT-10098"/>
    <s v="Control switch 10-98"/>
    <x v="3"/>
    <x v="3"/>
    <x v="1"/>
    <s v="2025-10"/>
    <n v="34.79"/>
    <n v="34.79"/>
    <n v="34.866110999999997"/>
    <n v="50.58"/>
    <n v="58"/>
    <n v="78"/>
    <n v="311"/>
    <n v="324"/>
    <n v="11296.62"/>
    <n v="35"/>
    <n v="289"/>
    <n v="15.48"/>
    <n v="8"/>
    <n v="27"/>
    <n v="1365.66"/>
    <n v="0"/>
    <x v="0"/>
    <s v="OK"/>
  </r>
  <r>
    <s v="IT-10098"/>
    <s v="Control switch 10-98"/>
    <x v="3"/>
    <x v="3"/>
    <x v="1"/>
    <s v="2025-11"/>
    <n v="35.07"/>
    <n v="35.07"/>
    <n v="34.913474999999998"/>
    <n v="50.58"/>
    <n v="58"/>
    <n v="56"/>
    <n v="98"/>
    <n v="282"/>
    <n v="9845.6"/>
    <n v="32"/>
    <n v="250"/>
    <n v="12.73"/>
    <n v="1"/>
    <n v="140"/>
    <n v="7081.2"/>
    <n v="0"/>
    <x v="0"/>
    <s v="OK"/>
  </r>
  <r>
    <s v="IT-10098"/>
    <s v="Control switch 10-98"/>
    <x v="3"/>
    <x v="3"/>
    <x v="1"/>
    <s v="2025-12"/>
    <n v="35.56"/>
    <n v="35.56"/>
    <n v="34.931328999999998"/>
    <n v="50.58"/>
    <n v="58"/>
    <n v="56"/>
    <n v="8"/>
    <n v="143"/>
    <n v="4995.18"/>
    <n v="11"/>
    <n v="132"/>
    <n v="5.99"/>
    <n v="2"/>
    <n v="147"/>
    <n v="7435.26"/>
    <n v="0"/>
    <x v="0"/>
    <s v="OK"/>
  </r>
  <r>
    <s v="IT-10098"/>
    <s v="Control switch 10-98"/>
    <x v="3"/>
    <x v="3"/>
    <x v="1"/>
    <s v="2026-01"/>
    <n v="34.9"/>
    <n v="34.9"/>
    <n v="34.910808000000003"/>
    <n v="50.58"/>
    <n v="58"/>
    <n v="58"/>
    <n v="271"/>
    <n v="334"/>
    <n v="11660.21"/>
    <n v="21"/>
    <n v="313"/>
    <n v="11.96"/>
    <n v="6"/>
    <n v="80"/>
    <n v="4046.4"/>
    <n v="0"/>
    <x v="0"/>
    <s v="OK"/>
  </r>
  <r>
    <s v="IT-10098"/>
    <s v="Control switch 10-98"/>
    <x v="3"/>
    <x v="3"/>
    <x v="1"/>
    <s v="2026-02"/>
    <n v="35.39"/>
    <n v="35.39"/>
    <n v="35.009847000000001"/>
    <n v="52.72"/>
    <n v="58"/>
    <n v="50"/>
    <n v="87"/>
    <n v="262"/>
    <n v="9172.58"/>
    <n v="18"/>
    <n v="244"/>
    <n v="8.73"/>
    <n v="0"/>
    <n v="159"/>
    <n v="8382.48"/>
    <n v="0"/>
    <x v="0"/>
    <s v="OK"/>
  </r>
  <r>
    <s v="IT-10098"/>
    <s v="Control switch 10-98"/>
    <x v="3"/>
    <x v="3"/>
    <x v="1"/>
    <s v="2026-03"/>
    <n v="36.71"/>
    <n v="36.71"/>
    <n v="35.009825999999997"/>
    <n v="52.72"/>
    <n v="58"/>
    <m/>
    <n v="0"/>
    <n v="115"/>
    <n v="4026.13"/>
    <n v="7"/>
    <n v="108"/>
    <n v="3.83"/>
    <n v="3"/>
    <n v="147"/>
    <n v="7749.84"/>
    <n v="0"/>
    <x v="0"/>
    <s v="OK"/>
  </r>
  <r>
    <s v="IT-10098"/>
    <s v="Control switch 10-98"/>
    <x v="3"/>
    <x v="3"/>
    <x v="1"/>
    <s v="2026-04"/>
    <n v="37.83"/>
    <n v="37.83"/>
    <n v="37.223785999999997"/>
    <n v="52.72"/>
    <n v="58"/>
    <n v="51"/>
    <n v="420"/>
    <n v="412"/>
    <n v="15336.2"/>
    <n v="21"/>
    <n v="391"/>
    <n v="12.21"/>
    <n v="0"/>
    <n v="123"/>
    <n v="6484.56"/>
    <n v="0"/>
    <x v="0"/>
    <s v="OK"/>
  </r>
  <r>
    <s v="IT-10098"/>
    <s v="Control switch 10-98"/>
    <x v="3"/>
    <x v="3"/>
    <x v="1"/>
    <s v="2026-05"/>
    <n v="37.25"/>
    <n v="37.25"/>
    <n v="37.223799"/>
    <n v="52.72"/>
    <n v="58"/>
    <m/>
    <n v="0"/>
    <n v="329"/>
    <n v="12246.63"/>
    <n v="21"/>
    <n v="308"/>
    <n v="12.25"/>
    <n v="1"/>
    <n v="83"/>
    <n v="4375.76"/>
    <n v="0"/>
    <x v="0"/>
    <s v="OK"/>
  </r>
  <r>
    <s v="IT-10098"/>
    <s v="Control switch 10-98"/>
    <x v="3"/>
    <x v="3"/>
    <x v="1"/>
    <s v="2026-06"/>
    <n v="36.840000000000003"/>
    <n v="36.840000000000003"/>
    <n v="37.125031999999997"/>
    <n v="52.72"/>
    <n v="58"/>
    <n v="52"/>
    <n v="114"/>
    <n v="312"/>
    <n v="11583.01"/>
    <n v="7"/>
    <n v="305"/>
    <n v="12.04"/>
    <n v="0"/>
    <n v="131"/>
    <n v="6906.32"/>
    <n v="0"/>
    <x v="0"/>
    <s v="OK"/>
  </r>
  <r>
    <s v="IT-10098"/>
    <s v="Control switch 10-98"/>
    <x v="3"/>
    <x v="3"/>
    <x v="1"/>
    <s v="2026-07"/>
    <n v="38.04"/>
    <n v="38.04"/>
    <n v="37.202824999999997"/>
    <n v="52.72"/>
    <n v="58"/>
    <n v="53"/>
    <n v="29"/>
    <n v="223"/>
    <n v="8296.23"/>
    <n v="7"/>
    <n v="216"/>
    <n v="8.83"/>
    <n v="0"/>
    <n v="118"/>
    <n v="6220.96"/>
    <n v="0"/>
    <x v="0"/>
    <s v="OK"/>
  </r>
  <r>
    <s v="IT-10098"/>
    <s v="Control switch 10-98"/>
    <x v="3"/>
    <x v="3"/>
    <x v="1"/>
    <s v="2026-08"/>
    <n v="38"/>
    <n v="38"/>
    <n v="37.606695000000002"/>
    <n v="52.72"/>
    <n v="58"/>
    <n v="50"/>
    <n v="229"/>
    <n v="351"/>
    <n v="13199.95"/>
    <n v="7"/>
    <n v="344"/>
    <n v="13.18"/>
    <n v="3"/>
    <n v="101"/>
    <n v="5324.72"/>
    <n v="0"/>
    <x v="0"/>
    <s v="OK"/>
  </r>
  <r>
    <s v="IT-10099"/>
    <s v="Sensor unit B-99"/>
    <x v="3"/>
    <x v="3"/>
    <x v="0"/>
    <s v="2024-09"/>
    <n v="8.65"/>
    <n v="8.65"/>
    <n v="8.5367879999999996"/>
    <n v="11.54"/>
    <n v="21"/>
    <n v="18"/>
    <n v="50"/>
    <n v="193"/>
    <n v="1647.6"/>
    <n v="23"/>
    <n v="170"/>
    <n v="9.76"/>
    <n v="2"/>
    <n v="69"/>
    <n v="796.26"/>
    <n v="0"/>
    <x v="0"/>
    <s v="OK"/>
  </r>
  <r>
    <s v="IT-10099"/>
    <s v="Sensor unit B-99"/>
    <x v="3"/>
    <x v="3"/>
    <x v="0"/>
    <s v="2024-10"/>
    <n v="8.64"/>
    <n v="8.64"/>
    <n v="8.5705849999999995"/>
    <n v="11.54"/>
    <n v="21"/>
    <n v="18"/>
    <n v="94"/>
    <n v="188"/>
    <n v="1611.27"/>
    <n v="16"/>
    <n v="172"/>
    <n v="9.2200000000000006"/>
    <n v="6"/>
    <n v="99"/>
    <n v="1142.46"/>
    <n v="0"/>
    <x v="0"/>
    <s v="OK"/>
  </r>
  <r>
    <s v="IT-10099"/>
    <s v="Sensor unit B-99"/>
    <x v="3"/>
    <x v="3"/>
    <x v="0"/>
    <s v="2024-11"/>
    <n v="8.51"/>
    <n v="8.51"/>
    <n v="8.5706100000000003"/>
    <n v="11.54"/>
    <n v="21"/>
    <m/>
    <n v="0"/>
    <n v="82"/>
    <n v="702.79"/>
    <n v="19"/>
    <n v="63"/>
    <n v="3.89"/>
    <n v="0"/>
    <n v="106"/>
    <n v="1223.24"/>
    <n v="0"/>
    <x v="0"/>
    <s v="OK"/>
  </r>
  <r>
    <s v="IT-10099"/>
    <s v="Sensor unit B-99"/>
    <x v="3"/>
    <x v="3"/>
    <x v="0"/>
    <s v="2024-12"/>
    <n v="8.42"/>
    <n v="8.42"/>
    <n v="8.4678690000000003"/>
    <n v="11.54"/>
    <n v="21"/>
    <n v="20"/>
    <n v="176"/>
    <n v="244"/>
    <n v="2066.16"/>
    <n v="21"/>
    <n v="223"/>
    <n v="14.64"/>
    <n v="6"/>
    <n v="14"/>
    <n v="161.56"/>
    <n v="0"/>
    <x v="0"/>
    <s v="OK"/>
  </r>
  <r>
    <s v="IT-10099"/>
    <s v="Sensor unit B-99"/>
    <x v="3"/>
    <x v="3"/>
    <x v="0"/>
    <s v="2025-01"/>
    <n v="8.66"/>
    <n v="8.66"/>
    <n v="8.5005559999999996"/>
    <n v="11.54"/>
    <n v="21"/>
    <n v="21"/>
    <n v="50"/>
    <n v="216"/>
    <n v="1836.12"/>
    <n v="7"/>
    <n v="209"/>
    <n v="14.34"/>
    <n v="3"/>
    <n v="78"/>
    <n v="900.12"/>
    <n v="0"/>
    <x v="0"/>
    <s v="OK"/>
  </r>
  <r>
    <s v="IT-10099"/>
    <s v="Sensor unit B-99"/>
    <x v="3"/>
    <x v="3"/>
    <x v="0"/>
    <s v="2025-02"/>
    <n v="8.4700000000000006"/>
    <n v="8.4700000000000006"/>
    <n v="8.4938120000000001"/>
    <n v="11.85"/>
    <n v="21"/>
    <n v="21"/>
    <n v="61"/>
    <n v="202"/>
    <n v="1715.75"/>
    <n v="19"/>
    <n v="183"/>
    <n v="15.55"/>
    <n v="2"/>
    <n v="75"/>
    <n v="888.75"/>
    <n v="0"/>
    <x v="0"/>
    <s v="OK"/>
  </r>
  <r>
    <s v="IT-10099"/>
    <s v="Sensor unit B-99"/>
    <x v="3"/>
    <x v="3"/>
    <x v="0"/>
    <s v="2025-03"/>
    <n v="8.94"/>
    <n v="8.94"/>
    <n v="8.4938409999999998"/>
    <n v="11.85"/>
    <n v="21"/>
    <m/>
    <n v="0"/>
    <n v="138"/>
    <n v="1172.1500000000001"/>
    <n v="12"/>
    <n v="126"/>
    <n v="8.18"/>
    <n v="0"/>
    <n v="64"/>
    <n v="758.4"/>
    <n v="0"/>
    <x v="0"/>
    <s v="OK"/>
  </r>
  <r>
    <s v="IT-10099"/>
    <s v="Sensor unit B-99"/>
    <x v="3"/>
    <x v="3"/>
    <x v="0"/>
    <s v="2025-04"/>
    <n v="8.91"/>
    <n v="8.91"/>
    <n v="8.6666460000000001"/>
    <n v="11.85"/>
    <n v="21"/>
    <n v="36"/>
    <n v="98"/>
    <n v="164"/>
    <n v="1421.33"/>
    <n v="16"/>
    <n v="148"/>
    <n v="9.8800000000000008"/>
    <n v="5"/>
    <n v="72"/>
    <n v="853.2"/>
    <n v="0"/>
    <x v="0"/>
    <s v="OK"/>
  </r>
  <r>
    <s v="IT-10099"/>
    <s v="Sensor unit B-99"/>
    <x v="3"/>
    <x v="3"/>
    <x v="0"/>
    <s v="2025-05"/>
    <n v="8.9"/>
    <n v="8.9"/>
    <n v="8.7632989999999999"/>
    <n v="11.85"/>
    <n v="21"/>
    <n v="19"/>
    <n v="116"/>
    <n v="197"/>
    <n v="1726.37"/>
    <n v="5"/>
    <n v="192"/>
    <n v="11.82"/>
    <n v="7"/>
    <n v="83"/>
    <n v="983.55"/>
    <n v="0"/>
    <x v="0"/>
    <s v="OK"/>
  </r>
  <r>
    <s v="IT-10099"/>
    <s v="Sensor unit B-99"/>
    <x v="3"/>
    <x v="3"/>
    <x v="0"/>
    <s v="2025-06"/>
    <n v="8.89"/>
    <n v="8.89"/>
    <n v="8.7913639999999997"/>
    <n v="11.85"/>
    <n v="21"/>
    <n v="19"/>
    <n v="56"/>
    <n v="154"/>
    <n v="1353.87"/>
    <n v="19"/>
    <n v="135"/>
    <n v="7.88"/>
    <n v="4"/>
    <n v="99"/>
    <n v="1173.1500000000001"/>
    <n v="0"/>
    <x v="0"/>
    <s v="OK"/>
  </r>
  <r>
    <s v="IT-10099"/>
    <s v="Sensor unit B-99"/>
    <x v="3"/>
    <x v="3"/>
    <x v="0"/>
    <s v="2025-07"/>
    <n v="9.14"/>
    <n v="9.14"/>
    <n v="8.8767969999999998"/>
    <n v="11.85"/>
    <n v="21"/>
    <n v="18"/>
    <n v="50"/>
    <n v="153"/>
    <n v="1358.15"/>
    <n v="9"/>
    <n v="144"/>
    <n v="8.6300000000000008"/>
    <n v="1"/>
    <n v="51"/>
    <n v="604.35"/>
    <n v="0"/>
    <x v="0"/>
    <s v="OK"/>
  </r>
  <r>
    <s v="IT-10099"/>
    <s v="Sensor unit B-99"/>
    <x v="3"/>
    <x v="3"/>
    <x v="0"/>
    <s v="2025-08"/>
    <n v="9.17"/>
    <n v="9.17"/>
    <n v="9.0153020000000001"/>
    <n v="11.85"/>
    <n v="21"/>
    <n v="20"/>
    <n v="137"/>
    <n v="232"/>
    <n v="2091.5500000000002"/>
    <n v="23"/>
    <n v="209"/>
    <n v="14.66"/>
    <n v="5"/>
    <n v="58"/>
    <n v="687.3"/>
    <n v="0"/>
    <x v="0"/>
    <s v="OK"/>
  </r>
  <r>
    <s v="IT-10099"/>
    <s v="Sensor unit B-99"/>
    <x v="3"/>
    <x v="3"/>
    <x v="0"/>
    <s v="2025-09"/>
    <n v="8.99"/>
    <n v="8.99"/>
    <n v="9.0108130000000006"/>
    <n v="11.85"/>
    <n v="21"/>
    <n v="19"/>
    <n v="50"/>
    <n v="209"/>
    <n v="1883.26"/>
    <n v="21"/>
    <n v="188"/>
    <n v="15.09"/>
    <n v="1"/>
    <n v="73"/>
    <n v="865.05"/>
    <n v="0"/>
    <x v="0"/>
    <s v="OK"/>
  </r>
  <r>
    <s v="IT-10099"/>
    <s v="Sensor unit B-99"/>
    <x v="3"/>
    <x v="3"/>
    <x v="0"/>
    <s v="2025-10"/>
    <n v="8.9"/>
    <n v="8.9"/>
    <n v="8.983333"/>
    <n v="11.85"/>
    <n v="21"/>
    <n v="19"/>
    <n v="69"/>
    <n v="195"/>
    <n v="1751.75"/>
    <n v="23"/>
    <n v="172"/>
    <n v="11.98"/>
    <n v="4"/>
    <n v="83"/>
    <n v="983.55"/>
    <n v="0"/>
    <x v="0"/>
    <s v="OK"/>
  </r>
  <r>
    <s v="IT-10099"/>
    <s v="Sensor unit B-99"/>
    <x v="3"/>
    <x v="3"/>
    <x v="0"/>
    <s v="2025-11"/>
    <n v="8.9499999999999993"/>
    <n v="8.9499999999999993"/>
    <n v="8.9701819999999994"/>
    <n v="11.85"/>
    <n v="21"/>
    <n v="20"/>
    <n v="127"/>
    <n v="275"/>
    <n v="2466.8000000000002"/>
    <n v="14"/>
    <n v="261"/>
    <n v="17.61"/>
    <n v="4"/>
    <n v="47"/>
    <n v="556.95000000000005"/>
    <n v="0"/>
    <x v="0"/>
    <s v="OK"/>
  </r>
  <r>
    <s v="IT-10099"/>
    <s v="Sensor unit B-99"/>
    <x v="3"/>
    <x v="3"/>
    <x v="0"/>
    <s v="2025-12"/>
    <n v="9.0500000000000007"/>
    <n v="9.0500000000000007"/>
    <n v="8.9701749999999993"/>
    <n v="11.85"/>
    <n v="21"/>
    <m/>
    <n v="0"/>
    <n v="228"/>
    <n v="2045.2"/>
    <n v="23"/>
    <n v="205"/>
    <n v="16.93"/>
    <n v="2"/>
    <n v="47"/>
    <n v="556.95000000000005"/>
    <n v="0"/>
    <x v="0"/>
    <s v="OK"/>
  </r>
  <r>
    <s v="IT-10099"/>
    <s v="Sensor unit B-99"/>
    <x v="3"/>
    <x v="3"/>
    <x v="0"/>
    <s v="2026-01"/>
    <n v="8.99"/>
    <n v="8.99"/>
    <n v="8.9737349999999996"/>
    <n v="11.85"/>
    <n v="21"/>
    <n v="20"/>
    <n v="50"/>
    <n v="249"/>
    <n v="2234.46"/>
    <n v="19"/>
    <n v="230"/>
    <n v="26.61"/>
    <n v="0"/>
    <n v="29"/>
    <n v="343.65"/>
    <n v="0"/>
    <x v="0"/>
    <s v="OK"/>
  </r>
  <r>
    <s v="IT-10099"/>
    <s v="Sensor unit B-99"/>
    <x v="3"/>
    <x v="3"/>
    <x v="0"/>
    <s v="2026-02"/>
    <n v="8.86"/>
    <n v="8.86"/>
    <n v="8.9547270000000001"/>
    <n v="12.17"/>
    <n v="21"/>
    <n v="19"/>
    <n v="50"/>
    <n v="220"/>
    <n v="1970.04"/>
    <n v="7"/>
    <n v="213"/>
    <n v="18.25"/>
    <n v="0"/>
    <n v="79"/>
    <n v="961.43"/>
    <n v="0"/>
    <x v="0"/>
    <s v="OK"/>
  </r>
  <r>
    <s v="IT-10099"/>
    <s v="Sensor unit B-99"/>
    <x v="3"/>
    <x v="3"/>
    <x v="0"/>
    <s v="2026-03"/>
    <n v="9.4600000000000009"/>
    <n v="9.4600000000000009"/>
    <n v="9.0630170000000003"/>
    <n v="12.17"/>
    <n v="21"/>
    <n v="19"/>
    <n v="60"/>
    <n v="179"/>
    <n v="1622.28"/>
    <n v="7"/>
    <n v="172"/>
    <n v="11.01"/>
    <n v="2"/>
    <n v="101"/>
    <n v="1229.17"/>
    <n v="0"/>
    <x v="0"/>
    <s v="OK"/>
  </r>
  <r>
    <s v="IT-10099"/>
    <s v="Sensor unit B-99"/>
    <x v="3"/>
    <x v="3"/>
    <x v="0"/>
    <s v="2026-04"/>
    <n v="9.5500000000000007"/>
    <n v="9.5500000000000007"/>
    <n v="9.1693379999999998"/>
    <n v="12.17"/>
    <n v="21"/>
    <n v="19"/>
    <n v="50"/>
    <n v="151"/>
    <n v="1384.57"/>
    <n v="23"/>
    <n v="128"/>
    <n v="7.44"/>
    <n v="1"/>
    <n v="78"/>
    <n v="949.26"/>
    <n v="0"/>
    <x v="0"/>
    <s v="OK"/>
  </r>
  <r>
    <s v="IT-10099"/>
    <s v="Sensor unit B-99"/>
    <x v="3"/>
    <x v="3"/>
    <x v="0"/>
    <s v="2026-05"/>
    <n v="9.6300000000000008"/>
    <n v="9.6300000000000008"/>
    <n v="9.3123579999999997"/>
    <n v="12.17"/>
    <n v="21"/>
    <n v="20"/>
    <n v="68"/>
    <n v="106"/>
    <n v="987.11"/>
    <n v="16"/>
    <n v="90"/>
    <n v="4.7699999999999996"/>
    <n v="5"/>
    <n v="113"/>
    <n v="1375.21"/>
    <n v="0"/>
    <x v="0"/>
    <s v="OK"/>
  </r>
  <r>
    <s v="IT-10099"/>
    <s v="Sensor unit B-99"/>
    <x v="3"/>
    <x v="3"/>
    <x v="0"/>
    <s v="2026-06"/>
    <n v="9.35"/>
    <n v="9.35"/>
    <n v="9.3122220000000002"/>
    <n v="12.17"/>
    <n v="21"/>
    <m/>
    <n v="0"/>
    <n v="27"/>
    <n v="251.43"/>
    <n v="9"/>
    <n v="18"/>
    <n v="1.3"/>
    <n v="0"/>
    <n v="79"/>
    <n v="961.43"/>
    <n v="0"/>
    <x v="0"/>
    <s v="OK"/>
  </r>
  <r>
    <s v="IT-10099"/>
    <s v="Sensor unit B-99"/>
    <x v="3"/>
    <x v="3"/>
    <x v="0"/>
    <s v="2026-07"/>
    <n v="9.66"/>
    <n v="9.66"/>
    <n v="9.6156970000000008"/>
    <n v="12.17"/>
    <n v="21"/>
    <n v="38"/>
    <n v="185"/>
    <n v="165"/>
    <n v="1586.59"/>
    <n v="19"/>
    <n v="146"/>
    <n v="9.07"/>
    <n v="0"/>
    <n v="47"/>
    <n v="571.99"/>
    <n v="0"/>
    <x v="0"/>
    <s v="OK"/>
  </r>
  <r>
    <s v="IT-10099"/>
    <s v="Sensor unit B-99"/>
    <x v="3"/>
    <x v="3"/>
    <x v="0"/>
    <s v="2026-08"/>
    <n v="9.6300000000000008"/>
    <n v="9.6300000000000008"/>
    <n v="9.6212669999999996"/>
    <n v="12.17"/>
    <n v="21"/>
    <n v="21"/>
    <n v="106"/>
    <n v="150"/>
    <n v="1443.19"/>
    <n v="12"/>
    <n v="138"/>
    <n v="7.98"/>
    <n v="4"/>
    <n v="121"/>
    <n v="1472.57"/>
    <n v="0"/>
    <x v="0"/>
    <s v="OK"/>
  </r>
  <r>
    <s v="IT-10100"/>
    <s v="Gear set A-100"/>
    <x v="4"/>
    <x v="4"/>
    <x v="0"/>
    <s v="2024-09"/>
    <n v="3.42"/>
    <n v="3.42"/>
    <n v="3.4148640000000001"/>
    <n v="4.66"/>
    <n v="57"/>
    <n v="91"/>
    <n v="1875"/>
    <n v="2385"/>
    <n v="8144.45"/>
    <n v="89"/>
    <n v="2296"/>
    <n v="49.91"/>
    <n v="32"/>
    <n v="0"/>
    <n v="0"/>
    <n v="0"/>
    <x v="0"/>
    <s v="OK"/>
  </r>
  <r>
    <s v="IT-10100"/>
    <s v="Gear set A-100"/>
    <x v="4"/>
    <x v="4"/>
    <x v="0"/>
    <s v="2024-10"/>
    <n v="3.61"/>
    <n v="3.61"/>
    <n v="3.414863"/>
    <n v="4.66"/>
    <n v="57"/>
    <m/>
    <n v="0"/>
    <n v="1865"/>
    <n v="6368.72"/>
    <n v="44"/>
    <n v="1821"/>
    <n v="31.3"/>
    <n v="1"/>
    <n v="520"/>
    <n v="2423.1999999999998"/>
    <n v="0"/>
    <x v="0"/>
    <s v="OK"/>
  </r>
  <r>
    <s v="IT-10100"/>
    <s v="Gear set A-100"/>
    <x v="4"/>
    <x v="4"/>
    <x v="0"/>
    <s v="2024-11"/>
    <n v="3.7"/>
    <n v="3.7"/>
    <n v="3.414863"/>
    <n v="4.66"/>
    <n v="57"/>
    <m/>
    <n v="0"/>
    <n v="1865"/>
    <n v="6368.72"/>
    <n v="74"/>
    <n v="1791"/>
    <n v="46.63"/>
    <n v="31"/>
    <n v="0"/>
    <n v="0"/>
    <n v="0"/>
    <x v="0"/>
    <s v="OK"/>
  </r>
  <r>
    <s v="IT-10100"/>
    <s v="Gear set A-100"/>
    <x v="4"/>
    <x v="4"/>
    <x v="0"/>
    <s v="2024-12"/>
    <n v="3.61"/>
    <n v="3.61"/>
    <n v="3.4148640000000001"/>
    <n v="4.66"/>
    <n v="57"/>
    <m/>
    <n v="0"/>
    <n v="1252"/>
    <n v="4275.41"/>
    <n v="89"/>
    <n v="1163"/>
    <n v="14.52"/>
    <n v="1"/>
    <n v="613"/>
    <n v="2856.58"/>
    <n v="0"/>
    <x v="0"/>
    <s v="OK"/>
  </r>
  <r>
    <s v="IT-10100"/>
    <s v="Gear set A-100"/>
    <x v="4"/>
    <x v="4"/>
    <x v="0"/>
    <s v="2025-01"/>
    <n v="3.58"/>
    <n v="3.58"/>
    <n v="3.421208"/>
    <n v="4.66"/>
    <n v="57"/>
    <n v="84"/>
    <n v="50"/>
    <n v="828"/>
    <n v="2832.76"/>
    <n v="119"/>
    <n v="709"/>
    <n v="10.01"/>
    <n v="1"/>
    <n v="474"/>
    <n v="2208.84"/>
    <n v="0"/>
    <x v="0"/>
    <s v="OK"/>
  </r>
  <r>
    <s v="IT-10100"/>
    <s v="Gear set A-100"/>
    <x v="4"/>
    <x v="4"/>
    <x v="0"/>
    <s v="2025-02"/>
    <n v="3.61"/>
    <n v="3.61"/>
    <n v="3.5361229999999999"/>
    <n v="4.93"/>
    <n v="57"/>
    <n v="51"/>
    <n v="1288"/>
    <n v="1411"/>
    <n v="4989.47"/>
    <n v="133"/>
    <n v="1278"/>
    <n v="10.119999999999999"/>
    <n v="0"/>
    <n v="705"/>
    <n v="3475.65"/>
    <n v="0"/>
    <x v="0"/>
    <s v="OK"/>
  </r>
  <r>
    <s v="IT-10100"/>
    <s v="Gear set A-100"/>
    <x v="4"/>
    <x v="4"/>
    <x v="0"/>
    <s v="2025-03"/>
    <n v="3.57"/>
    <n v="3.57"/>
    <n v="3.5443150000000001"/>
    <n v="4.93"/>
    <n v="57"/>
    <n v="54"/>
    <n v="450"/>
    <n v="1585"/>
    <n v="5617.74"/>
    <n v="44"/>
    <n v="1541"/>
    <n v="14.01"/>
    <n v="3"/>
    <n v="276"/>
    <n v="1360.68"/>
    <n v="0"/>
    <x v="0"/>
    <s v="OK"/>
  </r>
  <r>
    <s v="IT-10100"/>
    <s v="Gear set A-100"/>
    <x v="4"/>
    <x v="4"/>
    <x v="0"/>
    <s v="2025-04"/>
    <n v="3.67"/>
    <n v="3.67"/>
    <n v="3.559142"/>
    <n v="4.93"/>
    <n v="57"/>
    <n v="54"/>
    <n v="212"/>
    <n v="1130"/>
    <n v="4021.83"/>
    <n v="30"/>
    <n v="1100"/>
    <n v="8.7200000000000006"/>
    <n v="0"/>
    <n v="667"/>
    <n v="3288.31"/>
    <n v="0"/>
    <x v="0"/>
    <s v="OK"/>
  </r>
  <r>
    <s v="IT-10100"/>
    <s v="Gear set A-100"/>
    <x v="4"/>
    <x v="4"/>
    <x v="0"/>
    <s v="2025-05"/>
    <n v="3.57"/>
    <n v="3.57"/>
    <n v="3.5591409999999999"/>
    <n v="4.93"/>
    <n v="57"/>
    <m/>
    <n v="0"/>
    <n v="815"/>
    <n v="2900.7"/>
    <n v="133"/>
    <n v="682"/>
    <n v="8.51"/>
    <n v="3"/>
    <n v="315"/>
    <n v="1552.95"/>
    <n v="0"/>
    <x v="0"/>
    <s v="OK"/>
  </r>
  <r>
    <s v="IT-10100"/>
    <s v="Gear set A-100"/>
    <x v="4"/>
    <x v="4"/>
    <x v="0"/>
    <s v="2025-06"/>
    <n v="3.6"/>
    <n v="3.6"/>
    <n v="3.5591409999999999"/>
    <n v="4.93"/>
    <n v="57"/>
    <m/>
    <n v="0"/>
    <n v="0"/>
    <n v="0"/>
    <n v="0"/>
    <n v="0"/>
    <n v="0"/>
    <n v="0"/>
    <n v="815"/>
    <n v="4017.95"/>
    <n v="47"/>
    <x v="1"/>
    <s v="OK"/>
  </r>
  <r>
    <s v="IT-10100"/>
    <s v="Gear set A-100"/>
    <x v="4"/>
    <x v="4"/>
    <x v="0"/>
    <s v="2025-07"/>
    <n v="3.7"/>
    <n v="3.7"/>
    <n v="3.7"/>
    <n v="4.93"/>
    <n v="57"/>
    <n v="73"/>
    <n v="1147"/>
    <n v="991"/>
    <n v="3666.7"/>
    <n v="59"/>
    <n v="932"/>
    <n v="10.130000000000001"/>
    <n v="0"/>
    <n v="156"/>
    <n v="769.08"/>
    <n v="0"/>
    <x v="0"/>
    <s v="OK"/>
  </r>
  <r>
    <s v="IT-10100"/>
    <s v="Gear set A-100"/>
    <x v="4"/>
    <x v="4"/>
    <x v="0"/>
    <s v="2025-08"/>
    <n v="3.58"/>
    <n v="3.58"/>
    <n v="3.6308220000000002"/>
    <n v="4.93"/>
    <n v="57"/>
    <n v="49"/>
    <n v="1349"/>
    <n v="1885"/>
    <n v="6844.1"/>
    <n v="119"/>
    <n v="1766"/>
    <n v="17.37"/>
    <n v="0"/>
    <n v="455"/>
    <n v="2243.15"/>
    <n v="0"/>
    <x v="0"/>
    <s v="OK"/>
  </r>
  <r>
    <s v="IT-10100"/>
    <s v="Gear set A-100"/>
    <x v="4"/>
    <x v="4"/>
    <x v="0"/>
    <s v="2025-09"/>
    <n v="3.63"/>
    <n v="3.63"/>
    <n v="3.6307610000000001"/>
    <n v="4.93"/>
    <n v="57"/>
    <n v="53"/>
    <n v="148"/>
    <n v="1551"/>
    <n v="5631.31"/>
    <n v="59"/>
    <n v="1492"/>
    <n v="18.649999999999999"/>
    <n v="0"/>
    <n v="482"/>
    <n v="2376.2600000000002"/>
    <n v="0"/>
    <x v="0"/>
    <s v="OK"/>
  </r>
  <r>
    <s v="IT-10100"/>
    <s v="Gear set A-100"/>
    <x v="4"/>
    <x v="4"/>
    <x v="0"/>
    <s v="2025-10"/>
    <n v="3.91"/>
    <n v="3.91"/>
    <n v="3.639478"/>
    <n v="4.93"/>
    <n v="57"/>
    <n v="54"/>
    <n v="50"/>
    <n v="1168"/>
    <n v="4250.91"/>
    <n v="74"/>
    <n v="1094"/>
    <n v="11.21"/>
    <n v="3"/>
    <n v="433"/>
    <n v="2134.69"/>
    <n v="0"/>
    <x v="0"/>
    <s v="OK"/>
  </r>
  <r>
    <s v="IT-10100"/>
    <s v="Gear set A-100"/>
    <x v="4"/>
    <x v="4"/>
    <x v="0"/>
    <s v="2025-11"/>
    <n v="3.87"/>
    <n v="3.87"/>
    <n v="3.6588250000000002"/>
    <n v="4.93"/>
    <n v="57"/>
    <n v="54"/>
    <n v="107"/>
    <n v="945"/>
    <n v="3457.59"/>
    <n v="133"/>
    <n v="812"/>
    <n v="9.8699999999999992"/>
    <n v="0"/>
    <n v="330"/>
    <n v="1626.9"/>
    <n v="0"/>
    <x v="0"/>
    <s v="OK"/>
  </r>
  <r>
    <s v="IT-10100"/>
    <s v="Gear set A-100"/>
    <x v="4"/>
    <x v="4"/>
    <x v="0"/>
    <s v="2025-12"/>
    <n v="3.84"/>
    <n v="3.84"/>
    <n v="3.6703239999999999"/>
    <n v="4.93"/>
    <n v="57"/>
    <n v="57"/>
    <n v="64"/>
    <n v="463"/>
    <n v="1699.36"/>
    <n v="89"/>
    <n v="374"/>
    <n v="4.6500000000000004"/>
    <n v="0"/>
    <n v="546"/>
    <n v="2691.78"/>
    <n v="0"/>
    <x v="0"/>
    <s v="OK"/>
  </r>
  <r>
    <s v="IT-10100"/>
    <s v="Gear set A-100"/>
    <x v="4"/>
    <x v="4"/>
    <x v="0"/>
    <s v="2026-01"/>
    <n v="3.89"/>
    <n v="3.89"/>
    <n v="3.83982"/>
    <n v="4.93"/>
    <n v="57"/>
    <n v="56"/>
    <n v="1564"/>
    <n v="1496"/>
    <n v="5744.37"/>
    <n v="44"/>
    <n v="1452"/>
    <n v="13.97"/>
    <n v="0"/>
    <n v="531"/>
    <n v="2617.83"/>
    <n v="0"/>
    <x v="0"/>
    <s v="OK"/>
  </r>
  <r>
    <s v="IT-10100"/>
    <s v="Gear set A-100"/>
    <x v="4"/>
    <x v="4"/>
    <x v="0"/>
    <s v="2026-02"/>
    <n v="3.91"/>
    <n v="3.91"/>
    <n v="3.8398219999999998"/>
    <n v="5.21"/>
    <n v="57"/>
    <m/>
    <n v="0"/>
    <n v="1295"/>
    <n v="4972.57"/>
    <n v="89"/>
    <n v="1206"/>
    <n v="13.03"/>
    <n v="3"/>
    <n v="201"/>
    <n v="1047.21"/>
    <n v="0"/>
    <x v="0"/>
    <s v="OK"/>
  </r>
  <r>
    <s v="IT-10100"/>
    <s v="Gear set A-100"/>
    <x v="4"/>
    <x v="4"/>
    <x v="0"/>
    <s v="2026-03"/>
    <n v="3.87"/>
    <n v="3.87"/>
    <n v="3.8398219999999998"/>
    <n v="5.21"/>
    <n v="57"/>
    <m/>
    <n v="0"/>
    <n v="1067"/>
    <n v="4097.09"/>
    <n v="74"/>
    <n v="993"/>
    <n v="14.29"/>
    <n v="0"/>
    <n v="228"/>
    <n v="1187.8800000000001"/>
    <n v="0"/>
    <x v="0"/>
    <s v="OK"/>
  </r>
  <r>
    <s v="IT-10100"/>
    <s v="Gear set A-100"/>
    <x v="4"/>
    <x v="4"/>
    <x v="0"/>
    <s v="2026-04"/>
    <n v="3.77"/>
    <n v="3.77"/>
    <n v="3.8398240000000001"/>
    <n v="5.21"/>
    <n v="57"/>
    <m/>
    <n v="0"/>
    <n v="568"/>
    <n v="2181.02"/>
    <n v="44"/>
    <n v="524"/>
    <n v="7.78"/>
    <n v="0"/>
    <n v="499"/>
    <n v="2599.79"/>
    <n v="0"/>
    <x v="0"/>
    <s v="OK"/>
  </r>
  <r>
    <s v="IT-10100"/>
    <s v="Gear set A-100"/>
    <x v="4"/>
    <x v="4"/>
    <x v="0"/>
    <s v="2026-05"/>
    <n v="3.87"/>
    <n v="3.87"/>
    <n v="3.8577370000000002"/>
    <n v="5.21"/>
    <n v="57"/>
    <n v="49"/>
    <n v="829"/>
    <n v="685"/>
    <n v="2642.55"/>
    <n v="30"/>
    <n v="655"/>
    <n v="6.26"/>
    <n v="0"/>
    <n v="712"/>
    <n v="3709.52"/>
    <n v="0"/>
    <x v="0"/>
    <s v="OK"/>
  </r>
  <r>
    <s v="IT-10100"/>
    <s v="Gear set A-100"/>
    <x v="4"/>
    <x v="4"/>
    <x v="0"/>
    <s v="2026-06"/>
    <n v="3.8"/>
    <n v="3.8"/>
    <n v="3.8341780000000001"/>
    <n v="5.21"/>
    <n v="57"/>
    <n v="95"/>
    <n v="472"/>
    <n v="833"/>
    <n v="3193.87"/>
    <n v="30"/>
    <n v="803"/>
    <n v="7.05"/>
    <n v="1"/>
    <n v="324"/>
    <n v="1688.04"/>
    <n v="0"/>
    <x v="0"/>
    <s v="OK"/>
  </r>
  <r>
    <s v="IT-10100"/>
    <s v="Gear set A-100"/>
    <x v="4"/>
    <x v="4"/>
    <x v="0"/>
    <s v="2026-07"/>
    <n v="3.79"/>
    <n v="3.79"/>
    <n v="3.807455"/>
    <n v="5.21"/>
    <n v="57"/>
    <n v="51"/>
    <n v="1275"/>
    <n v="1760"/>
    <n v="6701.12"/>
    <n v="74"/>
    <n v="1686"/>
    <n v="16.71"/>
    <n v="4"/>
    <n v="348"/>
    <n v="1813.08"/>
    <n v="0"/>
    <x v="0"/>
    <s v="OK"/>
  </r>
  <r>
    <s v="IT-10100"/>
    <s v="Gear set A-100"/>
    <x v="4"/>
    <x v="4"/>
    <x v="0"/>
    <s v="2026-08"/>
    <n v="3.82"/>
    <n v="3.82"/>
    <n v="3.807455"/>
    <n v="5.21"/>
    <n v="57"/>
    <m/>
    <n v="0"/>
    <n v="1285"/>
    <n v="4892.58"/>
    <n v="148"/>
    <n v="1137"/>
    <n v="14.72"/>
    <n v="0"/>
    <n v="475"/>
    <n v="2474.75"/>
    <n v="0"/>
    <x v="0"/>
    <s v="OK"/>
  </r>
  <r>
    <s v="IT-10101"/>
    <s v="Drive belt L-101"/>
    <x v="4"/>
    <x v="4"/>
    <x v="1"/>
    <s v="2024-09"/>
    <n v="4.9400000000000004"/>
    <n v="5.26"/>
    <n v="5.2114289999999999"/>
    <n v="7.63"/>
    <n v="40"/>
    <m/>
    <n v="0"/>
    <n v="2632"/>
    <n v="13716.48"/>
    <n v="154"/>
    <n v="2478"/>
    <n v="11.92"/>
    <n v="0"/>
    <n v="1209"/>
    <n v="9224.67"/>
    <n v="0"/>
    <x v="0"/>
    <s v="OK"/>
  </r>
  <r>
    <s v="IT-10101"/>
    <s v="Drive belt L-101"/>
    <x v="4"/>
    <x v="4"/>
    <x v="1"/>
    <s v="2024-10"/>
    <n v="5.21"/>
    <n v="5.55"/>
    <n v="5.2114279999999997"/>
    <n v="7.63"/>
    <n v="40"/>
    <m/>
    <n v="0"/>
    <n v="1919"/>
    <n v="10000.73"/>
    <n v="231"/>
    <n v="1688"/>
    <n v="9.27"/>
    <n v="0"/>
    <n v="713"/>
    <n v="5440.19"/>
    <n v="0"/>
    <x v="0"/>
    <s v="OK"/>
  </r>
  <r>
    <s v="IT-10101"/>
    <s v="Drive belt L-101"/>
    <x v="4"/>
    <x v="4"/>
    <x v="1"/>
    <s v="2024-11"/>
    <n v="5.26"/>
    <n v="5.6"/>
    <n v="5.3761419999999998"/>
    <n v="7.63"/>
    <n v="40"/>
    <n v="36"/>
    <n v="1412"/>
    <n v="3051"/>
    <n v="16402.61"/>
    <n v="231"/>
    <n v="2820"/>
    <n v="18.010000000000002"/>
    <n v="0"/>
    <n v="280"/>
    <n v="2136.4"/>
    <n v="0"/>
    <x v="0"/>
    <s v="OK"/>
  </r>
  <r>
    <s v="IT-10101"/>
    <s v="Drive belt L-101"/>
    <x v="4"/>
    <x v="4"/>
    <x v="1"/>
    <s v="2024-12"/>
    <n v="5.29"/>
    <n v="5.63"/>
    <n v="5.3885670000000001"/>
    <n v="7.63"/>
    <n v="40"/>
    <n v="56"/>
    <n v="157"/>
    <n v="2408"/>
    <n v="12975.67"/>
    <n v="102"/>
    <n v="2306"/>
    <n v="17.649999999999999"/>
    <n v="0"/>
    <n v="800"/>
    <n v="6104"/>
    <n v="0"/>
    <x v="0"/>
    <s v="OK"/>
  </r>
  <r>
    <s v="IT-10101"/>
    <s v="Drive belt L-101"/>
    <x v="4"/>
    <x v="4"/>
    <x v="1"/>
    <s v="2025-01"/>
    <n v="5.26"/>
    <n v="5.6"/>
    <n v="5.4147910000000001"/>
    <n v="7.63"/>
    <n v="40"/>
    <n v="55"/>
    <n v="341"/>
    <n v="766"/>
    <n v="4147.7299999999996"/>
    <n v="205"/>
    <n v="561"/>
    <n v="3.29"/>
    <n v="0"/>
    <n v="1983"/>
    <n v="15130.29"/>
    <n v="0"/>
    <x v="0"/>
    <s v="OK"/>
  </r>
  <r>
    <s v="IT-10101"/>
    <s v="Drive belt L-101"/>
    <x v="4"/>
    <x v="4"/>
    <x v="1"/>
    <s v="2025-02"/>
    <n v="5.24"/>
    <n v="5.58"/>
    <n v="5.4147920000000003"/>
    <n v="7.99"/>
    <n v="40"/>
    <m/>
    <n v="0"/>
    <n v="265"/>
    <n v="1434.92"/>
    <n v="179"/>
    <n v="86"/>
    <n v="1.04"/>
    <n v="0"/>
    <n v="501"/>
    <n v="4002.99"/>
    <n v="0"/>
    <x v="0"/>
    <s v="OK"/>
  </r>
  <r>
    <s v="IT-10101"/>
    <s v="Drive belt L-101"/>
    <x v="4"/>
    <x v="4"/>
    <x v="1"/>
    <s v="2025-03"/>
    <n v="5.17"/>
    <n v="5.5"/>
    <n v="5.4885849999999996"/>
    <n v="7.99"/>
    <n v="40"/>
    <n v="36"/>
    <n v="1713"/>
    <n v="1152"/>
    <n v="6322.85"/>
    <n v="128"/>
    <n v="1024"/>
    <n v="4.47"/>
    <n v="1"/>
    <n v="826"/>
    <n v="6599.74"/>
    <n v="0"/>
    <x v="0"/>
    <s v="OK"/>
  </r>
  <r>
    <s v="IT-10101"/>
    <s v="Drive belt L-101"/>
    <x v="4"/>
    <x v="4"/>
    <x v="1"/>
    <s v="2025-04"/>
    <n v="5.32"/>
    <n v="5.66"/>
    <n v="5.5891479999999998"/>
    <n v="7.99"/>
    <n v="40"/>
    <n v="37"/>
    <n v="1635"/>
    <n v="1220"/>
    <n v="6818.76"/>
    <n v="231"/>
    <n v="989"/>
    <n v="5.36"/>
    <n v="0"/>
    <n v="1567"/>
    <n v="12520.33"/>
    <n v="0"/>
    <x v="0"/>
    <s v="OK"/>
  </r>
  <r>
    <s v="IT-10101"/>
    <s v="Drive belt L-101"/>
    <x v="4"/>
    <x v="4"/>
    <x v="1"/>
    <s v="2025-05"/>
    <n v="5.26"/>
    <n v="5.6"/>
    <n v="5.5891599999999997"/>
    <n v="7.99"/>
    <n v="40"/>
    <m/>
    <n v="0"/>
    <n v="119"/>
    <n v="665.11"/>
    <n v="119"/>
    <n v="0"/>
    <n v="0.45"/>
    <n v="0"/>
    <n v="1101"/>
    <n v="8796.99"/>
    <n v="0"/>
    <x v="0"/>
    <s v="OK"/>
  </r>
  <r>
    <s v="IT-10101"/>
    <s v="Drive belt L-101"/>
    <x v="4"/>
    <x v="4"/>
    <x v="1"/>
    <s v="2025-06"/>
    <n v="5.16"/>
    <n v="5.49"/>
    <n v="5.4946099999999998"/>
    <n v="7.99"/>
    <n v="40"/>
    <n v="34"/>
    <n v="2441"/>
    <n v="1629"/>
    <n v="8950.7199999999993"/>
    <n v="256"/>
    <n v="1373"/>
    <n v="5.88"/>
    <n v="0"/>
    <n v="931"/>
    <n v="7438.69"/>
    <n v="0"/>
    <x v="0"/>
    <s v="OK"/>
  </r>
  <r>
    <s v="IT-10101"/>
    <s v="Drive belt L-101"/>
    <x v="4"/>
    <x v="4"/>
    <x v="1"/>
    <s v="2025-07"/>
    <n v="5.22"/>
    <n v="5.56"/>
    <n v="5.5142829999999998"/>
    <n v="7.99"/>
    <n v="40"/>
    <n v="36"/>
    <n v="701"/>
    <n v="1436"/>
    <n v="7918.51"/>
    <n v="102"/>
    <n v="1334"/>
    <n v="6.45"/>
    <n v="0"/>
    <n v="894"/>
    <n v="7143.06"/>
    <n v="0"/>
    <x v="0"/>
    <s v="OK"/>
  </r>
  <r>
    <s v="IT-10101"/>
    <s v="Drive belt L-101"/>
    <x v="4"/>
    <x v="4"/>
    <x v="1"/>
    <s v="2025-08"/>
    <n v="5.29"/>
    <n v="5.63"/>
    <n v="5.5592009999999998"/>
    <n v="7.99"/>
    <n v="40"/>
    <n v="53"/>
    <n v="911"/>
    <n v="1502"/>
    <n v="8349.92"/>
    <n v="231"/>
    <n v="1271"/>
    <n v="7.39"/>
    <n v="1"/>
    <n v="845"/>
    <n v="6751.55"/>
    <n v="0"/>
    <x v="0"/>
    <s v="OK"/>
  </r>
  <r>
    <s v="IT-10101"/>
    <s v="Drive belt L-101"/>
    <x v="4"/>
    <x v="4"/>
    <x v="1"/>
    <s v="2025-09"/>
    <n v="5.17"/>
    <n v="5.5"/>
    <n v="5.531847"/>
    <n v="7.99"/>
    <n v="40"/>
    <n v="60"/>
    <n v="1290"/>
    <n v="2150"/>
    <n v="11893.47"/>
    <n v="77"/>
    <n v="2073"/>
    <n v="11.87"/>
    <n v="2"/>
    <n v="642"/>
    <n v="5129.58"/>
    <n v="0"/>
    <x v="0"/>
    <s v="OK"/>
  </r>
  <r>
    <s v="IT-10101"/>
    <s v="Drive belt L-101"/>
    <x v="4"/>
    <x v="4"/>
    <x v="1"/>
    <s v="2025-10"/>
    <n v="5.45"/>
    <n v="5.8"/>
    <n v="5.5437669999999999"/>
    <n v="7.99"/>
    <n v="40"/>
    <n v="38"/>
    <n v="100"/>
    <n v="1168"/>
    <n v="6475.12"/>
    <n v="205"/>
    <n v="963"/>
    <n v="5.98"/>
    <n v="0"/>
    <n v="1082"/>
    <n v="8645.18"/>
    <n v="0"/>
    <x v="0"/>
    <s v="OK"/>
  </r>
  <r>
    <s v="IT-10101"/>
    <s v="Drive belt L-101"/>
    <x v="4"/>
    <x v="4"/>
    <x v="1"/>
    <s v="2025-11"/>
    <n v="5.56"/>
    <n v="5.92"/>
    <n v="5.543768"/>
    <n v="7.99"/>
    <n v="40"/>
    <m/>
    <n v="0"/>
    <n v="629"/>
    <n v="3487.03"/>
    <n v="179"/>
    <n v="450"/>
    <n v="3.61"/>
    <n v="0"/>
    <n v="539"/>
    <n v="4306.6099999999997"/>
    <n v="0"/>
    <x v="0"/>
    <s v="OK"/>
  </r>
  <r>
    <s v="IT-10101"/>
    <s v="Drive belt L-101"/>
    <x v="4"/>
    <x v="4"/>
    <x v="1"/>
    <s v="2025-12"/>
    <n v="5.46"/>
    <n v="5.81"/>
    <n v="5.7607759999999999"/>
    <n v="7.99"/>
    <n v="40"/>
    <n v="35"/>
    <n v="2773"/>
    <n v="2834"/>
    <n v="16326.04"/>
    <n v="154"/>
    <n v="2680"/>
    <n v="17.02"/>
    <n v="0"/>
    <n v="568"/>
    <n v="4538.32"/>
    <n v="0"/>
    <x v="0"/>
    <s v="OK"/>
  </r>
  <r>
    <s v="IT-10101"/>
    <s v="Drive belt L-101"/>
    <x v="4"/>
    <x v="4"/>
    <x v="1"/>
    <s v="2026-01"/>
    <n v="5.49"/>
    <n v="5.85"/>
    <n v="5.7643409999999999"/>
    <n v="7.99"/>
    <n v="40"/>
    <n v="40"/>
    <n v="118"/>
    <n v="2154"/>
    <n v="12416.39"/>
    <n v="154"/>
    <n v="2000"/>
    <n v="14.86"/>
    <n v="0"/>
    <n v="798"/>
    <n v="6376.02"/>
    <n v="0"/>
    <x v="0"/>
    <s v="OK"/>
  </r>
  <r>
    <s v="IT-10101"/>
    <s v="Drive belt L-101"/>
    <x v="4"/>
    <x v="4"/>
    <x v="1"/>
    <s v="2026-02"/>
    <n v="5.56"/>
    <n v="5.92"/>
    <n v="5.7868430000000002"/>
    <n v="8.3699999999999992"/>
    <n v="40"/>
    <n v="35"/>
    <n v="364"/>
    <n v="1856"/>
    <n v="10740.38"/>
    <n v="256"/>
    <n v="1600"/>
    <n v="11.77"/>
    <n v="1"/>
    <n v="662"/>
    <n v="5540.94"/>
    <n v="0"/>
    <x v="0"/>
    <s v="OK"/>
  </r>
  <r>
    <s v="IT-10101"/>
    <s v="Drive belt L-101"/>
    <x v="4"/>
    <x v="4"/>
    <x v="1"/>
    <s v="2026-03"/>
    <n v="5.65"/>
    <n v="6.02"/>
    <n v="5.7868389999999996"/>
    <n v="8.3699999999999992"/>
    <n v="40"/>
    <m/>
    <n v="0"/>
    <n v="1259"/>
    <n v="7285.63"/>
    <n v="256"/>
    <n v="1003"/>
    <n v="7.87"/>
    <n v="1"/>
    <n v="597"/>
    <n v="4996.8900000000003"/>
    <n v="0"/>
    <x v="0"/>
    <s v="OK"/>
  </r>
  <r>
    <s v="IT-10101"/>
    <s v="Drive belt L-101"/>
    <x v="4"/>
    <x v="4"/>
    <x v="1"/>
    <s v="2026-04"/>
    <n v="5.52"/>
    <n v="5.88"/>
    <n v="5.8361840000000003"/>
    <n v="8.3699999999999992"/>
    <n v="40"/>
    <n v="36"/>
    <n v="1418"/>
    <n v="2191"/>
    <n v="12787.08"/>
    <n v="205"/>
    <n v="1986"/>
    <n v="15.96"/>
    <n v="0"/>
    <n v="486"/>
    <n v="4067.82"/>
    <n v="0"/>
    <x v="0"/>
    <s v="OK"/>
  </r>
  <r>
    <s v="IT-10101"/>
    <s v="Drive belt L-101"/>
    <x v="4"/>
    <x v="4"/>
    <x v="1"/>
    <s v="2026-05"/>
    <n v="5.55"/>
    <n v="5.91"/>
    <n v="5.8659319999999999"/>
    <n v="8.3699999999999992"/>
    <n v="40"/>
    <n v="36"/>
    <n v="1479"/>
    <n v="2849"/>
    <n v="16712.04"/>
    <n v="179"/>
    <n v="2670"/>
    <n v="19.670000000000002"/>
    <n v="0"/>
    <n v="821"/>
    <n v="6871.77"/>
    <n v="0"/>
    <x v="0"/>
    <s v="OK"/>
  </r>
  <r>
    <s v="IT-10101"/>
    <s v="Drive belt L-101"/>
    <x v="4"/>
    <x v="4"/>
    <x v="1"/>
    <s v="2026-06"/>
    <n v="5.6"/>
    <n v="5.96"/>
    <n v="5.8721019999999999"/>
    <n v="8.3699999999999992"/>
    <n v="40"/>
    <n v="47"/>
    <n v="200"/>
    <n v="2360"/>
    <n v="13858.16"/>
    <n v="256"/>
    <n v="2104"/>
    <n v="15.37"/>
    <n v="1"/>
    <n v="689"/>
    <n v="5766.93"/>
    <n v="0"/>
    <x v="0"/>
    <s v="OK"/>
  </r>
  <r>
    <s v="IT-10101"/>
    <s v="Drive belt L-101"/>
    <x v="4"/>
    <x v="4"/>
    <x v="1"/>
    <s v="2026-07"/>
    <n v="5.45"/>
    <n v="5.8"/>
    <n v="5.8721019999999999"/>
    <n v="8.3699999999999992"/>
    <n v="40"/>
    <m/>
    <n v="0"/>
    <n v="1984"/>
    <n v="11650.25"/>
    <n v="51"/>
    <n v="1933"/>
    <n v="13.83"/>
    <n v="3"/>
    <n v="376"/>
    <n v="3147.12"/>
    <n v="0"/>
    <x v="0"/>
    <s v="OK"/>
  </r>
  <r>
    <s v="IT-10101"/>
    <s v="Drive belt L-101"/>
    <x v="4"/>
    <x v="4"/>
    <x v="1"/>
    <s v="2026-08"/>
    <n v="5.64"/>
    <n v="6.01"/>
    <n v="5.9431070000000004"/>
    <n v="8.3699999999999992"/>
    <n v="40"/>
    <n v="40"/>
    <n v="2106"/>
    <n v="2813"/>
    <n v="16717.96"/>
    <n v="51"/>
    <n v="2762"/>
    <n v="15.79"/>
    <n v="4"/>
    <n v="1277"/>
    <n v="10688.49"/>
    <n v="0"/>
    <x v="0"/>
    <s v="OK"/>
  </r>
  <r>
    <s v="IT-10102"/>
    <s v="Relay L-102"/>
    <x v="3"/>
    <x v="3"/>
    <x v="0"/>
    <s v="2024-09"/>
    <n v="4.91"/>
    <n v="4.91"/>
    <n v="4.9171290000000001"/>
    <n v="7.12"/>
    <n v="60"/>
    <m/>
    <n v="0"/>
    <n v="202"/>
    <n v="993.26"/>
    <n v="85"/>
    <n v="117"/>
    <n v="2.74"/>
    <n v="1"/>
    <n v="173"/>
    <n v="1231.76"/>
    <n v="0"/>
    <x v="0"/>
    <s v="OK"/>
  </r>
  <r>
    <s v="IT-10102"/>
    <s v="Relay L-102"/>
    <x v="3"/>
    <x v="3"/>
    <x v="0"/>
    <s v="2024-10"/>
    <n v="4.82"/>
    <n v="4.82"/>
    <n v="4.8440760000000003"/>
    <n v="7.12"/>
    <n v="60"/>
    <n v="56"/>
    <n v="613"/>
    <n v="633"/>
    <n v="3066.3"/>
    <n v="68"/>
    <n v="565"/>
    <n v="11.52"/>
    <n v="3"/>
    <n v="182"/>
    <n v="1295.8399999999999"/>
    <n v="0"/>
    <x v="0"/>
    <s v="OK"/>
  </r>
  <r>
    <s v="IT-10102"/>
    <s v="Relay L-102"/>
    <x v="3"/>
    <x v="3"/>
    <x v="0"/>
    <s v="2024-11"/>
    <n v="4.8499999999999996"/>
    <n v="4.8499999999999996"/>
    <n v="4.8440789999999998"/>
    <n v="7.12"/>
    <n v="60"/>
    <m/>
    <n v="0"/>
    <n v="331"/>
    <n v="1603.39"/>
    <n v="34"/>
    <n v="297"/>
    <n v="6.55"/>
    <n v="0"/>
    <n v="302"/>
    <n v="2150.2399999999998"/>
    <n v="0"/>
    <x v="0"/>
    <s v="OK"/>
  </r>
  <r>
    <s v="IT-10102"/>
    <s v="Relay L-102"/>
    <x v="3"/>
    <x v="3"/>
    <x v="0"/>
    <s v="2024-12"/>
    <n v="4.9000000000000004"/>
    <n v="4.9000000000000004"/>
    <n v="4.8814399999999996"/>
    <n v="7.12"/>
    <n v="60"/>
    <n v="55"/>
    <n v="666"/>
    <n v="771"/>
    <n v="3763.59"/>
    <n v="85"/>
    <n v="686"/>
    <n v="14.27"/>
    <n v="0"/>
    <n v="226"/>
    <n v="1609.12"/>
    <n v="0"/>
    <x v="0"/>
    <s v="OK"/>
  </r>
  <r>
    <s v="IT-10102"/>
    <s v="Relay L-102"/>
    <x v="3"/>
    <x v="3"/>
    <x v="0"/>
    <s v="2025-01"/>
    <n v="4.88"/>
    <n v="4.88"/>
    <n v="4.881138"/>
    <n v="7.12"/>
    <n v="60"/>
    <n v="57"/>
    <n v="205"/>
    <n v="703"/>
    <n v="3431.44"/>
    <n v="25"/>
    <n v="678"/>
    <n v="11.53"/>
    <n v="3"/>
    <n v="273"/>
    <n v="1943.76"/>
    <n v="0"/>
    <x v="0"/>
    <s v="OK"/>
  </r>
  <r>
    <s v="IT-10102"/>
    <s v="Relay L-102"/>
    <x v="3"/>
    <x v="3"/>
    <x v="0"/>
    <s v="2025-02"/>
    <n v="4.8899999999999997"/>
    <n v="4.8899999999999997"/>
    <n v="4.8845989999999997"/>
    <n v="7.3"/>
    <n v="60"/>
    <n v="53"/>
    <n v="450"/>
    <n v="811"/>
    <n v="3961.41"/>
    <n v="34"/>
    <n v="777"/>
    <n v="12.4"/>
    <n v="2"/>
    <n v="342"/>
    <n v="2496.6"/>
    <n v="0"/>
    <x v="0"/>
    <s v="OK"/>
  </r>
  <r>
    <s v="IT-10102"/>
    <s v="Relay L-102"/>
    <x v="3"/>
    <x v="3"/>
    <x v="0"/>
    <s v="2025-03"/>
    <n v="5.1100000000000003"/>
    <n v="5.1100000000000003"/>
    <n v="4.8845910000000003"/>
    <n v="7.3"/>
    <n v="60"/>
    <m/>
    <n v="0"/>
    <n v="464"/>
    <n v="2266.4499999999998"/>
    <n v="85"/>
    <n v="379"/>
    <n v="6.2"/>
    <n v="1"/>
    <n v="347"/>
    <n v="2533.1"/>
    <n v="0"/>
    <x v="0"/>
    <s v="OK"/>
  </r>
  <r>
    <s v="IT-10102"/>
    <s v="Relay L-102"/>
    <x v="3"/>
    <x v="3"/>
    <x v="0"/>
    <s v="2025-04"/>
    <n v="5.09"/>
    <n v="5.09"/>
    <n v="4.9194930000000001"/>
    <n v="7.3"/>
    <n v="60"/>
    <n v="53"/>
    <n v="95"/>
    <n v="276"/>
    <n v="1357.78"/>
    <n v="17"/>
    <n v="259"/>
    <n v="3.61"/>
    <n v="0"/>
    <n v="283"/>
    <n v="2065.9"/>
    <n v="0"/>
    <x v="0"/>
    <s v="OK"/>
  </r>
  <r>
    <s v="IT-10102"/>
    <s v="Relay L-102"/>
    <x v="3"/>
    <x v="3"/>
    <x v="0"/>
    <s v="2025-05"/>
    <n v="5.15"/>
    <n v="5.15"/>
    <n v="4.9194930000000001"/>
    <n v="7.3"/>
    <n v="60"/>
    <m/>
    <n v="0"/>
    <n v="0"/>
    <n v="0"/>
    <n v="0"/>
    <n v="0"/>
    <n v="0"/>
    <n v="6"/>
    <n v="276"/>
    <n v="2014.8"/>
    <n v="169"/>
    <x v="1"/>
    <s v="OK"/>
  </r>
  <r>
    <s v="IT-10102"/>
    <s v="Relay L-102"/>
    <x v="3"/>
    <x v="3"/>
    <x v="0"/>
    <s v="2025-06"/>
    <n v="5.23"/>
    <n v="5.23"/>
    <n v="5.23"/>
    <n v="7.3"/>
    <n v="60"/>
    <n v="52"/>
    <n v="451"/>
    <n v="255"/>
    <n v="1333.65"/>
    <n v="76"/>
    <n v="179"/>
    <n v="4.3899999999999997"/>
    <n v="2"/>
    <n v="196"/>
    <n v="1430.8"/>
    <n v="0"/>
    <x v="0"/>
    <s v="OK"/>
  </r>
  <r>
    <s v="IT-10102"/>
    <s v="Relay L-102"/>
    <x v="3"/>
    <x v="3"/>
    <x v="0"/>
    <s v="2025-07"/>
    <n v="5.16"/>
    <n v="5.16"/>
    <n v="5.1727309999999997"/>
    <n v="7.3"/>
    <n v="60"/>
    <n v="55"/>
    <n v="1147"/>
    <n v="1135"/>
    <n v="5871.05"/>
    <n v="68"/>
    <n v="1067"/>
    <n v="20.190000000000001"/>
    <n v="0"/>
    <n v="267"/>
    <n v="1949.1"/>
    <n v="0"/>
    <x v="0"/>
    <s v="OK"/>
  </r>
  <r>
    <s v="IT-10102"/>
    <s v="Relay L-102"/>
    <x v="3"/>
    <x v="3"/>
    <x v="0"/>
    <s v="2025-08"/>
    <n v="5.24"/>
    <n v="5.24"/>
    <n v="5.1727280000000002"/>
    <n v="7.3"/>
    <n v="60"/>
    <m/>
    <n v="0"/>
    <n v="964"/>
    <n v="4986.51"/>
    <n v="59"/>
    <n v="905"/>
    <n v="19.98"/>
    <n v="4"/>
    <n v="171"/>
    <n v="1248.3"/>
    <n v="0"/>
    <x v="0"/>
    <s v="OK"/>
  </r>
  <r>
    <s v="IT-10102"/>
    <s v="Relay L-102"/>
    <x v="3"/>
    <x v="3"/>
    <x v="0"/>
    <s v="2025-09"/>
    <n v="5.1100000000000003"/>
    <n v="5.1100000000000003"/>
    <n v="5.1727340000000002"/>
    <n v="7.3"/>
    <n v="60"/>
    <m/>
    <n v="0"/>
    <n v="706"/>
    <n v="3651.95"/>
    <n v="25"/>
    <n v="681"/>
    <n v="13.33"/>
    <n v="0"/>
    <n v="258"/>
    <n v="1883.4"/>
    <n v="0"/>
    <x v="0"/>
    <s v="OK"/>
  </r>
  <r>
    <s v="IT-10102"/>
    <s v="Relay L-102"/>
    <x v="3"/>
    <x v="3"/>
    <x v="0"/>
    <s v="2025-10"/>
    <n v="5.0999999999999996"/>
    <n v="5.0999999999999996"/>
    <n v="5.1727319999999999"/>
    <n v="7.3"/>
    <n v="60"/>
    <m/>
    <n v="0"/>
    <n v="366"/>
    <n v="1893.22"/>
    <n v="59"/>
    <n v="307"/>
    <n v="6.26"/>
    <n v="0"/>
    <n v="340"/>
    <n v="2482"/>
    <n v="0"/>
    <x v="0"/>
    <s v="OK"/>
  </r>
  <r>
    <s v="IT-10102"/>
    <s v="Relay L-102"/>
    <x v="3"/>
    <x v="3"/>
    <x v="0"/>
    <s v="2025-11"/>
    <n v="5.25"/>
    <n v="5.25"/>
    <n v="5.204809"/>
    <n v="7.3"/>
    <n v="60"/>
    <n v="53"/>
    <n v="260"/>
    <n v="131"/>
    <n v="681.83"/>
    <n v="76"/>
    <n v="55"/>
    <n v="1.56"/>
    <n v="0"/>
    <n v="495"/>
    <n v="3613.5"/>
    <n v="0"/>
    <x v="0"/>
    <s v="OK"/>
  </r>
  <r>
    <s v="IT-10102"/>
    <s v="Relay L-102"/>
    <x v="3"/>
    <x v="3"/>
    <x v="0"/>
    <s v="2025-12"/>
    <n v="5.14"/>
    <n v="5.14"/>
    <n v="5.1813700000000003"/>
    <n v="7.3"/>
    <n v="60"/>
    <n v="59"/>
    <n v="74"/>
    <n v="73"/>
    <n v="378.24"/>
    <n v="73"/>
    <n v="0"/>
    <n v="0.99"/>
    <n v="2"/>
    <n v="132"/>
    <n v="963.6"/>
    <n v="0"/>
    <x v="0"/>
    <s v="OK"/>
  </r>
  <r>
    <s v="IT-10102"/>
    <s v="Relay L-102"/>
    <x v="3"/>
    <x v="3"/>
    <x v="0"/>
    <s v="2026-01"/>
    <n v="5.16"/>
    <n v="5.16"/>
    <n v="5.1813700000000003"/>
    <n v="7.3"/>
    <n v="60"/>
    <m/>
    <n v="0"/>
    <n v="0"/>
    <n v="0"/>
    <n v="0"/>
    <n v="0"/>
    <n v="0"/>
    <n v="2"/>
    <n v="73"/>
    <n v="532.9"/>
    <n v="240"/>
    <x v="1"/>
    <s v="OK"/>
  </r>
  <r>
    <s v="IT-10102"/>
    <s v="Relay L-102"/>
    <x v="3"/>
    <x v="3"/>
    <x v="0"/>
    <s v="2026-02"/>
    <n v="5.16"/>
    <n v="5.16"/>
    <n v="5.16"/>
    <n v="7.49"/>
    <n v="60"/>
    <n v="59"/>
    <n v="958"/>
    <n v="711"/>
    <n v="3668.76"/>
    <n v="42"/>
    <n v="669"/>
    <n v="20.22"/>
    <n v="2"/>
    <n v="247"/>
    <n v="1850.03"/>
    <n v="0"/>
    <x v="0"/>
    <s v="OK"/>
  </r>
  <r>
    <s v="IT-10102"/>
    <s v="Relay L-102"/>
    <x v="3"/>
    <x v="3"/>
    <x v="0"/>
    <s v="2026-03"/>
    <n v="5.52"/>
    <n v="5.52"/>
    <n v="5.16"/>
    <n v="7.49"/>
    <n v="60"/>
    <m/>
    <n v="0"/>
    <n v="425"/>
    <n v="2193"/>
    <n v="76"/>
    <n v="349"/>
    <n v="9.02"/>
    <n v="2"/>
    <n v="286"/>
    <n v="2142.14"/>
    <n v="0"/>
    <x v="0"/>
    <s v="OK"/>
  </r>
  <r>
    <s v="IT-10102"/>
    <s v="Relay L-102"/>
    <x v="3"/>
    <x v="3"/>
    <x v="0"/>
    <s v="2026-04"/>
    <n v="5.49"/>
    <n v="5.49"/>
    <n v="5.221832"/>
    <n v="7.49"/>
    <n v="60"/>
    <n v="56"/>
    <n v="98"/>
    <n v="273"/>
    <n v="1425.56"/>
    <n v="76"/>
    <n v="197"/>
    <n v="4.43"/>
    <n v="2"/>
    <n v="250"/>
    <n v="1872.5"/>
    <n v="0"/>
    <x v="0"/>
    <s v="OK"/>
  </r>
  <r>
    <s v="IT-10102"/>
    <s v="Relay L-102"/>
    <x v="3"/>
    <x v="3"/>
    <x v="0"/>
    <s v="2026-05"/>
    <n v="5.53"/>
    <n v="5.53"/>
    <n v="5.4145969999999997"/>
    <n v="7.49"/>
    <n v="60"/>
    <n v="54"/>
    <n v="456"/>
    <n v="559"/>
    <n v="3026.76"/>
    <n v="76"/>
    <n v="483"/>
    <n v="10.41"/>
    <n v="4"/>
    <n v="170"/>
    <n v="1273.3"/>
    <n v="0"/>
    <x v="0"/>
    <s v="OK"/>
  </r>
  <r>
    <s v="IT-10102"/>
    <s v="Relay L-102"/>
    <x v="3"/>
    <x v="3"/>
    <x v="0"/>
    <s v="2026-06"/>
    <n v="5.54"/>
    <n v="5.54"/>
    <n v="5.4145969999999997"/>
    <n v="7.49"/>
    <n v="60"/>
    <m/>
    <n v="0"/>
    <n v="385"/>
    <n v="2084.62"/>
    <n v="17"/>
    <n v="368"/>
    <n v="8.43"/>
    <n v="4"/>
    <n v="174"/>
    <n v="1303.26"/>
    <n v="0"/>
    <x v="0"/>
    <s v="OK"/>
  </r>
  <r>
    <s v="IT-10102"/>
    <s v="Relay L-102"/>
    <x v="3"/>
    <x v="3"/>
    <x v="0"/>
    <s v="2026-07"/>
    <n v="5.46"/>
    <n v="5.46"/>
    <n v="5.4423849999999998"/>
    <n v="7.49"/>
    <n v="60"/>
    <n v="87"/>
    <n v="607"/>
    <n v="654"/>
    <n v="3559.32"/>
    <n v="34"/>
    <n v="620"/>
    <n v="12.6"/>
    <n v="2"/>
    <n v="338"/>
    <n v="2531.62"/>
    <n v="0"/>
    <x v="0"/>
    <s v="OK"/>
  </r>
  <r>
    <s v="IT-10102"/>
    <s v="Relay L-102"/>
    <x v="3"/>
    <x v="3"/>
    <x v="0"/>
    <s v="2026-08"/>
    <n v="5.53"/>
    <n v="5.53"/>
    <n v="5.44238"/>
    <n v="7.49"/>
    <n v="60"/>
    <m/>
    <n v="0"/>
    <n v="458"/>
    <n v="2492.61"/>
    <n v="76"/>
    <n v="382"/>
    <n v="8.5"/>
    <n v="3"/>
    <n v="196"/>
    <n v="1468.04"/>
    <n v="0"/>
    <x v="0"/>
    <s v="OK"/>
  </r>
  <r>
    <s v="IT-10103"/>
    <s v="Anchor bolt S-103"/>
    <x v="2"/>
    <x v="2"/>
    <x v="1"/>
    <s v="2024-09"/>
    <n v="569.83000000000004"/>
    <n v="569.83000000000004"/>
    <n v="563.37"/>
    <n v="799.49"/>
    <n v="40"/>
    <m/>
    <n v="0"/>
    <n v="14"/>
    <n v="7887.18"/>
    <n v="6"/>
    <n v="8"/>
    <n v="1.79"/>
    <n v="15"/>
    <n v="34"/>
    <n v="27182.66"/>
    <n v="0"/>
    <x v="0"/>
    <s v="OK"/>
  </r>
  <r>
    <s v="IT-10103"/>
    <s v="Anchor bolt S-103"/>
    <x v="2"/>
    <x v="2"/>
    <x v="1"/>
    <s v="2024-10"/>
    <n v="574.69000000000005"/>
    <n v="574.69000000000005"/>
    <n v="572.90934800000002"/>
    <n v="799.49"/>
    <n v="40"/>
    <n v="39"/>
    <n v="75"/>
    <n v="46"/>
    <n v="26353.83"/>
    <n v="12"/>
    <n v="34"/>
    <n v="4.76"/>
    <n v="10"/>
    <n v="43"/>
    <n v="34378.07"/>
    <n v="0"/>
    <x v="0"/>
    <s v="OK"/>
  </r>
  <r>
    <s v="IT-10103"/>
    <s v="Anchor bolt S-103"/>
    <x v="2"/>
    <x v="2"/>
    <x v="1"/>
    <s v="2024-11"/>
    <n v="571.30999999999995"/>
    <n v="571.30999999999995"/>
    <n v="572.90930200000003"/>
    <n v="799.49"/>
    <n v="40"/>
    <m/>
    <n v="0"/>
    <n v="43"/>
    <n v="24635.1"/>
    <n v="5"/>
    <n v="38"/>
    <n v="6.99"/>
    <n v="15"/>
    <n v="3"/>
    <n v="2398.4699999999998"/>
    <n v="0"/>
    <x v="0"/>
    <s v="OK"/>
  </r>
  <r>
    <s v="IT-10103"/>
    <s v="Anchor bolt S-103"/>
    <x v="2"/>
    <x v="2"/>
    <x v="1"/>
    <s v="2024-12"/>
    <n v="575.29999999999995"/>
    <n v="575.29999999999995"/>
    <n v="573.99874999999997"/>
    <n v="799.49"/>
    <n v="40"/>
    <n v="34"/>
    <n v="36"/>
    <n v="24"/>
    <n v="13775.97"/>
    <n v="10"/>
    <n v="14"/>
    <n v="3.12"/>
    <n v="2"/>
    <n v="55"/>
    <n v="43971.95"/>
    <n v="0"/>
    <x v="0"/>
    <s v="OK"/>
  </r>
  <r>
    <s v="IT-10103"/>
    <s v="Anchor bolt S-103"/>
    <x v="2"/>
    <x v="2"/>
    <x v="1"/>
    <s v="2025-01"/>
    <n v="591.29"/>
    <n v="591.29"/>
    <n v="584.373333"/>
    <n v="799.49"/>
    <n v="40"/>
    <n v="35"/>
    <n v="36"/>
    <n v="27"/>
    <n v="15778.08"/>
    <n v="7"/>
    <n v="20"/>
    <n v="3.9"/>
    <n v="8"/>
    <n v="33"/>
    <n v="26383.17"/>
    <n v="0"/>
    <x v="0"/>
    <s v="OK"/>
  </r>
  <r>
    <s v="IT-10103"/>
    <s v="Anchor bolt S-103"/>
    <x v="2"/>
    <x v="2"/>
    <x v="1"/>
    <s v="2025-02"/>
    <n v="583.13"/>
    <n v="583.13"/>
    <n v="583.66281300000003"/>
    <n v="835.98"/>
    <n v="40"/>
    <n v="37"/>
    <n v="36"/>
    <n v="32"/>
    <n v="18677.21"/>
    <n v="2"/>
    <n v="30"/>
    <n v="3.46"/>
    <n v="0"/>
    <n v="31"/>
    <n v="25915.38"/>
    <n v="0"/>
    <x v="0"/>
    <s v="OK"/>
  </r>
  <r>
    <s v="IT-10103"/>
    <s v="Anchor bolt S-103"/>
    <x v="2"/>
    <x v="2"/>
    <x v="1"/>
    <s v="2025-03"/>
    <n v="585.48"/>
    <n v="585.48"/>
    <n v="584.62480000000005"/>
    <n v="835.98"/>
    <n v="40"/>
    <n v="55"/>
    <n v="36"/>
    <n v="25"/>
    <n v="14615.62"/>
    <n v="12"/>
    <n v="13"/>
    <n v="3"/>
    <n v="2"/>
    <n v="43"/>
    <n v="35947.14"/>
    <n v="0"/>
    <x v="0"/>
    <s v="OK"/>
  </r>
  <r>
    <s v="IT-10103"/>
    <s v="Anchor bolt S-103"/>
    <x v="2"/>
    <x v="2"/>
    <x v="1"/>
    <s v="2025-04"/>
    <n v="593.66999999999996"/>
    <n v="593.66999999999996"/>
    <n v="584.62480000000005"/>
    <n v="835.98"/>
    <n v="40"/>
    <m/>
    <n v="0"/>
    <n v="0"/>
    <n v="0"/>
    <n v="0"/>
    <n v="0"/>
    <n v="0"/>
    <n v="2"/>
    <n v="25"/>
    <n v="20899.5"/>
    <n v="25"/>
    <x v="1"/>
    <s v="OK"/>
  </r>
  <r>
    <s v="IT-10103"/>
    <s v="Anchor bolt S-103"/>
    <x v="2"/>
    <x v="2"/>
    <x v="1"/>
    <s v="2025-05"/>
    <n v="596.16"/>
    <n v="596.16"/>
    <n v="596.16"/>
    <n v="835.98"/>
    <n v="40"/>
    <n v="38"/>
    <n v="99"/>
    <n v="48"/>
    <n v="28615.68"/>
    <n v="10"/>
    <n v="38"/>
    <n v="5.3"/>
    <n v="1"/>
    <n v="51"/>
    <n v="42634.98"/>
    <n v="0"/>
    <x v="0"/>
    <s v="OK"/>
  </r>
  <r>
    <s v="IT-10103"/>
    <s v="Anchor bolt S-103"/>
    <x v="2"/>
    <x v="2"/>
    <x v="1"/>
    <s v="2025-06"/>
    <n v="582.37"/>
    <n v="582.37"/>
    <n v="590.25"/>
    <n v="835.98"/>
    <n v="40"/>
    <n v="39"/>
    <n v="36"/>
    <n v="65"/>
    <n v="38366.25"/>
    <n v="5"/>
    <n v="60"/>
    <n v="8.89"/>
    <n v="6"/>
    <n v="19"/>
    <n v="15883.62"/>
    <n v="0"/>
    <x v="0"/>
    <s v="OK"/>
  </r>
  <r>
    <s v="IT-10103"/>
    <s v="Anchor bolt S-103"/>
    <x v="2"/>
    <x v="2"/>
    <x v="1"/>
    <s v="2025-07"/>
    <n v="577.91999999999996"/>
    <n v="577.91999999999996"/>
    <n v="585.85512500000004"/>
    <n v="835.98"/>
    <n v="40"/>
    <n v="39"/>
    <n v="36"/>
    <n v="80"/>
    <n v="46868.41"/>
    <n v="10"/>
    <n v="70"/>
    <n v="11.55"/>
    <n v="2"/>
    <n v="21"/>
    <n v="17555.580000000002"/>
    <n v="0"/>
    <x v="0"/>
    <s v="OK"/>
  </r>
  <r>
    <s v="IT-10103"/>
    <s v="Anchor bolt S-103"/>
    <x v="2"/>
    <x v="2"/>
    <x v="1"/>
    <s v="2025-08"/>
    <n v="576.86"/>
    <n v="576.86"/>
    <n v="583.06352900000002"/>
    <n v="835.98"/>
    <n v="40"/>
    <n v="61"/>
    <n v="36"/>
    <n v="85"/>
    <n v="49560.4"/>
    <n v="5"/>
    <n v="80"/>
    <n v="15.73"/>
    <n v="4"/>
    <n v="31"/>
    <n v="25915.38"/>
    <n v="0"/>
    <x v="0"/>
    <s v="OK"/>
  </r>
  <r>
    <s v="IT-10103"/>
    <s v="Anchor bolt S-103"/>
    <x v="2"/>
    <x v="2"/>
    <x v="1"/>
    <s v="2025-09"/>
    <n v="591.89"/>
    <n v="591.89"/>
    <n v="585.68959500000005"/>
    <n v="835.98"/>
    <n v="40"/>
    <n v="37"/>
    <n v="36"/>
    <n v="74"/>
    <n v="43341.03"/>
    <n v="8"/>
    <n v="66"/>
    <n v="9.82"/>
    <n v="7"/>
    <n v="47"/>
    <n v="39291.06"/>
    <n v="0"/>
    <x v="0"/>
    <s v="OK"/>
  </r>
  <r>
    <s v="IT-10103"/>
    <s v="Anchor bolt S-103"/>
    <x v="2"/>
    <x v="2"/>
    <x v="1"/>
    <s v="2025-10"/>
    <n v="591.42999999999995"/>
    <n v="591.42999999999995"/>
    <n v="585.68958899999996"/>
    <n v="835.98"/>
    <n v="40"/>
    <m/>
    <n v="0"/>
    <n v="73"/>
    <n v="42755.34"/>
    <n v="7"/>
    <n v="66"/>
    <n v="12.14"/>
    <n v="25"/>
    <n v="1"/>
    <n v="835.98"/>
    <n v="0"/>
    <x v="0"/>
    <s v="OK"/>
  </r>
  <r>
    <s v="IT-10103"/>
    <s v="Anchor bolt S-103"/>
    <x v="2"/>
    <x v="2"/>
    <x v="1"/>
    <s v="2025-11"/>
    <n v="587.80999999999995"/>
    <n v="587.80999999999995"/>
    <n v="586.61009999999999"/>
    <n v="835.98"/>
    <n v="40"/>
    <n v="34"/>
    <n v="56"/>
    <n v="100"/>
    <n v="58661.01"/>
    <n v="7"/>
    <n v="93"/>
    <n v="16.88"/>
    <n v="4"/>
    <n v="29"/>
    <n v="24243.42"/>
    <n v="0"/>
    <x v="0"/>
    <s v="OK"/>
  </r>
  <r>
    <s v="IT-10103"/>
    <s v="Anchor bolt S-103"/>
    <x v="2"/>
    <x v="2"/>
    <x v="1"/>
    <s v="2025-12"/>
    <n v="614.34"/>
    <n v="614.34"/>
    <n v="586.61011900000005"/>
    <n v="835.98"/>
    <n v="40"/>
    <m/>
    <n v="0"/>
    <n v="84"/>
    <n v="49275.25"/>
    <n v="4"/>
    <n v="80"/>
    <n v="24"/>
    <n v="3"/>
    <n v="16"/>
    <n v="13375.68"/>
    <n v="0"/>
    <x v="0"/>
    <s v="OK"/>
  </r>
  <r>
    <s v="IT-10103"/>
    <s v="Anchor bolt S-103"/>
    <x v="2"/>
    <x v="2"/>
    <x v="1"/>
    <s v="2026-01"/>
    <n v="612.9"/>
    <n v="612.9"/>
    <n v="596.66216199999997"/>
    <n v="835.98"/>
    <n v="40"/>
    <n v="40"/>
    <n v="52"/>
    <n v="111"/>
    <n v="66229.5"/>
    <n v="5"/>
    <n v="106"/>
    <n v="20.84"/>
    <n v="0"/>
    <n v="25"/>
    <n v="20899.5"/>
    <n v="0"/>
    <x v="0"/>
    <s v="OK"/>
  </r>
  <r>
    <s v="IT-10103"/>
    <s v="Anchor bolt S-103"/>
    <x v="2"/>
    <x v="2"/>
    <x v="1"/>
    <s v="2026-02"/>
    <n v="605.20000000000005"/>
    <n v="605.20000000000005"/>
    <n v="596.66217900000004"/>
    <n v="874.13"/>
    <n v="40"/>
    <m/>
    <n v="0"/>
    <n v="78"/>
    <n v="46539.65"/>
    <n v="10"/>
    <n v="68"/>
    <n v="13.55"/>
    <n v="6"/>
    <n v="33"/>
    <n v="28846.29"/>
    <n v="0"/>
    <x v="0"/>
    <s v="OK"/>
  </r>
  <r>
    <s v="IT-10103"/>
    <s v="Anchor bolt S-103"/>
    <x v="2"/>
    <x v="2"/>
    <x v="1"/>
    <s v="2026-03"/>
    <n v="592.54999999999995"/>
    <n v="592.54999999999995"/>
    <n v="596.66200000000003"/>
    <n v="874.13"/>
    <n v="40"/>
    <m/>
    <n v="0"/>
    <n v="20"/>
    <n v="11933.24"/>
    <n v="4"/>
    <n v="16"/>
    <n v="2.2200000000000002"/>
    <n v="10"/>
    <n v="58"/>
    <n v="50699.54"/>
    <n v="0"/>
    <x v="0"/>
    <s v="OK"/>
  </r>
  <r>
    <s v="IT-10103"/>
    <s v="Anchor bolt S-103"/>
    <x v="2"/>
    <x v="2"/>
    <x v="1"/>
    <s v="2026-04"/>
    <n v="597.37"/>
    <n v="597.37"/>
    <n v="597.15206899999998"/>
    <n v="874.13"/>
    <n v="40"/>
    <n v="34"/>
    <n v="45"/>
    <n v="58"/>
    <n v="34634.82"/>
    <n v="8"/>
    <n v="50"/>
    <n v="7.52"/>
    <n v="6"/>
    <n v="7"/>
    <n v="6118.91"/>
    <n v="0"/>
    <x v="0"/>
    <s v="OK"/>
  </r>
  <r>
    <s v="IT-10103"/>
    <s v="Anchor bolt S-103"/>
    <x v="2"/>
    <x v="2"/>
    <x v="1"/>
    <s v="2026-05"/>
    <n v="595.69000000000005"/>
    <n v="595.69000000000005"/>
    <n v="596.59207500000002"/>
    <n v="874.13"/>
    <n v="40"/>
    <n v="52"/>
    <n v="36"/>
    <n v="53"/>
    <n v="31619.38"/>
    <n v="4"/>
    <n v="49"/>
    <n v="6.57"/>
    <n v="4"/>
    <n v="41"/>
    <n v="35839.33"/>
    <n v="0"/>
    <x v="0"/>
    <s v="OK"/>
  </r>
  <r>
    <s v="IT-10103"/>
    <s v="Anchor bolt S-103"/>
    <x v="2"/>
    <x v="2"/>
    <x v="1"/>
    <s v="2026-06"/>
    <n v="590.45000000000005"/>
    <n v="590.45000000000005"/>
    <n v="594.10759499999995"/>
    <n v="874.13"/>
    <n v="40"/>
    <n v="38"/>
    <n v="36"/>
    <n v="79"/>
    <n v="46934.5"/>
    <n v="8"/>
    <n v="71"/>
    <n v="17.71"/>
    <n v="4"/>
    <n v="10"/>
    <n v="8741.2999999999993"/>
    <n v="0"/>
    <x v="0"/>
    <s v="OK"/>
  </r>
  <r>
    <s v="IT-10103"/>
    <s v="Anchor bolt S-103"/>
    <x v="2"/>
    <x v="2"/>
    <x v="1"/>
    <s v="2026-07"/>
    <n v="612.12"/>
    <n v="612.12"/>
    <n v="600.35985300000004"/>
    <n v="874.13"/>
    <n v="40"/>
    <n v="39"/>
    <n v="42"/>
    <n v="68"/>
    <n v="40824.47"/>
    <n v="7"/>
    <n v="61"/>
    <n v="8.59"/>
    <n v="6"/>
    <n v="53"/>
    <n v="46328.89"/>
    <n v="0"/>
    <x v="0"/>
    <s v="OK"/>
  </r>
  <r>
    <s v="IT-10103"/>
    <s v="Anchor bolt S-103"/>
    <x v="2"/>
    <x v="2"/>
    <x v="1"/>
    <s v="2026-08"/>
    <n v="609.05999999999995"/>
    <n v="609.05999999999995"/>
    <n v="600.35978299999999"/>
    <n v="874.13"/>
    <n v="40"/>
    <m/>
    <n v="0"/>
    <n v="46"/>
    <n v="27616.55"/>
    <n v="11"/>
    <n v="35"/>
    <n v="7.11"/>
    <n v="4"/>
    <n v="22"/>
    <n v="19230.86"/>
    <n v="0"/>
    <x v="0"/>
    <s v="OK"/>
  </r>
  <r>
    <s v="IT-10104"/>
    <s v="Hex nut pack S-104"/>
    <x v="2"/>
    <x v="2"/>
    <x v="0"/>
    <s v="2024-09"/>
    <n v="14.5"/>
    <n v="14.5"/>
    <n v="14.589029999999999"/>
    <n v="21.18"/>
    <n v="30"/>
    <n v="30"/>
    <n v="241"/>
    <n v="536"/>
    <n v="7819.72"/>
    <n v="31"/>
    <n v="505"/>
    <n v="11.7"/>
    <n v="4"/>
    <n v="117"/>
    <n v="2478.06"/>
    <n v="0"/>
    <x v="0"/>
    <s v="OK"/>
  </r>
  <r>
    <s v="IT-10104"/>
    <s v="Hex nut pack S-104"/>
    <x v="2"/>
    <x v="2"/>
    <x v="0"/>
    <s v="2024-10"/>
    <n v="14.44"/>
    <n v="14.44"/>
    <n v="14.565597"/>
    <n v="21.18"/>
    <n v="30"/>
    <n v="30"/>
    <n v="100"/>
    <n v="486"/>
    <n v="7078.88"/>
    <n v="12"/>
    <n v="474"/>
    <n v="12.48"/>
    <n v="0"/>
    <n v="150"/>
    <n v="3177"/>
    <n v="0"/>
    <x v="0"/>
    <s v="OK"/>
  </r>
  <r>
    <s v="IT-10104"/>
    <s v="Hex nut pack S-104"/>
    <x v="2"/>
    <x v="2"/>
    <x v="0"/>
    <s v="2024-11"/>
    <n v="14.86"/>
    <n v="14.86"/>
    <n v="14.65293"/>
    <n v="21.18"/>
    <n v="30"/>
    <n v="28"/>
    <n v="205"/>
    <n v="587"/>
    <n v="8601.27"/>
    <n v="25"/>
    <n v="562"/>
    <n v="20.57"/>
    <n v="5"/>
    <n v="104"/>
    <n v="2202.7199999999998"/>
    <n v="0"/>
    <x v="0"/>
    <s v="OK"/>
  </r>
  <r>
    <s v="IT-10104"/>
    <s v="Hex nut pack S-104"/>
    <x v="2"/>
    <x v="2"/>
    <x v="0"/>
    <s v="2024-12"/>
    <n v="15.06"/>
    <n v="15.06"/>
    <n v="14.737099000000001"/>
    <n v="21.18"/>
    <n v="30"/>
    <n v="30"/>
    <n v="153"/>
    <n v="524"/>
    <n v="7722.24"/>
    <n v="62"/>
    <n v="462"/>
    <n v="14.65"/>
    <n v="1"/>
    <n v="216"/>
    <n v="4574.88"/>
    <n v="0"/>
    <x v="0"/>
    <s v="OK"/>
  </r>
  <r>
    <s v="IT-10104"/>
    <s v="Hex nut pack S-104"/>
    <x v="2"/>
    <x v="2"/>
    <x v="0"/>
    <s v="2025-01"/>
    <n v="14.88"/>
    <n v="14.88"/>
    <n v="14.7371"/>
    <n v="21.18"/>
    <n v="30"/>
    <m/>
    <n v="0"/>
    <n v="300"/>
    <n v="4421.13"/>
    <n v="31"/>
    <n v="269"/>
    <n v="7.25"/>
    <n v="0"/>
    <n v="224"/>
    <n v="4744.32"/>
    <n v="0"/>
    <x v="0"/>
    <s v="OK"/>
  </r>
  <r>
    <s v="IT-10104"/>
    <s v="Hex nut pack S-104"/>
    <x v="2"/>
    <x v="2"/>
    <x v="0"/>
    <s v="2025-02"/>
    <n v="14.95"/>
    <n v="14.95"/>
    <n v="14.855793"/>
    <n v="21.85"/>
    <n v="30"/>
    <n v="28"/>
    <n v="378"/>
    <n v="454"/>
    <n v="6744.53"/>
    <n v="55"/>
    <n v="399"/>
    <n v="8.7899999999999991"/>
    <n v="0"/>
    <n v="224"/>
    <n v="4894.3999999999996"/>
    <n v="0"/>
    <x v="0"/>
    <s v="OK"/>
  </r>
  <r>
    <s v="IT-10104"/>
    <s v="Hex nut pack S-104"/>
    <x v="2"/>
    <x v="2"/>
    <x v="0"/>
    <s v="2025-03"/>
    <n v="14.8"/>
    <n v="14.8"/>
    <n v="14.855798999999999"/>
    <n v="21.85"/>
    <n v="30"/>
    <m/>
    <n v="0"/>
    <n v="288"/>
    <n v="4278.47"/>
    <n v="18"/>
    <n v="270"/>
    <n v="6.03"/>
    <n v="3"/>
    <n v="166"/>
    <n v="3627.1"/>
    <n v="0"/>
    <x v="0"/>
    <s v="OK"/>
  </r>
  <r>
    <s v="IT-10104"/>
    <s v="Hex nut pack S-104"/>
    <x v="2"/>
    <x v="2"/>
    <x v="0"/>
    <s v="2025-04"/>
    <n v="15.2"/>
    <n v="15.2"/>
    <n v="15.028508"/>
    <n v="21.85"/>
    <n v="30"/>
    <n v="48"/>
    <n v="290"/>
    <n v="362"/>
    <n v="5440.32"/>
    <n v="55"/>
    <n v="307"/>
    <n v="7.6"/>
    <n v="4"/>
    <n v="216"/>
    <n v="4719.6000000000004"/>
    <n v="0"/>
    <x v="0"/>
    <s v="OK"/>
  </r>
  <r>
    <s v="IT-10104"/>
    <s v="Hex nut pack S-104"/>
    <x v="2"/>
    <x v="2"/>
    <x v="0"/>
    <s v="2025-05"/>
    <n v="15.33"/>
    <n v="15.33"/>
    <n v="15.093774"/>
    <n v="21.85"/>
    <n v="30"/>
    <n v="35"/>
    <n v="100"/>
    <n v="257"/>
    <n v="3879.1"/>
    <n v="31"/>
    <n v="226"/>
    <n v="5.75"/>
    <n v="1"/>
    <n v="205"/>
    <n v="4479.25"/>
    <n v="0"/>
    <x v="0"/>
    <s v="OK"/>
  </r>
  <r>
    <s v="IT-10104"/>
    <s v="Hex nut pack S-104"/>
    <x v="2"/>
    <x v="2"/>
    <x v="0"/>
    <s v="2025-06"/>
    <n v="15.13"/>
    <n v="15.13"/>
    <n v="15.115811000000001"/>
    <n v="21.85"/>
    <n v="30"/>
    <n v="28"/>
    <n v="399"/>
    <n v="370"/>
    <n v="5592.85"/>
    <n v="49"/>
    <n v="321"/>
    <n v="6.8"/>
    <n v="2"/>
    <n v="286"/>
    <n v="6249.1"/>
    <n v="0"/>
    <x v="0"/>
    <s v="OK"/>
  </r>
  <r>
    <s v="IT-10104"/>
    <s v="Hex nut pack S-104"/>
    <x v="2"/>
    <x v="2"/>
    <x v="0"/>
    <s v="2025-07"/>
    <n v="15.28"/>
    <n v="15.28"/>
    <n v="15.195263000000001"/>
    <n v="21.85"/>
    <n v="30"/>
    <n v="28"/>
    <n v="347"/>
    <n v="418"/>
    <n v="6351.62"/>
    <n v="55"/>
    <n v="363"/>
    <n v="6.95"/>
    <n v="2"/>
    <n v="299"/>
    <n v="6533.15"/>
    <n v="0"/>
    <x v="0"/>
    <s v="OK"/>
  </r>
  <r>
    <s v="IT-10104"/>
    <s v="Hex nut pack S-104"/>
    <x v="2"/>
    <x v="2"/>
    <x v="0"/>
    <s v="2025-08"/>
    <n v="15.2"/>
    <n v="15.2"/>
    <n v="15.195251000000001"/>
    <n v="21.85"/>
    <n v="30"/>
    <m/>
    <n v="0"/>
    <n v="358"/>
    <n v="5439.9"/>
    <n v="18"/>
    <n v="340"/>
    <n v="7.29"/>
    <n v="0"/>
    <n v="60"/>
    <n v="1311"/>
    <n v="0"/>
    <x v="0"/>
    <s v="OK"/>
  </r>
  <r>
    <s v="IT-10104"/>
    <s v="Hex nut pack S-104"/>
    <x v="2"/>
    <x v="2"/>
    <x v="0"/>
    <s v="2025-09"/>
    <n v="15.3"/>
    <n v="15.3"/>
    <n v="15.249661"/>
    <n v="21.85"/>
    <n v="30"/>
    <n v="52"/>
    <n v="387"/>
    <n v="383"/>
    <n v="5840.62"/>
    <n v="12"/>
    <n v="371"/>
    <n v="6.98"/>
    <n v="1"/>
    <n v="362"/>
    <n v="7909.7"/>
    <n v="0"/>
    <x v="0"/>
    <s v="OK"/>
  </r>
  <r>
    <s v="IT-10104"/>
    <s v="Hex nut pack S-104"/>
    <x v="2"/>
    <x v="2"/>
    <x v="0"/>
    <s v="2025-10"/>
    <n v="15.05"/>
    <n v="15.05"/>
    <n v="15.249658999999999"/>
    <n v="21.85"/>
    <n v="30"/>
    <m/>
    <n v="0"/>
    <n v="205"/>
    <n v="3126.18"/>
    <n v="62"/>
    <n v="143"/>
    <n v="4.49"/>
    <n v="2"/>
    <n v="178"/>
    <n v="3889.3"/>
    <n v="0"/>
    <x v="0"/>
    <s v="OK"/>
  </r>
  <r>
    <s v="IT-10104"/>
    <s v="Hex nut pack S-104"/>
    <x v="2"/>
    <x v="2"/>
    <x v="0"/>
    <s v="2025-11"/>
    <n v="14.81"/>
    <n v="14.81"/>
    <n v="14.975078999999999"/>
    <n v="21.85"/>
    <n v="30"/>
    <n v="26"/>
    <n v="341"/>
    <n v="378"/>
    <n v="5660.58"/>
    <n v="18"/>
    <n v="360"/>
    <n v="6.94"/>
    <n v="2"/>
    <n v="168"/>
    <n v="3670.8"/>
    <n v="0"/>
    <x v="0"/>
    <s v="OK"/>
  </r>
  <r>
    <s v="IT-10104"/>
    <s v="Hex nut pack S-104"/>
    <x v="2"/>
    <x v="2"/>
    <x v="0"/>
    <s v="2025-12"/>
    <n v="15.43"/>
    <n v="15.43"/>
    <n v="14.975057"/>
    <n v="21.85"/>
    <n v="30"/>
    <m/>
    <n v="0"/>
    <n v="176"/>
    <n v="2635.61"/>
    <n v="25"/>
    <n v="151"/>
    <n v="4.22"/>
    <n v="1"/>
    <n v="202"/>
    <n v="4413.7"/>
    <n v="0"/>
    <x v="0"/>
    <s v="OK"/>
  </r>
  <r>
    <s v="IT-10104"/>
    <s v="Hex nut pack S-104"/>
    <x v="2"/>
    <x v="2"/>
    <x v="0"/>
    <s v="2026-01"/>
    <n v="15.51"/>
    <n v="15.51"/>
    <n v="15.307539"/>
    <n v="21.85"/>
    <n v="30"/>
    <n v="51"/>
    <n v="289"/>
    <n v="317"/>
    <n v="4852.49"/>
    <n v="37"/>
    <n v="280"/>
    <n v="8.0399999999999991"/>
    <n v="3"/>
    <n v="148"/>
    <n v="3233.8"/>
    <n v="0"/>
    <x v="0"/>
    <s v="OK"/>
  </r>
  <r>
    <s v="IT-10104"/>
    <s v="Hex nut pack S-104"/>
    <x v="2"/>
    <x v="2"/>
    <x v="0"/>
    <s v="2026-02"/>
    <n v="15.17"/>
    <n v="15.17"/>
    <n v="15.232118"/>
    <n v="22.54"/>
    <n v="30"/>
    <n v="43"/>
    <n v="385"/>
    <n v="491"/>
    <n v="7478.97"/>
    <n v="18"/>
    <n v="473"/>
    <n v="11.25"/>
    <n v="3"/>
    <n v="211"/>
    <n v="4755.9399999999996"/>
    <n v="0"/>
    <x v="0"/>
    <s v="OK"/>
  </r>
  <r>
    <s v="IT-10104"/>
    <s v="Hex nut pack S-104"/>
    <x v="2"/>
    <x v="2"/>
    <x v="0"/>
    <s v="2026-03"/>
    <n v="15.35"/>
    <n v="15.35"/>
    <n v="15.274924"/>
    <n v="22.54"/>
    <n v="30"/>
    <n v="28"/>
    <n v="280"/>
    <n v="719"/>
    <n v="10982.67"/>
    <n v="31"/>
    <n v="688"/>
    <n v="22.49"/>
    <n v="7"/>
    <n v="52"/>
    <n v="1172.08"/>
    <n v="0"/>
    <x v="0"/>
    <s v="OK"/>
  </r>
  <r>
    <s v="IT-10104"/>
    <s v="Hex nut pack S-104"/>
    <x v="2"/>
    <x v="2"/>
    <x v="0"/>
    <s v="2026-04"/>
    <n v="15.26"/>
    <n v="15.26"/>
    <n v="15.273104999999999"/>
    <n v="22.54"/>
    <n v="30"/>
    <n v="27"/>
    <n v="100"/>
    <n v="583"/>
    <n v="8904.2199999999993"/>
    <n v="49"/>
    <n v="534"/>
    <n v="14.85"/>
    <n v="2"/>
    <n v="236"/>
    <n v="5319.44"/>
    <n v="0"/>
    <x v="0"/>
    <s v="OK"/>
  </r>
  <r>
    <s v="IT-10104"/>
    <s v="Hex nut pack S-104"/>
    <x v="2"/>
    <x v="2"/>
    <x v="0"/>
    <s v="2026-05"/>
    <n v="15.65"/>
    <n v="15.65"/>
    <n v="15.328291"/>
    <n v="22.54"/>
    <n v="30"/>
    <n v="28"/>
    <n v="100"/>
    <n v="509"/>
    <n v="7802.1"/>
    <n v="18"/>
    <n v="491"/>
    <n v="14.48"/>
    <n v="1"/>
    <n v="174"/>
    <n v="3921.96"/>
    <n v="0"/>
    <x v="0"/>
    <s v="OK"/>
  </r>
  <r>
    <s v="IT-10104"/>
    <s v="Hex nut pack S-104"/>
    <x v="2"/>
    <x v="2"/>
    <x v="0"/>
    <s v="2026-06"/>
    <n v="15.43"/>
    <n v="15.43"/>
    <n v="15.328301"/>
    <n v="22.54"/>
    <n v="30"/>
    <m/>
    <n v="0"/>
    <n v="312"/>
    <n v="4782.43"/>
    <n v="31"/>
    <n v="281"/>
    <n v="6.68"/>
    <n v="0"/>
    <n v="197"/>
    <n v="4440.38"/>
    <n v="0"/>
    <x v="0"/>
    <s v="OK"/>
  </r>
  <r>
    <s v="IT-10104"/>
    <s v="Hex nut pack S-104"/>
    <x v="2"/>
    <x v="2"/>
    <x v="0"/>
    <s v="2026-07"/>
    <n v="15.55"/>
    <n v="15.55"/>
    <n v="15.441749"/>
    <n v="22.54"/>
    <n v="30"/>
    <n v="27"/>
    <n v="327"/>
    <n v="526"/>
    <n v="8122.36"/>
    <n v="31"/>
    <n v="495"/>
    <n v="14.28"/>
    <n v="10"/>
    <n v="113"/>
    <n v="2547.02"/>
    <n v="0"/>
    <x v="0"/>
    <s v="OK"/>
  </r>
  <r>
    <s v="IT-10104"/>
    <s v="Hex nut pack S-104"/>
    <x v="2"/>
    <x v="2"/>
    <x v="0"/>
    <s v="2026-08"/>
    <n v="15.55"/>
    <n v="15.55"/>
    <n v="15.477643"/>
    <n v="22.54"/>
    <n v="30"/>
    <n v="26"/>
    <n v="261"/>
    <n v="649"/>
    <n v="10044.99"/>
    <n v="37"/>
    <n v="612"/>
    <n v="19.04"/>
    <n v="0"/>
    <n v="138"/>
    <n v="3110.52"/>
    <n v="0"/>
    <x v="0"/>
    <s v="OK"/>
  </r>
  <r>
    <s v="IT-10105"/>
    <s v="Filter cartridge 20-105"/>
    <x v="1"/>
    <x v="1"/>
    <x v="1"/>
    <s v="2024-09"/>
    <n v="256.5"/>
    <n v="276.41000000000003"/>
    <n v="278.14925899999997"/>
    <n v="393.81"/>
    <n v="36"/>
    <n v="33"/>
    <n v="58"/>
    <n v="135"/>
    <n v="37550.15"/>
    <n v="11"/>
    <n v="124"/>
    <n v="19.940000000000001"/>
    <n v="5"/>
    <n v="5"/>
    <n v="1969.05"/>
    <n v="0"/>
    <x v="0"/>
    <s v="OK"/>
  </r>
  <r>
    <s v="IT-10105"/>
    <s v="Filter cartridge 20-105"/>
    <x v="1"/>
    <x v="1"/>
    <x v="1"/>
    <s v="2024-10"/>
    <n v="260.19"/>
    <n v="280.39"/>
    <n v="278.589427"/>
    <n v="393.81"/>
    <n v="36"/>
    <n v="33"/>
    <n v="33"/>
    <n v="157"/>
    <n v="43738.54"/>
    <n v="6"/>
    <n v="151"/>
    <n v="27.88"/>
    <n v="7"/>
    <n v="11"/>
    <n v="4331.91"/>
    <n v="0"/>
    <x v="0"/>
    <s v="OK"/>
  </r>
  <r>
    <s v="IT-10105"/>
    <s v="Filter cartridge 20-105"/>
    <x v="1"/>
    <x v="1"/>
    <x v="1"/>
    <s v="2024-11"/>
    <n v="262.22000000000003"/>
    <n v="282.58"/>
    <n v="278.589429"/>
    <n v="393.81"/>
    <n v="36"/>
    <m/>
    <n v="0"/>
    <n v="105"/>
    <n v="29251.89"/>
    <n v="8"/>
    <n v="97"/>
    <n v="20.07"/>
    <n v="5"/>
    <n v="52"/>
    <n v="20478.12"/>
    <n v="0"/>
    <x v="0"/>
    <s v="OK"/>
  </r>
  <r>
    <s v="IT-10105"/>
    <s v="Filter cartridge 20-105"/>
    <x v="1"/>
    <x v="1"/>
    <x v="1"/>
    <s v="2024-12"/>
    <n v="263.83"/>
    <n v="284.31"/>
    <n v="279.89339100000001"/>
    <n v="393.81"/>
    <n v="36"/>
    <n v="64"/>
    <n v="31"/>
    <n v="115"/>
    <n v="32187.74"/>
    <n v="11"/>
    <n v="104"/>
    <n v="17.989999999999998"/>
    <n v="7"/>
    <n v="21"/>
    <n v="8270.01"/>
    <n v="0"/>
    <x v="0"/>
    <s v="OK"/>
  </r>
  <r>
    <s v="IT-10105"/>
    <s v="Filter cartridge 20-105"/>
    <x v="1"/>
    <x v="1"/>
    <x v="1"/>
    <s v="2025-01"/>
    <n v="269.98"/>
    <n v="290.94"/>
    <n v="280.77709700000003"/>
    <n v="393.81"/>
    <n v="36"/>
    <n v="34"/>
    <n v="10"/>
    <n v="93"/>
    <n v="26112.27"/>
    <n v="13"/>
    <n v="80"/>
    <n v="11.64"/>
    <n v="11"/>
    <n v="32"/>
    <n v="12601.92"/>
    <n v="0"/>
    <x v="0"/>
    <s v="OK"/>
  </r>
  <r>
    <s v="IT-10105"/>
    <s v="Filter cartridge 20-105"/>
    <x v="1"/>
    <x v="1"/>
    <x v="1"/>
    <s v="2025-02"/>
    <n v="268.51"/>
    <n v="289.35000000000002"/>
    <n v="283.73540000000003"/>
    <n v="413.84"/>
    <n v="36"/>
    <n v="32"/>
    <n v="49"/>
    <n v="100"/>
    <n v="28373.54"/>
    <n v="4"/>
    <n v="96"/>
    <n v="13.53"/>
    <n v="3"/>
    <n v="42"/>
    <n v="17381.28"/>
    <n v="0"/>
    <x v="0"/>
    <s v="OK"/>
  </r>
  <r>
    <s v="IT-10105"/>
    <s v="Filter cartridge 20-105"/>
    <x v="1"/>
    <x v="1"/>
    <x v="1"/>
    <s v="2025-03"/>
    <n v="267.79000000000002"/>
    <n v="288.58"/>
    <n v="285.284381"/>
    <n v="413.84"/>
    <n v="36"/>
    <n v="31"/>
    <n v="47"/>
    <n v="105"/>
    <n v="29954.86"/>
    <n v="10"/>
    <n v="95"/>
    <n v="11.64"/>
    <n v="3"/>
    <n v="42"/>
    <n v="17381.28"/>
    <n v="0"/>
    <x v="0"/>
    <s v="OK"/>
  </r>
  <r>
    <s v="IT-10105"/>
    <s v="Filter cartridge 20-105"/>
    <x v="1"/>
    <x v="1"/>
    <x v="1"/>
    <s v="2025-04"/>
    <n v="270.48"/>
    <n v="291.48"/>
    <n v="286.19111099999998"/>
    <n v="413.84"/>
    <n v="36"/>
    <n v="35"/>
    <n v="18"/>
    <n v="72"/>
    <n v="20605.759999999998"/>
    <n v="4"/>
    <n v="68"/>
    <n v="6.78"/>
    <n v="10"/>
    <n v="51"/>
    <n v="21105.84"/>
    <n v="0"/>
    <x v="0"/>
    <s v="OK"/>
  </r>
  <r>
    <s v="IT-10105"/>
    <s v="Filter cartridge 20-105"/>
    <x v="1"/>
    <x v="1"/>
    <x v="1"/>
    <s v="2025-05"/>
    <n v="273.45999999999998"/>
    <n v="294.69"/>
    <n v="289.27471400000002"/>
    <n v="413.84"/>
    <n v="36"/>
    <n v="54"/>
    <n v="41"/>
    <n v="70"/>
    <n v="20249.23"/>
    <n v="13"/>
    <n v="57"/>
    <n v="6.76"/>
    <n v="6"/>
    <n v="43"/>
    <n v="17795.12"/>
    <n v="0"/>
    <x v="0"/>
    <s v="OK"/>
  </r>
  <r>
    <s v="IT-10105"/>
    <s v="Filter cartridge 20-105"/>
    <x v="1"/>
    <x v="1"/>
    <x v="1"/>
    <s v="2025-06"/>
    <n v="268.52999999999997"/>
    <n v="289.38"/>
    <n v="289.31418600000001"/>
    <n v="413.84"/>
    <n v="36"/>
    <n v="36"/>
    <n v="42"/>
    <n v="43"/>
    <n v="12440.51"/>
    <n v="14"/>
    <n v="29"/>
    <n v="3.43"/>
    <n v="1"/>
    <n v="69"/>
    <n v="28554.959999999999"/>
    <n v="0"/>
    <x v="0"/>
    <s v="OK"/>
  </r>
  <r>
    <s v="IT-10105"/>
    <s v="Filter cartridge 20-105"/>
    <x v="1"/>
    <x v="1"/>
    <x v="1"/>
    <s v="2025-07"/>
    <n v="269.19"/>
    <n v="290.08999999999997"/>
    <n v="289.71938499999999"/>
    <n v="413.84"/>
    <n v="36"/>
    <n v="33"/>
    <n v="47"/>
    <n v="65"/>
    <n v="18831.759999999998"/>
    <n v="10"/>
    <n v="55"/>
    <n v="6.24"/>
    <n v="0"/>
    <n v="25"/>
    <n v="10346"/>
    <n v="0"/>
    <x v="0"/>
    <s v="OK"/>
  </r>
  <r>
    <s v="IT-10105"/>
    <s v="Filter cartridge 20-105"/>
    <x v="1"/>
    <x v="1"/>
    <x v="1"/>
    <s v="2025-08"/>
    <n v="270.44"/>
    <n v="291.43"/>
    <n v="290.86841099999998"/>
    <n v="413.84"/>
    <n v="36"/>
    <n v="34"/>
    <n v="133"/>
    <n v="151"/>
    <n v="43921.13"/>
    <n v="11"/>
    <n v="140"/>
    <n v="14.07"/>
    <n v="2"/>
    <n v="47"/>
    <n v="19450.48"/>
    <n v="0"/>
    <x v="0"/>
    <s v="OK"/>
  </r>
  <r>
    <s v="IT-10105"/>
    <s v="Filter cartridge 20-105"/>
    <x v="1"/>
    <x v="1"/>
    <x v="1"/>
    <s v="2025-09"/>
    <n v="269.76"/>
    <n v="290.7"/>
    <n v="290.868448"/>
    <n v="413.84"/>
    <n v="36"/>
    <m/>
    <n v="0"/>
    <n v="116"/>
    <n v="33740.74"/>
    <n v="6"/>
    <n v="110"/>
    <n v="14.25"/>
    <n v="0"/>
    <n v="35"/>
    <n v="14484.4"/>
    <n v="0"/>
    <x v="0"/>
    <s v="OK"/>
  </r>
  <r>
    <s v="IT-10105"/>
    <s v="Filter cartridge 20-105"/>
    <x v="1"/>
    <x v="1"/>
    <x v="1"/>
    <s v="2025-10"/>
    <n v="270.02999999999997"/>
    <n v="290.99"/>
    <n v="290.90239100000002"/>
    <n v="413.84"/>
    <n v="36"/>
    <n v="61"/>
    <n v="45"/>
    <n v="92"/>
    <n v="26763.02"/>
    <n v="8"/>
    <n v="84"/>
    <n v="8.01"/>
    <n v="5"/>
    <n v="69"/>
    <n v="28554.959999999999"/>
    <n v="0"/>
    <x v="0"/>
    <s v="OK"/>
  </r>
  <r>
    <s v="IT-10105"/>
    <s v="Filter cartridge 20-105"/>
    <x v="1"/>
    <x v="1"/>
    <x v="1"/>
    <s v="2025-11"/>
    <n v="271.51"/>
    <n v="292.58999999999997"/>
    <n v="291.27430800000002"/>
    <n v="413.84"/>
    <n v="36"/>
    <n v="32"/>
    <n v="26"/>
    <n v="65"/>
    <n v="18932.830000000002"/>
    <n v="7"/>
    <n v="58"/>
    <n v="5.38"/>
    <n v="7"/>
    <n v="53"/>
    <n v="21933.52"/>
    <n v="0"/>
    <x v="0"/>
    <s v="OK"/>
  </r>
  <r>
    <s v="IT-10105"/>
    <s v="Filter cartridge 20-105"/>
    <x v="1"/>
    <x v="1"/>
    <x v="1"/>
    <s v="2025-12"/>
    <n v="273.02999999999997"/>
    <n v="294.22000000000003"/>
    <n v="292.94358"/>
    <n v="413.84"/>
    <n v="36"/>
    <n v="31"/>
    <n v="85"/>
    <n v="81"/>
    <n v="23728.43"/>
    <n v="14"/>
    <n v="67"/>
    <n v="5.57"/>
    <n v="1"/>
    <n v="69"/>
    <n v="28554.959999999999"/>
    <n v="0"/>
    <x v="0"/>
    <s v="OK"/>
  </r>
  <r>
    <s v="IT-10105"/>
    <s v="Filter cartridge 20-105"/>
    <x v="1"/>
    <x v="1"/>
    <x v="1"/>
    <s v="2026-01"/>
    <n v="280.54000000000002"/>
    <n v="302.32"/>
    <n v="292.94354800000002"/>
    <n v="413.84"/>
    <n v="36"/>
    <m/>
    <n v="0"/>
    <n v="31"/>
    <n v="9081.25"/>
    <n v="7"/>
    <n v="24"/>
    <n v="2.37"/>
    <n v="3"/>
    <n v="50"/>
    <n v="20692"/>
    <n v="0"/>
    <x v="0"/>
    <s v="OK"/>
  </r>
  <r>
    <s v="IT-10105"/>
    <s v="Filter cartridge 20-105"/>
    <x v="1"/>
    <x v="1"/>
    <x v="1"/>
    <s v="2026-02"/>
    <n v="283.08999999999997"/>
    <n v="305.07"/>
    <n v="292.94354800000002"/>
    <n v="434.89"/>
    <n v="36"/>
    <m/>
    <n v="0"/>
    <n v="0"/>
    <n v="0"/>
    <n v="0"/>
    <n v="0"/>
    <n v="0"/>
    <n v="0"/>
    <n v="31"/>
    <n v="13481.59"/>
    <n v="3"/>
    <x v="1"/>
    <s v="OK"/>
  </r>
  <r>
    <s v="IT-10105"/>
    <s v="Filter cartridge 20-105"/>
    <x v="1"/>
    <x v="1"/>
    <x v="1"/>
    <s v="2026-03"/>
    <n v="280.95"/>
    <n v="302.76"/>
    <n v="302.76"/>
    <n v="434.89"/>
    <n v="36"/>
    <n v="31"/>
    <n v="161"/>
    <n v="124"/>
    <n v="37542.239999999998"/>
    <n v="8"/>
    <n v="116"/>
    <n v="13.51"/>
    <n v="9"/>
    <n v="37"/>
    <n v="16090.93"/>
    <n v="0"/>
    <x v="0"/>
    <s v="OK"/>
  </r>
  <r>
    <s v="IT-10105"/>
    <s v="Filter cartridge 20-105"/>
    <x v="1"/>
    <x v="1"/>
    <x v="1"/>
    <s v="2026-04"/>
    <n v="280.27"/>
    <n v="302.02999999999997"/>
    <n v="302.76"/>
    <n v="434.89"/>
    <n v="36"/>
    <m/>
    <n v="0"/>
    <n v="115"/>
    <n v="34817.4"/>
    <n v="7"/>
    <n v="108"/>
    <n v="18.989999999999998"/>
    <n v="18"/>
    <n v="9"/>
    <n v="3914.01"/>
    <n v="0"/>
    <x v="0"/>
    <s v="OK"/>
  </r>
  <r>
    <s v="IT-10105"/>
    <s v="Filter cartridge 20-105"/>
    <x v="1"/>
    <x v="1"/>
    <x v="1"/>
    <s v="2026-05"/>
    <n v="280.33999999999997"/>
    <n v="302.10000000000002"/>
    <n v="302.634478"/>
    <n v="434.89"/>
    <n v="36"/>
    <n v="34"/>
    <n v="27"/>
    <n v="67"/>
    <n v="20276.509999999998"/>
    <n v="13"/>
    <n v="54"/>
    <n v="7.28"/>
    <n v="3"/>
    <n v="75"/>
    <n v="32616.75"/>
    <n v="0"/>
    <x v="0"/>
    <s v="OK"/>
  </r>
  <r>
    <s v="IT-10105"/>
    <s v="Filter cartridge 20-105"/>
    <x v="1"/>
    <x v="1"/>
    <x v="1"/>
    <s v="2026-06"/>
    <n v="275.18"/>
    <n v="296.54000000000002"/>
    <n v="302.634545"/>
    <n v="434.89"/>
    <n v="36"/>
    <m/>
    <n v="0"/>
    <n v="11"/>
    <n v="3328.98"/>
    <n v="10"/>
    <n v="1"/>
    <n v="1.02"/>
    <n v="3"/>
    <n v="56"/>
    <n v="24353.84"/>
    <n v="0"/>
    <x v="0"/>
    <s v="OK"/>
  </r>
  <r>
    <s v="IT-10105"/>
    <s v="Filter cartridge 20-105"/>
    <x v="1"/>
    <x v="1"/>
    <x v="1"/>
    <s v="2026-07"/>
    <n v="279.48"/>
    <n v="301.18"/>
    <n v="301.314412"/>
    <n v="434.89"/>
    <n v="36"/>
    <n v="33"/>
    <n v="108"/>
    <n v="68"/>
    <n v="20489.38"/>
    <n v="10"/>
    <n v="58"/>
    <n v="4.91"/>
    <n v="2"/>
    <n v="51"/>
    <n v="22179.39"/>
    <n v="0"/>
    <x v="0"/>
    <s v="OK"/>
  </r>
  <r>
    <s v="IT-10105"/>
    <s v="Filter cartridge 20-105"/>
    <x v="1"/>
    <x v="1"/>
    <x v="1"/>
    <s v="2026-08"/>
    <n v="284.64"/>
    <n v="306.74"/>
    <n v="303.76470599999999"/>
    <n v="434.89"/>
    <n v="36"/>
    <n v="34"/>
    <n v="56"/>
    <n v="85"/>
    <n v="25820"/>
    <n v="14"/>
    <n v="71"/>
    <n v="7.65"/>
    <n v="2"/>
    <n v="39"/>
    <n v="16960.71"/>
    <n v="0"/>
    <x v="0"/>
    <s v="OK"/>
  </r>
  <r>
    <s v="IT-10106"/>
    <s v="Control switch 20-106"/>
    <x v="3"/>
    <x v="3"/>
    <x v="1"/>
    <s v="2024-09"/>
    <n v="42.2"/>
    <n v="45.99"/>
    <n v="47.012174000000002"/>
    <n v="66.2"/>
    <n v="15"/>
    <m/>
    <n v="0"/>
    <n v="184"/>
    <n v="8650.24"/>
    <n v="9"/>
    <n v="175"/>
    <n v="25.73"/>
    <n v="4"/>
    <n v="30"/>
    <n v="1986"/>
    <n v="0"/>
    <x v="0"/>
    <s v="OK"/>
  </r>
  <r>
    <s v="IT-10106"/>
    <s v="Control switch 20-106"/>
    <x v="3"/>
    <x v="3"/>
    <x v="1"/>
    <s v="2024-10"/>
    <n v="43.78"/>
    <n v="47.71"/>
    <n v="47.161265"/>
    <n v="66.2"/>
    <n v="15"/>
    <n v="15"/>
    <n v="50"/>
    <n v="166"/>
    <n v="7828.77"/>
    <n v="5"/>
    <n v="161"/>
    <n v="16.16"/>
    <n v="0"/>
    <n v="68"/>
    <n v="4501.6000000000004"/>
    <n v="0"/>
    <x v="0"/>
    <s v="OK"/>
  </r>
  <r>
    <s v="IT-10106"/>
    <s v="Control switch 20-106"/>
    <x v="3"/>
    <x v="3"/>
    <x v="1"/>
    <s v="2024-11"/>
    <n v="42.74"/>
    <n v="46.58"/>
    <n v="47.161264000000003"/>
    <n v="66.2"/>
    <n v="15"/>
    <m/>
    <n v="0"/>
    <n v="87"/>
    <n v="4103.03"/>
    <n v="9"/>
    <n v="78"/>
    <n v="6.39"/>
    <n v="9"/>
    <n v="79"/>
    <n v="5229.8"/>
    <n v="0"/>
    <x v="0"/>
    <s v="OK"/>
  </r>
  <r>
    <s v="IT-10106"/>
    <s v="Control switch 20-106"/>
    <x v="3"/>
    <x v="3"/>
    <x v="1"/>
    <s v="2024-12"/>
    <n v="43.75"/>
    <n v="47.68"/>
    <n v="47.457659999999997"/>
    <n v="66.2"/>
    <n v="15"/>
    <n v="14"/>
    <n v="116"/>
    <n v="141"/>
    <n v="6691.53"/>
    <n v="14"/>
    <n v="127"/>
    <n v="8.8699999999999992"/>
    <n v="0"/>
    <n v="62"/>
    <n v="4104.3999999999996"/>
    <n v="0"/>
    <x v="0"/>
    <s v="OK"/>
  </r>
  <r>
    <s v="IT-10106"/>
    <s v="Control switch 20-106"/>
    <x v="3"/>
    <x v="3"/>
    <x v="1"/>
    <s v="2025-01"/>
    <n v="42.94"/>
    <n v="46.79"/>
    <n v="47.282876999999999"/>
    <n v="66.2"/>
    <n v="15"/>
    <n v="24"/>
    <n v="50"/>
    <n v="146"/>
    <n v="6903.3"/>
    <n v="14"/>
    <n v="132"/>
    <n v="10.32"/>
    <n v="5"/>
    <n v="45"/>
    <n v="2979"/>
    <n v="0"/>
    <x v="0"/>
    <s v="OK"/>
  </r>
  <r>
    <s v="IT-10106"/>
    <s v="Control switch 20-106"/>
    <x v="3"/>
    <x v="3"/>
    <x v="1"/>
    <s v="2025-02"/>
    <n v="43.49"/>
    <n v="47.39"/>
    <n v="47.320475999999999"/>
    <n v="69.52"/>
    <n v="15"/>
    <n v="15"/>
    <n v="79"/>
    <n v="147"/>
    <n v="6956.11"/>
    <n v="21"/>
    <n v="126"/>
    <n v="10.220000000000001"/>
    <n v="2"/>
    <n v="78"/>
    <n v="5422.56"/>
    <n v="0"/>
    <x v="0"/>
    <s v="OK"/>
  </r>
  <r>
    <s v="IT-10106"/>
    <s v="Control switch 20-106"/>
    <x v="3"/>
    <x v="3"/>
    <x v="1"/>
    <s v="2025-03"/>
    <n v="45.08"/>
    <n v="49.13"/>
    <n v="48.078625000000002"/>
    <n v="69.52"/>
    <n v="15"/>
    <n v="17"/>
    <n v="106"/>
    <n v="240"/>
    <n v="11538.87"/>
    <n v="23"/>
    <n v="217"/>
    <n v="22.69"/>
    <n v="4"/>
    <n v="13"/>
    <n v="903.76"/>
    <n v="0"/>
    <x v="0"/>
    <s v="OK"/>
  </r>
  <r>
    <s v="IT-10106"/>
    <s v="Control switch 20-106"/>
    <x v="3"/>
    <x v="3"/>
    <x v="1"/>
    <s v="2025-04"/>
    <n v="44.87"/>
    <n v="48.9"/>
    <n v="48.078657999999997"/>
    <n v="69.52"/>
    <n v="15"/>
    <m/>
    <n v="0"/>
    <n v="149"/>
    <n v="7163.72"/>
    <n v="19"/>
    <n v="130"/>
    <n v="10.41"/>
    <n v="0"/>
    <n v="91"/>
    <n v="6326.32"/>
    <n v="0"/>
    <x v="0"/>
    <s v="OK"/>
  </r>
  <r>
    <s v="IT-10106"/>
    <s v="Control switch 20-106"/>
    <x v="3"/>
    <x v="3"/>
    <x v="1"/>
    <s v="2025-05"/>
    <n v="45.54"/>
    <n v="49.63"/>
    <n v="48.625"/>
    <n v="69.52"/>
    <n v="15"/>
    <n v="19"/>
    <n v="81"/>
    <n v="140"/>
    <n v="6807.5"/>
    <n v="19"/>
    <n v="121"/>
    <n v="9.48"/>
    <n v="0"/>
    <n v="90"/>
    <n v="6256.8"/>
    <n v="0"/>
    <x v="0"/>
    <s v="OK"/>
  </r>
  <r>
    <s v="IT-10106"/>
    <s v="Control switch 20-106"/>
    <x v="3"/>
    <x v="3"/>
    <x v="1"/>
    <s v="2025-06"/>
    <n v="46.01"/>
    <n v="50.14"/>
    <n v="49.023654999999998"/>
    <n v="69.52"/>
    <n v="15"/>
    <n v="14"/>
    <n v="50"/>
    <n v="145"/>
    <n v="7108.43"/>
    <n v="21"/>
    <n v="124"/>
    <n v="8.34"/>
    <n v="1"/>
    <n v="45"/>
    <n v="3128.4"/>
    <n v="0"/>
    <x v="0"/>
    <s v="OK"/>
  </r>
  <r>
    <s v="IT-10106"/>
    <s v="Control switch 20-106"/>
    <x v="3"/>
    <x v="3"/>
    <x v="1"/>
    <s v="2025-07"/>
    <n v="45.49"/>
    <n v="49.57"/>
    <n v="49.214785999999997"/>
    <n v="69.52"/>
    <n v="15"/>
    <n v="14"/>
    <n v="78"/>
    <n v="140"/>
    <n v="6890.07"/>
    <n v="16"/>
    <n v="124"/>
    <n v="8.44"/>
    <n v="0"/>
    <n v="83"/>
    <n v="5770.16"/>
    <n v="0"/>
    <x v="0"/>
    <s v="OK"/>
  </r>
  <r>
    <s v="IT-10106"/>
    <s v="Control switch 20-106"/>
    <x v="3"/>
    <x v="3"/>
    <x v="1"/>
    <s v="2025-08"/>
    <n v="45.69"/>
    <n v="49.79"/>
    <n v="49.393303000000003"/>
    <n v="69.52"/>
    <n v="15"/>
    <n v="20"/>
    <n v="63"/>
    <n v="109"/>
    <n v="5383.87"/>
    <n v="14"/>
    <n v="95"/>
    <n v="6.45"/>
    <n v="0"/>
    <n v="94"/>
    <n v="6534.88"/>
    <n v="0"/>
    <x v="0"/>
    <s v="OK"/>
  </r>
  <r>
    <s v="IT-10106"/>
    <s v="Control switch 20-106"/>
    <x v="3"/>
    <x v="3"/>
    <x v="1"/>
    <s v="2025-09"/>
    <n v="46.21"/>
    <n v="50.36"/>
    <n v="49.811236999999998"/>
    <n v="69.52"/>
    <n v="15"/>
    <n v="14"/>
    <n v="83"/>
    <n v="97"/>
    <n v="4831.6899999999996"/>
    <n v="23"/>
    <n v="74"/>
    <n v="4.6900000000000004"/>
    <n v="0"/>
    <n v="95"/>
    <n v="6604.4"/>
    <n v="0"/>
    <x v="0"/>
    <s v="OK"/>
  </r>
  <r>
    <s v="IT-10106"/>
    <s v="Control switch 20-106"/>
    <x v="3"/>
    <x v="3"/>
    <x v="1"/>
    <s v="2025-10"/>
    <n v="45.76"/>
    <n v="49.87"/>
    <n v="49.835056000000002"/>
    <n v="69.52"/>
    <n v="15"/>
    <n v="14"/>
    <n v="66"/>
    <n v="89"/>
    <n v="4435.32"/>
    <n v="12"/>
    <n v="77"/>
    <n v="4.45"/>
    <n v="9"/>
    <n v="74"/>
    <n v="5144.4799999999996"/>
    <n v="0"/>
    <x v="0"/>
    <s v="OK"/>
  </r>
  <r>
    <s v="IT-10106"/>
    <s v="Control switch 20-106"/>
    <x v="3"/>
    <x v="3"/>
    <x v="1"/>
    <s v="2025-11"/>
    <n v="45.89"/>
    <n v="50.01"/>
    <n v="49.908181999999996"/>
    <n v="69.52"/>
    <n v="15"/>
    <n v="23"/>
    <n v="64"/>
    <n v="11"/>
    <n v="548.99"/>
    <n v="11"/>
    <n v="0"/>
    <n v="0.46"/>
    <n v="4"/>
    <n v="142"/>
    <n v="9871.84"/>
    <n v="0"/>
    <x v="0"/>
    <s v="OK"/>
  </r>
  <r>
    <s v="IT-10106"/>
    <s v="Control switch 20-106"/>
    <x v="3"/>
    <x v="3"/>
    <x v="1"/>
    <s v="2025-12"/>
    <n v="46.22"/>
    <n v="50.37"/>
    <n v="50.339635999999999"/>
    <n v="69.52"/>
    <n v="15"/>
    <n v="15"/>
    <n v="156"/>
    <n v="55"/>
    <n v="2768.68"/>
    <n v="23"/>
    <n v="32"/>
    <n v="2.2000000000000002"/>
    <n v="1"/>
    <n v="112"/>
    <n v="7786.24"/>
    <n v="0"/>
    <x v="0"/>
    <s v="OK"/>
  </r>
  <r>
    <s v="IT-10106"/>
    <s v="Control switch 20-106"/>
    <x v="3"/>
    <x v="3"/>
    <x v="1"/>
    <s v="2026-01"/>
    <n v="45.43"/>
    <n v="49.51"/>
    <n v="49.698542000000003"/>
    <n v="69.52"/>
    <n v="15"/>
    <n v="13"/>
    <n v="187"/>
    <n v="192"/>
    <n v="9542.1200000000008"/>
    <n v="7"/>
    <n v="185"/>
    <n v="8.3000000000000007"/>
    <n v="1"/>
    <n v="50"/>
    <n v="3476"/>
    <n v="0"/>
    <x v="0"/>
    <s v="OK"/>
  </r>
  <r>
    <s v="IT-10106"/>
    <s v="Control switch 20-106"/>
    <x v="3"/>
    <x v="3"/>
    <x v="1"/>
    <s v="2026-02"/>
    <n v="45.97"/>
    <n v="50.1"/>
    <n v="49.781480999999999"/>
    <n v="73.010000000000005"/>
    <n v="15"/>
    <n v="14"/>
    <n v="50"/>
    <n v="162"/>
    <n v="8064.6"/>
    <n v="12"/>
    <n v="150"/>
    <n v="8.61"/>
    <n v="7"/>
    <n v="80"/>
    <n v="5840.8"/>
    <n v="0"/>
    <x v="0"/>
    <s v="OK"/>
  </r>
  <r>
    <s v="IT-10106"/>
    <s v="Control switch 20-106"/>
    <x v="3"/>
    <x v="3"/>
    <x v="1"/>
    <s v="2026-03"/>
    <n v="47.82"/>
    <n v="52.11"/>
    <n v="50.330661999999997"/>
    <n v="73.010000000000005"/>
    <n v="15"/>
    <n v="19"/>
    <n v="50"/>
    <n v="136"/>
    <n v="6844.97"/>
    <n v="23"/>
    <n v="113"/>
    <n v="8.49"/>
    <n v="0"/>
    <n v="76"/>
    <n v="5548.76"/>
    <n v="0"/>
    <x v="0"/>
    <s v="OK"/>
  </r>
  <r>
    <s v="IT-10106"/>
    <s v="Control switch 20-106"/>
    <x v="3"/>
    <x v="3"/>
    <x v="1"/>
    <s v="2026-04"/>
    <n v="47.45"/>
    <n v="51.71"/>
    <n v="50.330644999999997"/>
    <n v="73.010000000000005"/>
    <n v="15"/>
    <m/>
    <n v="0"/>
    <n v="31"/>
    <n v="1560.25"/>
    <n v="7"/>
    <n v="24"/>
    <n v="1.51"/>
    <n v="1"/>
    <n v="105"/>
    <n v="7666.05"/>
    <n v="0"/>
    <x v="0"/>
    <s v="OK"/>
  </r>
  <r>
    <s v="IT-10106"/>
    <s v="Control switch 20-106"/>
    <x v="3"/>
    <x v="3"/>
    <x v="1"/>
    <s v="2026-05"/>
    <n v="49.13"/>
    <n v="53.54"/>
    <n v="53.013621000000001"/>
    <n v="73.010000000000005"/>
    <n v="15"/>
    <n v="20"/>
    <n v="158"/>
    <n v="116"/>
    <n v="6149.58"/>
    <n v="9"/>
    <n v="107"/>
    <n v="6"/>
    <n v="5"/>
    <n v="73"/>
    <n v="5329.73"/>
    <n v="0"/>
    <x v="0"/>
    <s v="OK"/>
  </r>
  <r>
    <s v="IT-10106"/>
    <s v="Control switch 20-106"/>
    <x v="3"/>
    <x v="3"/>
    <x v="1"/>
    <s v="2026-06"/>
    <n v="47.45"/>
    <n v="51.71"/>
    <n v="52.440516000000002"/>
    <n v="73.010000000000005"/>
    <n v="15"/>
    <n v="13"/>
    <n v="91"/>
    <n v="155"/>
    <n v="8128.28"/>
    <n v="7"/>
    <n v="148"/>
    <n v="8.76"/>
    <n v="11"/>
    <n v="52"/>
    <n v="3796.52"/>
    <n v="0"/>
    <x v="0"/>
    <s v="OK"/>
  </r>
  <r>
    <s v="IT-10106"/>
    <s v="Control switch 20-106"/>
    <x v="3"/>
    <x v="3"/>
    <x v="1"/>
    <s v="2026-07"/>
    <n v="47.55"/>
    <n v="51.82"/>
    <n v="52.178899999999999"/>
    <n v="73.010000000000005"/>
    <n v="15"/>
    <n v="19"/>
    <n v="113"/>
    <n v="200"/>
    <n v="10435.780000000001"/>
    <n v="9"/>
    <n v="191"/>
    <n v="13.62"/>
    <n v="4"/>
    <n v="68"/>
    <n v="4964.68"/>
    <n v="0"/>
    <x v="0"/>
    <s v="OK"/>
  </r>
  <r>
    <s v="IT-10106"/>
    <s v="Control switch 20-106"/>
    <x v="3"/>
    <x v="3"/>
    <x v="1"/>
    <s v="2026-08"/>
    <n v="47.57"/>
    <n v="51.84"/>
    <n v="52.178888999999998"/>
    <n v="73.010000000000005"/>
    <n v="15"/>
    <m/>
    <n v="0"/>
    <n v="117"/>
    <n v="6104.93"/>
    <n v="12"/>
    <n v="105"/>
    <n v="7.57"/>
    <n v="3"/>
    <n v="83"/>
    <n v="6059.83"/>
    <n v="0"/>
    <x v="0"/>
    <s v="OK"/>
  </r>
  <r>
    <s v="IT-10107"/>
    <s v="Pressure valve L-107"/>
    <x v="1"/>
    <x v="1"/>
    <x v="0"/>
    <s v="2024-09"/>
    <n v="77.260000000000005"/>
    <n v="77.260000000000005"/>
    <n v="77.61"/>
    <n v="112.91"/>
    <n v="54"/>
    <m/>
    <n v="0"/>
    <n v="0"/>
    <n v="0"/>
    <n v="0"/>
    <n v="0"/>
    <m/>
    <n v="230"/>
    <n v="0"/>
    <n v="0"/>
    <n v="0"/>
    <x v="0"/>
    <s v="OK"/>
  </r>
  <r>
    <s v="IT-10107"/>
    <s v="Pressure valve L-107"/>
    <x v="1"/>
    <x v="1"/>
    <x v="0"/>
    <s v="2024-10"/>
    <n v="76.75"/>
    <n v="76.75"/>
    <n v="77.61"/>
    <n v="112.91"/>
    <n v="54"/>
    <m/>
    <n v="0"/>
    <n v="0"/>
    <n v="0"/>
    <n v="0"/>
    <n v="0"/>
    <m/>
    <n v="261"/>
    <n v="0"/>
    <n v="0"/>
    <n v="0"/>
    <x v="0"/>
    <s v="OK"/>
  </r>
  <r>
    <s v="IT-10107"/>
    <s v="Pressure valve L-107"/>
    <x v="1"/>
    <x v="1"/>
    <x v="0"/>
    <s v="2024-11"/>
    <n v="77.650000000000006"/>
    <n v="77.650000000000006"/>
    <n v="77.61"/>
    <n v="112.91"/>
    <n v="54"/>
    <m/>
    <n v="0"/>
    <n v="0"/>
    <n v="0"/>
    <n v="0"/>
    <n v="0"/>
    <m/>
    <n v="291"/>
    <n v="0"/>
    <n v="0"/>
    <n v="0"/>
    <x v="0"/>
    <s v="OK"/>
  </r>
  <r>
    <s v="IT-10107"/>
    <s v="Pressure valve L-107"/>
    <x v="1"/>
    <x v="1"/>
    <x v="0"/>
    <s v="2024-12"/>
    <n v="76.2"/>
    <n v="76.2"/>
    <n v="77.61"/>
    <n v="112.91"/>
    <n v="54"/>
    <m/>
    <n v="0"/>
    <n v="0"/>
    <n v="0"/>
    <n v="0"/>
    <n v="0"/>
    <m/>
    <n v="322"/>
    <n v="0"/>
    <n v="0"/>
    <n v="0"/>
    <x v="0"/>
    <s v="OK"/>
  </r>
  <r>
    <s v="IT-10107"/>
    <s v="Pressure valve L-107"/>
    <x v="1"/>
    <x v="1"/>
    <x v="0"/>
    <s v="2025-01"/>
    <n v="81.8"/>
    <n v="81.8"/>
    <n v="77.61"/>
    <n v="112.91"/>
    <n v="54"/>
    <m/>
    <n v="0"/>
    <n v="0"/>
    <n v="0"/>
    <n v="0"/>
    <n v="0"/>
    <m/>
    <n v="353"/>
    <n v="0"/>
    <n v="0"/>
    <n v="0"/>
    <x v="0"/>
    <s v="OK"/>
  </r>
  <r>
    <s v="IT-10107"/>
    <s v="Pressure valve L-107"/>
    <x v="1"/>
    <x v="1"/>
    <x v="0"/>
    <s v="2025-02"/>
    <n v="79.849999999999994"/>
    <n v="79.849999999999994"/>
    <n v="77.61"/>
    <n v="118.07"/>
    <n v="54"/>
    <m/>
    <n v="0"/>
    <n v="0"/>
    <n v="0"/>
    <n v="0"/>
    <n v="0"/>
    <m/>
    <n v="381"/>
    <n v="0"/>
    <n v="0"/>
    <n v="0"/>
    <x v="0"/>
    <s v="OK"/>
  </r>
  <r>
    <s v="IT-10107"/>
    <s v="Pressure valve L-107"/>
    <x v="1"/>
    <x v="1"/>
    <x v="0"/>
    <s v="2025-03"/>
    <n v="80.63"/>
    <n v="80.63"/>
    <n v="77.61"/>
    <n v="118.07"/>
    <n v="54"/>
    <m/>
    <n v="0"/>
    <n v="0"/>
    <n v="0"/>
    <n v="0"/>
    <n v="0"/>
    <m/>
    <n v="412"/>
    <n v="0"/>
    <n v="0"/>
    <n v="0"/>
    <x v="0"/>
    <s v="OK"/>
  </r>
  <r>
    <s v="IT-10107"/>
    <s v="Pressure valve L-107"/>
    <x v="1"/>
    <x v="1"/>
    <x v="0"/>
    <s v="2025-04"/>
    <n v="81.650000000000006"/>
    <n v="81.650000000000006"/>
    <n v="77.61"/>
    <n v="118.07"/>
    <n v="54"/>
    <m/>
    <n v="0"/>
    <n v="0"/>
    <n v="0"/>
    <n v="0"/>
    <n v="0"/>
    <m/>
    <n v="442"/>
    <n v="0"/>
    <n v="0"/>
    <n v="0"/>
    <x v="0"/>
    <s v="OK"/>
  </r>
  <r>
    <s v="IT-10107"/>
    <s v="Pressure valve L-107"/>
    <x v="1"/>
    <x v="1"/>
    <x v="0"/>
    <s v="2025-05"/>
    <n v="79.48"/>
    <n v="79.48"/>
    <n v="77.61"/>
    <n v="118.07"/>
    <n v="54"/>
    <m/>
    <n v="0"/>
    <n v="0"/>
    <n v="0"/>
    <n v="0"/>
    <n v="0"/>
    <m/>
    <n v="473"/>
    <n v="0"/>
    <n v="0"/>
    <n v="0"/>
    <x v="0"/>
    <s v="OK"/>
  </r>
  <r>
    <s v="IT-10107"/>
    <s v="Pressure valve L-107"/>
    <x v="1"/>
    <x v="1"/>
    <x v="0"/>
    <s v="2025-06"/>
    <n v="81.41"/>
    <n v="81.41"/>
    <n v="77.61"/>
    <n v="118.07"/>
    <n v="54"/>
    <m/>
    <n v="0"/>
    <n v="0"/>
    <n v="0"/>
    <n v="0"/>
    <n v="0"/>
    <m/>
    <n v="503"/>
    <n v="0"/>
    <n v="0"/>
    <n v="0"/>
    <x v="0"/>
    <s v="OK"/>
  </r>
  <r>
    <s v="IT-10107"/>
    <s v="Pressure valve L-107"/>
    <x v="1"/>
    <x v="1"/>
    <x v="0"/>
    <s v="2025-07"/>
    <n v="79.36"/>
    <n v="79.36"/>
    <n v="77.61"/>
    <n v="118.07"/>
    <n v="54"/>
    <m/>
    <n v="0"/>
    <n v="0"/>
    <n v="0"/>
    <n v="0"/>
    <n v="0"/>
    <m/>
    <n v="534"/>
    <n v="0"/>
    <n v="0"/>
    <n v="0"/>
    <x v="0"/>
    <s v="OK"/>
  </r>
  <r>
    <s v="IT-10107"/>
    <s v="Pressure valve L-107"/>
    <x v="1"/>
    <x v="1"/>
    <x v="0"/>
    <s v="2025-08"/>
    <n v="80.25"/>
    <n v="80.25"/>
    <n v="77.61"/>
    <n v="118.07"/>
    <n v="54"/>
    <m/>
    <n v="0"/>
    <n v="0"/>
    <n v="0"/>
    <n v="0"/>
    <n v="0"/>
    <m/>
    <n v="565"/>
    <n v="0"/>
    <n v="0"/>
    <n v="0"/>
    <x v="0"/>
    <s v="OK"/>
  </r>
  <r>
    <s v="IT-10107"/>
    <s v="Pressure valve L-107"/>
    <x v="1"/>
    <x v="1"/>
    <x v="0"/>
    <s v="2025-09"/>
    <n v="81.94"/>
    <n v="81.94"/>
    <n v="77.61"/>
    <n v="118.07"/>
    <n v="54"/>
    <m/>
    <n v="0"/>
    <n v="0"/>
    <n v="0"/>
    <n v="0"/>
    <n v="0"/>
    <m/>
    <n v="595"/>
    <n v="0"/>
    <n v="0"/>
    <n v="0"/>
    <x v="0"/>
    <s v="OK"/>
  </r>
  <r>
    <s v="IT-10107"/>
    <s v="Pressure valve L-107"/>
    <x v="1"/>
    <x v="1"/>
    <x v="0"/>
    <s v="2025-10"/>
    <n v="80.36"/>
    <n v="80.36"/>
    <n v="80.36"/>
    <n v="118.07"/>
    <n v="54"/>
    <n v="54"/>
    <n v="1"/>
    <n v="1"/>
    <n v="80.36"/>
    <n v="0"/>
    <n v="1"/>
    <m/>
    <n v="626"/>
    <n v="0"/>
    <n v="0"/>
    <n v="0"/>
    <x v="0"/>
    <s v="OK"/>
  </r>
  <r>
    <s v="IT-10107"/>
    <s v="Pressure valve L-107"/>
    <x v="1"/>
    <x v="1"/>
    <x v="0"/>
    <s v="2025-11"/>
    <n v="79.569999999999993"/>
    <n v="79.569999999999993"/>
    <n v="79.701667"/>
    <n v="118.07"/>
    <n v="54"/>
    <n v="52"/>
    <n v="5"/>
    <n v="6"/>
    <n v="478.21"/>
    <n v="0"/>
    <n v="6"/>
    <m/>
    <n v="656"/>
    <n v="0"/>
    <n v="0"/>
    <n v="0"/>
    <x v="0"/>
    <s v="OK"/>
  </r>
  <r>
    <s v="IT-10107"/>
    <s v="Pressure valve L-107"/>
    <x v="1"/>
    <x v="1"/>
    <x v="0"/>
    <s v="2025-12"/>
    <n v="80.98"/>
    <n v="80.98"/>
    <n v="80.432221999999996"/>
    <n v="118.07"/>
    <n v="54"/>
    <n v="54"/>
    <n v="8"/>
    <n v="9"/>
    <n v="723.89"/>
    <n v="1"/>
    <n v="8"/>
    <n v="23.66"/>
    <n v="8"/>
    <n v="5"/>
    <n v="590.35"/>
    <n v="0"/>
    <x v="0"/>
    <s v="OK"/>
  </r>
  <r>
    <s v="IT-10107"/>
    <s v="Pressure valve L-107"/>
    <x v="1"/>
    <x v="1"/>
    <x v="0"/>
    <s v="2026-01"/>
    <n v="83.39"/>
    <n v="83.39"/>
    <n v="82.650499999999994"/>
    <n v="118.07"/>
    <n v="54"/>
    <n v="51"/>
    <n v="27"/>
    <n v="20"/>
    <n v="1653.01"/>
    <n v="2"/>
    <n v="18"/>
    <n v="12.52"/>
    <n v="6"/>
    <n v="16"/>
    <n v="1889.12"/>
    <n v="0"/>
    <x v="0"/>
    <s v="OK"/>
  </r>
  <r>
    <s v="IT-10107"/>
    <s v="Pressure valve L-107"/>
    <x v="1"/>
    <x v="1"/>
    <x v="0"/>
    <s v="2026-02"/>
    <n v="85.1"/>
    <n v="85.1"/>
    <n v="83.875356999999994"/>
    <n v="123.47"/>
    <n v="54"/>
    <n v="47"/>
    <n v="20"/>
    <n v="28"/>
    <n v="2348.5100000000002"/>
    <n v="5"/>
    <n v="23"/>
    <n v="10.91"/>
    <n v="7"/>
    <n v="12"/>
    <n v="1481.64"/>
    <n v="0"/>
    <x v="0"/>
    <s v="OK"/>
  </r>
  <r>
    <s v="IT-10107"/>
    <s v="Pressure valve L-107"/>
    <x v="1"/>
    <x v="1"/>
    <x v="0"/>
    <s v="2026-03"/>
    <n v="85.22"/>
    <n v="85.22"/>
    <n v="84.254615000000001"/>
    <n v="123.47"/>
    <n v="54"/>
    <n v="52"/>
    <n v="11"/>
    <n v="26"/>
    <n v="2190.62"/>
    <n v="4"/>
    <n v="22"/>
    <n v="8.15"/>
    <n v="3"/>
    <n v="13"/>
    <n v="1605.11"/>
    <n v="0"/>
    <x v="0"/>
    <s v="OK"/>
  </r>
  <r>
    <s v="IT-10107"/>
    <s v="Pressure valve L-107"/>
    <x v="1"/>
    <x v="1"/>
    <x v="0"/>
    <s v="2026-04"/>
    <n v="83.58"/>
    <n v="83.58"/>
    <n v="84.128"/>
    <n v="123.47"/>
    <n v="54"/>
    <n v="47"/>
    <n v="6"/>
    <n v="15"/>
    <n v="1261.92"/>
    <n v="2"/>
    <n v="13"/>
    <n v="4.54"/>
    <n v="3"/>
    <n v="17"/>
    <n v="2098.9899999999998"/>
    <n v="0"/>
    <x v="0"/>
    <s v="OK"/>
  </r>
  <r>
    <s v="IT-10107"/>
    <s v="Pressure valve L-107"/>
    <x v="1"/>
    <x v="1"/>
    <x v="0"/>
    <s v="2026-05"/>
    <n v="82.72"/>
    <n v="82.72"/>
    <n v="83.169200000000004"/>
    <n v="123.47"/>
    <n v="54"/>
    <n v="61"/>
    <n v="32"/>
    <n v="25"/>
    <n v="2079.23"/>
    <n v="3"/>
    <n v="22"/>
    <n v="6.32"/>
    <n v="0"/>
    <n v="22"/>
    <n v="2716.34"/>
    <n v="0"/>
    <x v="0"/>
    <s v="OK"/>
  </r>
  <r>
    <s v="IT-10107"/>
    <s v="Pressure valve L-107"/>
    <x v="1"/>
    <x v="1"/>
    <x v="0"/>
    <s v="2026-06"/>
    <n v="82.38"/>
    <n v="82.38"/>
    <n v="82.899332999999999"/>
    <n v="123.47"/>
    <n v="54"/>
    <n v="52"/>
    <n v="13"/>
    <n v="30"/>
    <n v="2486.98"/>
    <n v="3"/>
    <n v="27"/>
    <n v="8.3000000000000007"/>
    <n v="2"/>
    <n v="8"/>
    <n v="987.76"/>
    <n v="0"/>
    <x v="0"/>
    <s v="OK"/>
  </r>
  <r>
    <s v="IT-10107"/>
    <s v="Pressure valve L-107"/>
    <x v="1"/>
    <x v="1"/>
    <x v="0"/>
    <s v="2026-07"/>
    <n v="82.85"/>
    <n v="82.85"/>
    <n v="82.870345"/>
    <n v="123.47"/>
    <n v="54"/>
    <n v="52"/>
    <n v="43"/>
    <n v="58"/>
    <n v="4806.4799999999996"/>
    <n v="2"/>
    <n v="56"/>
    <n v="16.940000000000001"/>
    <n v="0"/>
    <n v="15"/>
    <n v="1852.05"/>
    <n v="0"/>
    <x v="0"/>
    <s v="OK"/>
  </r>
  <r>
    <s v="IT-10107"/>
    <s v="Pressure valve L-107"/>
    <x v="1"/>
    <x v="1"/>
    <x v="0"/>
    <s v="2026-08"/>
    <n v="83.47"/>
    <n v="83.47"/>
    <n v="82.880465000000001"/>
    <n v="123.47"/>
    <n v="54"/>
    <n v="46"/>
    <n v="1"/>
    <n v="43"/>
    <n v="3563.86"/>
    <n v="4"/>
    <n v="39"/>
    <n v="14.49"/>
    <n v="3"/>
    <n v="16"/>
    <n v="1975.52"/>
    <n v="0"/>
    <x v="0"/>
    <s v="OK"/>
  </r>
  <r>
    <s v="IT-10108"/>
    <s v="Drive belt 20-108"/>
    <x v="4"/>
    <x v="4"/>
    <x v="1"/>
    <s v="2024-09"/>
    <n v="96.65"/>
    <n v="96.65"/>
    <n v="96.380499999999998"/>
    <n v="130.66"/>
    <n v="14"/>
    <n v="13"/>
    <n v="38"/>
    <n v="40"/>
    <n v="3855.22"/>
    <n v="6"/>
    <n v="34"/>
    <n v="5.97"/>
    <n v="14"/>
    <n v="33"/>
    <n v="4311.78"/>
    <n v="0"/>
    <x v="0"/>
    <s v="OK"/>
  </r>
  <r>
    <s v="IT-10108"/>
    <s v="Drive belt 20-108"/>
    <x v="4"/>
    <x v="4"/>
    <x v="1"/>
    <s v="2024-10"/>
    <n v="102.06"/>
    <n v="102.06"/>
    <n v="98.453946999999999"/>
    <n v="130.66"/>
    <n v="14"/>
    <n v="20"/>
    <n v="23"/>
    <n v="38"/>
    <n v="3741.25"/>
    <n v="4"/>
    <n v="34"/>
    <n v="6.75"/>
    <n v="3"/>
    <n v="25"/>
    <n v="3266.5"/>
    <n v="0"/>
    <x v="0"/>
    <s v="OK"/>
  </r>
  <r>
    <s v="IT-10108"/>
    <s v="Drive belt 20-108"/>
    <x v="4"/>
    <x v="4"/>
    <x v="1"/>
    <s v="2024-11"/>
    <n v="102.74"/>
    <n v="102.74"/>
    <n v="100.113148"/>
    <n v="130.66"/>
    <n v="14"/>
    <n v="13"/>
    <n v="24"/>
    <n v="54"/>
    <n v="5406.11"/>
    <n v="2"/>
    <n v="52"/>
    <n v="10.64"/>
    <n v="21"/>
    <n v="8"/>
    <n v="1045.28"/>
    <n v="0"/>
    <x v="0"/>
    <s v="OK"/>
  </r>
  <r>
    <s v="IT-10108"/>
    <s v="Drive belt 20-108"/>
    <x v="4"/>
    <x v="4"/>
    <x v="1"/>
    <s v="2024-12"/>
    <n v="101.19"/>
    <n v="101.19"/>
    <n v="100.40410300000001"/>
    <n v="130.66"/>
    <n v="14"/>
    <n v="13"/>
    <n v="20"/>
    <n v="39"/>
    <n v="3915.76"/>
    <n v="3"/>
    <n v="36"/>
    <n v="7.54"/>
    <n v="1"/>
    <n v="35"/>
    <n v="4573.1000000000004"/>
    <n v="0"/>
    <x v="0"/>
    <s v="OK"/>
  </r>
  <r>
    <s v="IT-10108"/>
    <s v="Drive belt 20-108"/>
    <x v="4"/>
    <x v="4"/>
    <x v="1"/>
    <s v="2025-01"/>
    <n v="102.19"/>
    <n v="102.19"/>
    <n v="101.389375"/>
    <n v="130.66"/>
    <n v="14"/>
    <n v="14"/>
    <n v="48"/>
    <n v="64"/>
    <n v="6488.92"/>
    <n v="6"/>
    <n v="58"/>
    <n v="12.74"/>
    <n v="7"/>
    <n v="23"/>
    <n v="3005.18"/>
    <n v="0"/>
    <x v="0"/>
    <s v="OK"/>
  </r>
  <r>
    <s v="IT-10108"/>
    <s v="Drive belt 20-108"/>
    <x v="4"/>
    <x v="4"/>
    <x v="1"/>
    <s v="2025-02"/>
    <n v="104.44"/>
    <n v="104.44"/>
    <n v="102.115686"/>
    <n v="135.27000000000001"/>
    <n v="14"/>
    <n v="16"/>
    <n v="20"/>
    <n v="51"/>
    <n v="5207.8999999999996"/>
    <n v="6"/>
    <n v="45"/>
    <n v="7.21"/>
    <n v="0"/>
    <n v="33"/>
    <n v="4463.91"/>
    <n v="0"/>
    <x v="0"/>
    <s v="OK"/>
  </r>
  <r>
    <s v="IT-10108"/>
    <s v="Drive belt 20-108"/>
    <x v="4"/>
    <x v="4"/>
    <x v="1"/>
    <s v="2025-03"/>
    <n v="104.09"/>
    <n v="104.09"/>
    <n v="102.671778"/>
    <n v="135.27000000000001"/>
    <n v="14"/>
    <n v="22"/>
    <n v="20"/>
    <n v="45"/>
    <n v="4620.2299999999996"/>
    <n v="4"/>
    <n v="41"/>
    <n v="7.06"/>
    <n v="2"/>
    <n v="26"/>
    <n v="3517.02"/>
    <n v="0"/>
    <x v="0"/>
    <s v="OK"/>
  </r>
  <r>
    <s v="IT-10108"/>
    <s v="Drive belt 20-108"/>
    <x v="4"/>
    <x v="4"/>
    <x v="1"/>
    <s v="2025-04"/>
    <n v="101.08"/>
    <n v="101.08"/>
    <n v="102.18187500000001"/>
    <n v="135.27000000000001"/>
    <n v="14"/>
    <n v="14"/>
    <n v="20"/>
    <n v="32"/>
    <n v="3269.82"/>
    <n v="6"/>
    <n v="26"/>
    <n v="4.42"/>
    <n v="1"/>
    <n v="33"/>
    <n v="4463.91"/>
    <n v="0"/>
    <x v="0"/>
    <s v="OK"/>
  </r>
  <r>
    <s v="IT-10108"/>
    <s v="Drive belt 20-108"/>
    <x v="4"/>
    <x v="4"/>
    <x v="1"/>
    <s v="2025-05"/>
    <n v="104.22"/>
    <n v="104.22"/>
    <n v="103.13297300000001"/>
    <n v="135.27000000000001"/>
    <n v="14"/>
    <n v="13"/>
    <n v="28"/>
    <n v="37"/>
    <n v="3815.92"/>
    <n v="7"/>
    <n v="30"/>
    <n v="5.93"/>
    <n v="0"/>
    <n v="23"/>
    <n v="3111.21"/>
    <n v="0"/>
    <x v="0"/>
    <s v="OK"/>
  </r>
  <r>
    <s v="IT-10108"/>
    <s v="Drive belt 20-108"/>
    <x v="4"/>
    <x v="4"/>
    <x v="1"/>
    <s v="2025-06"/>
    <n v="102.58"/>
    <n v="102.58"/>
    <n v="102.87657900000001"/>
    <n v="135.27000000000001"/>
    <n v="14"/>
    <n v="18"/>
    <n v="32"/>
    <n v="38"/>
    <n v="3909.31"/>
    <n v="4"/>
    <n v="34"/>
    <n v="5.68"/>
    <n v="0"/>
    <n v="31"/>
    <n v="4193.37"/>
    <n v="0"/>
    <x v="0"/>
    <s v="OK"/>
  </r>
  <r>
    <s v="IT-10108"/>
    <s v="Drive belt 20-108"/>
    <x v="4"/>
    <x v="4"/>
    <x v="1"/>
    <s v="2025-07"/>
    <n v="104.22"/>
    <n v="104.22"/>
    <n v="103.33973"/>
    <n v="135.27000000000001"/>
    <n v="14"/>
    <n v="12"/>
    <n v="20"/>
    <n v="37"/>
    <n v="3823.57"/>
    <n v="8"/>
    <n v="29"/>
    <n v="6.48"/>
    <n v="5"/>
    <n v="21"/>
    <n v="2840.67"/>
    <n v="0"/>
    <x v="0"/>
    <s v="OK"/>
  </r>
  <r>
    <s v="IT-10108"/>
    <s v="Drive belt 20-108"/>
    <x v="4"/>
    <x v="4"/>
    <x v="1"/>
    <s v="2025-08"/>
    <n v="104.21"/>
    <n v="104.21"/>
    <n v="103.690541"/>
    <n v="135.27000000000001"/>
    <n v="14"/>
    <n v="12"/>
    <n v="25"/>
    <n v="37"/>
    <n v="3836.55"/>
    <n v="2"/>
    <n v="35"/>
    <n v="6.32"/>
    <n v="12"/>
    <n v="25"/>
    <n v="3381.75"/>
    <n v="0"/>
    <x v="0"/>
    <s v="OK"/>
  </r>
  <r>
    <s v="IT-10108"/>
    <s v="Drive belt 20-108"/>
    <x v="4"/>
    <x v="4"/>
    <x v="1"/>
    <s v="2025-09"/>
    <n v="103.6"/>
    <n v="103.6"/>
    <n v="103.65234"/>
    <n v="135.27000000000001"/>
    <n v="14"/>
    <n v="13"/>
    <n v="27"/>
    <n v="47"/>
    <n v="4871.66"/>
    <n v="2"/>
    <n v="45"/>
    <n v="9.8000000000000007"/>
    <n v="5"/>
    <n v="17"/>
    <n v="2299.59"/>
    <n v="0"/>
    <x v="0"/>
    <s v="OK"/>
  </r>
  <r>
    <s v="IT-10108"/>
    <s v="Drive belt 20-108"/>
    <x v="4"/>
    <x v="4"/>
    <x v="1"/>
    <s v="2025-10"/>
    <n v="110.76"/>
    <n v="110.76"/>
    <n v="105.847273"/>
    <n v="135.27000000000001"/>
    <n v="14"/>
    <n v="23"/>
    <n v="21"/>
    <n v="33"/>
    <n v="3492.96"/>
    <n v="2"/>
    <n v="31"/>
    <n v="5.63"/>
    <n v="4"/>
    <n v="35"/>
    <n v="4734.45"/>
    <n v="0"/>
    <x v="0"/>
    <s v="OK"/>
  </r>
  <r>
    <s v="IT-10108"/>
    <s v="Drive belt 20-108"/>
    <x v="4"/>
    <x v="4"/>
    <x v="1"/>
    <s v="2025-11"/>
    <n v="109.12"/>
    <n v="109.12"/>
    <n v="107.32"/>
    <n v="135.27000000000001"/>
    <n v="14"/>
    <n v="12"/>
    <n v="27"/>
    <n v="51"/>
    <n v="5473.32"/>
    <n v="5"/>
    <n v="46"/>
    <n v="10.87"/>
    <n v="4"/>
    <n v="9"/>
    <n v="1217.43"/>
    <n v="0"/>
    <x v="0"/>
    <s v="OK"/>
  </r>
  <r>
    <s v="IT-10108"/>
    <s v="Drive belt 20-108"/>
    <x v="4"/>
    <x v="4"/>
    <x v="1"/>
    <s v="2025-12"/>
    <n v="107.36"/>
    <n v="107.36"/>
    <n v="107.33136399999999"/>
    <n v="135.27000000000001"/>
    <n v="14"/>
    <n v="13"/>
    <n v="20"/>
    <n v="44"/>
    <n v="4722.58"/>
    <n v="2"/>
    <n v="42"/>
    <n v="8.14"/>
    <n v="4"/>
    <n v="27"/>
    <n v="3652.29"/>
    <n v="0"/>
    <x v="0"/>
    <s v="OK"/>
  </r>
  <r>
    <s v="IT-10108"/>
    <s v="Drive belt 20-108"/>
    <x v="4"/>
    <x v="4"/>
    <x v="1"/>
    <s v="2026-01"/>
    <n v="107.44"/>
    <n v="107.44"/>
    <n v="107.38085700000001"/>
    <n v="135.27000000000001"/>
    <n v="14"/>
    <n v="12"/>
    <n v="37"/>
    <n v="35"/>
    <n v="3758.33"/>
    <n v="6"/>
    <n v="29"/>
    <n v="5.61"/>
    <n v="3"/>
    <n v="46"/>
    <n v="6222.42"/>
    <n v="0"/>
    <x v="0"/>
    <s v="OK"/>
  </r>
  <r>
    <s v="IT-10108"/>
    <s v="Drive belt 20-108"/>
    <x v="4"/>
    <x v="4"/>
    <x v="1"/>
    <s v="2026-02"/>
    <n v="110.53"/>
    <n v="110.53"/>
    <n v="108.661935"/>
    <n v="140.05000000000001"/>
    <n v="14"/>
    <n v="25"/>
    <n v="24"/>
    <n v="31"/>
    <n v="3368.52"/>
    <n v="5"/>
    <n v="26"/>
    <n v="3.95"/>
    <n v="5"/>
    <n v="28"/>
    <n v="3921.4"/>
    <n v="0"/>
    <x v="0"/>
    <s v="OK"/>
  </r>
  <r>
    <s v="IT-10108"/>
    <s v="Drive belt 20-108"/>
    <x v="4"/>
    <x v="4"/>
    <x v="1"/>
    <s v="2026-03"/>
    <n v="109.73"/>
    <n v="109.73"/>
    <n v="109.117143"/>
    <n v="140.05000000000001"/>
    <n v="14"/>
    <n v="20"/>
    <n v="23"/>
    <n v="14"/>
    <n v="1527.64"/>
    <n v="4"/>
    <n v="10"/>
    <n v="1.58"/>
    <n v="3"/>
    <n v="40"/>
    <n v="5602"/>
    <n v="0"/>
    <x v="0"/>
    <s v="OK"/>
  </r>
  <r>
    <s v="IT-10108"/>
    <s v="Drive belt 20-108"/>
    <x v="4"/>
    <x v="4"/>
    <x v="1"/>
    <s v="2026-04"/>
    <n v="108.05"/>
    <n v="108.05"/>
    <n v="108.25473700000001"/>
    <n v="140.05000000000001"/>
    <n v="14"/>
    <n v="13"/>
    <n v="59"/>
    <n v="57"/>
    <n v="6170.52"/>
    <n v="5"/>
    <n v="52"/>
    <n v="8.6300000000000008"/>
    <n v="11"/>
    <n v="16"/>
    <n v="2240.8000000000002"/>
    <n v="0"/>
    <x v="0"/>
    <s v="OK"/>
  </r>
  <r>
    <s v="IT-10108"/>
    <s v="Drive belt 20-108"/>
    <x v="4"/>
    <x v="4"/>
    <x v="1"/>
    <s v="2026-05"/>
    <n v="108.15"/>
    <n v="108.15"/>
    <n v="108.22745500000001"/>
    <n v="140.05000000000001"/>
    <n v="14"/>
    <n v="21"/>
    <n v="20"/>
    <n v="55"/>
    <n v="5952.51"/>
    <n v="2"/>
    <n v="53"/>
    <n v="9.27"/>
    <n v="1"/>
    <n v="22"/>
    <n v="3081.1"/>
    <n v="0"/>
    <x v="0"/>
    <s v="OK"/>
  </r>
  <r>
    <s v="IT-10108"/>
    <s v="Drive belt 20-108"/>
    <x v="4"/>
    <x v="4"/>
    <x v="1"/>
    <s v="2026-06"/>
    <n v="109.82"/>
    <n v="109.82"/>
    <n v="108.725238"/>
    <n v="140.05000000000001"/>
    <n v="14"/>
    <n v="13"/>
    <n v="25"/>
    <n v="42"/>
    <n v="4566.46"/>
    <n v="6"/>
    <n v="36"/>
    <n v="7.18"/>
    <n v="2"/>
    <n v="38"/>
    <n v="5321.9"/>
    <n v="0"/>
    <x v="0"/>
    <s v="OK"/>
  </r>
  <r>
    <s v="IT-10108"/>
    <s v="Drive belt 20-108"/>
    <x v="4"/>
    <x v="4"/>
    <x v="1"/>
    <s v="2026-07"/>
    <n v="108.49"/>
    <n v="108.49"/>
    <n v="108.61196099999999"/>
    <n v="140.05000000000001"/>
    <n v="14"/>
    <n v="16"/>
    <n v="39"/>
    <n v="51"/>
    <n v="5539.21"/>
    <n v="7"/>
    <n v="44"/>
    <n v="7.45"/>
    <n v="7"/>
    <n v="30"/>
    <n v="4201.5"/>
    <n v="0"/>
    <x v="0"/>
    <s v="OK"/>
  </r>
  <r>
    <s v="IT-10108"/>
    <s v="Drive belt 20-108"/>
    <x v="4"/>
    <x v="4"/>
    <x v="1"/>
    <s v="2026-08"/>
    <n v="108.05"/>
    <n v="108.05"/>
    <n v="108.45359000000001"/>
    <n v="140.05000000000001"/>
    <n v="14"/>
    <n v="14"/>
    <n v="20"/>
    <n v="39"/>
    <n v="4229.6899999999996"/>
    <n v="3"/>
    <n v="36"/>
    <n v="5.13"/>
    <n v="1"/>
    <n v="32"/>
    <n v="4481.6000000000004"/>
    <n v="0"/>
    <x v="0"/>
    <s v="OK"/>
  </r>
  <r>
    <s v="IT-10109"/>
    <s v="Bolt assortment A-109"/>
    <x v="2"/>
    <x v="2"/>
    <x v="1"/>
    <s v="2024-09"/>
    <n v="514.69000000000005"/>
    <n v="568.41999999999996"/>
    <n v="568.41999999999996"/>
    <n v="770.41"/>
    <n v="38"/>
    <n v="45"/>
    <n v="47"/>
    <n v="34"/>
    <n v="19326.28"/>
    <n v="2"/>
    <n v="32"/>
    <n v="4.6100000000000003"/>
    <n v="1"/>
    <n v="13"/>
    <n v="10015.33"/>
    <n v="0"/>
    <x v="0"/>
    <s v="OK"/>
  </r>
  <r>
    <s v="IT-10109"/>
    <s v="Bolt assortment A-109"/>
    <x v="2"/>
    <x v="2"/>
    <x v="1"/>
    <s v="2024-10"/>
    <n v="517.9"/>
    <n v="571.97"/>
    <n v="570.02333299999998"/>
    <n v="770.41"/>
    <n v="38"/>
    <n v="49"/>
    <n v="28"/>
    <n v="18"/>
    <n v="10260.42"/>
    <n v="4"/>
    <n v="14"/>
    <n v="2.21"/>
    <n v="2"/>
    <n v="44"/>
    <n v="33898.04"/>
    <n v="0"/>
    <x v="0"/>
    <s v="OK"/>
  </r>
  <r>
    <s v="IT-10109"/>
    <s v="Bolt assortment A-109"/>
    <x v="2"/>
    <x v="2"/>
    <x v="1"/>
    <s v="2024-11"/>
    <n v="504.89"/>
    <n v="557.6"/>
    <n v="562.07228599999996"/>
    <n v="770.41"/>
    <n v="38"/>
    <n v="59"/>
    <n v="32"/>
    <n v="35"/>
    <n v="19672.53"/>
    <n v="8"/>
    <n v="27"/>
    <n v="6.32"/>
    <n v="5"/>
    <n v="15"/>
    <n v="11556.15"/>
    <n v="0"/>
    <x v="0"/>
    <s v="OK"/>
  </r>
  <r>
    <s v="IT-10109"/>
    <s v="Bolt assortment A-109"/>
    <x v="2"/>
    <x v="2"/>
    <x v="1"/>
    <s v="2024-12"/>
    <n v="518.42999999999995"/>
    <n v="572.54999999999995"/>
    <n v="566.82000000000005"/>
    <n v="770.41"/>
    <n v="38"/>
    <n v="35"/>
    <n v="29"/>
    <n v="17"/>
    <n v="9635.94"/>
    <n v="2"/>
    <n v="15"/>
    <n v="2.11"/>
    <n v="3"/>
    <n v="47"/>
    <n v="36209.269999999997"/>
    <n v="0"/>
    <x v="0"/>
    <s v="OK"/>
  </r>
  <r>
    <s v="IT-10109"/>
    <s v="Bolt assortment A-109"/>
    <x v="2"/>
    <x v="2"/>
    <x v="1"/>
    <s v="2025-01"/>
    <n v="527.27"/>
    <n v="582.30999999999995"/>
    <n v="566.82000000000005"/>
    <n v="770.41"/>
    <n v="38"/>
    <m/>
    <n v="0"/>
    <n v="0"/>
    <n v="0"/>
    <n v="0"/>
    <n v="0"/>
    <n v="0"/>
    <n v="0"/>
    <n v="17"/>
    <n v="13096.97"/>
    <n v="10"/>
    <x v="1"/>
    <s v="OK"/>
  </r>
  <r>
    <s v="IT-10109"/>
    <s v="Bolt assortment A-109"/>
    <x v="2"/>
    <x v="2"/>
    <x v="1"/>
    <s v="2025-02"/>
    <n v="530.96"/>
    <n v="586.39"/>
    <n v="586.39"/>
    <n v="810.81"/>
    <n v="38"/>
    <n v="38"/>
    <n v="70"/>
    <n v="51"/>
    <n v="29905.89"/>
    <n v="8"/>
    <n v="43"/>
    <n v="7.9"/>
    <n v="1"/>
    <n v="19"/>
    <n v="15405.39"/>
    <n v="0"/>
    <x v="0"/>
    <s v="OK"/>
  </r>
  <r>
    <s v="IT-10109"/>
    <s v="Bolt assortment A-109"/>
    <x v="2"/>
    <x v="2"/>
    <x v="1"/>
    <s v="2025-03"/>
    <n v="536.4"/>
    <n v="592.4"/>
    <n v="588.31321400000002"/>
    <n v="810.81"/>
    <n v="38"/>
    <n v="36"/>
    <n v="24"/>
    <n v="56"/>
    <n v="32945.54"/>
    <n v="5"/>
    <n v="51"/>
    <n v="13.09"/>
    <n v="2"/>
    <n v="19"/>
    <n v="15405.39"/>
    <n v="0"/>
    <x v="0"/>
    <s v="OK"/>
  </r>
  <r>
    <s v="IT-10109"/>
    <s v="Bolt assortment A-109"/>
    <x v="2"/>
    <x v="2"/>
    <x v="1"/>
    <s v="2025-04"/>
    <n v="537.30999999999995"/>
    <n v="593.4"/>
    <n v="588.31326100000001"/>
    <n v="810.81"/>
    <n v="38"/>
    <m/>
    <n v="0"/>
    <n v="46"/>
    <n v="27062.41"/>
    <n v="3"/>
    <n v="43"/>
    <n v="12.18"/>
    <n v="1"/>
    <n v="10"/>
    <n v="8108.1"/>
    <n v="0"/>
    <x v="0"/>
    <s v="OK"/>
  </r>
  <r>
    <s v="IT-10109"/>
    <s v="Bolt assortment A-109"/>
    <x v="2"/>
    <x v="2"/>
    <x v="1"/>
    <s v="2025-05"/>
    <n v="523.94000000000005"/>
    <n v="578.64"/>
    <n v="583.69652199999996"/>
    <n v="810.81"/>
    <n v="38"/>
    <n v="43"/>
    <n v="42"/>
    <n v="69"/>
    <n v="40275.06"/>
    <n v="8"/>
    <n v="61"/>
    <n v="18.89"/>
    <n v="16"/>
    <n v="19"/>
    <n v="15405.39"/>
    <n v="0"/>
    <x v="0"/>
    <s v="OK"/>
  </r>
  <r>
    <s v="IT-10109"/>
    <s v="Bolt assortment A-109"/>
    <x v="2"/>
    <x v="2"/>
    <x v="1"/>
    <s v="2025-06"/>
    <n v="535.86"/>
    <n v="591.79999999999995"/>
    <n v="585.78779399999996"/>
    <n v="810.81"/>
    <n v="38"/>
    <n v="36"/>
    <n v="24"/>
    <n v="68"/>
    <n v="39833.57"/>
    <n v="8"/>
    <n v="60"/>
    <n v="16.37"/>
    <n v="6"/>
    <n v="25"/>
    <n v="20270.25"/>
    <n v="0"/>
    <x v="0"/>
    <s v="OK"/>
  </r>
  <r>
    <s v="IT-10109"/>
    <s v="Bolt assortment A-109"/>
    <x v="2"/>
    <x v="2"/>
    <x v="1"/>
    <s v="2025-07"/>
    <n v="517.75"/>
    <n v="571.79999999999995"/>
    <n v="585.78764699999999"/>
    <n v="810.81"/>
    <n v="38"/>
    <m/>
    <n v="0"/>
    <n v="34"/>
    <n v="19916.78"/>
    <n v="5"/>
    <n v="29"/>
    <n v="5.73"/>
    <n v="0"/>
    <n v="34"/>
    <n v="27567.54"/>
    <n v="0"/>
    <x v="0"/>
    <s v="OK"/>
  </r>
  <r>
    <s v="IT-10109"/>
    <s v="Bolt assortment A-109"/>
    <x v="2"/>
    <x v="2"/>
    <x v="1"/>
    <s v="2025-08"/>
    <n v="521.54999999999995"/>
    <n v="576"/>
    <n v="585.78714300000001"/>
    <n v="810.81"/>
    <n v="38"/>
    <m/>
    <n v="0"/>
    <n v="7"/>
    <n v="4100.51"/>
    <n v="5"/>
    <n v="2"/>
    <n v="1.07"/>
    <n v="7"/>
    <n v="27"/>
    <n v="21891.87"/>
    <n v="0"/>
    <x v="0"/>
    <s v="OK"/>
  </r>
  <r>
    <s v="IT-10109"/>
    <s v="Bolt assortment A-109"/>
    <x v="2"/>
    <x v="2"/>
    <x v="1"/>
    <s v="2025-09"/>
    <n v="527.41"/>
    <n v="582.47"/>
    <n v="582.90806499999997"/>
    <n v="810.81"/>
    <n v="38"/>
    <n v="33"/>
    <n v="46"/>
    <n v="31"/>
    <n v="18070.150000000001"/>
    <n v="2"/>
    <n v="29"/>
    <n v="4.91"/>
    <n v="0"/>
    <n v="22"/>
    <n v="17837.82"/>
    <n v="0"/>
    <x v="0"/>
    <s v="OK"/>
  </r>
  <r>
    <s v="IT-10109"/>
    <s v="Bolt assortment A-109"/>
    <x v="2"/>
    <x v="2"/>
    <x v="1"/>
    <s v="2025-10"/>
    <n v="524.78"/>
    <n v="579.55999999999995"/>
    <n v="580.85730799999999"/>
    <n v="810.81"/>
    <n v="38"/>
    <n v="34"/>
    <n v="49"/>
    <n v="52"/>
    <n v="30204.58"/>
    <n v="7"/>
    <n v="45"/>
    <n v="8.8800000000000008"/>
    <n v="10"/>
    <n v="28"/>
    <n v="22702.68"/>
    <n v="0"/>
    <x v="0"/>
    <s v="OK"/>
  </r>
  <r>
    <s v="IT-10109"/>
    <s v="Bolt assortment A-109"/>
    <x v="2"/>
    <x v="2"/>
    <x v="1"/>
    <s v="2025-11"/>
    <n v="520.74"/>
    <n v="575.1"/>
    <n v="579.03926799999999"/>
    <n v="810.81"/>
    <n v="38"/>
    <n v="37"/>
    <n v="24"/>
    <n v="41"/>
    <n v="23740.61"/>
    <n v="5"/>
    <n v="36"/>
    <n v="6.27"/>
    <n v="8"/>
    <n v="35"/>
    <n v="28378.35"/>
    <n v="0"/>
    <x v="0"/>
    <s v="OK"/>
  </r>
  <r>
    <s v="IT-10109"/>
    <s v="Bolt assortment A-109"/>
    <x v="2"/>
    <x v="2"/>
    <x v="1"/>
    <s v="2025-12"/>
    <n v="539.65"/>
    <n v="595.99"/>
    <n v="585.29806499999995"/>
    <n v="810.81"/>
    <n v="38"/>
    <n v="34"/>
    <n v="24"/>
    <n v="31"/>
    <n v="18144.240000000002"/>
    <n v="8"/>
    <n v="23"/>
    <n v="4.2"/>
    <n v="0"/>
    <n v="34"/>
    <n v="27567.54"/>
    <n v="0"/>
    <x v="0"/>
    <s v="OK"/>
  </r>
  <r>
    <s v="IT-10109"/>
    <s v="Bolt assortment A-109"/>
    <x v="2"/>
    <x v="2"/>
    <x v="1"/>
    <s v="2026-01"/>
    <n v="533.80999999999995"/>
    <n v="589.54"/>
    <n v="587.31130399999995"/>
    <n v="810.81"/>
    <n v="38"/>
    <n v="33"/>
    <n v="28"/>
    <n v="23"/>
    <n v="13508.16"/>
    <n v="2"/>
    <n v="21"/>
    <n v="2.88"/>
    <n v="8"/>
    <n v="36"/>
    <n v="29189.16"/>
    <n v="0"/>
    <x v="0"/>
    <s v="OK"/>
  </r>
  <r>
    <s v="IT-10109"/>
    <s v="Bolt assortment A-109"/>
    <x v="2"/>
    <x v="2"/>
    <x v="1"/>
    <s v="2026-02"/>
    <n v="535.70000000000005"/>
    <n v="591.62"/>
    <n v="590.16264200000001"/>
    <n v="853.33"/>
    <n v="38"/>
    <n v="34"/>
    <n v="45"/>
    <n v="53"/>
    <n v="31278.62"/>
    <n v="2"/>
    <n v="51"/>
    <n v="8.02"/>
    <n v="13"/>
    <n v="15"/>
    <n v="12799.95"/>
    <n v="0"/>
    <x v="0"/>
    <s v="OK"/>
  </r>
  <r>
    <s v="IT-10109"/>
    <s v="Bolt assortment A-109"/>
    <x v="2"/>
    <x v="2"/>
    <x v="1"/>
    <s v="2026-03"/>
    <n v="542.94000000000005"/>
    <n v="599.62"/>
    <n v="593.11040800000001"/>
    <n v="853.33"/>
    <n v="38"/>
    <n v="36"/>
    <n v="24"/>
    <n v="49"/>
    <n v="29062.41"/>
    <n v="6"/>
    <n v="43"/>
    <n v="7.97"/>
    <n v="1"/>
    <n v="28"/>
    <n v="23893.24"/>
    <n v="0"/>
    <x v="0"/>
    <s v="OK"/>
  </r>
  <r>
    <s v="IT-10109"/>
    <s v="Bolt assortment A-109"/>
    <x v="2"/>
    <x v="2"/>
    <x v="1"/>
    <s v="2026-04"/>
    <n v="546.87"/>
    <n v="603.96"/>
    <n v="593.11030300000004"/>
    <n v="853.33"/>
    <n v="38"/>
    <m/>
    <n v="0"/>
    <n v="33"/>
    <n v="19572.64"/>
    <n v="2"/>
    <n v="31"/>
    <n v="7.11"/>
    <n v="3"/>
    <n v="16"/>
    <n v="13653.28"/>
    <n v="0"/>
    <x v="0"/>
    <s v="OK"/>
  </r>
  <r>
    <s v="IT-10109"/>
    <s v="Bolt assortment A-109"/>
    <x v="2"/>
    <x v="2"/>
    <x v="1"/>
    <s v="2026-05"/>
    <n v="536.17999999999995"/>
    <n v="592.15"/>
    <n v="592.66962999999998"/>
    <n v="853.33"/>
    <n v="38"/>
    <n v="33"/>
    <n v="28"/>
    <n v="27"/>
    <n v="16002.08"/>
    <n v="2"/>
    <n v="25"/>
    <n v="4.55"/>
    <n v="5"/>
    <n v="34"/>
    <n v="29013.22"/>
    <n v="0"/>
    <x v="0"/>
    <s v="OK"/>
  </r>
  <r>
    <s v="IT-10109"/>
    <s v="Bolt assortment A-109"/>
    <x v="2"/>
    <x v="2"/>
    <x v="1"/>
    <s v="2026-06"/>
    <n v="532.9"/>
    <n v="588.53"/>
    <n v="592.66937499999995"/>
    <n v="853.33"/>
    <n v="38"/>
    <m/>
    <n v="0"/>
    <n v="16"/>
    <n v="9482.7099999999991"/>
    <n v="5"/>
    <n v="11"/>
    <n v="3.41"/>
    <n v="20"/>
    <n v="11"/>
    <n v="9386.6299999999992"/>
    <n v="0"/>
    <x v="0"/>
    <s v="OK"/>
  </r>
  <r>
    <s v="IT-10109"/>
    <s v="Bolt assortment A-109"/>
    <x v="2"/>
    <x v="2"/>
    <x v="1"/>
    <s v="2026-07"/>
    <n v="531.29"/>
    <n v="586.75"/>
    <n v="587.81419400000004"/>
    <n v="853.33"/>
    <n v="38"/>
    <n v="58"/>
    <n v="73"/>
    <n v="62"/>
    <n v="36444.480000000003"/>
    <n v="8"/>
    <n v="54"/>
    <n v="11.32"/>
    <n v="1"/>
    <n v="27"/>
    <n v="23039.91"/>
    <n v="0"/>
    <x v="0"/>
    <s v="OK"/>
  </r>
  <r>
    <s v="IT-10109"/>
    <s v="Bolt assortment A-109"/>
    <x v="2"/>
    <x v="2"/>
    <x v="1"/>
    <s v="2026-08"/>
    <n v="534.03"/>
    <n v="589.78"/>
    <n v="587.81424200000004"/>
    <n v="853.33"/>
    <n v="38"/>
    <m/>
    <n v="0"/>
    <n v="33"/>
    <n v="19397.87"/>
    <n v="8"/>
    <n v="25"/>
    <n v="6.47"/>
    <n v="0"/>
    <n v="29"/>
    <n v="24746.57"/>
    <n v="0"/>
    <x v="0"/>
    <s v="OK"/>
  </r>
  <r>
    <s v="IT-10110"/>
    <s v="Sensor unit A-110"/>
    <x v="3"/>
    <x v="3"/>
    <x v="1"/>
    <s v="2024-09"/>
    <n v="313.51"/>
    <n v="313.51"/>
    <n v="313.50428599999998"/>
    <n v="456.95"/>
    <n v="36"/>
    <n v="35"/>
    <n v="19"/>
    <n v="14"/>
    <n v="4389.0600000000004"/>
    <n v="1"/>
    <n v="13"/>
    <n v="8.36"/>
    <n v="21"/>
    <n v="6"/>
    <n v="2741.7"/>
    <n v="0"/>
    <x v="0"/>
    <s v="OK"/>
  </r>
  <r>
    <s v="IT-10110"/>
    <s v="Sensor unit A-110"/>
    <x v="3"/>
    <x v="3"/>
    <x v="1"/>
    <s v="2024-10"/>
    <n v="313.54000000000002"/>
    <n v="313.54000000000002"/>
    <n v="313.51357100000001"/>
    <n v="456.95"/>
    <n v="36"/>
    <n v="33"/>
    <n v="5"/>
    <n v="14"/>
    <n v="4389.1899999999996"/>
    <n v="1"/>
    <n v="13"/>
    <n v="10.220000000000001"/>
    <n v="4"/>
    <n v="5"/>
    <n v="2284.75"/>
    <n v="0"/>
    <x v="0"/>
    <s v="OK"/>
  </r>
  <r>
    <s v="IT-10110"/>
    <s v="Sensor unit A-110"/>
    <x v="3"/>
    <x v="3"/>
    <x v="1"/>
    <s v="2024-11"/>
    <n v="312.58999999999997"/>
    <n v="312.58999999999997"/>
    <n v="313.51400000000001"/>
    <n v="456.95"/>
    <n v="36"/>
    <m/>
    <n v="0"/>
    <n v="10"/>
    <n v="3135.14"/>
    <n v="0"/>
    <n v="10"/>
    <n v="8.67"/>
    <n v="11"/>
    <n v="4"/>
    <n v="1827.8"/>
    <n v="0"/>
    <x v="0"/>
    <s v="OK"/>
  </r>
  <r>
    <s v="IT-10110"/>
    <s v="Sensor unit A-110"/>
    <x v="3"/>
    <x v="3"/>
    <x v="1"/>
    <s v="2024-12"/>
    <n v="317.39999999999998"/>
    <n v="317.39999999999998"/>
    <n v="314.97125"/>
    <n v="456.95"/>
    <n v="36"/>
    <n v="35"/>
    <n v="6"/>
    <n v="8"/>
    <n v="2519.77"/>
    <n v="1"/>
    <n v="7"/>
    <n v="6.18"/>
    <n v="6"/>
    <n v="8"/>
    <n v="3655.6"/>
    <n v="0"/>
    <x v="0"/>
    <s v="OK"/>
  </r>
  <r>
    <s v="IT-10110"/>
    <s v="Sensor unit A-110"/>
    <x v="3"/>
    <x v="3"/>
    <x v="1"/>
    <s v="2025-01"/>
    <n v="310.26"/>
    <n v="310.26"/>
    <n v="312.05500000000001"/>
    <n v="456.95"/>
    <n v="36"/>
    <n v="31"/>
    <n v="13"/>
    <n v="10"/>
    <n v="3120.55"/>
    <n v="1"/>
    <n v="9"/>
    <n v="5.71"/>
    <n v="1"/>
    <n v="11"/>
    <n v="5026.45"/>
    <n v="0"/>
    <x v="0"/>
    <s v="OK"/>
  </r>
  <r>
    <s v="IT-10110"/>
    <s v="Sensor unit A-110"/>
    <x v="3"/>
    <x v="3"/>
    <x v="1"/>
    <s v="2025-02"/>
    <n v="309.37"/>
    <n v="309.37"/>
    <n v="312.05500000000001"/>
    <n v="468.64"/>
    <n v="36"/>
    <m/>
    <n v="0"/>
    <n v="4"/>
    <n v="1248.22"/>
    <n v="2"/>
    <n v="2"/>
    <n v="2.06"/>
    <n v="4"/>
    <n v="6"/>
    <n v="2811.84"/>
    <n v="0"/>
    <x v="0"/>
    <s v="OK"/>
  </r>
  <r>
    <s v="IT-10110"/>
    <s v="Sensor unit A-110"/>
    <x v="3"/>
    <x v="3"/>
    <x v="1"/>
    <s v="2025-03"/>
    <n v="334.53"/>
    <n v="334.53"/>
    <n v="327.61333300000001"/>
    <n v="468.64"/>
    <n v="36"/>
    <n v="33"/>
    <n v="9"/>
    <n v="3"/>
    <n v="982.84"/>
    <n v="0"/>
    <n v="3"/>
    <n v="1.43"/>
    <n v="6"/>
    <n v="10"/>
    <n v="4686.3999999999996"/>
    <n v="0"/>
    <x v="0"/>
    <s v="OK"/>
  </r>
  <r>
    <s v="IT-10110"/>
    <s v="Sensor unit A-110"/>
    <x v="3"/>
    <x v="3"/>
    <x v="1"/>
    <s v="2025-04"/>
    <n v="328.52"/>
    <n v="328.52"/>
    <n v="328.32625000000002"/>
    <n v="468.64"/>
    <n v="36"/>
    <n v="35"/>
    <n v="11"/>
    <n v="8"/>
    <n v="2626.61"/>
    <n v="2"/>
    <n v="6"/>
    <n v="4.62"/>
    <n v="17"/>
    <n v="6"/>
    <n v="2811.84"/>
    <n v="0"/>
    <x v="0"/>
    <s v="OK"/>
  </r>
  <r>
    <s v="IT-10110"/>
    <s v="Sensor unit A-110"/>
    <x v="3"/>
    <x v="3"/>
    <x v="1"/>
    <s v="2025-05"/>
    <n v="327.25"/>
    <n v="327.25"/>
    <n v="327.91199999999998"/>
    <n v="468.64"/>
    <n v="36"/>
    <n v="34"/>
    <n v="5"/>
    <n v="5"/>
    <n v="1639.56"/>
    <n v="2"/>
    <n v="3"/>
    <n v="2.74"/>
    <n v="23"/>
    <n v="8"/>
    <n v="3749.12"/>
    <n v="0"/>
    <x v="0"/>
    <s v="OK"/>
  </r>
  <r>
    <s v="IT-10110"/>
    <s v="Sensor unit A-110"/>
    <x v="3"/>
    <x v="3"/>
    <x v="1"/>
    <s v="2025-06"/>
    <n v="324.23"/>
    <n v="324.23"/>
    <n v="325.64600000000002"/>
    <n v="468.64"/>
    <n v="36"/>
    <n v="35"/>
    <n v="8"/>
    <n v="10"/>
    <n v="3256.46"/>
    <n v="2"/>
    <n v="8"/>
    <n v="7.65"/>
    <n v="7"/>
    <n v="3"/>
    <n v="1405.92"/>
    <n v="0"/>
    <x v="0"/>
    <s v="OK"/>
  </r>
  <r>
    <s v="IT-10110"/>
    <s v="Sensor unit A-110"/>
    <x v="3"/>
    <x v="3"/>
    <x v="1"/>
    <s v="2025-07"/>
    <n v="329.11"/>
    <n v="329.11"/>
    <n v="327.95538499999998"/>
    <n v="468.64"/>
    <n v="36"/>
    <n v="31"/>
    <n v="20"/>
    <n v="26"/>
    <n v="8526.84"/>
    <n v="1"/>
    <n v="25"/>
    <n v="22.78"/>
    <n v="0"/>
    <n v="4"/>
    <n v="1874.56"/>
    <n v="0"/>
    <x v="0"/>
    <s v="OK"/>
  </r>
  <r>
    <s v="IT-10110"/>
    <s v="Sensor unit A-110"/>
    <x v="3"/>
    <x v="3"/>
    <x v="1"/>
    <s v="2025-08"/>
    <n v="325.67"/>
    <n v="325.67"/>
    <n v="327.95541700000001"/>
    <n v="468.64"/>
    <n v="36"/>
    <m/>
    <n v="0"/>
    <n v="24"/>
    <n v="7870.93"/>
    <n v="1"/>
    <n v="23"/>
    <n v="35.049999999999997"/>
    <n v="19"/>
    <n v="2"/>
    <n v="937.28"/>
    <n v="0"/>
    <x v="0"/>
    <s v="OK"/>
  </r>
  <r>
    <s v="IT-10110"/>
    <s v="Sensor unit A-110"/>
    <x v="3"/>
    <x v="3"/>
    <x v="1"/>
    <s v="2025-09"/>
    <n v="326.58999999999997"/>
    <n v="326.58999999999997"/>
    <n v="327.95523800000001"/>
    <n v="468.64"/>
    <n v="36"/>
    <m/>
    <n v="0"/>
    <n v="21"/>
    <n v="6887.06"/>
    <n v="2"/>
    <n v="19"/>
    <n v="30.67"/>
    <n v="16"/>
    <n v="3"/>
    <n v="1405.92"/>
    <n v="0"/>
    <x v="0"/>
    <s v="OK"/>
  </r>
  <r>
    <s v="IT-10110"/>
    <s v="Sensor unit A-110"/>
    <x v="3"/>
    <x v="3"/>
    <x v="1"/>
    <s v="2025-10"/>
    <n v="327.75"/>
    <n v="327.75"/>
    <n v="327.915909"/>
    <n v="468.64"/>
    <n v="36"/>
    <n v="35"/>
    <n v="5"/>
    <n v="22"/>
    <n v="7214.15"/>
    <n v="1"/>
    <n v="21"/>
    <n v="32.130000000000003"/>
    <n v="8"/>
    <n v="4"/>
    <n v="1874.56"/>
    <n v="0"/>
    <x v="0"/>
    <s v="OK"/>
  </r>
  <r>
    <s v="IT-10110"/>
    <s v="Sensor unit A-110"/>
    <x v="3"/>
    <x v="3"/>
    <x v="1"/>
    <s v="2025-11"/>
    <n v="336.65"/>
    <n v="336.65"/>
    <n v="327.91571399999998"/>
    <n v="468.64"/>
    <n v="36"/>
    <m/>
    <n v="0"/>
    <n v="14"/>
    <n v="4590.82"/>
    <n v="1"/>
    <n v="13"/>
    <n v="12.13"/>
    <n v="2"/>
    <n v="8"/>
    <n v="3749.12"/>
    <n v="0"/>
    <x v="0"/>
    <s v="OK"/>
  </r>
  <r>
    <s v="IT-10110"/>
    <s v="Sensor unit A-110"/>
    <x v="3"/>
    <x v="3"/>
    <x v="1"/>
    <s v="2025-12"/>
    <n v="336.23"/>
    <n v="336.23"/>
    <n v="331.75315799999998"/>
    <n v="468.64"/>
    <n v="36"/>
    <n v="31"/>
    <n v="12"/>
    <n v="19"/>
    <n v="6303.31"/>
    <n v="2"/>
    <n v="17"/>
    <n v="13.14"/>
    <n v="14"/>
    <n v="7"/>
    <n v="3280.48"/>
    <n v="0"/>
    <x v="0"/>
    <s v="OK"/>
  </r>
  <r>
    <s v="IT-10110"/>
    <s v="Sensor unit A-110"/>
    <x v="3"/>
    <x v="3"/>
    <x v="1"/>
    <s v="2026-01"/>
    <n v="329.38"/>
    <n v="329.38"/>
    <n v="331.753333"/>
    <n v="468.64"/>
    <n v="36"/>
    <m/>
    <n v="0"/>
    <n v="6"/>
    <n v="1990.52"/>
    <n v="0"/>
    <n v="6"/>
    <n v="2.82"/>
    <n v="2"/>
    <n v="13"/>
    <n v="6092.32"/>
    <n v="0"/>
    <x v="0"/>
    <s v="OK"/>
  </r>
  <r>
    <s v="IT-10110"/>
    <s v="Sensor unit A-110"/>
    <x v="3"/>
    <x v="3"/>
    <x v="1"/>
    <s v="2026-02"/>
    <n v="327"/>
    <n v="327"/>
    <n v="331.753333"/>
    <n v="480.63"/>
    <n v="36"/>
    <m/>
    <n v="0"/>
    <n v="0"/>
    <n v="0"/>
    <n v="0"/>
    <n v="0"/>
    <n v="0"/>
    <n v="26"/>
    <n v="6"/>
    <n v="2883.78"/>
    <n v="1"/>
    <x v="1"/>
    <s v="OK"/>
  </r>
  <r>
    <s v="IT-10110"/>
    <s v="Sensor unit A-110"/>
    <x v="3"/>
    <x v="3"/>
    <x v="1"/>
    <s v="2026-03"/>
    <n v="349.08"/>
    <n v="349.08"/>
    <n v="349.08"/>
    <n v="480.63"/>
    <n v="36"/>
    <n v="31"/>
    <n v="12"/>
    <n v="7"/>
    <n v="2443.56"/>
    <n v="0"/>
    <n v="7"/>
    <n v="3.75"/>
    <n v="13"/>
    <n v="5"/>
    <n v="2403.15"/>
    <n v="0"/>
    <x v="0"/>
    <s v="OK"/>
  </r>
  <r>
    <s v="IT-10110"/>
    <s v="Sensor unit A-110"/>
    <x v="3"/>
    <x v="3"/>
    <x v="1"/>
    <s v="2026-04"/>
    <n v="344.72"/>
    <n v="344.72"/>
    <n v="346.41583300000002"/>
    <n v="480.63"/>
    <n v="36"/>
    <n v="34"/>
    <n v="11"/>
    <n v="12"/>
    <n v="4156.99"/>
    <n v="2"/>
    <n v="10"/>
    <n v="8.9700000000000006"/>
    <n v="21"/>
    <n v="6"/>
    <n v="2883.78"/>
    <n v="0"/>
    <x v="0"/>
    <s v="OK"/>
  </r>
  <r>
    <s v="IT-10110"/>
    <s v="Sensor unit A-110"/>
    <x v="3"/>
    <x v="3"/>
    <x v="1"/>
    <s v="2026-05"/>
    <n v="352.63"/>
    <n v="352.63"/>
    <n v="348.24374999999998"/>
    <n v="480.63"/>
    <n v="36"/>
    <n v="33"/>
    <n v="5"/>
    <n v="8"/>
    <n v="2785.95"/>
    <n v="1"/>
    <n v="7"/>
    <n v="5.26"/>
    <n v="3"/>
    <n v="9"/>
    <n v="4325.67"/>
    <n v="0"/>
    <x v="0"/>
    <s v="OK"/>
  </r>
  <r>
    <s v="IT-10110"/>
    <s v="Sensor unit A-110"/>
    <x v="3"/>
    <x v="3"/>
    <x v="1"/>
    <s v="2026-06"/>
    <n v="349.53"/>
    <n v="349.53"/>
    <n v="348.73833300000001"/>
    <n v="480.63"/>
    <n v="36"/>
    <n v="36"/>
    <n v="5"/>
    <n v="6"/>
    <n v="2092.4299999999998"/>
    <n v="1"/>
    <n v="5"/>
    <n v="3.55"/>
    <n v="0"/>
    <n v="7"/>
    <n v="3364.41"/>
    <n v="0"/>
    <x v="0"/>
    <s v="OK"/>
  </r>
  <r>
    <s v="IT-10110"/>
    <s v="Sensor unit A-110"/>
    <x v="3"/>
    <x v="3"/>
    <x v="1"/>
    <s v="2026-07"/>
    <n v="354.28"/>
    <n v="354.28"/>
    <n v="351.25799999999998"/>
    <n v="480.63"/>
    <n v="36"/>
    <n v="31"/>
    <n v="5"/>
    <n v="5"/>
    <n v="1756.29"/>
    <n v="2"/>
    <n v="3"/>
    <n v="2.99"/>
    <n v="11"/>
    <n v="6"/>
    <n v="2883.78"/>
    <n v="0"/>
    <x v="0"/>
    <s v="OK"/>
  </r>
  <r>
    <s v="IT-10110"/>
    <s v="Sensor unit A-110"/>
    <x v="3"/>
    <x v="3"/>
    <x v="1"/>
    <s v="2026-08"/>
    <n v="353.21"/>
    <n v="353.21"/>
    <n v="352.63625000000002"/>
    <n v="480.63"/>
    <n v="36"/>
    <n v="60"/>
    <n v="12"/>
    <n v="8"/>
    <n v="2821.09"/>
    <n v="0"/>
    <n v="8"/>
    <n v="4.78"/>
    <n v="9"/>
    <n v="9"/>
    <n v="4325.67"/>
    <n v="0"/>
    <x v="0"/>
    <s v="OK"/>
  </r>
  <r>
    <s v="IT-10111"/>
    <s v="Gear set M-111"/>
    <x v="4"/>
    <x v="4"/>
    <x v="0"/>
    <s v="2024-09"/>
    <n v="191.96"/>
    <n v="209.29"/>
    <n v="209.62"/>
    <n v="289.75"/>
    <n v="49"/>
    <m/>
    <n v="0"/>
    <n v="24"/>
    <n v="5030.88"/>
    <n v="8"/>
    <n v="16"/>
    <n v="3.54"/>
    <n v="5"/>
    <n v="49"/>
    <n v="14197.75"/>
    <n v="0"/>
    <x v="0"/>
    <s v="OK"/>
  </r>
  <r>
    <s v="IT-10111"/>
    <s v="Gear set M-111"/>
    <x v="4"/>
    <x v="4"/>
    <x v="0"/>
    <s v="2024-10"/>
    <n v="208.98"/>
    <n v="227.85"/>
    <n v="219.09960000000001"/>
    <n v="289.75"/>
    <n v="49"/>
    <n v="47"/>
    <n v="26"/>
    <n v="0"/>
    <n v="0"/>
    <n v="0"/>
    <n v="0"/>
    <n v="0"/>
    <n v="1"/>
    <n v="50"/>
    <n v="14487.5"/>
    <n v="29"/>
    <x v="1"/>
    <s v="OK"/>
  </r>
  <r>
    <s v="IT-10111"/>
    <s v="Gear set M-111"/>
    <x v="4"/>
    <x v="4"/>
    <x v="0"/>
    <s v="2024-11"/>
    <n v="204.67"/>
    <n v="223.15"/>
    <n v="223.15"/>
    <n v="289.75"/>
    <n v="49"/>
    <n v="59"/>
    <n v="68"/>
    <n v="47"/>
    <n v="10488.05"/>
    <n v="15"/>
    <n v="32"/>
    <n v="5.09"/>
    <n v="2"/>
    <n v="21"/>
    <n v="6084.75"/>
    <n v="0"/>
    <x v="0"/>
    <s v="OK"/>
  </r>
  <r>
    <s v="IT-10111"/>
    <s v="Gear set M-111"/>
    <x v="4"/>
    <x v="4"/>
    <x v="0"/>
    <s v="2024-12"/>
    <n v="202.92"/>
    <n v="221.24"/>
    <n v="222.872286"/>
    <n v="289.75"/>
    <n v="49"/>
    <n v="56"/>
    <n v="8"/>
    <n v="35"/>
    <n v="7800.53"/>
    <n v="9"/>
    <n v="26"/>
    <n v="5.05"/>
    <n v="4"/>
    <n v="20"/>
    <n v="5795"/>
    <n v="0"/>
    <x v="0"/>
    <s v="OK"/>
  </r>
  <r>
    <s v="IT-10111"/>
    <s v="Gear set M-111"/>
    <x v="4"/>
    <x v="4"/>
    <x v="0"/>
    <s v="2025-01"/>
    <n v="207.82"/>
    <n v="226.59"/>
    <n v="225.596735"/>
    <n v="289.75"/>
    <n v="49"/>
    <n v="42"/>
    <n v="96"/>
    <n v="98"/>
    <n v="22108.48"/>
    <n v="9"/>
    <n v="89"/>
    <n v="17.41"/>
    <n v="4"/>
    <n v="33"/>
    <n v="9561.75"/>
    <n v="0"/>
    <x v="0"/>
    <s v="OK"/>
  </r>
  <r>
    <s v="IT-10111"/>
    <s v="Gear set M-111"/>
    <x v="4"/>
    <x v="4"/>
    <x v="0"/>
    <s v="2025-02"/>
    <n v="209.99"/>
    <n v="228.95"/>
    <n v="225.59670299999999"/>
    <n v="298.18"/>
    <n v="49"/>
    <m/>
    <n v="0"/>
    <n v="91"/>
    <n v="20529.3"/>
    <n v="15"/>
    <n v="76"/>
    <n v="19.5"/>
    <n v="3"/>
    <n v="7"/>
    <n v="2087.2600000000002"/>
    <n v="0"/>
    <x v="0"/>
    <s v="OK"/>
  </r>
  <r>
    <s v="IT-10111"/>
    <s v="Gear set M-111"/>
    <x v="4"/>
    <x v="4"/>
    <x v="0"/>
    <s v="2025-03"/>
    <n v="210.08"/>
    <n v="229.05"/>
    <n v="225.59674999999999"/>
    <n v="298.18"/>
    <n v="49"/>
    <m/>
    <n v="0"/>
    <n v="40"/>
    <n v="9023.8700000000008"/>
    <n v="9"/>
    <n v="31"/>
    <n v="5.65"/>
    <n v="1"/>
    <n v="51"/>
    <n v="15207.18"/>
    <n v="0"/>
    <x v="0"/>
    <s v="OK"/>
  </r>
  <r>
    <s v="IT-10111"/>
    <s v="Gear set M-111"/>
    <x v="4"/>
    <x v="4"/>
    <x v="0"/>
    <s v="2025-04"/>
    <n v="207.99"/>
    <n v="226.77"/>
    <n v="226.45287099999999"/>
    <n v="298.18"/>
    <n v="49"/>
    <n v="47"/>
    <n v="108"/>
    <n v="101"/>
    <n v="22871.74"/>
    <n v="14"/>
    <n v="87"/>
    <n v="12.23"/>
    <n v="8"/>
    <n v="47"/>
    <n v="14014.46"/>
    <n v="0"/>
    <x v="0"/>
    <s v="OK"/>
  </r>
  <r>
    <s v="IT-10111"/>
    <s v="Gear set M-111"/>
    <x v="4"/>
    <x v="4"/>
    <x v="0"/>
    <s v="2025-05"/>
    <n v="208.02"/>
    <n v="226.8"/>
    <n v="226.54407399999999"/>
    <n v="298.18"/>
    <n v="49"/>
    <n v="43"/>
    <n v="36"/>
    <n v="81"/>
    <n v="18350.07"/>
    <n v="11"/>
    <n v="70"/>
    <n v="6.91"/>
    <n v="8"/>
    <n v="56"/>
    <n v="16698.080000000002"/>
    <n v="0"/>
    <x v="0"/>
    <s v="OK"/>
  </r>
  <r>
    <s v="IT-10111"/>
    <s v="Gear set M-111"/>
    <x v="4"/>
    <x v="4"/>
    <x v="0"/>
    <s v="2025-06"/>
    <n v="204.11"/>
    <n v="222.54"/>
    <n v="226.544085"/>
    <n v="298.18"/>
    <n v="49"/>
    <m/>
    <n v="0"/>
    <n v="71"/>
    <n v="16084.63"/>
    <n v="14"/>
    <n v="57"/>
    <n v="8.17"/>
    <n v="1"/>
    <n v="10"/>
    <n v="2981.8"/>
    <n v="0"/>
    <x v="0"/>
    <s v="OK"/>
  </r>
  <r>
    <s v="IT-10111"/>
    <s v="Gear set M-111"/>
    <x v="4"/>
    <x v="4"/>
    <x v="0"/>
    <s v="2025-07"/>
    <n v="205.4"/>
    <n v="223.95"/>
    <n v="225.655306"/>
    <n v="298.18"/>
    <n v="49"/>
    <n v="45"/>
    <n v="37"/>
    <n v="49"/>
    <n v="11057.11"/>
    <n v="11"/>
    <n v="38"/>
    <n v="5.15"/>
    <n v="0"/>
    <n v="59"/>
    <n v="17592.62"/>
    <n v="0"/>
    <x v="0"/>
    <s v="OK"/>
  </r>
  <r>
    <s v="IT-10111"/>
    <s v="Gear set M-111"/>
    <x v="4"/>
    <x v="4"/>
    <x v="0"/>
    <s v="2025-08"/>
    <n v="205.06"/>
    <n v="223.58"/>
    <n v="224.44175000000001"/>
    <n v="298.18"/>
    <n v="49"/>
    <n v="45"/>
    <n v="69"/>
    <n v="80"/>
    <n v="17955.34"/>
    <n v="14"/>
    <n v="66"/>
    <n v="9.83"/>
    <n v="8"/>
    <n v="38"/>
    <n v="11330.84"/>
    <n v="0"/>
    <x v="0"/>
    <s v="OK"/>
  </r>
  <r>
    <s v="IT-10111"/>
    <s v="Gear set M-111"/>
    <x v="4"/>
    <x v="4"/>
    <x v="0"/>
    <s v="2025-09"/>
    <n v="203.94"/>
    <n v="222.36"/>
    <n v="224.441667"/>
    <n v="298.18"/>
    <n v="49"/>
    <m/>
    <n v="0"/>
    <n v="48"/>
    <n v="10773.2"/>
    <n v="15"/>
    <n v="33"/>
    <n v="4.8899999999999997"/>
    <n v="4"/>
    <n v="32"/>
    <n v="9541.76"/>
    <n v="0"/>
    <x v="0"/>
    <s v="OK"/>
  </r>
  <r>
    <s v="IT-10111"/>
    <s v="Gear set M-111"/>
    <x v="4"/>
    <x v="4"/>
    <x v="0"/>
    <s v="2025-10"/>
    <n v="220.33"/>
    <n v="240.23"/>
    <n v="233.277333"/>
    <n v="298.18"/>
    <n v="49"/>
    <n v="46"/>
    <n v="61"/>
    <n v="45"/>
    <n v="10497.48"/>
    <n v="14"/>
    <n v="31"/>
    <n v="4.41"/>
    <n v="0"/>
    <n v="64"/>
    <n v="19083.52"/>
    <n v="0"/>
    <x v="0"/>
    <s v="OK"/>
  </r>
  <r>
    <s v="IT-10111"/>
    <s v="Gear set M-111"/>
    <x v="4"/>
    <x v="4"/>
    <x v="0"/>
    <s v="2025-11"/>
    <n v="216.2"/>
    <n v="235.72"/>
    <n v="233.27727300000001"/>
    <n v="298.18"/>
    <n v="49"/>
    <m/>
    <n v="0"/>
    <n v="22"/>
    <n v="5132.1000000000004"/>
    <n v="15"/>
    <n v="7"/>
    <n v="2.4"/>
    <n v="6"/>
    <n v="23"/>
    <n v="6858.14"/>
    <n v="0"/>
    <x v="0"/>
    <s v="OK"/>
  </r>
  <r>
    <s v="IT-10111"/>
    <s v="Gear set M-111"/>
    <x v="4"/>
    <x v="4"/>
    <x v="0"/>
    <s v="2025-12"/>
    <n v="220.86"/>
    <n v="240.8"/>
    <n v="237.6772"/>
    <n v="298.18"/>
    <n v="49"/>
    <n v="49"/>
    <n v="31"/>
    <n v="25"/>
    <n v="5941.93"/>
    <n v="14"/>
    <n v="11"/>
    <n v="2.86"/>
    <n v="2"/>
    <n v="28"/>
    <n v="8349.0400000000009"/>
    <n v="0"/>
    <x v="0"/>
    <s v="OK"/>
  </r>
  <r>
    <s v="IT-10111"/>
    <s v="Gear set M-111"/>
    <x v="4"/>
    <x v="4"/>
    <x v="0"/>
    <s v="2026-01"/>
    <n v="216.59"/>
    <n v="236.15"/>
    <n v="236.46039999999999"/>
    <n v="298.18"/>
    <n v="49"/>
    <n v="42"/>
    <n v="98"/>
    <n v="50"/>
    <n v="11823.02"/>
    <n v="3"/>
    <n v="47"/>
    <n v="5.3"/>
    <n v="1"/>
    <n v="73"/>
    <n v="21767.14"/>
    <n v="0"/>
    <x v="0"/>
    <s v="OK"/>
  </r>
  <r>
    <s v="IT-10111"/>
    <s v="Gear set M-111"/>
    <x v="4"/>
    <x v="4"/>
    <x v="0"/>
    <s v="2026-02"/>
    <n v="218.17"/>
    <n v="237.87"/>
    <n v="236.46034499999999"/>
    <n v="306.86"/>
    <n v="49"/>
    <m/>
    <n v="0"/>
    <n v="29"/>
    <n v="6857.35"/>
    <n v="15"/>
    <n v="14"/>
    <n v="3.06"/>
    <n v="0"/>
    <n v="21"/>
    <n v="6444.06"/>
    <n v="0"/>
    <x v="0"/>
    <s v="OK"/>
  </r>
  <r>
    <s v="IT-10111"/>
    <s v="Gear set M-111"/>
    <x v="4"/>
    <x v="4"/>
    <x v="0"/>
    <s v="2026-03"/>
    <n v="220.19"/>
    <n v="240.07"/>
    <n v="238.96803299999999"/>
    <n v="306.86"/>
    <n v="49"/>
    <n v="58"/>
    <n v="66"/>
    <n v="61"/>
    <n v="14577.05"/>
    <n v="11"/>
    <n v="50"/>
    <n v="6.13"/>
    <n v="16"/>
    <n v="34"/>
    <n v="10433.24"/>
    <n v="0"/>
    <x v="0"/>
    <s v="OK"/>
  </r>
  <r>
    <s v="IT-10111"/>
    <s v="Gear set M-111"/>
    <x v="4"/>
    <x v="4"/>
    <x v="0"/>
    <s v="2026-04"/>
    <n v="220.06"/>
    <n v="239.93"/>
    <n v="238.96777800000001"/>
    <n v="306.86"/>
    <n v="49"/>
    <m/>
    <n v="0"/>
    <n v="18"/>
    <n v="4301.42"/>
    <n v="12"/>
    <n v="6"/>
    <n v="2.34"/>
    <n v="4"/>
    <n v="43"/>
    <n v="13194.98"/>
    <n v="0"/>
    <x v="0"/>
    <s v="OK"/>
  </r>
  <r>
    <s v="IT-10111"/>
    <s v="Gear set M-111"/>
    <x v="4"/>
    <x v="4"/>
    <x v="0"/>
    <s v="2026-05"/>
    <n v="220.8"/>
    <n v="240.74"/>
    <n v="240.11451"/>
    <n v="306.86"/>
    <n v="49"/>
    <n v="42"/>
    <n v="33"/>
    <n v="0"/>
    <n v="0"/>
    <n v="0"/>
    <n v="0"/>
    <n v="0"/>
    <n v="6"/>
    <n v="51"/>
    <n v="15649.86"/>
    <n v="13"/>
    <x v="1"/>
    <s v="OK"/>
  </r>
  <r>
    <s v="IT-10111"/>
    <s v="Gear set M-111"/>
    <x v="4"/>
    <x v="4"/>
    <x v="0"/>
    <s v="2026-06"/>
    <n v="220"/>
    <n v="239.87"/>
    <n v="239.87"/>
    <n v="306.86"/>
    <n v="49"/>
    <n v="45"/>
    <n v="25"/>
    <n v="0"/>
    <n v="0"/>
    <n v="0"/>
    <n v="0"/>
    <n v="0"/>
    <n v="1"/>
    <n v="25"/>
    <n v="7671.5"/>
    <n v="34"/>
    <x v="1"/>
    <s v="OK"/>
  </r>
  <r>
    <s v="IT-10111"/>
    <s v="Gear set M-111"/>
    <x v="4"/>
    <x v="4"/>
    <x v="0"/>
    <s v="2026-07"/>
    <n v="221.21"/>
    <n v="241.19"/>
    <n v="241.19"/>
    <n v="306.86"/>
    <n v="49"/>
    <n v="45"/>
    <n v="99"/>
    <n v="36"/>
    <n v="8682.84"/>
    <n v="14"/>
    <n v="22"/>
    <n v="3.4"/>
    <n v="0"/>
    <n v="63"/>
    <n v="19332.18"/>
    <n v="0"/>
    <x v="0"/>
    <s v="OK"/>
  </r>
  <r>
    <s v="IT-10111"/>
    <s v="Gear set M-111"/>
    <x v="4"/>
    <x v="4"/>
    <x v="0"/>
    <s v="2026-08"/>
    <n v="220.57"/>
    <n v="240.49"/>
    <n v="241.19"/>
    <n v="306.86"/>
    <n v="49"/>
    <m/>
    <n v="0"/>
    <n v="0"/>
    <n v="0"/>
    <n v="0"/>
    <n v="0"/>
    <n v="0"/>
    <n v="8"/>
    <n v="36"/>
    <n v="11046.96"/>
    <n v="32"/>
    <x v="1"/>
    <s v="OK"/>
  </r>
  <r>
    <s v="IT-10112"/>
    <s v="Gear set B-112"/>
    <x v="4"/>
    <x v="4"/>
    <x v="1"/>
    <s v="2024-09"/>
    <n v="231.55"/>
    <n v="231.55"/>
    <n v="235.71947700000001"/>
    <n v="320.70999999999998"/>
    <n v="24"/>
    <n v="23"/>
    <n v="45"/>
    <n v="172"/>
    <n v="40543.75"/>
    <n v="12"/>
    <n v="160"/>
    <n v="19"/>
    <n v="11"/>
    <n v="33"/>
    <n v="10583.43"/>
    <n v="0"/>
    <x v="0"/>
    <s v="OK"/>
  </r>
  <r>
    <s v="IT-10112"/>
    <s v="Gear set B-112"/>
    <x v="4"/>
    <x v="4"/>
    <x v="1"/>
    <s v="2024-10"/>
    <n v="249.9"/>
    <n v="249.9"/>
    <n v="238.660113"/>
    <n v="320.70999999999998"/>
    <n v="24"/>
    <n v="23"/>
    <n v="45"/>
    <n v="177"/>
    <n v="42242.84"/>
    <n v="11"/>
    <n v="166"/>
    <n v="18.91"/>
    <n v="3"/>
    <n v="40"/>
    <n v="12828.4"/>
    <n v="0"/>
    <x v="0"/>
    <s v="OK"/>
  </r>
  <r>
    <s v="IT-10112"/>
    <s v="Gear set B-112"/>
    <x v="4"/>
    <x v="4"/>
    <x v="1"/>
    <s v="2024-11"/>
    <n v="244.7"/>
    <n v="244.7"/>
    <n v="239.88440900000001"/>
    <n v="320.70999999999998"/>
    <n v="24"/>
    <n v="24"/>
    <n v="45"/>
    <n v="186"/>
    <n v="44618.5"/>
    <n v="6"/>
    <n v="180"/>
    <n v="22.18"/>
    <n v="8"/>
    <n v="36"/>
    <n v="11545.56"/>
    <n v="0"/>
    <x v="0"/>
    <s v="OK"/>
  </r>
  <r>
    <s v="IT-10112"/>
    <s v="Gear set B-112"/>
    <x v="4"/>
    <x v="4"/>
    <x v="1"/>
    <s v="2024-12"/>
    <n v="246.34"/>
    <n v="246.34"/>
    <n v="239.884444"/>
    <n v="320.70999999999998"/>
    <n v="24"/>
    <m/>
    <n v="0"/>
    <n v="135"/>
    <n v="32384.400000000001"/>
    <n v="14"/>
    <n v="121"/>
    <n v="13.97"/>
    <n v="2"/>
    <n v="51"/>
    <n v="16356.21"/>
    <n v="0"/>
    <x v="0"/>
    <s v="OK"/>
  </r>
  <r>
    <s v="IT-10112"/>
    <s v="Gear set B-112"/>
    <x v="4"/>
    <x v="4"/>
    <x v="1"/>
    <s v="2025-01"/>
    <n v="248.47"/>
    <n v="248.47"/>
    <n v="242.03081900000001"/>
    <n v="320.70999999999998"/>
    <n v="24"/>
    <n v="39"/>
    <n v="45"/>
    <n v="171"/>
    <n v="41387.269999999997"/>
    <n v="11"/>
    <n v="160"/>
    <n v="23.41"/>
    <n v="6"/>
    <n v="9"/>
    <n v="2886.39"/>
    <n v="0"/>
    <x v="0"/>
    <s v="OK"/>
  </r>
  <r>
    <s v="IT-10112"/>
    <s v="Gear set B-112"/>
    <x v="4"/>
    <x v="4"/>
    <x v="1"/>
    <s v="2025-02"/>
    <n v="247.64"/>
    <n v="247.64"/>
    <n v="242.030821"/>
    <n v="336.99"/>
    <n v="24"/>
    <m/>
    <n v="0"/>
    <n v="134"/>
    <n v="32432.13"/>
    <n v="12"/>
    <n v="122"/>
    <n v="17.760000000000002"/>
    <n v="2"/>
    <n v="37"/>
    <n v="12468.63"/>
    <n v="0"/>
    <x v="0"/>
    <s v="OK"/>
  </r>
  <r>
    <s v="IT-10112"/>
    <s v="Gear set B-112"/>
    <x v="4"/>
    <x v="4"/>
    <x v="1"/>
    <s v="2025-03"/>
    <n v="248.34"/>
    <n v="248.34"/>
    <n v="243.61695"/>
    <n v="336.99"/>
    <n v="24"/>
    <n v="33"/>
    <n v="45"/>
    <n v="141"/>
    <n v="34349.99"/>
    <n v="9"/>
    <n v="132"/>
    <n v="21.58"/>
    <n v="2"/>
    <n v="38"/>
    <n v="12805.62"/>
    <n v="0"/>
    <x v="0"/>
    <s v="OK"/>
  </r>
  <r>
    <s v="IT-10112"/>
    <s v="Gear set B-112"/>
    <x v="4"/>
    <x v="4"/>
    <x v="1"/>
    <s v="2025-04"/>
    <n v="250.98"/>
    <n v="250.98"/>
    <n v="246.77681799999999"/>
    <n v="336.99"/>
    <n v="24"/>
    <n v="24"/>
    <n v="106"/>
    <n v="198"/>
    <n v="48861.81"/>
    <n v="11"/>
    <n v="187"/>
    <n v="20.3"/>
    <n v="0"/>
    <n v="49"/>
    <n v="16512.509999999998"/>
    <n v="0"/>
    <x v="0"/>
    <s v="OK"/>
  </r>
  <r>
    <s v="IT-10112"/>
    <s v="Gear set B-112"/>
    <x v="4"/>
    <x v="4"/>
    <x v="1"/>
    <s v="2025-05"/>
    <n v="251.22"/>
    <n v="251.22"/>
    <n v="247.59961699999999"/>
    <n v="336.99"/>
    <n v="24"/>
    <n v="22"/>
    <n v="45"/>
    <n v="209"/>
    <n v="51748.32"/>
    <n v="9"/>
    <n v="200"/>
    <n v="22.7"/>
    <n v="0"/>
    <n v="34"/>
    <n v="11457.66"/>
    <n v="0"/>
    <x v="0"/>
    <s v="OK"/>
  </r>
  <r>
    <s v="IT-10112"/>
    <s v="Gear set B-112"/>
    <x v="4"/>
    <x v="4"/>
    <x v="1"/>
    <s v="2025-06"/>
    <n v="249.86"/>
    <n v="249.86"/>
    <n v="247.599603"/>
    <n v="336.99"/>
    <n v="24"/>
    <m/>
    <n v="0"/>
    <n v="151"/>
    <n v="37387.54"/>
    <n v="9"/>
    <n v="142"/>
    <n v="13.92"/>
    <n v="7"/>
    <n v="58"/>
    <n v="19545.419999999998"/>
    <n v="0"/>
    <x v="0"/>
    <s v="OK"/>
  </r>
  <r>
    <s v="IT-10112"/>
    <s v="Gear set B-112"/>
    <x v="4"/>
    <x v="4"/>
    <x v="1"/>
    <s v="2025-07"/>
    <n v="249.31"/>
    <n v="249.31"/>
    <n v="247.59956500000001"/>
    <n v="336.99"/>
    <n v="24"/>
    <m/>
    <n v="0"/>
    <n v="92"/>
    <n v="22779.16"/>
    <n v="11"/>
    <n v="81"/>
    <n v="8.01"/>
    <n v="0"/>
    <n v="59"/>
    <n v="19882.41"/>
    <n v="0"/>
    <x v="0"/>
    <s v="OK"/>
  </r>
  <r>
    <s v="IT-10112"/>
    <s v="Gear set B-112"/>
    <x v="4"/>
    <x v="4"/>
    <x v="1"/>
    <s v="2025-08"/>
    <n v="252.48"/>
    <n v="252.48"/>
    <n v="250.38186400000001"/>
    <n v="336.99"/>
    <n v="24"/>
    <n v="23"/>
    <n v="122"/>
    <n v="177"/>
    <n v="44317.59"/>
    <n v="5"/>
    <n v="172"/>
    <n v="15.11"/>
    <n v="0"/>
    <n v="37"/>
    <n v="12468.63"/>
    <n v="0"/>
    <x v="0"/>
    <s v="OK"/>
  </r>
  <r>
    <s v="IT-10112"/>
    <s v="Gear set B-112"/>
    <x v="4"/>
    <x v="4"/>
    <x v="1"/>
    <s v="2025-09"/>
    <n v="250.88"/>
    <n v="250.88"/>
    <n v="250.48284899999999"/>
    <n v="336.99"/>
    <n v="24"/>
    <n v="23"/>
    <n v="45"/>
    <n v="186"/>
    <n v="46589.81"/>
    <n v="9"/>
    <n v="177"/>
    <n v="18.52"/>
    <n v="3"/>
    <n v="36"/>
    <n v="12131.64"/>
    <n v="0"/>
    <x v="0"/>
    <s v="OK"/>
  </r>
  <r>
    <s v="IT-10112"/>
    <s v="Gear set B-112"/>
    <x v="4"/>
    <x v="4"/>
    <x v="1"/>
    <s v="2025-10"/>
    <n v="264.82"/>
    <n v="264.82"/>
    <n v="253.275789"/>
    <n v="336.99"/>
    <n v="24"/>
    <n v="21"/>
    <n v="45"/>
    <n v="171"/>
    <n v="43310.16"/>
    <n v="5"/>
    <n v="166"/>
    <n v="16.899999999999999"/>
    <n v="4"/>
    <n v="60"/>
    <n v="20219.400000000001"/>
    <n v="0"/>
    <x v="0"/>
    <s v="OK"/>
  </r>
  <r>
    <s v="IT-10112"/>
    <s v="Gear set B-112"/>
    <x v="4"/>
    <x v="4"/>
    <x v="1"/>
    <s v="2025-11"/>
    <n v="266.60000000000002"/>
    <n v="266.60000000000002"/>
    <n v="256.05164000000002"/>
    <n v="336.99"/>
    <n v="24"/>
    <n v="28"/>
    <n v="45"/>
    <n v="189"/>
    <n v="48393.760000000002"/>
    <n v="3"/>
    <n v="186"/>
    <n v="19.98"/>
    <n v="9"/>
    <n v="27"/>
    <n v="9098.73"/>
    <n v="0"/>
    <x v="0"/>
    <s v="OK"/>
  </r>
  <r>
    <s v="IT-10112"/>
    <s v="Gear set B-112"/>
    <x v="4"/>
    <x v="4"/>
    <x v="1"/>
    <s v="2025-12"/>
    <n v="261.41000000000003"/>
    <n v="261.41000000000003"/>
    <n v="256.05160999999998"/>
    <n v="336.99"/>
    <n v="24"/>
    <m/>
    <n v="0"/>
    <n v="118"/>
    <n v="30214.09"/>
    <n v="15"/>
    <n v="103"/>
    <n v="9.82"/>
    <n v="1"/>
    <n v="71"/>
    <n v="23926.29"/>
    <n v="0"/>
    <x v="0"/>
    <s v="OK"/>
  </r>
  <r>
    <s v="IT-10112"/>
    <s v="Gear set B-112"/>
    <x v="4"/>
    <x v="4"/>
    <x v="1"/>
    <s v="2026-01"/>
    <n v="261.67"/>
    <n v="261.67"/>
    <n v="258.18066199999998"/>
    <n v="336.99"/>
    <n v="24"/>
    <n v="22"/>
    <n v="72"/>
    <n v="136"/>
    <n v="35112.57"/>
    <n v="12"/>
    <n v="124"/>
    <n v="11.76"/>
    <n v="3"/>
    <n v="54"/>
    <n v="18197.46"/>
    <n v="0"/>
    <x v="0"/>
    <s v="OK"/>
  </r>
  <r>
    <s v="IT-10112"/>
    <s v="Gear set B-112"/>
    <x v="4"/>
    <x v="4"/>
    <x v="1"/>
    <s v="2026-02"/>
    <n v="267.7"/>
    <n v="267.7"/>
    <n v="260.547372"/>
    <n v="354.1"/>
    <n v="24"/>
    <n v="23"/>
    <n v="45"/>
    <n v="137"/>
    <n v="35694.99"/>
    <n v="9"/>
    <n v="128"/>
    <n v="10.42"/>
    <n v="4"/>
    <n v="44"/>
    <n v="15580.4"/>
    <n v="0"/>
    <x v="0"/>
    <s v="OK"/>
  </r>
  <r>
    <s v="IT-10112"/>
    <s v="Gear set B-112"/>
    <x v="4"/>
    <x v="4"/>
    <x v="1"/>
    <s v="2026-03"/>
    <n v="258.24"/>
    <n v="258.24"/>
    <n v="259.71028699999999"/>
    <n v="354.1"/>
    <n v="24"/>
    <n v="21"/>
    <n v="78"/>
    <n v="174"/>
    <n v="45189.59"/>
    <n v="9"/>
    <n v="165"/>
    <n v="16.09"/>
    <n v="6"/>
    <n v="41"/>
    <n v="14518.1"/>
    <n v="0"/>
    <x v="0"/>
    <s v="OK"/>
  </r>
  <r>
    <s v="IT-10112"/>
    <s v="Gear set B-112"/>
    <x v="4"/>
    <x v="4"/>
    <x v="1"/>
    <s v="2026-04"/>
    <n v="265.16000000000003"/>
    <n v="265.16000000000003"/>
    <n v="259.710263"/>
    <n v="354.1"/>
    <n v="24"/>
    <m/>
    <n v="0"/>
    <n v="114"/>
    <n v="29606.97"/>
    <n v="15"/>
    <n v="99"/>
    <n v="10"/>
    <n v="1"/>
    <n v="60"/>
    <n v="21246"/>
    <n v="0"/>
    <x v="0"/>
    <s v="OK"/>
  </r>
  <r>
    <s v="IT-10112"/>
    <s v="Gear set B-112"/>
    <x v="4"/>
    <x v="4"/>
    <x v="1"/>
    <s v="2026-05"/>
    <n v="268.14"/>
    <n v="268.14"/>
    <n v="262.096"/>
    <n v="354.1"/>
    <n v="24"/>
    <n v="23"/>
    <n v="45"/>
    <n v="100"/>
    <n v="26209.599999999999"/>
    <n v="3"/>
    <n v="97"/>
    <n v="8.2100000000000009"/>
    <n v="1"/>
    <n v="59"/>
    <n v="20891.900000000001"/>
    <n v="0"/>
    <x v="0"/>
    <s v="OK"/>
  </r>
  <r>
    <s v="IT-10112"/>
    <s v="Gear set B-112"/>
    <x v="4"/>
    <x v="4"/>
    <x v="1"/>
    <s v="2026-06"/>
    <n v="262.02"/>
    <n v="262.02"/>
    <n v="262.05919999999998"/>
    <n v="354.1"/>
    <n v="24"/>
    <n v="22"/>
    <n v="94"/>
    <n v="125"/>
    <n v="32757.4"/>
    <n v="12"/>
    <n v="113"/>
    <n v="8.64"/>
    <n v="0"/>
    <n v="69"/>
    <n v="24432.9"/>
    <n v="0"/>
    <x v="0"/>
    <s v="OK"/>
  </r>
  <r>
    <s v="IT-10112"/>
    <s v="Gear set B-112"/>
    <x v="4"/>
    <x v="4"/>
    <x v="1"/>
    <s v="2026-07"/>
    <n v="264.22000000000003"/>
    <n v="264.22000000000003"/>
    <n v="262.63117599999998"/>
    <n v="354.1"/>
    <n v="24"/>
    <n v="21"/>
    <n v="45"/>
    <n v="119"/>
    <n v="31253.11"/>
    <n v="12"/>
    <n v="107"/>
    <n v="8.74"/>
    <n v="0"/>
    <n v="51"/>
    <n v="18059.099999999999"/>
    <n v="0"/>
    <x v="0"/>
    <s v="OK"/>
  </r>
  <r>
    <s v="IT-10112"/>
    <s v="Gear set B-112"/>
    <x v="4"/>
    <x v="4"/>
    <x v="1"/>
    <s v="2026-08"/>
    <n v="266.95999999999998"/>
    <n v="266.95999999999998"/>
    <n v="264.39718699999997"/>
    <n v="354.1"/>
    <n v="24"/>
    <n v="22"/>
    <n v="82"/>
    <n v="160"/>
    <n v="42303.55"/>
    <n v="15"/>
    <n v="145"/>
    <n v="13.06"/>
    <n v="1"/>
    <n v="41"/>
    <n v="14518.1"/>
    <n v="0"/>
    <x v="0"/>
    <s v="OK"/>
  </r>
  <r>
    <s v="IT-10113"/>
    <s v="Ball bearing 20-113"/>
    <x v="0"/>
    <x v="0"/>
    <x v="0"/>
    <s v="2024-09"/>
    <n v="67.010000000000005"/>
    <n v="73.58"/>
    <n v="74.145221000000006"/>
    <n v="95.9"/>
    <n v="53"/>
    <n v="50"/>
    <n v="201"/>
    <n v="249"/>
    <n v="18462.16"/>
    <n v="39"/>
    <n v="210"/>
    <n v="4.1100000000000003"/>
    <n v="1"/>
    <n v="320"/>
    <n v="30688"/>
    <n v="0"/>
    <x v="0"/>
    <s v="OK"/>
  </r>
  <r>
    <s v="IT-10113"/>
    <s v="Ball bearing 20-113"/>
    <x v="0"/>
    <x v="0"/>
    <x v="0"/>
    <s v="2024-10"/>
    <n v="66.790000000000006"/>
    <n v="73.34"/>
    <n v="73.788560000000004"/>
    <n v="95.9"/>
    <n v="53"/>
    <n v="47"/>
    <n v="198"/>
    <n v="361"/>
    <n v="26637.67"/>
    <n v="28"/>
    <n v="333"/>
    <n v="8.1"/>
    <n v="4"/>
    <n v="86"/>
    <n v="8247.4"/>
    <n v="0"/>
    <x v="0"/>
    <s v="OK"/>
  </r>
  <r>
    <s v="IT-10113"/>
    <s v="Ball bearing 20-113"/>
    <x v="0"/>
    <x v="0"/>
    <x v="0"/>
    <s v="2024-11"/>
    <n v="68.45"/>
    <n v="75.16"/>
    <n v="73.788571000000005"/>
    <n v="95.9"/>
    <n v="53"/>
    <m/>
    <n v="0"/>
    <n v="203"/>
    <n v="14979.08"/>
    <n v="44"/>
    <n v="159"/>
    <n v="4.68"/>
    <n v="3"/>
    <n v="158"/>
    <n v="15152.2"/>
    <n v="0"/>
    <x v="0"/>
    <s v="OK"/>
  </r>
  <r>
    <s v="IT-10113"/>
    <s v="Ball bearing 20-113"/>
    <x v="0"/>
    <x v="0"/>
    <x v="0"/>
    <s v="2024-12"/>
    <n v="66.95"/>
    <n v="73.510000000000005"/>
    <n v="73.591956999999994"/>
    <n v="95.9"/>
    <n v="53"/>
    <n v="49"/>
    <n v="487"/>
    <n v="644"/>
    <n v="47393.22"/>
    <n v="55"/>
    <n v="589"/>
    <n v="29.19"/>
    <n v="0"/>
    <n v="46"/>
    <n v="4411.3999999999996"/>
    <n v="0"/>
    <x v="0"/>
    <s v="OK"/>
  </r>
  <r>
    <s v="IT-10113"/>
    <s v="Ball bearing 20-113"/>
    <x v="0"/>
    <x v="0"/>
    <x v="0"/>
    <s v="2025-01"/>
    <n v="68.540000000000006"/>
    <n v="75.260000000000005"/>
    <n v="73.591961999999995"/>
    <n v="95.9"/>
    <n v="53"/>
    <m/>
    <n v="0"/>
    <n v="479"/>
    <n v="35250.550000000003"/>
    <n v="28"/>
    <n v="451"/>
    <n v="17.059999999999999"/>
    <n v="5"/>
    <n v="165"/>
    <n v="15823.5"/>
    <n v="0"/>
    <x v="0"/>
    <s v="OK"/>
  </r>
  <r>
    <s v="IT-10113"/>
    <s v="Ball bearing 20-113"/>
    <x v="0"/>
    <x v="0"/>
    <x v="0"/>
    <s v="2025-02"/>
    <n v="68.16"/>
    <n v="74.84"/>
    <n v="73.86318"/>
    <n v="98.75"/>
    <n v="53"/>
    <n v="48"/>
    <n v="133"/>
    <n v="500"/>
    <n v="36931.589999999997"/>
    <n v="44"/>
    <n v="456"/>
    <n v="19.899999999999999"/>
    <n v="1"/>
    <n v="112"/>
    <n v="11060"/>
    <n v="0"/>
    <x v="0"/>
    <s v="OK"/>
  </r>
  <r>
    <s v="IT-10113"/>
    <s v="Ball bearing 20-113"/>
    <x v="0"/>
    <x v="0"/>
    <x v="0"/>
    <s v="2025-03"/>
    <n v="68.33"/>
    <n v="75.03"/>
    <n v="74.267365999999996"/>
    <n v="98.75"/>
    <n v="53"/>
    <n v="52"/>
    <n v="265"/>
    <n v="672"/>
    <n v="49907.67"/>
    <n v="39"/>
    <n v="633"/>
    <n v="23.35"/>
    <n v="0"/>
    <n v="93"/>
    <n v="9183.75"/>
    <n v="0"/>
    <x v="0"/>
    <s v="OK"/>
  </r>
  <r>
    <s v="IT-10113"/>
    <s v="Ball bearing 20-113"/>
    <x v="0"/>
    <x v="0"/>
    <x v="0"/>
    <s v="2025-04"/>
    <n v="68.37"/>
    <n v="75.069999999999993"/>
    <n v="74.267366999999993"/>
    <n v="98.75"/>
    <n v="53"/>
    <m/>
    <n v="0"/>
    <n v="509"/>
    <n v="37802.089999999997"/>
    <n v="55"/>
    <n v="454"/>
    <n v="17.59"/>
    <n v="2"/>
    <n v="163"/>
    <n v="16096.25"/>
    <n v="0"/>
    <x v="0"/>
    <s v="OK"/>
  </r>
  <r>
    <s v="IT-10113"/>
    <s v="Ball bearing 20-113"/>
    <x v="0"/>
    <x v="0"/>
    <x v="0"/>
    <s v="2025-05"/>
    <n v="68.08"/>
    <n v="74.75"/>
    <n v="74.457543999999999"/>
    <n v="98.75"/>
    <n v="53"/>
    <n v="51"/>
    <n v="331"/>
    <n v="619"/>
    <n v="46089.22"/>
    <n v="17"/>
    <n v="602"/>
    <n v="17.059999999999999"/>
    <n v="2"/>
    <n v="221"/>
    <n v="21823.75"/>
    <n v="0"/>
    <x v="0"/>
    <s v="OK"/>
  </r>
  <r>
    <s v="IT-10113"/>
    <s v="Ball bearing 20-113"/>
    <x v="0"/>
    <x v="0"/>
    <x v="0"/>
    <s v="2025-06"/>
    <n v="68.819999999999993"/>
    <n v="75.569999999999993"/>
    <n v="74.457552000000007"/>
    <n v="98.75"/>
    <n v="53"/>
    <m/>
    <n v="0"/>
    <n v="429"/>
    <n v="31942.29"/>
    <n v="50"/>
    <n v="379"/>
    <n v="9.7200000000000006"/>
    <n v="0"/>
    <n v="190"/>
    <n v="18762.5"/>
    <n v="0"/>
    <x v="0"/>
    <s v="OK"/>
  </r>
  <r>
    <s v="IT-10113"/>
    <s v="Ball bearing 20-113"/>
    <x v="0"/>
    <x v="0"/>
    <x v="0"/>
    <s v="2025-07"/>
    <n v="69.34"/>
    <n v="76.14"/>
    <n v="74.457539999999995"/>
    <n v="98.75"/>
    <n v="53"/>
    <m/>
    <n v="0"/>
    <n v="252"/>
    <n v="18763.3"/>
    <n v="33"/>
    <n v="219"/>
    <n v="5.63"/>
    <n v="2"/>
    <n v="177"/>
    <n v="17478.75"/>
    <n v="0"/>
    <x v="0"/>
    <s v="OK"/>
  </r>
  <r>
    <s v="IT-10113"/>
    <s v="Ball bearing 20-113"/>
    <x v="0"/>
    <x v="0"/>
    <x v="0"/>
    <s v="2025-08"/>
    <n v="68.92"/>
    <n v="75.680000000000007"/>
    <n v="75.087570999999997"/>
    <n v="98.75"/>
    <n v="53"/>
    <n v="49"/>
    <n v="268"/>
    <n v="387"/>
    <n v="29058.89"/>
    <n v="22"/>
    <n v="365"/>
    <n v="10.17"/>
    <n v="1"/>
    <n v="133"/>
    <n v="13133.75"/>
    <n v="0"/>
    <x v="0"/>
    <s v="OK"/>
  </r>
  <r>
    <s v="IT-10113"/>
    <s v="Ball bearing 20-113"/>
    <x v="0"/>
    <x v="0"/>
    <x v="0"/>
    <s v="2025-09"/>
    <n v="69.56"/>
    <n v="76.38"/>
    <n v="75.087570999999997"/>
    <n v="98.75"/>
    <n v="53"/>
    <m/>
    <n v="0"/>
    <n v="177"/>
    <n v="13290.5"/>
    <n v="44"/>
    <n v="133"/>
    <n v="4.47"/>
    <n v="0"/>
    <n v="210"/>
    <n v="20737.5"/>
    <n v="0"/>
    <x v="0"/>
    <s v="OK"/>
  </r>
  <r>
    <s v="IT-10113"/>
    <s v="Ball bearing 20-113"/>
    <x v="0"/>
    <x v="0"/>
    <x v="0"/>
    <s v="2025-10"/>
    <n v="70.48"/>
    <n v="77.39"/>
    <n v="76.796791999999996"/>
    <n v="98.75"/>
    <n v="53"/>
    <n v="46"/>
    <n v="510"/>
    <n v="614"/>
    <n v="47153.23"/>
    <n v="39"/>
    <n v="575"/>
    <n v="19.399999999999999"/>
    <n v="1"/>
    <n v="73"/>
    <n v="7208.75"/>
    <n v="0"/>
    <x v="0"/>
    <s v="OK"/>
  </r>
  <r>
    <s v="IT-10113"/>
    <s v="Ball bearing 20-113"/>
    <x v="0"/>
    <x v="0"/>
    <x v="0"/>
    <s v="2025-11"/>
    <n v="68.06"/>
    <n v="74.73"/>
    <n v="76.664458999999994"/>
    <n v="98.75"/>
    <n v="53"/>
    <n v="52"/>
    <n v="42"/>
    <n v="628"/>
    <n v="48145.279999999999"/>
    <n v="17"/>
    <n v="611"/>
    <n v="26.25"/>
    <n v="5"/>
    <n v="28"/>
    <n v="2765"/>
    <n v="0"/>
    <x v="0"/>
    <s v="OK"/>
  </r>
  <r>
    <s v="IT-10113"/>
    <s v="Ball bearing 20-113"/>
    <x v="0"/>
    <x v="0"/>
    <x v="0"/>
    <s v="2025-12"/>
    <n v="68.47"/>
    <n v="75.180000000000007"/>
    <n v="76.097565000000003"/>
    <n v="98.75"/>
    <n v="53"/>
    <n v="47"/>
    <n v="388"/>
    <n v="768"/>
    <n v="58442.93"/>
    <n v="39"/>
    <n v="729"/>
    <n v="28.92"/>
    <n v="1"/>
    <n v="248"/>
    <n v="24490"/>
    <n v="0"/>
    <x v="0"/>
    <s v="OK"/>
  </r>
  <r>
    <s v="IT-10113"/>
    <s v="Ball bearing 20-113"/>
    <x v="0"/>
    <x v="0"/>
    <x v="0"/>
    <s v="2026-01"/>
    <n v="69.569999999999993"/>
    <n v="76.39"/>
    <n v="76.097570000000005"/>
    <n v="98.75"/>
    <n v="53"/>
    <m/>
    <n v="0"/>
    <n v="646"/>
    <n v="49159.03"/>
    <n v="11"/>
    <n v="635"/>
    <n v="21.33"/>
    <n v="4"/>
    <n v="122"/>
    <n v="12047.5"/>
    <n v="0"/>
    <x v="0"/>
    <s v="OK"/>
  </r>
  <r>
    <s v="IT-10113"/>
    <s v="Ball bearing 20-113"/>
    <x v="0"/>
    <x v="0"/>
    <x v="0"/>
    <s v="2026-02"/>
    <n v="68.97"/>
    <n v="75.73"/>
    <n v="76.097560999999999"/>
    <n v="101.68"/>
    <n v="53"/>
    <m/>
    <n v="0"/>
    <n v="488"/>
    <n v="37135.61"/>
    <n v="17"/>
    <n v="471"/>
    <n v="11.88"/>
    <n v="0"/>
    <n v="158"/>
    <n v="16065.44"/>
    <n v="0"/>
    <x v="0"/>
    <s v="OK"/>
  </r>
  <r>
    <s v="IT-10113"/>
    <s v="Ball bearing 20-113"/>
    <x v="0"/>
    <x v="0"/>
    <x v="0"/>
    <s v="2026-03"/>
    <n v="68.73"/>
    <n v="75.47"/>
    <n v="75.833280000000002"/>
    <n v="101.68"/>
    <n v="53"/>
    <n v="47"/>
    <n v="355"/>
    <n v="686"/>
    <n v="52021.63"/>
    <n v="33"/>
    <n v="653"/>
    <n v="20.18"/>
    <n v="0"/>
    <n v="157"/>
    <n v="15963.76"/>
    <n v="0"/>
    <x v="0"/>
    <s v="OK"/>
  </r>
  <r>
    <s v="IT-10113"/>
    <s v="Ball bearing 20-113"/>
    <x v="0"/>
    <x v="0"/>
    <x v="0"/>
    <s v="2026-04"/>
    <n v="71.62"/>
    <n v="78.64"/>
    <n v="76.286199999999994"/>
    <n v="101.68"/>
    <n v="53"/>
    <n v="46"/>
    <n v="132"/>
    <n v="571"/>
    <n v="43559.42"/>
    <n v="28"/>
    <n v="543"/>
    <n v="12.92"/>
    <n v="1"/>
    <n v="247"/>
    <n v="25114.959999999999"/>
    <n v="0"/>
    <x v="0"/>
    <s v="OK"/>
  </r>
  <r>
    <s v="IT-10113"/>
    <s v="Ball bearing 20-113"/>
    <x v="0"/>
    <x v="0"/>
    <x v="0"/>
    <s v="2026-05"/>
    <n v="70.19"/>
    <n v="77.069999999999993"/>
    <n v="76.286203"/>
    <n v="101.68"/>
    <n v="53"/>
    <m/>
    <n v="0"/>
    <n v="453"/>
    <n v="34557.65"/>
    <n v="17"/>
    <n v="436"/>
    <n v="11.41"/>
    <n v="1"/>
    <n v="118"/>
    <n v="11998.24"/>
    <n v="0"/>
    <x v="0"/>
    <s v="OK"/>
  </r>
  <r>
    <s v="IT-10113"/>
    <s v="Ball bearing 20-113"/>
    <x v="0"/>
    <x v="0"/>
    <x v="0"/>
    <s v="2026-06"/>
    <n v="71.42"/>
    <n v="78.42"/>
    <n v="77.438669000000004"/>
    <n v="101.68"/>
    <n v="53"/>
    <n v="45"/>
    <n v="532"/>
    <n v="676"/>
    <n v="52348.54"/>
    <n v="55"/>
    <n v="621"/>
    <n v="13.04"/>
    <n v="1"/>
    <n v="309"/>
    <n v="31419.119999999999"/>
    <n v="0"/>
    <x v="0"/>
    <s v="OK"/>
  </r>
  <r>
    <s v="IT-10113"/>
    <s v="Ball bearing 20-113"/>
    <x v="0"/>
    <x v="0"/>
    <x v="0"/>
    <s v="2026-07"/>
    <n v="72.510000000000005"/>
    <n v="79.62"/>
    <n v="77.438672999999994"/>
    <n v="101.68"/>
    <n v="53"/>
    <m/>
    <n v="0"/>
    <n v="520"/>
    <n v="40268.11"/>
    <n v="39"/>
    <n v="481"/>
    <n v="11.72"/>
    <n v="0"/>
    <n v="156"/>
    <n v="15862.08"/>
    <n v="0"/>
    <x v="0"/>
    <s v="OK"/>
  </r>
  <r>
    <s v="IT-10113"/>
    <s v="Ball bearing 20-113"/>
    <x v="0"/>
    <x v="0"/>
    <x v="0"/>
    <s v="2026-08"/>
    <n v="70.59"/>
    <n v="77.510000000000005"/>
    <n v="77.465154999999996"/>
    <n v="101.68"/>
    <n v="53"/>
    <n v="51"/>
    <n v="307"/>
    <n v="772"/>
    <n v="59803.1"/>
    <n v="28"/>
    <n v="744"/>
    <n v="19.510000000000002"/>
    <n v="1"/>
    <n v="55"/>
    <n v="5592.4"/>
    <n v="0"/>
    <x v="0"/>
    <s v="OK"/>
  </r>
  <r>
    <s v="IT-10114"/>
    <s v="Pressure valve A-114"/>
    <x v="1"/>
    <x v="1"/>
    <x v="1"/>
    <s v="2024-09"/>
    <n v="2.5"/>
    <n v="2.5"/>
    <n v="2.5078830000000001"/>
    <n v="3.57"/>
    <n v="14"/>
    <n v="13"/>
    <n v="769"/>
    <n v="1441"/>
    <n v="3613.86"/>
    <n v="85"/>
    <n v="1356"/>
    <n v="21.62"/>
    <n v="2"/>
    <n v="280"/>
    <n v="999.6"/>
    <n v="0"/>
    <x v="0"/>
    <s v="OK"/>
  </r>
  <r>
    <s v="IT-10114"/>
    <s v="Pressure valve A-114"/>
    <x v="1"/>
    <x v="1"/>
    <x v="1"/>
    <s v="2024-10"/>
    <n v="2.5099999999999998"/>
    <n v="2.5099999999999998"/>
    <n v="2.507978"/>
    <n v="3.57"/>
    <n v="14"/>
    <n v="15"/>
    <n v="67"/>
    <n v="994"/>
    <n v="2492.9299999999998"/>
    <n v="85"/>
    <n v="909"/>
    <n v="12.62"/>
    <n v="0"/>
    <n v="514"/>
    <n v="1834.98"/>
    <n v="0"/>
    <x v="0"/>
    <s v="OK"/>
  </r>
  <r>
    <s v="IT-10114"/>
    <s v="Pressure valve A-114"/>
    <x v="1"/>
    <x v="1"/>
    <x v="1"/>
    <s v="2024-11"/>
    <n v="2.5499999999999998"/>
    <n v="2.5499999999999998"/>
    <n v="2.527495"/>
    <n v="3.57"/>
    <n v="14"/>
    <n v="21"/>
    <n v="862"/>
    <n v="1429"/>
    <n v="3611.79"/>
    <n v="48"/>
    <n v="1381"/>
    <n v="15.21"/>
    <n v="0"/>
    <n v="427"/>
    <n v="1524.39"/>
    <n v="0"/>
    <x v="0"/>
    <s v="OK"/>
  </r>
  <r>
    <s v="IT-10114"/>
    <s v="Pressure valve A-114"/>
    <x v="1"/>
    <x v="1"/>
    <x v="1"/>
    <s v="2024-12"/>
    <n v="2.5299999999999998"/>
    <n v="2.5299999999999998"/>
    <n v="2.5277270000000001"/>
    <n v="3.57"/>
    <n v="14"/>
    <n v="13"/>
    <n v="145"/>
    <n v="1069"/>
    <n v="2702.14"/>
    <n v="36"/>
    <n v="1033"/>
    <n v="9.7200000000000006"/>
    <n v="0"/>
    <n v="505"/>
    <n v="1802.85"/>
    <n v="0"/>
    <x v="0"/>
    <s v="OK"/>
  </r>
  <r>
    <s v="IT-10114"/>
    <s v="Pressure valve A-114"/>
    <x v="1"/>
    <x v="1"/>
    <x v="1"/>
    <s v="2025-01"/>
    <n v="2.6"/>
    <n v="2.6"/>
    <n v="2.5568610000000001"/>
    <n v="3.57"/>
    <n v="14"/>
    <n v="12"/>
    <n v="722"/>
    <n v="1475"/>
    <n v="3771.37"/>
    <n v="73"/>
    <n v="1402"/>
    <n v="15.53"/>
    <n v="1"/>
    <n v="316"/>
    <n v="1128.1199999999999"/>
    <n v="0"/>
    <x v="0"/>
    <s v="OK"/>
  </r>
  <r>
    <s v="IT-10114"/>
    <s v="Pressure valve A-114"/>
    <x v="1"/>
    <x v="1"/>
    <x v="1"/>
    <s v="2025-02"/>
    <n v="2.6"/>
    <n v="2.6"/>
    <n v="2.5568599999999999"/>
    <n v="3.73"/>
    <n v="14"/>
    <m/>
    <n v="0"/>
    <n v="1016"/>
    <n v="2597.77"/>
    <n v="121"/>
    <n v="895"/>
    <n v="10.210000000000001"/>
    <n v="0"/>
    <n v="459"/>
    <n v="1712.07"/>
    <n v="0"/>
    <x v="0"/>
    <s v="OK"/>
  </r>
  <r>
    <s v="IT-10114"/>
    <s v="Pressure valve A-114"/>
    <x v="1"/>
    <x v="1"/>
    <x v="1"/>
    <s v="2025-03"/>
    <n v="2.62"/>
    <n v="2.62"/>
    <n v="2.5629759999999999"/>
    <n v="3.73"/>
    <n v="14"/>
    <n v="12"/>
    <n v="109"/>
    <n v="850"/>
    <n v="2178.5300000000002"/>
    <n v="48"/>
    <n v="802"/>
    <n v="10.41"/>
    <n v="0"/>
    <n v="275"/>
    <n v="1025.75"/>
    <n v="0"/>
    <x v="0"/>
    <s v="OK"/>
  </r>
  <r>
    <s v="IT-10114"/>
    <s v="Pressure valve A-114"/>
    <x v="1"/>
    <x v="1"/>
    <x v="1"/>
    <s v="2025-04"/>
    <n v="2.65"/>
    <n v="2.65"/>
    <n v="2.603507"/>
    <n v="3.73"/>
    <n v="14"/>
    <n v="22"/>
    <n v="741"/>
    <n v="1283"/>
    <n v="3340.3"/>
    <n v="97"/>
    <n v="1186"/>
    <n v="15.65"/>
    <n v="0"/>
    <n v="308"/>
    <n v="1148.8399999999999"/>
    <n v="0"/>
    <x v="0"/>
    <s v="OK"/>
  </r>
  <r>
    <s v="IT-10114"/>
    <s v="Pressure valve A-114"/>
    <x v="1"/>
    <x v="1"/>
    <x v="1"/>
    <s v="2025-05"/>
    <n v="2.61"/>
    <n v="2.61"/>
    <n v="2.6040169999999998"/>
    <n v="3.73"/>
    <n v="14"/>
    <n v="13"/>
    <n v="110"/>
    <n v="1277"/>
    <n v="3325.33"/>
    <n v="61"/>
    <n v="1216"/>
    <n v="24.01"/>
    <n v="2"/>
    <n v="116"/>
    <n v="432.68"/>
    <n v="0"/>
    <x v="0"/>
    <s v="OK"/>
  </r>
  <r>
    <s v="IT-10114"/>
    <s v="Pressure valve A-114"/>
    <x v="1"/>
    <x v="1"/>
    <x v="1"/>
    <s v="2025-06"/>
    <n v="2.63"/>
    <n v="2.63"/>
    <n v="2.6040209999999999"/>
    <n v="3.73"/>
    <n v="14"/>
    <m/>
    <n v="0"/>
    <n v="853"/>
    <n v="2221.23"/>
    <n v="109"/>
    <n v="744"/>
    <n v="13.08"/>
    <n v="1"/>
    <n v="424"/>
    <n v="1581.52"/>
    <n v="0"/>
    <x v="0"/>
    <s v="OK"/>
  </r>
  <r>
    <s v="IT-10114"/>
    <s v="Pressure valve A-114"/>
    <x v="1"/>
    <x v="1"/>
    <x v="1"/>
    <s v="2025-07"/>
    <n v="2.58"/>
    <n v="2.58"/>
    <n v="2.592565"/>
    <n v="3.73"/>
    <n v="14"/>
    <n v="14"/>
    <n v="778"/>
    <n v="1228"/>
    <n v="3183.67"/>
    <n v="121"/>
    <n v="1107"/>
    <n v="17.11"/>
    <n v="2"/>
    <n v="403"/>
    <n v="1503.19"/>
    <n v="0"/>
    <x v="0"/>
    <s v="OK"/>
  </r>
  <r>
    <s v="IT-10114"/>
    <s v="Pressure valve A-114"/>
    <x v="1"/>
    <x v="1"/>
    <x v="1"/>
    <s v="2025-08"/>
    <n v="2.65"/>
    <n v="2.65"/>
    <n v="2.5925609999999999"/>
    <n v="3.73"/>
    <n v="14"/>
    <m/>
    <n v="0"/>
    <n v="785"/>
    <n v="2035.16"/>
    <n v="109"/>
    <n v="676"/>
    <n v="8.1199999999999992"/>
    <n v="0"/>
    <n v="443"/>
    <n v="1652.39"/>
    <n v="0"/>
    <x v="0"/>
    <s v="OK"/>
  </r>
  <r>
    <s v="IT-10114"/>
    <s v="Pressure valve A-114"/>
    <x v="1"/>
    <x v="1"/>
    <x v="1"/>
    <s v="2025-09"/>
    <n v="2.58"/>
    <n v="2.58"/>
    <n v="2.5859269999999999"/>
    <n v="3.73"/>
    <n v="14"/>
    <n v="12"/>
    <n v="879"/>
    <n v="1289"/>
    <n v="3333.26"/>
    <n v="61"/>
    <n v="1228"/>
    <n v="13.87"/>
    <n v="0"/>
    <n v="375"/>
    <n v="1398.75"/>
    <n v="0"/>
    <x v="0"/>
    <s v="OK"/>
  </r>
  <r>
    <s v="IT-10114"/>
    <s v="Pressure valve A-114"/>
    <x v="1"/>
    <x v="1"/>
    <x v="1"/>
    <s v="2025-10"/>
    <n v="2.56"/>
    <n v="2.56"/>
    <n v="2.5835340000000002"/>
    <n v="3.73"/>
    <n v="14"/>
    <n v="13"/>
    <n v="131"/>
    <n v="1081"/>
    <n v="2792.8"/>
    <n v="73"/>
    <n v="1008"/>
    <n v="12.28"/>
    <n v="0"/>
    <n v="339"/>
    <n v="1264.47"/>
    <n v="0"/>
    <x v="0"/>
    <s v="OK"/>
  </r>
  <r>
    <s v="IT-10114"/>
    <s v="Pressure valve A-114"/>
    <x v="1"/>
    <x v="1"/>
    <x v="1"/>
    <s v="2025-11"/>
    <n v="2.61"/>
    <n v="2.61"/>
    <n v="2.5882100000000001"/>
    <n v="3.73"/>
    <n v="14"/>
    <n v="22"/>
    <n v="232"/>
    <n v="944"/>
    <n v="2443.27"/>
    <n v="85"/>
    <n v="859"/>
    <n v="11.33"/>
    <n v="0"/>
    <n v="369"/>
    <n v="1376.37"/>
    <n v="0"/>
    <x v="0"/>
    <s v="OK"/>
  </r>
  <r>
    <s v="IT-10114"/>
    <s v="Pressure valve A-114"/>
    <x v="1"/>
    <x v="1"/>
    <x v="1"/>
    <s v="2025-12"/>
    <n v="2.61"/>
    <n v="2.61"/>
    <n v="2.5955539999999999"/>
    <n v="3.73"/>
    <n v="14"/>
    <n v="19"/>
    <n v="480"/>
    <n v="1318"/>
    <n v="3420.94"/>
    <n v="48"/>
    <n v="1270"/>
    <n v="21.28"/>
    <n v="3"/>
    <n v="106"/>
    <n v="395.38"/>
    <n v="0"/>
    <x v="0"/>
    <s v="OK"/>
  </r>
  <r>
    <s v="IT-10114"/>
    <s v="Pressure valve A-114"/>
    <x v="1"/>
    <x v="1"/>
    <x v="1"/>
    <s v="2026-01"/>
    <n v="2.69"/>
    <n v="2.69"/>
    <n v="2.603615"/>
    <n v="3.73"/>
    <n v="14"/>
    <n v="12"/>
    <n v="123"/>
    <n v="877"/>
    <n v="2283.37"/>
    <n v="121"/>
    <n v="756"/>
    <n v="11.09"/>
    <n v="0"/>
    <n v="564"/>
    <n v="2103.7199999999998"/>
    <n v="0"/>
    <x v="0"/>
    <s v="OK"/>
  </r>
  <r>
    <s v="IT-10114"/>
    <s v="Pressure valve A-114"/>
    <x v="1"/>
    <x v="1"/>
    <x v="1"/>
    <s v="2026-02"/>
    <n v="2.7"/>
    <n v="2.7"/>
    <n v="2.6405979999999998"/>
    <n v="3.9"/>
    <n v="14"/>
    <n v="14"/>
    <n v="546"/>
    <n v="1220"/>
    <n v="3221.53"/>
    <n v="24"/>
    <n v="1196"/>
    <n v="17.97"/>
    <n v="0"/>
    <n v="203"/>
    <n v="791.7"/>
    <n v="0"/>
    <x v="0"/>
    <s v="OK"/>
  </r>
  <r>
    <s v="IT-10114"/>
    <s v="Pressure valve A-114"/>
    <x v="1"/>
    <x v="1"/>
    <x v="1"/>
    <s v="2026-03"/>
    <n v="2.76"/>
    <n v="2.76"/>
    <n v="2.6645430000000001"/>
    <n v="3.9"/>
    <n v="14"/>
    <n v="14"/>
    <n v="306"/>
    <n v="1323"/>
    <n v="3525.19"/>
    <n v="36"/>
    <n v="1287"/>
    <n v="17.54"/>
    <n v="0"/>
    <n v="203"/>
    <n v="791.7"/>
    <n v="0"/>
    <x v="0"/>
    <s v="OK"/>
  </r>
  <r>
    <s v="IT-10114"/>
    <s v="Pressure valve A-114"/>
    <x v="1"/>
    <x v="1"/>
    <x v="1"/>
    <s v="2026-04"/>
    <n v="2.7"/>
    <n v="2.7"/>
    <n v="2.6645400000000001"/>
    <n v="3.9"/>
    <n v="14"/>
    <m/>
    <n v="0"/>
    <n v="1044"/>
    <n v="2781.78"/>
    <n v="121"/>
    <n v="923"/>
    <n v="19.38"/>
    <n v="0"/>
    <n v="279"/>
    <n v="1088.0999999999999"/>
    <n v="0"/>
    <x v="0"/>
    <s v="OK"/>
  </r>
  <r>
    <s v="IT-10114"/>
    <s v="Pressure valve A-114"/>
    <x v="1"/>
    <x v="1"/>
    <x v="1"/>
    <s v="2026-05"/>
    <n v="2.66"/>
    <n v="2.66"/>
    <n v="2.662903"/>
    <n v="3.9"/>
    <n v="14"/>
    <n v="13"/>
    <n v="587"/>
    <n v="1264"/>
    <n v="3365.91"/>
    <n v="121"/>
    <n v="1143"/>
    <n v="19.57"/>
    <n v="2"/>
    <n v="367"/>
    <n v="1431.3"/>
    <n v="0"/>
    <x v="0"/>
    <s v="OK"/>
  </r>
  <r>
    <s v="IT-10114"/>
    <s v="Pressure valve A-114"/>
    <x v="1"/>
    <x v="1"/>
    <x v="1"/>
    <s v="2026-06"/>
    <n v="2.66"/>
    <n v="2.66"/>
    <n v="2.662547"/>
    <n v="3.9"/>
    <n v="14"/>
    <n v="17"/>
    <n v="177"/>
    <n v="962"/>
    <n v="2561.37"/>
    <n v="109"/>
    <n v="853"/>
    <n v="11.12"/>
    <n v="1"/>
    <n v="479"/>
    <n v="1868.1"/>
    <n v="0"/>
    <x v="0"/>
    <s v="OK"/>
  </r>
  <r>
    <s v="IT-10114"/>
    <s v="Pressure valve A-114"/>
    <x v="1"/>
    <x v="1"/>
    <x v="1"/>
    <s v="2026-07"/>
    <n v="2.74"/>
    <n v="2.74"/>
    <n v="2.6955969999999998"/>
    <n v="3.9"/>
    <n v="14"/>
    <n v="12"/>
    <n v="716"/>
    <n v="1599"/>
    <n v="4310.26"/>
    <n v="48"/>
    <n v="1551"/>
    <n v="22.72"/>
    <n v="6"/>
    <n v="79"/>
    <n v="308.10000000000002"/>
    <n v="0"/>
    <x v="0"/>
    <s v="OK"/>
  </r>
  <r>
    <s v="IT-10114"/>
    <s v="Pressure valve A-114"/>
    <x v="1"/>
    <x v="1"/>
    <x v="1"/>
    <s v="2026-08"/>
    <n v="2.72"/>
    <n v="2.72"/>
    <n v="2.6955939999999998"/>
    <n v="3.9"/>
    <n v="14"/>
    <m/>
    <n v="0"/>
    <n v="1321"/>
    <n v="3560.88"/>
    <n v="85"/>
    <n v="1236"/>
    <n v="20.77"/>
    <n v="0"/>
    <n v="278"/>
    <n v="1084.2"/>
    <n v="0"/>
    <x v="0"/>
    <s v="OK"/>
  </r>
  <r>
    <s v="IT-10115"/>
    <s v="Pillow block A-115"/>
    <x v="0"/>
    <x v="0"/>
    <x v="1"/>
    <s v="2024-09"/>
    <n v="357.35"/>
    <n v="390.54"/>
    <n v="384.83876199999997"/>
    <n v="504.22"/>
    <n v="45"/>
    <n v="40"/>
    <n v="58"/>
    <n v="105"/>
    <n v="40408.07"/>
    <n v="13"/>
    <n v="92"/>
    <n v="20.29"/>
    <n v="9"/>
    <n v="46"/>
    <n v="23194.12"/>
    <n v="0"/>
    <x v="0"/>
    <s v="OK"/>
  </r>
  <r>
    <s v="IT-10115"/>
    <s v="Pillow block A-115"/>
    <x v="0"/>
    <x v="0"/>
    <x v="1"/>
    <s v="2024-10"/>
    <n v="347.04"/>
    <n v="379.27"/>
    <n v="382.81374099999999"/>
    <n v="504.22"/>
    <n v="45"/>
    <n v="43"/>
    <n v="60"/>
    <n v="147"/>
    <n v="56273.62"/>
    <n v="4"/>
    <n v="143"/>
    <n v="28.41"/>
    <n v="9"/>
    <n v="18"/>
    <n v="9075.9599999999991"/>
    <n v="0"/>
    <x v="0"/>
    <s v="OK"/>
  </r>
  <r>
    <s v="IT-10115"/>
    <s v="Pillow block A-115"/>
    <x v="0"/>
    <x v="0"/>
    <x v="1"/>
    <s v="2024-11"/>
    <n v="351.93"/>
    <n v="384.61"/>
    <n v="382.81373500000001"/>
    <n v="504.22"/>
    <n v="45"/>
    <m/>
    <n v="0"/>
    <n v="83"/>
    <n v="31773.54"/>
    <n v="10"/>
    <n v="73"/>
    <n v="8.43"/>
    <n v="4"/>
    <n v="64"/>
    <n v="32270.080000000002"/>
    <n v="0"/>
    <x v="0"/>
    <s v="OK"/>
  </r>
  <r>
    <s v="IT-10115"/>
    <s v="Pillow block A-115"/>
    <x v="0"/>
    <x v="0"/>
    <x v="1"/>
    <s v="2024-12"/>
    <n v="353.45"/>
    <n v="386.27"/>
    <n v="382.81388900000002"/>
    <n v="504.22"/>
    <n v="45"/>
    <m/>
    <n v="0"/>
    <n v="18"/>
    <n v="6890.65"/>
    <n v="7"/>
    <n v="11"/>
    <n v="1.61"/>
    <n v="11"/>
    <n v="65"/>
    <n v="32774.300000000003"/>
    <n v="0"/>
    <x v="0"/>
    <s v="OK"/>
  </r>
  <r>
    <s v="IT-10115"/>
    <s v="Pillow block A-115"/>
    <x v="0"/>
    <x v="0"/>
    <x v="1"/>
    <s v="2025-01"/>
    <n v="353.01"/>
    <n v="385.79"/>
    <n v="384.965778"/>
    <n v="504.22"/>
    <n v="45"/>
    <n v="43"/>
    <n v="47"/>
    <n v="45"/>
    <n v="17323.46"/>
    <n v="8"/>
    <n v="37"/>
    <n v="3.97"/>
    <n v="8"/>
    <n v="20"/>
    <n v="10084.4"/>
    <n v="0"/>
    <x v="0"/>
    <s v="OK"/>
  </r>
  <r>
    <s v="IT-10115"/>
    <s v="Pillow block A-115"/>
    <x v="0"/>
    <x v="0"/>
    <x v="1"/>
    <s v="2025-02"/>
    <n v="355.18"/>
    <n v="388.17"/>
    <n v="386.54979600000001"/>
    <n v="534.37"/>
    <n v="45"/>
    <n v="43"/>
    <n v="44"/>
    <n v="49"/>
    <n v="18940.939999999999"/>
    <n v="3"/>
    <n v="46"/>
    <n v="5.04"/>
    <n v="5"/>
    <n v="40"/>
    <n v="21374.799999999999"/>
    <n v="0"/>
    <x v="0"/>
    <s v="OK"/>
  </r>
  <r>
    <s v="IT-10115"/>
    <s v="Pillow block A-115"/>
    <x v="0"/>
    <x v="0"/>
    <x v="1"/>
    <s v="2025-03"/>
    <n v="356.6"/>
    <n v="389.72"/>
    <n v="388.06757599999997"/>
    <n v="534.37"/>
    <n v="45"/>
    <n v="45"/>
    <n v="45"/>
    <n v="33"/>
    <n v="12806.23"/>
    <n v="4"/>
    <n v="29"/>
    <n v="3.51"/>
    <n v="1"/>
    <n v="61"/>
    <n v="32596.57"/>
    <n v="0"/>
    <x v="0"/>
    <s v="OK"/>
  </r>
  <r>
    <s v="IT-10115"/>
    <s v="Pillow block A-115"/>
    <x v="0"/>
    <x v="0"/>
    <x v="1"/>
    <s v="2025-04"/>
    <n v="366.25"/>
    <n v="400.26"/>
    <n v="388.06757599999997"/>
    <n v="534.37"/>
    <n v="45"/>
    <m/>
    <n v="0"/>
    <n v="0"/>
    <n v="0"/>
    <n v="0"/>
    <n v="0"/>
    <n v="0"/>
    <n v="4"/>
    <n v="33"/>
    <n v="17634.21"/>
    <n v="20"/>
    <x v="1"/>
    <s v="OK"/>
  </r>
  <r>
    <s v="IT-10115"/>
    <s v="Pillow block A-115"/>
    <x v="0"/>
    <x v="0"/>
    <x v="1"/>
    <s v="2025-05"/>
    <n v="357.71"/>
    <n v="390.93"/>
    <n v="390.93"/>
    <n v="534.37"/>
    <n v="45"/>
    <n v="42"/>
    <n v="193"/>
    <n v="150"/>
    <n v="58639.5"/>
    <n v="10"/>
    <n v="140"/>
    <n v="14.39"/>
    <n v="0"/>
    <n v="43"/>
    <n v="22977.91"/>
    <n v="0"/>
    <x v="0"/>
    <s v="OK"/>
  </r>
  <r>
    <s v="IT-10115"/>
    <s v="Pillow block A-115"/>
    <x v="0"/>
    <x v="0"/>
    <x v="1"/>
    <s v="2025-06"/>
    <n v="358.27"/>
    <n v="391.54"/>
    <n v="390.93"/>
    <n v="534.37"/>
    <n v="45"/>
    <m/>
    <n v="0"/>
    <n v="90"/>
    <n v="35183.699999999997"/>
    <n v="7"/>
    <n v="83"/>
    <n v="8.6"/>
    <n v="2"/>
    <n v="60"/>
    <n v="32062.2"/>
    <n v="0"/>
    <x v="0"/>
    <s v="OK"/>
  </r>
  <r>
    <s v="IT-10115"/>
    <s v="Pillow block A-115"/>
    <x v="0"/>
    <x v="0"/>
    <x v="1"/>
    <s v="2025-07"/>
    <n v="358.32"/>
    <n v="391.6"/>
    <n v="390.93"/>
    <n v="534.37"/>
    <n v="45"/>
    <m/>
    <n v="0"/>
    <n v="65"/>
    <n v="25410.45"/>
    <n v="12"/>
    <n v="53"/>
    <n v="6.67"/>
    <n v="4"/>
    <n v="25"/>
    <n v="13359.25"/>
    <n v="0"/>
    <x v="0"/>
    <s v="OK"/>
  </r>
  <r>
    <s v="IT-10115"/>
    <s v="Pillow block A-115"/>
    <x v="0"/>
    <x v="0"/>
    <x v="1"/>
    <s v="2025-08"/>
    <n v="366.89"/>
    <n v="400.96"/>
    <n v="396.400893"/>
    <n v="534.37"/>
    <n v="45"/>
    <n v="52"/>
    <n v="78"/>
    <n v="112"/>
    <n v="44396.9"/>
    <n v="9"/>
    <n v="103"/>
    <n v="12.69"/>
    <n v="22"/>
    <n v="31"/>
    <n v="16565.47"/>
    <n v="0"/>
    <x v="0"/>
    <s v="OK"/>
  </r>
  <r>
    <s v="IT-10115"/>
    <s v="Pillow block A-115"/>
    <x v="0"/>
    <x v="0"/>
    <x v="1"/>
    <s v="2025-09"/>
    <n v="364.12"/>
    <n v="397.94"/>
    <n v="396.40089599999999"/>
    <n v="534.37"/>
    <n v="45"/>
    <m/>
    <n v="0"/>
    <n v="67"/>
    <n v="26558.86"/>
    <n v="4"/>
    <n v="63"/>
    <n v="8.7200000000000006"/>
    <n v="3"/>
    <n v="45"/>
    <n v="24046.65"/>
    <n v="0"/>
    <x v="0"/>
    <s v="OK"/>
  </r>
  <r>
    <s v="IT-10115"/>
    <s v="Pillow block A-115"/>
    <x v="0"/>
    <x v="0"/>
    <x v="1"/>
    <s v="2025-10"/>
    <n v="355.57"/>
    <n v="388.59"/>
    <n v="396.40088200000002"/>
    <n v="534.37"/>
    <n v="45"/>
    <m/>
    <n v="0"/>
    <n v="34"/>
    <n v="13477.63"/>
    <n v="3"/>
    <n v="31"/>
    <n v="4.0999999999999996"/>
    <n v="2"/>
    <n v="33"/>
    <n v="17634.21"/>
    <n v="0"/>
    <x v="0"/>
    <s v="OK"/>
  </r>
  <r>
    <s v="IT-10115"/>
    <s v="Pillow block A-115"/>
    <x v="0"/>
    <x v="0"/>
    <x v="1"/>
    <s v="2025-11"/>
    <n v="363.99"/>
    <n v="397.79"/>
    <n v="397.53190799999999"/>
    <n v="534.37"/>
    <n v="45"/>
    <n v="43"/>
    <n v="149"/>
    <n v="131"/>
    <n v="52076.68"/>
    <n v="3"/>
    <n v="128"/>
    <n v="13.1"/>
    <n v="3"/>
    <n v="52"/>
    <n v="27787.24"/>
    <n v="0"/>
    <x v="0"/>
    <s v="OK"/>
  </r>
  <r>
    <s v="IT-10115"/>
    <s v="Pillow block A-115"/>
    <x v="0"/>
    <x v="0"/>
    <x v="1"/>
    <s v="2025-12"/>
    <n v="366.6"/>
    <n v="400.65"/>
    <n v="397.53197399999999"/>
    <n v="534.37"/>
    <n v="45"/>
    <m/>
    <n v="0"/>
    <n v="76"/>
    <n v="30212.43"/>
    <n v="13"/>
    <n v="63"/>
    <n v="7.13"/>
    <n v="4"/>
    <n v="55"/>
    <n v="29390.35"/>
    <n v="0"/>
    <x v="0"/>
    <s v="OK"/>
  </r>
  <r>
    <s v="IT-10115"/>
    <s v="Pillow block A-115"/>
    <x v="0"/>
    <x v="0"/>
    <x v="1"/>
    <s v="2026-01"/>
    <n v="356.77"/>
    <n v="389.9"/>
    <n v="394.943692"/>
    <n v="534.37"/>
    <n v="45"/>
    <n v="39"/>
    <n v="39"/>
    <n v="65"/>
    <n v="25671.34"/>
    <n v="12"/>
    <n v="53"/>
    <n v="5.44"/>
    <n v="7"/>
    <n v="50"/>
    <n v="26718.5"/>
    <n v="0"/>
    <x v="0"/>
    <s v="OK"/>
  </r>
  <r>
    <s v="IT-10115"/>
    <s v="Pillow block A-115"/>
    <x v="0"/>
    <x v="0"/>
    <x v="1"/>
    <s v="2026-02"/>
    <n v="360.2"/>
    <n v="393.65"/>
    <n v="394.943714"/>
    <n v="566.32000000000005"/>
    <n v="45"/>
    <m/>
    <n v="0"/>
    <n v="35"/>
    <n v="13823.03"/>
    <n v="3"/>
    <n v="32"/>
    <n v="3.33"/>
    <n v="4"/>
    <n v="30"/>
    <n v="16989.599999999999"/>
    <n v="0"/>
    <x v="0"/>
    <s v="OK"/>
  </r>
  <r>
    <s v="IT-10115"/>
    <s v="Pillow block A-115"/>
    <x v="0"/>
    <x v="0"/>
    <x v="1"/>
    <s v="2026-03"/>
    <n v="358.16"/>
    <n v="391.42"/>
    <n v="394.943714"/>
    <n v="566.32000000000005"/>
    <n v="45"/>
    <m/>
    <n v="0"/>
    <n v="0"/>
    <n v="0"/>
    <n v="0"/>
    <n v="0"/>
    <n v="0"/>
    <n v="2"/>
    <n v="35"/>
    <n v="19821.2"/>
    <n v="10"/>
    <x v="1"/>
    <s v="OK"/>
  </r>
  <r>
    <s v="IT-10115"/>
    <s v="Pillow block A-115"/>
    <x v="0"/>
    <x v="0"/>
    <x v="1"/>
    <s v="2026-04"/>
    <n v="367.05"/>
    <n v="401.14"/>
    <n v="401.14"/>
    <n v="566.32000000000005"/>
    <n v="45"/>
    <n v="53"/>
    <n v="132"/>
    <n v="73"/>
    <n v="29283.22"/>
    <n v="10"/>
    <n v="63"/>
    <n v="7.49"/>
    <n v="3"/>
    <n v="59"/>
    <n v="33412.879999999997"/>
    <n v="0"/>
    <x v="0"/>
    <s v="OK"/>
  </r>
  <r>
    <s v="IT-10115"/>
    <s v="Pillow block A-115"/>
    <x v="0"/>
    <x v="0"/>
    <x v="1"/>
    <s v="2026-05"/>
    <n v="373.36"/>
    <n v="408.03"/>
    <n v="401.14"/>
    <n v="566.32000000000005"/>
    <n v="45"/>
    <m/>
    <n v="0"/>
    <n v="49"/>
    <n v="19655.86"/>
    <n v="10"/>
    <n v="39"/>
    <n v="5.46"/>
    <n v="4"/>
    <n v="24"/>
    <n v="13591.68"/>
    <n v="0"/>
    <x v="0"/>
    <s v="OK"/>
  </r>
  <r>
    <s v="IT-10115"/>
    <s v="Pillow block A-115"/>
    <x v="0"/>
    <x v="0"/>
    <x v="1"/>
    <s v="2026-06"/>
    <n v="372.89"/>
    <n v="407.52"/>
    <n v="405.25459799999999"/>
    <n v="566.32000000000005"/>
    <n v="45"/>
    <n v="41"/>
    <n v="89"/>
    <n v="87"/>
    <n v="35257.15"/>
    <n v="8"/>
    <n v="79"/>
    <n v="8.44"/>
    <n v="2"/>
    <n v="51"/>
    <n v="28882.32"/>
    <n v="0"/>
    <x v="0"/>
    <s v="OK"/>
  </r>
  <r>
    <s v="IT-10115"/>
    <s v="Pillow block A-115"/>
    <x v="0"/>
    <x v="0"/>
    <x v="1"/>
    <s v="2026-07"/>
    <n v="367.93"/>
    <n v="402.1"/>
    <n v="405.25456500000001"/>
    <n v="566.32000000000005"/>
    <n v="45"/>
    <m/>
    <n v="0"/>
    <n v="46"/>
    <n v="18641.71"/>
    <n v="13"/>
    <n v="33"/>
    <n v="5.21"/>
    <n v="5"/>
    <n v="41"/>
    <n v="23219.119999999999"/>
    <n v="0"/>
    <x v="0"/>
    <s v="OK"/>
  </r>
  <r>
    <s v="IT-10115"/>
    <s v="Pillow block A-115"/>
    <x v="0"/>
    <x v="0"/>
    <x v="1"/>
    <s v="2026-08"/>
    <n v="379.02"/>
    <n v="414.22"/>
    <n v="410.01178599999997"/>
    <n v="566.32000000000005"/>
    <n v="45"/>
    <n v="44"/>
    <n v="52"/>
    <n v="56"/>
    <n v="22960.66"/>
    <n v="3"/>
    <n v="53"/>
    <n v="5.49"/>
    <n v="0"/>
    <n v="42"/>
    <n v="23785.439999999999"/>
    <n v="0"/>
    <x v="0"/>
    <s v="OK"/>
  </r>
  <r>
    <s v="IT-10116"/>
    <s v="Sensor unit L-116"/>
    <x v="3"/>
    <x v="3"/>
    <x v="1"/>
    <s v="2024-09"/>
    <n v="79.739999999999995"/>
    <n v="87.55"/>
    <n v="86.962174000000005"/>
    <n v="120.8"/>
    <n v="17"/>
    <n v="14"/>
    <n v="31"/>
    <n v="23"/>
    <n v="2000.13"/>
    <n v="6"/>
    <n v="17"/>
    <n v="5.21"/>
    <n v="3"/>
    <n v="28"/>
    <n v="3382.4"/>
    <n v="0"/>
    <x v="0"/>
    <s v="OK"/>
  </r>
  <r>
    <s v="IT-10116"/>
    <s v="Sensor unit L-116"/>
    <x v="3"/>
    <x v="3"/>
    <x v="1"/>
    <s v="2024-10"/>
    <n v="78.67"/>
    <n v="86.38"/>
    <n v="86.798570999999995"/>
    <n v="120.8"/>
    <n v="17"/>
    <n v="16"/>
    <n v="9"/>
    <n v="21"/>
    <n v="1822.77"/>
    <n v="4"/>
    <n v="17"/>
    <n v="5.52"/>
    <n v="2"/>
    <n v="11"/>
    <n v="1328.8"/>
    <n v="0"/>
    <x v="0"/>
    <s v="OK"/>
  </r>
  <r>
    <s v="IT-10116"/>
    <s v="Sensor unit L-116"/>
    <x v="3"/>
    <x v="3"/>
    <x v="1"/>
    <s v="2024-11"/>
    <n v="78.88"/>
    <n v="86.61"/>
    <n v="86.73"/>
    <n v="120.8"/>
    <n v="17"/>
    <n v="27"/>
    <n v="12"/>
    <n v="15"/>
    <n v="1300.95"/>
    <n v="4"/>
    <n v="11"/>
    <n v="3.42"/>
    <n v="3"/>
    <n v="18"/>
    <n v="2174.4"/>
    <n v="0"/>
    <x v="0"/>
    <s v="OK"/>
  </r>
  <r>
    <s v="IT-10116"/>
    <s v="Sensor unit L-116"/>
    <x v="3"/>
    <x v="3"/>
    <x v="1"/>
    <s v="2024-12"/>
    <n v="79.03"/>
    <n v="86.77"/>
    <n v="86.756"/>
    <n v="120.8"/>
    <n v="17"/>
    <n v="17"/>
    <n v="27"/>
    <n v="10"/>
    <n v="867.56"/>
    <n v="4"/>
    <n v="6"/>
    <n v="2.15"/>
    <n v="8"/>
    <n v="32"/>
    <n v="3865.6"/>
    <n v="0"/>
    <x v="0"/>
    <s v="OK"/>
  </r>
  <r>
    <s v="IT-10116"/>
    <s v="Sensor unit L-116"/>
    <x v="3"/>
    <x v="3"/>
    <x v="1"/>
    <s v="2025-01"/>
    <n v="77.86"/>
    <n v="85.49"/>
    <n v="85.777777999999998"/>
    <n v="120.8"/>
    <n v="17"/>
    <n v="30"/>
    <n v="34"/>
    <n v="18"/>
    <n v="1544"/>
    <n v="1"/>
    <n v="17"/>
    <n v="3.11"/>
    <n v="2"/>
    <n v="26"/>
    <n v="3140.8"/>
    <n v="0"/>
    <x v="0"/>
    <s v="OK"/>
  </r>
  <r>
    <s v="IT-10116"/>
    <s v="Sensor unit L-116"/>
    <x v="3"/>
    <x v="3"/>
    <x v="1"/>
    <s v="2025-02"/>
    <n v="79.959999999999994"/>
    <n v="87.79"/>
    <n v="86.884500000000003"/>
    <n v="127.79"/>
    <n v="17"/>
    <n v="15"/>
    <n v="22"/>
    <n v="20"/>
    <n v="1737.69"/>
    <n v="1"/>
    <n v="19"/>
    <n v="3.3"/>
    <n v="6"/>
    <n v="20"/>
    <n v="2555.8000000000002"/>
    <n v="0"/>
    <x v="0"/>
    <s v="OK"/>
  </r>
  <r>
    <s v="IT-10116"/>
    <s v="Sensor unit L-116"/>
    <x v="3"/>
    <x v="3"/>
    <x v="1"/>
    <s v="2025-03"/>
    <n v="83.06"/>
    <n v="91.2"/>
    <n v="89.144814999999994"/>
    <n v="127.79"/>
    <n v="17"/>
    <n v="16"/>
    <n v="22"/>
    <n v="27"/>
    <n v="2406.91"/>
    <n v="4"/>
    <n v="23"/>
    <n v="5.69"/>
    <n v="7"/>
    <n v="15"/>
    <n v="1916.85"/>
    <n v="0"/>
    <x v="0"/>
    <s v="OK"/>
  </r>
  <r>
    <s v="IT-10116"/>
    <s v="Sensor unit L-116"/>
    <x v="3"/>
    <x v="3"/>
    <x v="1"/>
    <s v="2025-04"/>
    <n v="83.26"/>
    <n v="91.42"/>
    <n v="89.664444000000003"/>
    <n v="127.79"/>
    <n v="17"/>
    <n v="15"/>
    <n v="8"/>
    <n v="9"/>
    <n v="806.98"/>
    <n v="1"/>
    <n v="8"/>
    <n v="1.88"/>
    <n v="2"/>
    <n v="26"/>
    <n v="3322.54"/>
    <n v="0"/>
    <x v="0"/>
    <s v="OK"/>
  </r>
  <r>
    <s v="IT-10116"/>
    <s v="Sensor unit L-116"/>
    <x v="3"/>
    <x v="3"/>
    <x v="1"/>
    <s v="2025-05"/>
    <n v="82.39"/>
    <n v="90.46"/>
    <n v="90.313783999999998"/>
    <n v="127.79"/>
    <n v="17"/>
    <n v="28"/>
    <n v="40"/>
    <n v="37"/>
    <n v="3341.61"/>
    <n v="5"/>
    <n v="32"/>
    <n v="9.18"/>
    <n v="17"/>
    <n v="12"/>
    <n v="1533.48"/>
    <n v="0"/>
    <x v="0"/>
    <s v="OK"/>
  </r>
  <r>
    <s v="IT-10116"/>
    <s v="Sensor unit L-116"/>
    <x v="3"/>
    <x v="3"/>
    <x v="1"/>
    <s v="2025-06"/>
    <n v="81.89"/>
    <n v="89.91"/>
    <n v="90.249655000000004"/>
    <n v="127.79"/>
    <n v="17"/>
    <n v="22"/>
    <n v="7"/>
    <n v="29"/>
    <n v="2617.2399999999998"/>
    <n v="3"/>
    <n v="26"/>
    <n v="7.11"/>
    <n v="3"/>
    <n v="15"/>
    <n v="1916.85"/>
    <n v="0"/>
    <x v="0"/>
    <s v="OK"/>
  </r>
  <r>
    <s v="IT-10116"/>
    <s v="Sensor unit L-116"/>
    <x v="3"/>
    <x v="3"/>
    <x v="1"/>
    <s v="2025-07"/>
    <n v="83.65"/>
    <n v="91.84"/>
    <n v="90.837352999999993"/>
    <n v="127.79"/>
    <n v="17"/>
    <n v="16"/>
    <n v="17"/>
    <n v="34"/>
    <n v="3088.47"/>
    <n v="2"/>
    <n v="32"/>
    <n v="11.46"/>
    <n v="16"/>
    <n v="12"/>
    <n v="1533.48"/>
    <n v="0"/>
    <x v="0"/>
    <s v="OK"/>
  </r>
  <r>
    <s v="IT-10116"/>
    <s v="Sensor unit L-116"/>
    <x v="3"/>
    <x v="3"/>
    <x v="1"/>
    <s v="2025-08"/>
    <n v="83.73"/>
    <n v="91.93"/>
    <n v="91.023809999999997"/>
    <n v="127.79"/>
    <n v="17"/>
    <n v="16"/>
    <n v="7"/>
    <n v="21"/>
    <n v="1911.5"/>
    <n v="5"/>
    <n v="16"/>
    <n v="5.87"/>
    <n v="4"/>
    <n v="20"/>
    <n v="2555.8000000000002"/>
    <n v="0"/>
    <x v="0"/>
    <s v="OK"/>
  </r>
  <r>
    <s v="IT-10116"/>
    <s v="Sensor unit L-116"/>
    <x v="3"/>
    <x v="3"/>
    <x v="1"/>
    <s v="2025-09"/>
    <n v="83.01"/>
    <n v="91.14"/>
    <n v="91.077500000000001"/>
    <n v="127.79"/>
    <n v="17"/>
    <n v="15"/>
    <n v="18"/>
    <n v="24"/>
    <n v="2185.86"/>
    <n v="4"/>
    <n v="20"/>
    <n v="6.71"/>
    <n v="4"/>
    <n v="15"/>
    <n v="1916.85"/>
    <n v="0"/>
    <x v="0"/>
    <s v="OK"/>
  </r>
  <r>
    <s v="IT-10116"/>
    <s v="Sensor unit L-116"/>
    <x v="3"/>
    <x v="3"/>
    <x v="1"/>
    <s v="2025-10"/>
    <n v="82.3"/>
    <n v="90.36"/>
    <n v="90.678824000000006"/>
    <n v="127.79"/>
    <n v="17"/>
    <n v="19"/>
    <n v="30"/>
    <n v="34"/>
    <n v="3083.08"/>
    <n v="3"/>
    <n v="31"/>
    <n v="8.1199999999999992"/>
    <n v="5"/>
    <n v="20"/>
    <n v="2555.8000000000002"/>
    <n v="0"/>
    <x v="0"/>
    <s v="OK"/>
  </r>
  <r>
    <s v="IT-10116"/>
    <s v="Sensor unit L-116"/>
    <x v="3"/>
    <x v="3"/>
    <x v="1"/>
    <s v="2025-11"/>
    <n v="82.95"/>
    <n v="91.08"/>
    <n v="90.678888999999998"/>
    <n v="127.79"/>
    <n v="17"/>
    <m/>
    <n v="0"/>
    <n v="18"/>
    <n v="1632.22"/>
    <n v="1"/>
    <n v="17"/>
    <n v="4.59"/>
    <n v="6"/>
    <n v="16"/>
    <n v="2044.64"/>
    <n v="0"/>
    <x v="0"/>
    <s v="OK"/>
  </r>
  <r>
    <s v="IT-10116"/>
    <s v="Sensor unit L-116"/>
    <x v="3"/>
    <x v="3"/>
    <x v="1"/>
    <s v="2025-12"/>
    <n v="83.18"/>
    <n v="91.33"/>
    <n v="91.112903000000003"/>
    <n v="127.79"/>
    <n v="17"/>
    <n v="20"/>
    <n v="36"/>
    <n v="31"/>
    <n v="2824.5"/>
    <n v="6"/>
    <n v="25"/>
    <n v="6.91"/>
    <n v="2"/>
    <n v="23"/>
    <n v="2939.17"/>
    <n v="0"/>
    <x v="0"/>
    <s v="OK"/>
  </r>
  <r>
    <s v="IT-10116"/>
    <s v="Sensor unit L-116"/>
    <x v="3"/>
    <x v="3"/>
    <x v="1"/>
    <s v="2026-01"/>
    <n v="81.47"/>
    <n v="89.45"/>
    <n v="91.012308000000004"/>
    <n v="127.79"/>
    <n v="17"/>
    <n v="17"/>
    <n v="2"/>
    <n v="13"/>
    <n v="1183.1600000000001"/>
    <n v="2"/>
    <n v="11"/>
    <n v="2.9"/>
    <n v="3"/>
    <n v="20"/>
    <n v="2555.8000000000002"/>
    <n v="0"/>
    <x v="0"/>
    <s v="OK"/>
  </r>
  <r>
    <s v="IT-10116"/>
    <s v="Sensor unit L-116"/>
    <x v="3"/>
    <x v="3"/>
    <x v="1"/>
    <s v="2026-02"/>
    <n v="83.98"/>
    <n v="92.21"/>
    <n v="91.871515000000002"/>
    <n v="135.19"/>
    <n v="17"/>
    <n v="17"/>
    <n v="33"/>
    <n v="33"/>
    <n v="3031.76"/>
    <n v="4"/>
    <n v="29"/>
    <n v="7.58"/>
    <n v="3"/>
    <n v="13"/>
    <n v="1757.47"/>
    <n v="0"/>
    <x v="0"/>
    <s v="OK"/>
  </r>
  <r>
    <s v="IT-10116"/>
    <s v="Sensor unit L-116"/>
    <x v="3"/>
    <x v="3"/>
    <x v="1"/>
    <s v="2026-03"/>
    <n v="88.61"/>
    <n v="97.29"/>
    <n v="91.871250000000003"/>
    <n v="135.19"/>
    <n v="17"/>
    <m/>
    <n v="0"/>
    <n v="16"/>
    <n v="1469.94"/>
    <n v="2"/>
    <n v="14"/>
    <n v="4.1100000000000003"/>
    <n v="1"/>
    <n v="17"/>
    <n v="2298.23"/>
    <n v="0"/>
    <x v="0"/>
    <s v="OK"/>
  </r>
  <r>
    <s v="IT-10116"/>
    <s v="Sensor unit L-116"/>
    <x v="3"/>
    <x v="3"/>
    <x v="1"/>
    <s v="2026-04"/>
    <n v="87.36"/>
    <n v="95.92"/>
    <n v="93.520555999999999"/>
    <n v="135.19"/>
    <n v="17"/>
    <n v="17"/>
    <n v="11"/>
    <n v="18"/>
    <n v="1683.37"/>
    <n v="1"/>
    <n v="17"/>
    <n v="5.87"/>
    <n v="5"/>
    <n v="9"/>
    <n v="1216.71"/>
    <n v="0"/>
    <x v="0"/>
    <s v="OK"/>
  </r>
  <r>
    <s v="IT-10116"/>
    <s v="Sensor unit L-116"/>
    <x v="3"/>
    <x v="3"/>
    <x v="1"/>
    <s v="2026-05"/>
    <n v="89.23"/>
    <n v="97.97"/>
    <n v="95.300332999999995"/>
    <n v="135.19"/>
    <n v="17"/>
    <n v="30"/>
    <n v="12"/>
    <n v="0"/>
    <n v="0"/>
    <n v="0"/>
    <n v="0"/>
    <n v="0"/>
    <n v="4"/>
    <n v="30"/>
    <n v="4055.7"/>
    <n v="3"/>
    <x v="1"/>
    <s v="OK"/>
  </r>
  <r>
    <s v="IT-10116"/>
    <s v="Sensor unit L-116"/>
    <x v="3"/>
    <x v="3"/>
    <x v="1"/>
    <s v="2026-06"/>
    <n v="89.16"/>
    <n v="97.89"/>
    <n v="97.89"/>
    <n v="135.19"/>
    <n v="17"/>
    <n v="24"/>
    <n v="42"/>
    <n v="19"/>
    <n v="1859.91"/>
    <n v="1"/>
    <n v="18"/>
    <n v="3.98"/>
    <n v="10"/>
    <n v="23"/>
    <n v="3109.37"/>
    <n v="0"/>
    <x v="0"/>
    <s v="OK"/>
  </r>
  <r>
    <s v="IT-10116"/>
    <s v="Sensor unit L-116"/>
    <x v="3"/>
    <x v="3"/>
    <x v="1"/>
    <s v="2026-07"/>
    <n v="89.4"/>
    <n v="98.16"/>
    <n v="98.045882000000006"/>
    <n v="135.19"/>
    <n v="17"/>
    <n v="16"/>
    <n v="26"/>
    <n v="34"/>
    <n v="3333.56"/>
    <n v="1"/>
    <n v="33"/>
    <n v="6.98"/>
    <n v="4"/>
    <n v="11"/>
    <n v="1487.09"/>
    <n v="0"/>
    <x v="0"/>
    <s v="OK"/>
  </r>
  <r>
    <s v="IT-10116"/>
    <s v="Sensor unit L-116"/>
    <x v="3"/>
    <x v="3"/>
    <x v="1"/>
    <s v="2026-08"/>
    <n v="88.46"/>
    <n v="97.13"/>
    <n v="97.889565000000005"/>
    <n v="135.19"/>
    <n v="17"/>
    <n v="17"/>
    <n v="7"/>
    <n v="23"/>
    <n v="2251.46"/>
    <n v="1"/>
    <n v="22"/>
    <n v="5.81"/>
    <n v="4"/>
    <n v="18"/>
    <n v="2433.42"/>
    <n v="0"/>
    <x v="0"/>
    <s v="OK"/>
  </r>
  <r>
    <s v="IT-10117"/>
    <s v="Hydraulic hose 20-117"/>
    <x v="1"/>
    <x v="1"/>
    <x v="1"/>
    <s v="2024-09"/>
    <n v="294.35000000000002"/>
    <n v="294.35000000000002"/>
    <n v="293.778571"/>
    <n v="417.09"/>
    <n v="55"/>
    <n v="48"/>
    <n v="6"/>
    <n v="7"/>
    <n v="2056.4499999999998"/>
    <n v="1"/>
    <n v="6"/>
    <n v="7.08"/>
    <n v="16"/>
    <n v="5"/>
    <n v="2085.4499999999998"/>
    <n v="0"/>
    <x v="0"/>
    <s v="OK"/>
  </r>
  <r>
    <s v="IT-10117"/>
    <s v="Hydraulic hose 20-117"/>
    <x v="1"/>
    <x v="1"/>
    <x v="1"/>
    <s v="2024-10"/>
    <n v="288.08"/>
    <n v="288.08"/>
    <n v="293.77800000000002"/>
    <n v="417.09"/>
    <n v="55"/>
    <m/>
    <n v="0"/>
    <n v="5"/>
    <n v="1468.89"/>
    <n v="1"/>
    <n v="4"/>
    <n v="5.48"/>
    <n v="13"/>
    <n v="2"/>
    <n v="834.18"/>
    <n v="0"/>
    <x v="0"/>
    <s v="OK"/>
  </r>
  <r>
    <s v="IT-10117"/>
    <s v="Hydraulic hose 20-117"/>
    <x v="1"/>
    <x v="1"/>
    <x v="1"/>
    <s v="2024-11"/>
    <n v="288.77"/>
    <n v="288.77"/>
    <n v="293.77999999999997"/>
    <n v="417.09"/>
    <n v="55"/>
    <m/>
    <n v="0"/>
    <n v="2"/>
    <n v="587.55999999999995"/>
    <n v="1"/>
    <n v="1"/>
    <n v="2.6"/>
    <n v="8"/>
    <n v="3"/>
    <n v="1251.27"/>
    <n v="0"/>
    <x v="0"/>
    <s v="OK"/>
  </r>
  <r>
    <s v="IT-10117"/>
    <s v="Hydraulic hose 20-117"/>
    <x v="1"/>
    <x v="1"/>
    <x v="1"/>
    <s v="2024-12"/>
    <n v="289.23"/>
    <n v="289.23"/>
    <n v="289.83666699999998"/>
    <n v="417.09"/>
    <n v="55"/>
    <n v="78"/>
    <n v="13"/>
    <n v="15"/>
    <n v="4347.55"/>
    <n v="1"/>
    <n v="14"/>
    <n v="39.43"/>
    <n v="39"/>
    <n v="0"/>
    <n v="0"/>
    <n v="0"/>
    <x v="0"/>
    <s v="OK"/>
  </r>
  <r>
    <s v="IT-10117"/>
    <s v="Hydraulic hose 20-117"/>
    <x v="1"/>
    <x v="1"/>
    <x v="1"/>
    <s v="2025-01"/>
    <n v="309.08999999999997"/>
    <n v="309.08999999999997"/>
    <n v="289.83642900000001"/>
    <n v="417.09"/>
    <n v="55"/>
    <m/>
    <n v="0"/>
    <n v="14"/>
    <n v="4057.71"/>
    <n v="1"/>
    <n v="13"/>
    <n v="46"/>
    <n v="26"/>
    <n v="1"/>
    <n v="417.09"/>
    <n v="0"/>
    <x v="0"/>
    <s v="OK"/>
  </r>
  <r>
    <s v="IT-10117"/>
    <s v="Hydraulic hose 20-117"/>
    <x v="1"/>
    <x v="1"/>
    <x v="1"/>
    <s v="2025-02"/>
    <n v="305.54000000000002"/>
    <n v="305.54000000000002"/>
    <n v="289.83615400000002"/>
    <n v="436.77"/>
    <n v="55"/>
    <m/>
    <n v="0"/>
    <n v="13"/>
    <n v="3767.87"/>
    <n v="1"/>
    <n v="12"/>
    <n v="83.57"/>
    <n v="8"/>
    <n v="1"/>
    <n v="436.77"/>
    <n v="0"/>
    <x v="0"/>
    <s v="OK"/>
  </r>
  <r>
    <s v="IT-10117"/>
    <s v="Hydraulic hose 20-117"/>
    <x v="1"/>
    <x v="1"/>
    <x v="1"/>
    <s v="2025-03"/>
    <n v="303.89999999999998"/>
    <n v="303.89999999999998"/>
    <n v="289.83600000000001"/>
    <n v="436.77"/>
    <n v="55"/>
    <m/>
    <n v="0"/>
    <n v="10"/>
    <n v="2898.36"/>
    <n v="0"/>
    <n v="10"/>
    <n v="25.71"/>
    <n v="4"/>
    <n v="3"/>
    <n v="1310.31"/>
    <n v="0"/>
    <x v="0"/>
    <s v="OK"/>
  </r>
  <r>
    <s v="IT-10117"/>
    <s v="Hydraulic hose 20-117"/>
    <x v="1"/>
    <x v="1"/>
    <x v="1"/>
    <s v="2025-04"/>
    <n v="298.01"/>
    <n v="298.01"/>
    <n v="289.83625000000001"/>
    <n v="436.77"/>
    <n v="55"/>
    <m/>
    <n v="0"/>
    <n v="8"/>
    <n v="2318.69"/>
    <n v="1"/>
    <n v="7"/>
    <n v="16.95"/>
    <n v="15"/>
    <n v="2"/>
    <n v="873.54"/>
    <n v="0"/>
    <x v="0"/>
    <s v="OK"/>
  </r>
  <r>
    <s v="IT-10117"/>
    <s v="Hydraulic hose 20-117"/>
    <x v="1"/>
    <x v="1"/>
    <x v="1"/>
    <s v="2025-05"/>
    <n v="305.04000000000002"/>
    <n v="305.04000000000002"/>
    <n v="294.904"/>
    <n v="436.77"/>
    <n v="55"/>
    <n v="84"/>
    <n v="4"/>
    <n v="10"/>
    <n v="2949.04"/>
    <n v="1"/>
    <n v="9"/>
    <n v="18.78"/>
    <n v="28"/>
    <n v="2"/>
    <n v="873.54"/>
    <n v="0"/>
    <x v="0"/>
    <s v="OK"/>
  </r>
  <r>
    <s v="IT-10117"/>
    <s v="Hydraulic hose 20-117"/>
    <x v="1"/>
    <x v="1"/>
    <x v="1"/>
    <s v="2025-06"/>
    <n v="299.52"/>
    <n v="299.52"/>
    <n v="294.90333299999998"/>
    <n v="436.77"/>
    <n v="55"/>
    <m/>
    <n v="0"/>
    <n v="6"/>
    <n v="1769.42"/>
    <n v="1"/>
    <n v="5"/>
    <n v="9.75"/>
    <n v="3"/>
    <n v="4"/>
    <n v="1747.08"/>
    <n v="0"/>
    <x v="0"/>
    <s v="OK"/>
  </r>
  <r>
    <s v="IT-10117"/>
    <s v="Hydraulic hose 20-117"/>
    <x v="1"/>
    <x v="1"/>
    <x v="1"/>
    <s v="2025-07"/>
    <n v="305.98"/>
    <n v="305.98"/>
    <n v="299.938333"/>
    <n v="436.77"/>
    <n v="55"/>
    <n v="68"/>
    <n v="5"/>
    <n v="6"/>
    <n v="1799.63"/>
    <n v="1"/>
    <n v="5"/>
    <n v="7.17"/>
    <n v="1"/>
    <n v="5"/>
    <n v="2183.85"/>
    <n v="0"/>
    <x v="0"/>
    <s v="OK"/>
  </r>
  <r>
    <s v="IT-10117"/>
    <s v="Hydraulic hose 20-117"/>
    <x v="1"/>
    <x v="1"/>
    <x v="1"/>
    <s v="2025-08"/>
    <n v="305.61"/>
    <n v="305.61"/>
    <n v="302.992727"/>
    <n v="436.77"/>
    <n v="55"/>
    <n v="52"/>
    <n v="7"/>
    <n v="11"/>
    <n v="3332.92"/>
    <n v="1"/>
    <n v="10"/>
    <n v="13.14"/>
    <n v="8"/>
    <n v="2"/>
    <n v="873.54"/>
    <n v="0"/>
    <x v="0"/>
    <s v="OK"/>
  </r>
  <r>
    <s v="IT-10117"/>
    <s v="Hydraulic hose 20-117"/>
    <x v="1"/>
    <x v="1"/>
    <x v="1"/>
    <s v="2025-09"/>
    <n v="302.55"/>
    <n v="302.55"/>
    <n v="302.99285700000001"/>
    <n v="436.77"/>
    <n v="55"/>
    <m/>
    <n v="0"/>
    <n v="7"/>
    <n v="2120.9499999999998"/>
    <n v="1"/>
    <n v="6"/>
    <n v="8.36"/>
    <n v="20"/>
    <n v="4"/>
    <n v="1747.08"/>
    <n v="0"/>
    <x v="0"/>
    <s v="OK"/>
  </r>
  <r>
    <s v="IT-10117"/>
    <s v="Hydraulic hose 20-117"/>
    <x v="1"/>
    <x v="1"/>
    <x v="1"/>
    <s v="2025-10"/>
    <n v="297.85000000000002"/>
    <n v="297.85000000000002"/>
    <n v="302.99200000000002"/>
    <n v="436.77"/>
    <n v="55"/>
    <m/>
    <n v="0"/>
    <n v="5"/>
    <n v="1514.96"/>
    <n v="1"/>
    <n v="4"/>
    <n v="8.2100000000000009"/>
    <n v="8"/>
    <n v="2"/>
    <n v="873.54"/>
    <n v="0"/>
    <x v="0"/>
    <s v="OK"/>
  </r>
  <r>
    <s v="IT-10117"/>
    <s v="Hydraulic hose 20-117"/>
    <x v="1"/>
    <x v="1"/>
    <x v="1"/>
    <s v="2025-11"/>
    <n v="308.92"/>
    <n v="308.92"/>
    <n v="306.64"/>
    <n v="436.77"/>
    <n v="55"/>
    <n v="49"/>
    <n v="8"/>
    <n v="10"/>
    <n v="3066.4"/>
    <n v="0"/>
    <n v="10"/>
    <n v="14.44"/>
    <n v="8"/>
    <n v="3"/>
    <n v="1310.31"/>
    <n v="0"/>
    <x v="0"/>
    <s v="OK"/>
  </r>
  <r>
    <s v="IT-10117"/>
    <s v="Hydraulic hose 20-117"/>
    <x v="1"/>
    <x v="1"/>
    <x v="1"/>
    <s v="2025-12"/>
    <n v="306.68"/>
    <n v="306.68"/>
    <n v="306.65181799999999"/>
    <n v="436.77"/>
    <n v="55"/>
    <n v="51"/>
    <n v="4"/>
    <n v="11"/>
    <n v="3373.17"/>
    <n v="1"/>
    <n v="10"/>
    <n v="18.07"/>
    <n v="9"/>
    <n v="3"/>
    <n v="1310.31"/>
    <n v="0"/>
    <x v="0"/>
    <s v="OK"/>
  </r>
  <r>
    <s v="IT-10117"/>
    <s v="Hydraulic hose 20-117"/>
    <x v="1"/>
    <x v="1"/>
    <x v="1"/>
    <s v="2026-01"/>
    <n v="318.48"/>
    <n v="318.48"/>
    <n v="309.18615399999999"/>
    <n v="436.77"/>
    <n v="55"/>
    <n v="55"/>
    <n v="3"/>
    <n v="13"/>
    <n v="4019.42"/>
    <n v="1"/>
    <n v="12"/>
    <n v="24.41"/>
    <n v="9"/>
    <n v="1"/>
    <n v="436.77"/>
    <n v="0"/>
    <x v="0"/>
    <s v="OK"/>
  </r>
  <r>
    <s v="IT-10117"/>
    <s v="Hydraulic hose 20-117"/>
    <x v="1"/>
    <x v="1"/>
    <x v="1"/>
    <s v="2026-02"/>
    <n v="317.17"/>
    <n v="317.17"/>
    <n v="310.68307700000003"/>
    <n v="457.38"/>
    <n v="55"/>
    <n v="53"/>
    <n v="3"/>
    <n v="13"/>
    <n v="4038.88"/>
    <n v="1"/>
    <n v="12"/>
    <n v="23.88"/>
    <n v="1"/>
    <n v="3"/>
    <n v="1372.14"/>
    <n v="0"/>
    <x v="0"/>
    <s v="OK"/>
  </r>
  <r>
    <s v="IT-10117"/>
    <s v="Hydraulic hose 20-117"/>
    <x v="1"/>
    <x v="1"/>
    <x v="1"/>
    <s v="2026-03"/>
    <n v="315.54000000000002"/>
    <n v="315.54000000000002"/>
    <n v="310.68299999999999"/>
    <n v="457.38"/>
    <n v="55"/>
    <m/>
    <n v="0"/>
    <n v="10"/>
    <n v="3106.83"/>
    <n v="0"/>
    <n v="10"/>
    <n v="18.37"/>
    <n v="6"/>
    <n v="3"/>
    <n v="1372.14"/>
    <n v="0"/>
    <x v="0"/>
    <s v="OK"/>
  </r>
  <r>
    <s v="IT-10117"/>
    <s v="Hydraulic hose 20-117"/>
    <x v="1"/>
    <x v="1"/>
    <x v="1"/>
    <s v="2026-04"/>
    <n v="312.61"/>
    <n v="312.61"/>
    <n v="310.68285700000001"/>
    <n v="457.38"/>
    <n v="55"/>
    <m/>
    <n v="0"/>
    <n v="7"/>
    <n v="2174.7800000000002"/>
    <n v="1"/>
    <n v="6"/>
    <n v="9.89"/>
    <n v="10"/>
    <n v="3"/>
    <n v="1372.14"/>
    <n v="0"/>
    <x v="0"/>
    <s v="OK"/>
  </r>
  <r>
    <s v="IT-10117"/>
    <s v="Hydraulic hose 20-117"/>
    <x v="1"/>
    <x v="1"/>
    <x v="1"/>
    <s v="2026-05"/>
    <n v="310.2"/>
    <n v="310.2"/>
    <n v="310.53857099999999"/>
    <n v="457.38"/>
    <n v="55"/>
    <n v="51"/>
    <n v="3"/>
    <n v="7"/>
    <n v="2173.77"/>
    <n v="0"/>
    <n v="7"/>
    <n v="10.220000000000001"/>
    <n v="17"/>
    <n v="3"/>
    <n v="1372.14"/>
    <n v="0"/>
    <x v="0"/>
    <s v="OK"/>
  </r>
  <r>
    <s v="IT-10117"/>
    <s v="Hydraulic hose 20-117"/>
    <x v="1"/>
    <x v="1"/>
    <x v="1"/>
    <s v="2026-06"/>
    <n v="314.83999999999997"/>
    <n v="314.83999999999997"/>
    <n v="310.53750000000002"/>
    <n v="457.38"/>
    <n v="55"/>
    <m/>
    <n v="0"/>
    <n v="4"/>
    <n v="1242.1500000000001"/>
    <n v="0"/>
    <n v="4"/>
    <n v="5.78"/>
    <n v="25"/>
    <n v="3"/>
    <n v="1372.14"/>
    <n v="0"/>
    <x v="0"/>
    <s v="OK"/>
  </r>
  <r>
    <s v="IT-10117"/>
    <s v="Hydraulic hose 20-117"/>
    <x v="1"/>
    <x v="1"/>
    <x v="1"/>
    <s v="2026-07"/>
    <n v="316.60000000000002"/>
    <n v="316.60000000000002"/>
    <n v="314.39499999999998"/>
    <n v="457.38"/>
    <n v="55"/>
    <n v="53"/>
    <n v="7"/>
    <n v="8"/>
    <n v="2515.16"/>
    <n v="0"/>
    <n v="8"/>
    <n v="11.68"/>
    <n v="10"/>
    <n v="3"/>
    <n v="1372.14"/>
    <n v="0"/>
    <x v="0"/>
    <s v="OK"/>
  </r>
  <r>
    <s v="IT-10117"/>
    <s v="Hydraulic hose 20-117"/>
    <x v="1"/>
    <x v="1"/>
    <x v="1"/>
    <s v="2026-08"/>
    <n v="312.60000000000002"/>
    <n v="312.60000000000002"/>
    <n v="313.5575"/>
    <n v="457.38"/>
    <n v="55"/>
    <n v="52"/>
    <n v="7"/>
    <n v="12"/>
    <n v="3762.69"/>
    <n v="1"/>
    <n v="11"/>
    <n v="17.52"/>
    <n v="17"/>
    <n v="3"/>
    <n v="1372.14"/>
    <n v="0"/>
    <x v="0"/>
    <s v="OK"/>
  </r>
  <r>
    <s v="IT-10118"/>
    <s v="Sensor unit M-118"/>
    <x v="3"/>
    <x v="3"/>
    <x v="1"/>
    <s v="2024-09"/>
    <n v="3.33"/>
    <n v="3.33"/>
    <n v="3.3268200000000001"/>
    <n v="4.57"/>
    <n v="41"/>
    <n v="55"/>
    <n v="313"/>
    <n v="3786"/>
    <n v="12595.34"/>
    <n v="192"/>
    <n v="3594"/>
    <n v="25.16"/>
    <n v="3"/>
    <n v="1190"/>
    <n v="5438.3"/>
    <n v="0"/>
    <x v="0"/>
    <s v="OK"/>
  </r>
  <r>
    <s v="IT-10118"/>
    <s v="Sensor unit M-118"/>
    <x v="3"/>
    <x v="3"/>
    <x v="1"/>
    <s v="2024-10"/>
    <n v="3.27"/>
    <n v="3.27"/>
    <n v="3.3268209999999998"/>
    <n v="4.57"/>
    <n v="41"/>
    <m/>
    <n v="0"/>
    <n v="3259"/>
    <n v="10842.11"/>
    <n v="160"/>
    <n v="3099"/>
    <n v="17.100000000000001"/>
    <n v="2"/>
    <n v="527"/>
    <n v="2408.39"/>
    <n v="0"/>
    <x v="0"/>
    <s v="OK"/>
  </r>
  <r>
    <s v="IT-10118"/>
    <s v="Sensor unit M-118"/>
    <x v="3"/>
    <x v="3"/>
    <x v="1"/>
    <s v="2024-11"/>
    <n v="3.35"/>
    <n v="3.35"/>
    <n v="3.3268219999999999"/>
    <n v="4.57"/>
    <n v="41"/>
    <m/>
    <n v="0"/>
    <n v="2162"/>
    <n v="7192.59"/>
    <n v="64"/>
    <n v="2098"/>
    <n v="9.99"/>
    <n v="0"/>
    <n v="1097"/>
    <n v="5013.29"/>
    <n v="0"/>
    <x v="0"/>
    <s v="OK"/>
  </r>
  <r>
    <s v="IT-10118"/>
    <s v="Sensor unit M-118"/>
    <x v="3"/>
    <x v="3"/>
    <x v="1"/>
    <s v="2024-12"/>
    <n v="3.27"/>
    <n v="3.27"/>
    <n v="3.3025410000000002"/>
    <n v="4.57"/>
    <n v="41"/>
    <n v="38"/>
    <n v="1613"/>
    <n v="2892"/>
    <n v="9550.9500000000007"/>
    <n v="192"/>
    <n v="2700"/>
    <n v="15.16"/>
    <n v="1"/>
    <n v="883"/>
    <n v="4035.31"/>
    <n v="0"/>
    <x v="0"/>
    <s v="OK"/>
  </r>
  <r>
    <s v="IT-10118"/>
    <s v="Sensor unit M-118"/>
    <x v="3"/>
    <x v="3"/>
    <x v="1"/>
    <s v="2025-01"/>
    <n v="3.35"/>
    <n v="3.35"/>
    <n v="3.3149069999999998"/>
    <n v="4.57"/>
    <n v="41"/>
    <n v="37"/>
    <n v="1019"/>
    <n v="3318"/>
    <n v="10998.86"/>
    <n v="64"/>
    <n v="3254"/>
    <n v="16.95"/>
    <n v="5"/>
    <n v="593"/>
    <n v="2710.01"/>
    <n v="0"/>
    <x v="0"/>
    <s v="OK"/>
  </r>
  <r>
    <s v="IT-10118"/>
    <s v="Sensor unit M-118"/>
    <x v="3"/>
    <x v="3"/>
    <x v="1"/>
    <s v="2025-02"/>
    <n v="3.31"/>
    <n v="3.31"/>
    <n v="3.3149060000000001"/>
    <n v="4.74"/>
    <n v="41"/>
    <m/>
    <n v="0"/>
    <n v="2397"/>
    <n v="7945.83"/>
    <n v="128"/>
    <n v="2269"/>
    <n v="12.86"/>
    <n v="0"/>
    <n v="921"/>
    <n v="4365.54"/>
    <n v="0"/>
    <x v="0"/>
    <s v="OK"/>
  </r>
  <r>
    <s v="IT-10118"/>
    <s v="Sensor unit M-118"/>
    <x v="3"/>
    <x v="3"/>
    <x v="1"/>
    <s v="2025-03"/>
    <n v="3.44"/>
    <n v="3.44"/>
    <n v="3.3681459999999999"/>
    <n v="4.74"/>
    <n v="41"/>
    <n v="40"/>
    <n v="1776"/>
    <n v="3760"/>
    <n v="12664.23"/>
    <n v="160"/>
    <n v="3600"/>
    <n v="25.09"/>
    <n v="0"/>
    <n v="413"/>
    <n v="1957.62"/>
    <n v="0"/>
    <x v="0"/>
    <s v="OK"/>
  </r>
  <r>
    <s v="IT-10118"/>
    <s v="Sensor unit M-118"/>
    <x v="3"/>
    <x v="3"/>
    <x v="1"/>
    <s v="2025-04"/>
    <n v="3.47"/>
    <n v="3.47"/>
    <n v="3.3681450000000002"/>
    <n v="4.74"/>
    <n v="41"/>
    <m/>
    <n v="0"/>
    <n v="2437"/>
    <n v="8208.17"/>
    <n v="192"/>
    <n v="2245"/>
    <n v="11.66"/>
    <n v="0"/>
    <n v="1323"/>
    <n v="6271.02"/>
    <n v="0"/>
    <x v="0"/>
    <s v="OK"/>
  </r>
  <r>
    <s v="IT-10118"/>
    <s v="Sensor unit M-118"/>
    <x v="3"/>
    <x v="3"/>
    <x v="1"/>
    <s v="2025-05"/>
    <n v="3.5"/>
    <n v="3.5"/>
    <n v="3.4155289999999998"/>
    <n v="4.74"/>
    <n v="41"/>
    <n v="38"/>
    <n v="1367"/>
    <n v="3279"/>
    <n v="11199.52"/>
    <n v="128"/>
    <n v="3151"/>
    <n v="19.059999999999999"/>
    <n v="0"/>
    <n v="525"/>
    <n v="2488.5"/>
    <n v="0"/>
    <x v="0"/>
    <s v="OK"/>
  </r>
  <r>
    <s v="IT-10118"/>
    <s v="Sensor unit M-118"/>
    <x v="3"/>
    <x v="3"/>
    <x v="1"/>
    <s v="2025-06"/>
    <n v="3.47"/>
    <n v="3.47"/>
    <n v="3.424976"/>
    <n v="4.74"/>
    <n v="41"/>
    <n v="41"/>
    <n v="688"/>
    <n v="3346"/>
    <n v="11459.97"/>
    <n v="192"/>
    <n v="3154"/>
    <n v="17.62"/>
    <n v="3"/>
    <n v="621"/>
    <n v="2943.54"/>
    <n v="0"/>
    <x v="0"/>
    <s v="OK"/>
  </r>
  <r>
    <s v="IT-10118"/>
    <s v="Sensor unit M-118"/>
    <x v="3"/>
    <x v="3"/>
    <x v="1"/>
    <s v="2025-07"/>
    <n v="3.51"/>
    <n v="3.51"/>
    <n v="3.4249770000000002"/>
    <n v="4.74"/>
    <n v="41"/>
    <m/>
    <n v="0"/>
    <n v="2441"/>
    <n v="8360.3700000000008"/>
    <n v="257"/>
    <n v="2184"/>
    <n v="15.64"/>
    <n v="2"/>
    <n v="905"/>
    <n v="4289.7"/>
    <n v="0"/>
    <x v="0"/>
    <s v="OK"/>
  </r>
  <r>
    <s v="IT-10118"/>
    <s v="Sensor unit M-118"/>
    <x v="3"/>
    <x v="3"/>
    <x v="1"/>
    <s v="2025-08"/>
    <n v="3.54"/>
    <n v="3.54"/>
    <n v="3.4444689999999998"/>
    <n v="4.74"/>
    <n v="41"/>
    <n v="63"/>
    <n v="498"/>
    <n v="1998"/>
    <n v="6882.05"/>
    <n v="160"/>
    <n v="1838"/>
    <n v="10.64"/>
    <n v="0"/>
    <n v="941"/>
    <n v="4460.34"/>
    <n v="0"/>
    <x v="0"/>
    <s v="OK"/>
  </r>
  <r>
    <s v="IT-10118"/>
    <s v="Sensor unit M-118"/>
    <x v="3"/>
    <x v="3"/>
    <x v="1"/>
    <s v="2025-09"/>
    <n v="3.44"/>
    <n v="3.44"/>
    <n v="3.441926"/>
    <n v="4.74"/>
    <n v="41"/>
    <n v="40"/>
    <n v="2636"/>
    <n v="3437"/>
    <n v="11829.9"/>
    <n v="321"/>
    <n v="3116"/>
    <n v="14.84"/>
    <n v="1"/>
    <n v="1197"/>
    <n v="5673.78"/>
    <n v="0"/>
    <x v="0"/>
    <s v="OK"/>
  </r>
  <r>
    <s v="IT-10118"/>
    <s v="Sensor unit M-118"/>
    <x v="3"/>
    <x v="3"/>
    <x v="1"/>
    <s v="2025-10"/>
    <n v="3.44"/>
    <n v="3.44"/>
    <n v="3.4417879999999998"/>
    <n v="4.74"/>
    <n v="41"/>
    <n v="39"/>
    <n v="269"/>
    <n v="2758"/>
    <n v="9492.4500000000007"/>
    <n v="225"/>
    <n v="2533"/>
    <n v="11.75"/>
    <n v="1"/>
    <n v="948"/>
    <n v="4493.5200000000004"/>
    <n v="0"/>
    <x v="0"/>
    <s v="OK"/>
  </r>
  <r>
    <s v="IT-10118"/>
    <s v="Sensor unit M-118"/>
    <x v="3"/>
    <x v="3"/>
    <x v="1"/>
    <s v="2025-11"/>
    <n v="3.45"/>
    <n v="3.45"/>
    <n v="3.4417879999999998"/>
    <n v="4.74"/>
    <n v="41"/>
    <m/>
    <n v="0"/>
    <n v="2702"/>
    <n v="9299.7099999999991"/>
    <n v="257"/>
    <n v="2445"/>
    <n v="15.96"/>
    <n v="4"/>
    <n v="56"/>
    <n v="265.44"/>
    <n v="0"/>
    <x v="0"/>
    <s v="OK"/>
  </r>
  <r>
    <s v="IT-10118"/>
    <s v="Sensor unit M-118"/>
    <x v="3"/>
    <x v="3"/>
    <x v="1"/>
    <s v="2025-12"/>
    <n v="3.54"/>
    <n v="3.54"/>
    <n v="3.470424"/>
    <n v="4.74"/>
    <n v="41"/>
    <n v="65"/>
    <n v="1112"/>
    <n v="2832"/>
    <n v="9828.24"/>
    <n v="192"/>
    <n v="2640"/>
    <n v="18.739999999999998"/>
    <n v="0"/>
    <n v="982"/>
    <n v="4654.68"/>
    <n v="0"/>
    <x v="0"/>
    <s v="OK"/>
  </r>
  <r>
    <s v="IT-10118"/>
    <s v="Sensor unit M-118"/>
    <x v="3"/>
    <x v="3"/>
    <x v="1"/>
    <s v="2026-01"/>
    <n v="3.45"/>
    <n v="3.45"/>
    <n v="3.4676469999999999"/>
    <n v="4.74"/>
    <n v="41"/>
    <n v="39"/>
    <n v="446"/>
    <n v="1670"/>
    <n v="5790.97"/>
    <n v="257"/>
    <n v="1413"/>
    <n v="8.3000000000000007"/>
    <n v="0"/>
    <n v="1608"/>
    <n v="7621.92"/>
    <n v="0"/>
    <x v="0"/>
    <s v="OK"/>
  </r>
  <r>
    <s v="IT-10118"/>
    <s v="Sensor unit M-118"/>
    <x v="3"/>
    <x v="3"/>
    <x v="1"/>
    <s v="2026-02"/>
    <n v="3.44"/>
    <n v="3.44"/>
    <n v="3.45146"/>
    <n v="4.92"/>
    <n v="41"/>
    <n v="50"/>
    <n v="2359"/>
    <n v="2925"/>
    <n v="10095.52"/>
    <n v="128"/>
    <n v="2797"/>
    <n v="10.18"/>
    <n v="1"/>
    <n v="1104"/>
    <n v="5431.68"/>
    <n v="0"/>
    <x v="0"/>
    <s v="OK"/>
  </r>
  <r>
    <s v="IT-10118"/>
    <s v="Sensor unit M-118"/>
    <x v="3"/>
    <x v="3"/>
    <x v="1"/>
    <s v="2026-03"/>
    <n v="3.68"/>
    <n v="3.68"/>
    <n v="3.55152"/>
    <n v="4.92"/>
    <n v="41"/>
    <n v="51"/>
    <n v="2278"/>
    <n v="4618"/>
    <n v="16400.919999999998"/>
    <n v="257"/>
    <n v="4361"/>
    <n v="18.010000000000002"/>
    <n v="1"/>
    <n v="585"/>
    <n v="2878.2"/>
    <n v="0"/>
    <x v="0"/>
    <s v="OK"/>
  </r>
  <r>
    <s v="IT-10118"/>
    <s v="Sensor unit M-118"/>
    <x v="3"/>
    <x v="3"/>
    <x v="1"/>
    <s v="2026-04"/>
    <n v="3.73"/>
    <n v="3.73"/>
    <n v="3.55152"/>
    <n v="4.92"/>
    <n v="41"/>
    <m/>
    <n v="0"/>
    <n v="3546"/>
    <n v="12593.69"/>
    <n v="321"/>
    <n v="3225"/>
    <n v="16.329999999999998"/>
    <n v="0"/>
    <n v="1072"/>
    <n v="5274.24"/>
    <n v="0"/>
    <x v="0"/>
    <s v="OK"/>
  </r>
  <r>
    <s v="IT-10118"/>
    <s v="Sensor unit M-118"/>
    <x v="3"/>
    <x v="3"/>
    <x v="1"/>
    <s v="2026-05"/>
    <n v="3.71"/>
    <n v="3.71"/>
    <n v="3.5685889999999998"/>
    <n v="4.92"/>
    <n v="41"/>
    <n v="49"/>
    <n v="428"/>
    <n v="2793"/>
    <n v="9967.07"/>
    <n v="64"/>
    <n v="2729"/>
    <n v="12.93"/>
    <n v="3"/>
    <n v="1181"/>
    <n v="5810.52"/>
    <n v="0"/>
    <x v="0"/>
    <s v="OK"/>
  </r>
  <r>
    <s v="IT-10118"/>
    <s v="Sensor unit M-118"/>
    <x v="3"/>
    <x v="3"/>
    <x v="1"/>
    <s v="2026-06"/>
    <n v="3.67"/>
    <n v="3.67"/>
    <n v="3.596584"/>
    <n v="4.92"/>
    <n v="41"/>
    <n v="39"/>
    <n v="1065"/>
    <n v="2248"/>
    <n v="8085.12"/>
    <n v="257"/>
    <n v="1991"/>
    <n v="7.57"/>
    <n v="1"/>
    <n v="1610"/>
    <n v="7921.2"/>
    <n v="0"/>
    <x v="0"/>
    <s v="OK"/>
  </r>
  <r>
    <s v="IT-10118"/>
    <s v="Sensor unit M-118"/>
    <x v="3"/>
    <x v="3"/>
    <x v="1"/>
    <s v="2026-07"/>
    <n v="3.7"/>
    <n v="3.7"/>
    <n v="3.6397240000000002"/>
    <n v="4.92"/>
    <n v="41"/>
    <n v="38"/>
    <n v="1609"/>
    <n v="2392"/>
    <n v="8706.2199999999993"/>
    <n v="160"/>
    <n v="2232"/>
    <n v="7.39"/>
    <n v="0"/>
    <n v="1465"/>
    <n v="7207.8"/>
    <n v="0"/>
    <x v="0"/>
    <s v="OK"/>
  </r>
  <r>
    <s v="IT-10118"/>
    <s v="Sensor unit M-118"/>
    <x v="3"/>
    <x v="3"/>
    <x v="1"/>
    <s v="2026-08"/>
    <n v="3.71"/>
    <n v="3.71"/>
    <n v="3.6630959999999999"/>
    <n v="4.92"/>
    <n v="41"/>
    <n v="38"/>
    <n v="1192"/>
    <n v="2865"/>
    <n v="10494.77"/>
    <n v="64"/>
    <n v="2801"/>
    <n v="9.92"/>
    <n v="0"/>
    <n v="719"/>
    <n v="3537.48"/>
    <n v="0"/>
    <x v="0"/>
    <s v="OK"/>
  </r>
  <r>
    <s v="IT-10119"/>
    <s v="Pillow block L-119"/>
    <x v="0"/>
    <x v="0"/>
    <x v="0"/>
    <s v="2024-09"/>
    <n v="35.1"/>
    <n v="35.1"/>
    <n v="35.556818"/>
    <n v="50.87"/>
    <n v="44"/>
    <m/>
    <n v="0"/>
    <n v="154"/>
    <n v="5475.75"/>
    <n v="24"/>
    <n v="130"/>
    <n v="4.54"/>
    <n v="0"/>
    <n v="133"/>
    <n v="6765.71"/>
    <n v="0"/>
    <x v="0"/>
    <s v="OK"/>
  </r>
  <r>
    <s v="IT-10119"/>
    <s v="Pillow block L-119"/>
    <x v="0"/>
    <x v="0"/>
    <x v="0"/>
    <s v="2024-10"/>
    <n v="36.340000000000003"/>
    <n v="36.340000000000003"/>
    <n v="35.929752999999998"/>
    <n v="50.87"/>
    <n v="44"/>
    <n v="55"/>
    <n v="140"/>
    <n v="162"/>
    <n v="5820.62"/>
    <n v="12"/>
    <n v="150"/>
    <n v="5.22"/>
    <n v="4"/>
    <n v="132"/>
    <n v="6714.84"/>
    <n v="0"/>
    <x v="0"/>
    <s v="OK"/>
  </r>
  <r>
    <s v="IT-10119"/>
    <s v="Pillow block L-119"/>
    <x v="0"/>
    <x v="0"/>
    <x v="0"/>
    <s v="2024-11"/>
    <n v="35.17"/>
    <n v="35.17"/>
    <n v="35.493893"/>
    <n v="50.87"/>
    <n v="44"/>
    <n v="39"/>
    <n v="218"/>
    <n v="262"/>
    <n v="9299.4"/>
    <n v="24"/>
    <n v="238"/>
    <n v="8.89"/>
    <n v="3"/>
    <n v="118"/>
    <n v="6002.66"/>
    <n v="0"/>
    <x v="0"/>
    <s v="OK"/>
  </r>
  <r>
    <s v="IT-10119"/>
    <s v="Pillow block L-119"/>
    <x v="0"/>
    <x v="0"/>
    <x v="0"/>
    <s v="2024-12"/>
    <n v="35.619999999999997"/>
    <n v="35.619999999999997"/>
    <n v="35.508020999999999"/>
    <n v="50.87"/>
    <n v="44"/>
    <n v="38"/>
    <n v="33"/>
    <n v="192"/>
    <n v="6817.54"/>
    <n v="16"/>
    <n v="176"/>
    <n v="7.15"/>
    <n v="0"/>
    <n v="103"/>
    <n v="5239.6099999999997"/>
    <n v="0"/>
    <x v="0"/>
    <s v="OK"/>
  </r>
  <r>
    <s v="IT-10119"/>
    <s v="Pillow block L-119"/>
    <x v="0"/>
    <x v="0"/>
    <x v="0"/>
    <s v="2025-01"/>
    <n v="35.08"/>
    <n v="35.08"/>
    <n v="35.295676999999998"/>
    <n v="50.87"/>
    <n v="44"/>
    <n v="50"/>
    <n v="189"/>
    <n v="192"/>
    <n v="6776.77"/>
    <n v="8"/>
    <n v="184"/>
    <n v="6.15"/>
    <n v="4"/>
    <n v="189"/>
    <n v="9614.43"/>
    <n v="0"/>
    <x v="0"/>
    <s v="OK"/>
  </r>
  <r>
    <s v="IT-10119"/>
    <s v="Pillow block L-119"/>
    <x v="0"/>
    <x v="0"/>
    <x v="0"/>
    <s v="2025-02"/>
    <n v="36.159999999999997"/>
    <n v="36.159999999999997"/>
    <n v="35.321843999999999"/>
    <n v="52.49"/>
    <n v="44"/>
    <n v="42"/>
    <n v="6"/>
    <n v="141"/>
    <n v="4980.38"/>
    <n v="8"/>
    <n v="133"/>
    <n v="5.19"/>
    <n v="2"/>
    <n v="57"/>
    <n v="2991.93"/>
    <n v="0"/>
    <x v="0"/>
    <s v="OK"/>
  </r>
  <r>
    <s v="IT-10119"/>
    <s v="Pillow block L-119"/>
    <x v="0"/>
    <x v="0"/>
    <x v="0"/>
    <s v="2025-03"/>
    <n v="35.909999999999997"/>
    <n v="35.909999999999997"/>
    <n v="35.673744999999997"/>
    <n v="52.49"/>
    <n v="44"/>
    <n v="42"/>
    <n v="210"/>
    <n v="235"/>
    <n v="8383.33"/>
    <n v="8"/>
    <n v="227"/>
    <n v="8.35"/>
    <n v="2"/>
    <n v="116"/>
    <n v="6088.84"/>
    <n v="0"/>
    <x v="0"/>
    <s v="OK"/>
  </r>
  <r>
    <s v="IT-10119"/>
    <s v="Pillow block L-119"/>
    <x v="0"/>
    <x v="0"/>
    <x v="0"/>
    <s v="2025-04"/>
    <n v="36.619999999999997"/>
    <n v="36.619999999999997"/>
    <n v="35.673727"/>
    <n v="52.49"/>
    <n v="44"/>
    <m/>
    <n v="0"/>
    <n v="161"/>
    <n v="5743.47"/>
    <n v="28"/>
    <n v="133"/>
    <n v="8.2899999999999991"/>
    <n v="0"/>
    <n v="74"/>
    <n v="3884.26"/>
    <n v="0"/>
    <x v="0"/>
    <s v="OK"/>
  </r>
  <r>
    <s v="IT-10119"/>
    <s v="Pillow block L-119"/>
    <x v="0"/>
    <x v="0"/>
    <x v="0"/>
    <s v="2025-05"/>
    <n v="36.68"/>
    <n v="36.68"/>
    <n v="36.254765999999996"/>
    <n v="52.49"/>
    <n v="44"/>
    <n v="41"/>
    <n v="220"/>
    <n v="235"/>
    <n v="8519.8700000000008"/>
    <n v="36"/>
    <n v="199"/>
    <n v="9.19"/>
    <n v="1"/>
    <n v="146"/>
    <n v="7663.54"/>
    <n v="0"/>
    <x v="0"/>
    <s v="OK"/>
  </r>
  <r>
    <s v="IT-10119"/>
    <s v="Pillow block L-119"/>
    <x v="0"/>
    <x v="0"/>
    <x v="0"/>
    <s v="2025-06"/>
    <n v="37.369999999999997"/>
    <n v="37.369999999999997"/>
    <n v="36.596927000000001"/>
    <n v="52.49"/>
    <n v="44"/>
    <n v="43"/>
    <n v="104"/>
    <n v="192"/>
    <n v="7026.61"/>
    <n v="12"/>
    <n v="180"/>
    <n v="6.8"/>
    <n v="0"/>
    <n v="147"/>
    <n v="7716.03"/>
    <n v="0"/>
    <x v="0"/>
    <s v="OK"/>
  </r>
  <r>
    <s v="IT-10119"/>
    <s v="Pillow block L-119"/>
    <x v="0"/>
    <x v="0"/>
    <x v="0"/>
    <s v="2025-07"/>
    <n v="36.18"/>
    <n v="36.18"/>
    <n v="36.355167999999999"/>
    <n v="52.49"/>
    <n v="44"/>
    <n v="42"/>
    <n v="265"/>
    <n v="327"/>
    <n v="11888.14"/>
    <n v="8"/>
    <n v="319"/>
    <n v="10.16"/>
    <n v="1"/>
    <n v="130"/>
    <n v="6823.7"/>
    <n v="0"/>
    <x v="0"/>
    <s v="OK"/>
  </r>
  <r>
    <s v="IT-10119"/>
    <s v="Pillow block L-119"/>
    <x v="0"/>
    <x v="0"/>
    <x v="0"/>
    <s v="2025-08"/>
    <n v="36.43"/>
    <n v="36.43"/>
    <n v="36.369858000000001"/>
    <n v="52.49"/>
    <n v="44"/>
    <n v="38"/>
    <n v="80"/>
    <n v="211"/>
    <n v="7674.04"/>
    <n v="8"/>
    <n v="203"/>
    <n v="5.86"/>
    <n v="1"/>
    <n v="196"/>
    <n v="10288.040000000001"/>
    <n v="0"/>
    <x v="0"/>
    <s v="OK"/>
  </r>
  <r>
    <s v="IT-10119"/>
    <s v="Pillow block L-119"/>
    <x v="0"/>
    <x v="0"/>
    <x v="0"/>
    <s v="2025-09"/>
    <n v="36.869999999999997"/>
    <n v="36.869999999999997"/>
    <n v="36.454500000000003"/>
    <n v="52.49"/>
    <n v="44"/>
    <n v="42"/>
    <n v="43"/>
    <n v="160"/>
    <n v="5832.72"/>
    <n v="12"/>
    <n v="148"/>
    <n v="5.01"/>
    <n v="4"/>
    <n v="94"/>
    <n v="4934.0600000000004"/>
    <n v="0"/>
    <x v="0"/>
    <s v="OK"/>
  </r>
  <r>
    <s v="IT-10119"/>
    <s v="Pillow block L-119"/>
    <x v="0"/>
    <x v="0"/>
    <x v="0"/>
    <s v="2025-10"/>
    <n v="37.479999999999997"/>
    <n v="37.479999999999997"/>
    <n v="36.867784"/>
    <n v="52.49"/>
    <n v="44"/>
    <n v="38"/>
    <n v="108"/>
    <n v="176"/>
    <n v="6488.73"/>
    <n v="8"/>
    <n v="168"/>
    <n v="6.06"/>
    <n v="1"/>
    <n v="92"/>
    <n v="4829.08"/>
    <n v="0"/>
    <x v="0"/>
    <s v="OK"/>
  </r>
  <r>
    <s v="IT-10119"/>
    <s v="Pillow block L-119"/>
    <x v="0"/>
    <x v="0"/>
    <x v="0"/>
    <s v="2025-11"/>
    <n v="36.26"/>
    <n v="36.26"/>
    <n v="36.591202000000003"/>
    <n v="52.49"/>
    <n v="44"/>
    <n v="39"/>
    <n v="147"/>
    <n v="183"/>
    <n v="6696.19"/>
    <n v="28"/>
    <n v="155"/>
    <n v="7.3"/>
    <n v="1"/>
    <n v="140"/>
    <n v="7348.6"/>
    <n v="0"/>
    <x v="0"/>
    <s v="OK"/>
  </r>
  <r>
    <s v="IT-10119"/>
    <s v="Pillow block L-119"/>
    <x v="0"/>
    <x v="0"/>
    <x v="0"/>
    <s v="2025-12"/>
    <n v="36.19"/>
    <n v="36.19"/>
    <n v="36.342331999999999"/>
    <n v="52.49"/>
    <n v="44"/>
    <n v="43"/>
    <n v="299"/>
    <n v="313"/>
    <n v="11375.15"/>
    <n v="20"/>
    <n v="293"/>
    <n v="10.26"/>
    <n v="0"/>
    <n v="169"/>
    <n v="8870.81"/>
    <n v="0"/>
    <x v="0"/>
    <s v="OK"/>
  </r>
  <r>
    <s v="IT-10119"/>
    <s v="Pillow block L-119"/>
    <x v="0"/>
    <x v="0"/>
    <x v="0"/>
    <s v="2026-01"/>
    <n v="36.67"/>
    <n v="36.67"/>
    <n v="36.342331000000001"/>
    <n v="52.49"/>
    <n v="44"/>
    <m/>
    <n v="0"/>
    <n v="236"/>
    <n v="8576.7900000000009"/>
    <n v="8"/>
    <n v="228"/>
    <n v="8.0399999999999991"/>
    <n v="5"/>
    <n v="77"/>
    <n v="4041.73"/>
    <n v="0"/>
    <x v="0"/>
    <s v="OK"/>
  </r>
  <r>
    <s v="IT-10119"/>
    <s v="Pillow block L-119"/>
    <x v="0"/>
    <x v="0"/>
    <x v="0"/>
    <s v="2026-02"/>
    <n v="36.950000000000003"/>
    <n v="36.950000000000003"/>
    <n v="36.691141000000002"/>
    <n v="54.16"/>
    <n v="44"/>
    <n v="39"/>
    <n v="318"/>
    <n v="491"/>
    <n v="18015.349999999999"/>
    <n v="16"/>
    <n v="475"/>
    <n v="20.43"/>
    <n v="10"/>
    <n v="63"/>
    <n v="3412.08"/>
    <n v="0"/>
    <x v="0"/>
    <s v="OK"/>
  </r>
  <r>
    <s v="IT-10119"/>
    <s v="Pillow block L-119"/>
    <x v="0"/>
    <x v="0"/>
    <x v="0"/>
    <s v="2026-03"/>
    <n v="37.15"/>
    <n v="37.15"/>
    <n v="36.691138000000002"/>
    <n v="54.16"/>
    <n v="44"/>
    <m/>
    <n v="0"/>
    <n v="378"/>
    <n v="13869.25"/>
    <n v="40"/>
    <n v="338"/>
    <n v="19.21"/>
    <n v="1"/>
    <n v="113"/>
    <n v="6120.08"/>
    <n v="0"/>
    <x v="0"/>
    <s v="OK"/>
  </r>
  <r>
    <s v="IT-10119"/>
    <s v="Pillow block L-119"/>
    <x v="0"/>
    <x v="0"/>
    <x v="0"/>
    <s v="2026-04"/>
    <n v="38.17"/>
    <n v="38.17"/>
    <n v="36.691127000000002"/>
    <n v="54.16"/>
    <n v="44"/>
    <m/>
    <n v="0"/>
    <n v="284"/>
    <n v="10420.280000000001"/>
    <n v="28"/>
    <n v="256"/>
    <n v="13.37"/>
    <n v="3"/>
    <n v="94"/>
    <n v="5091.04"/>
    <n v="0"/>
    <x v="0"/>
    <s v="OK"/>
  </r>
  <r>
    <s v="IT-10119"/>
    <s v="Pillow block L-119"/>
    <x v="0"/>
    <x v="0"/>
    <x v="0"/>
    <s v="2026-05"/>
    <n v="38.14"/>
    <n v="38.14"/>
    <n v="37.213256000000001"/>
    <n v="54.16"/>
    <n v="44"/>
    <n v="73"/>
    <n v="160"/>
    <n v="347"/>
    <n v="12913"/>
    <n v="20"/>
    <n v="327"/>
    <n v="15"/>
    <n v="10"/>
    <n v="97"/>
    <n v="5253.52"/>
    <n v="0"/>
    <x v="0"/>
    <s v="OK"/>
  </r>
  <r>
    <s v="IT-10119"/>
    <s v="Pillow block L-119"/>
    <x v="0"/>
    <x v="0"/>
    <x v="0"/>
    <s v="2026-06"/>
    <n v="37.18"/>
    <n v="37.18"/>
    <n v="37.209814000000001"/>
    <n v="54.16"/>
    <n v="44"/>
    <n v="41"/>
    <n v="40"/>
    <n v="215"/>
    <n v="8000.11"/>
    <n v="40"/>
    <n v="175"/>
    <n v="7.7"/>
    <n v="2"/>
    <n v="172"/>
    <n v="9315.52"/>
    <n v="0"/>
    <x v="0"/>
    <s v="OK"/>
  </r>
  <r>
    <s v="IT-10119"/>
    <s v="Pillow block L-119"/>
    <x v="0"/>
    <x v="0"/>
    <x v="0"/>
    <s v="2026-07"/>
    <n v="37.18"/>
    <n v="37.18"/>
    <n v="37.209831999999999"/>
    <n v="54.16"/>
    <n v="44"/>
    <m/>
    <n v="0"/>
    <n v="179"/>
    <n v="6660.56"/>
    <n v="32"/>
    <n v="147"/>
    <n v="7.71"/>
    <n v="4"/>
    <n v="36"/>
    <n v="1949.76"/>
    <n v="0"/>
    <x v="0"/>
    <s v="OK"/>
  </r>
  <r>
    <s v="IT-10119"/>
    <s v="Pillow block L-119"/>
    <x v="0"/>
    <x v="0"/>
    <x v="0"/>
    <s v="2026-08"/>
    <n v="37.700000000000003"/>
    <n v="37.700000000000003"/>
    <n v="37.462851000000001"/>
    <n v="54.16"/>
    <n v="44"/>
    <n v="44"/>
    <n v="191"/>
    <n v="235"/>
    <n v="8803.77"/>
    <n v="40"/>
    <n v="195"/>
    <n v="9"/>
    <n v="0"/>
    <n v="135"/>
    <n v="7311.6"/>
    <n v="0"/>
    <x v="0"/>
    <s v="OK"/>
  </r>
  <r>
    <s v="IT-10120"/>
    <s v="Control switch B-120"/>
    <x v="3"/>
    <x v="3"/>
    <x v="1"/>
    <s v="2024-09"/>
    <n v="3.84"/>
    <n v="4.21"/>
    <n v="4.2611730000000003"/>
    <n v="5.8"/>
    <n v="34"/>
    <n v="32"/>
    <n v="461"/>
    <n v="554"/>
    <n v="2360.69"/>
    <n v="152"/>
    <n v="402"/>
    <n v="3"/>
    <n v="0"/>
    <n v="1212"/>
    <n v="7029.6"/>
    <n v="0"/>
    <x v="0"/>
    <s v="OK"/>
  </r>
  <r>
    <s v="IT-10120"/>
    <s v="Control switch B-120"/>
    <x v="3"/>
    <x v="3"/>
    <x v="1"/>
    <s v="2024-10"/>
    <n v="3.9"/>
    <n v="4.2699999999999996"/>
    <n v="4.2674630000000002"/>
    <n v="5.8"/>
    <n v="34"/>
    <n v="34"/>
    <n v="1372"/>
    <n v="1277"/>
    <n v="5449.55"/>
    <n v="43"/>
    <n v="1234"/>
    <n v="6.71"/>
    <n v="3"/>
    <n v="649"/>
    <n v="3764.2"/>
    <n v="0"/>
    <x v="0"/>
    <s v="OK"/>
  </r>
  <r>
    <s v="IT-10120"/>
    <s v="Control switch B-120"/>
    <x v="3"/>
    <x v="3"/>
    <x v="1"/>
    <s v="2024-11"/>
    <n v="3.85"/>
    <n v="4.22"/>
    <n v="4.2674539999999999"/>
    <n v="5.8"/>
    <n v="34"/>
    <m/>
    <n v="0"/>
    <n v="538"/>
    <n v="2295.89"/>
    <n v="108"/>
    <n v="430"/>
    <n v="2.69"/>
    <n v="0"/>
    <n v="739"/>
    <n v="4286.2"/>
    <n v="0"/>
    <x v="0"/>
    <s v="OK"/>
  </r>
  <r>
    <s v="IT-10120"/>
    <s v="Control switch B-120"/>
    <x v="3"/>
    <x v="3"/>
    <x v="1"/>
    <s v="2024-12"/>
    <n v="3.89"/>
    <n v="4.26"/>
    <n v="4.2619009999999999"/>
    <n v="5.8"/>
    <n v="34"/>
    <n v="32"/>
    <n v="1570"/>
    <n v="1347"/>
    <n v="5740.78"/>
    <n v="217"/>
    <n v="1130"/>
    <n v="8.24"/>
    <n v="1"/>
    <n v="761"/>
    <n v="4413.8"/>
    <n v="0"/>
    <x v="0"/>
    <s v="OK"/>
  </r>
  <r>
    <s v="IT-10120"/>
    <s v="Control switch B-120"/>
    <x v="3"/>
    <x v="3"/>
    <x v="1"/>
    <s v="2025-01"/>
    <n v="3.91"/>
    <n v="4.28"/>
    <n v="4.2619049999999996"/>
    <n v="5.8"/>
    <n v="34"/>
    <m/>
    <n v="0"/>
    <n v="336"/>
    <n v="1432"/>
    <n v="65"/>
    <n v="271"/>
    <n v="1.76"/>
    <n v="0"/>
    <n v="1011"/>
    <n v="5863.8"/>
    <n v="0"/>
    <x v="0"/>
    <s v="OK"/>
  </r>
  <r>
    <s v="IT-10120"/>
    <s v="Control switch B-120"/>
    <x v="3"/>
    <x v="3"/>
    <x v="1"/>
    <s v="2025-02"/>
    <n v="3.92"/>
    <n v="4.29"/>
    <n v="4.2839450000000001"/>
    <n v="6.14"/>
    <n v="34"/>
    <n v="33"/>
    <n v="1223"/>
    <n v="1014"/>
    <n v="4343.92"/>
    <n v="87"/>
    <n v="927"/>
    <n v="5.63"/>
    <n v="0"/>
    <n v="545"/>
    <n v="3346.3"/>
    <n v="0"/>
    <x v="0"/>
    <s v="OK"/>
  </r>
  <r>
    <s v="IT-10120"/>
    <s v="Control switch B-120"/>
    <x v="3"/>
    <x v="3"/>
    <x v="1"/>
    <s v="2025-03"/>
    <n v="4.0599999999999996"/>
    <n v="4.45"/>
    <n v="4.2967870000000001"/>
    <n v="6.14"/>
    <n v="34"/>
    <n v="50"/>
    <n v="85"/>
    <n v="778"/>
    <n v="3342.9"/>
    <n v="108"/>
    <n v="670"/>
    <n v="5.33"/>
    <n v="1"/>
    <n v="321"/>
    <n v="1970.94"/>
    <n v="0"/>
    <x v="0"/>
    <s v="OK"/>
  </r>
  <r>
    <s v="IT-10120"/>
    <s v="Control switch B-120"/>
    <x v="3"/>
    <x v="3"/>
    <x v="1"/>
    <s v="2025-04"/>
    <n v="4.08"/>
    <n v="4.47"/>
    <n v="4.398809"/>
    <n v="6.14"/>
    <n v="34"/>
    <n v="45"/>
    <n v="1115"/>
    <n v="1310"/>
    <n v="5762.44"/>
    <n v="152"/>
    <n v="1158"/>
    <n v="11.49"/>
    <n v="1"/>
    <n v="583"/>
    <n v="3579.62"/>
    <n v="0"/>
    <x v="0"/>
    <s v="OK"/>
  </r>
  <r>
    <s v="IT-10120"/>
    <s v="Control switch B-120"/>
    <x v="3"/>
    <x v="3"/>
    <x v="1"/>
    <s v="2025-05"/>
    <n v="4.18"/>
    <n v="4.58"/>
    <n v="4.478955"/>
    <n v="6.14"/>
    <n v="34"/>
    <n v="31"/>
    <n v="1039"/>
    <n v="1894"/>
    <n v="8483.14"/>
    <n v="217"/>
    <n v="1677"/>
    <n v="18.32"/>
    <n v="3"/>
    <n v="455"/>
    <n v="2793.7"/>
    <n v="0"/>
    <x v="0"/>
    <s v="OK"/>
  </r>
  <r>
    <s v="IT-10120"/>
    <s v="Control switch B-120"/>
    <x v="3"/>
    <x v="3"/>
    <x v="1"/>
    <s v="2025-06"/>
    <n v="4.0999999999999996"/>
    <n v="4.49"/>
    <n v="4.4811579999999998"/>
    <n v="6.14"/>
    <n v="34"/>
    <n v="30"/>
    <n v="472"/>
    <n v="1555"/>
    <n v="6968.2"/>
    <n v="130"/>
    <n v="1425"/>
    <n v="10.93"/>
    <n v="0"/>
    <n v="811"/>
    <n v="4979.54"/>
    <n v="0"/>
    <x v="0"/>
    <s v="OK"/>
  </r>
  <r>
    <s v="IT-10120"/>
    <s v="Control switch B-120"/>
    <x v="3"/>
    <x v="3"/>
    <x v="1"/>
    <s v="2025-07"/>
    <n v="4.18"/>
    <n v="4.58"/>
    <n v="4.4811610000000002"/>
    <n v="6.14"/>
    <n v="34"/>
    <m/>
    <n v="0"/>
    <n v="646"/>
    <n v="2894.83"/>
    <n v="87"/>
    <n v="559"/>
    <n v="3.9"/>
    <n v="1"/>
    <n v="909"/>
    <n v="5581.26"/>
    <n v="0"/>
    <x v="0"/>
    <s v="OK"/>
  </r>
  <r>
    <s v="IT-10120"/>
    <s v="Control switch B-120"/>
    <x v="3"/>
    <x v="3"/>
    <x v="1"/>
    <s v="2025-08"/>
    <n v="4.13"/>
    <n v="4.5199999999999996"/>
    <n v="4.5083359999999999"/>
    <n v="6.14"/>
    <n v="34"/>
    <n v="33"/>
    <n v="1505"/>
    <n v="2151"/>
    <n v="9697.43"/>
    <n v="87"/>
    <n v="2064"/>
    <n v="16.440000000000001"/>
    <n v="32"/>
    <n v="0"/>
    <n v="0"/>
    <n v="0"/>
    <x v="0"/>
    <s v="OK"/>
  </r>
  <r>
    <s v="IT-10120"/>
    <s v="Control switch B-120"/>
    <x v="3"/>
    <x v="3"/>
    <x v="1"/>
    <s v="2025-09"/>
    <n v="4.04"/>
    <n v="4.43"/>
    <n v="4.4968370000000002"/>
    <n v="6.14"/>
    <n v="34"/>
    <n v="30"/>
    <n v="370"/>
    <n v="2099"/>
    <n v="9438.86"/>
    <n v="87"/>
    <n v="2012"/>
    <n v="20.73"/>
    <n v="3"/>
    <n v="422"/>
    <n v="2591.08"/>
    <n v="0"/>
    <x v="0"/>
    <s v="OK"/>
  </r>
  <r>
    <s v="IT-10120"/>
    <s v="Control switch B-120"/>
    <x v="3"/>
    <x v="3"/>
    <x v="1"/>
    <s v="2025-10"/>
    <n v="4.07"/>
    <n v="4.46"/>
    <n v="4.4968329999999996"/>
    <n v="6.14"/>
    <n v="34"/>
    <m/>
    <n v="0"/>
    <n v="1203"/>
    <n v="5409.69"/>
    <n v="195"/>
    <n v="1008"/>
    <n v="12"/>
    <n v="0"/>
    <n v="896"/>
    <n v="5501.44"/>
    <n v="0"/>
    <x v="0"/>
    <s v="OK"/>
  </r>
  <r>
    <s v="IT-10120"/>
    <s v="Control switch B-120"/>
    <x v="3"/>
    <x v="3"/>
    <x v="1"/>
    <s v="2025-11"/>
    <n v="4.18"/>
    <n v="4.58"/>
    <n v="4.5222300000000004"/>
    <n v="6.14"/>
    <n v="34"/>
    <n v="33"/>
    <n v="529"/>
    <n v="1224"/>
    <n v="5535.21"/>
    <n v="130"/>
    <n v="1094"/>
    <n v="8.7100000000000009"/>
    <n v="0"/>
    <n v="508"/>
    <n v="3119.12"/>
    <n v="0"/>
    <x v="0"/>
    <s v="OK"/>
  </r>
  <r>
    <s v="IT-10120"/>
    <s v="Control switch B-120"/>
    <x v="3"/>
    <x v="3"/>
    <x v="1"/>
    <s v="2025-12"/>
    <n v="4.07"/>
    <n v="4.46"/>
    <n v="4.490297"/>
    <n v="6.14"/>
    <n v="34"/>
    <n v="33"/>
    <n v="1290"/>
    <n v="1685"/>
    <n v="7566.15"/>
    <n v="43"/>
    <n v="1642"/>
    <n v="9.92"/>
    <n v="0"/>
    <n v="829"/>
    <n v="5090.0600000000004"/>
    <n v="0"/>
    <x v="0"/>
    <s v="OK"/>
  </r>
  <r>
    <s v="IT-10120"/>
    <s v="Control switch B-120"/>
    <x v="3"/>
    <x v="3"/>
    <x v="1"/>
    <s v="2026-01"/>
    <n v="4.0999999999999996"/>
    <n v="4.49"/>
    <n v="4.4902959999999998"/>
    <n v="6.14"/>
    <n v="34"/>
    <m/>
    <n v="0"/>
    <n v="945"/>
    <n v="4243.33"/>
    <n v="43"/>
    <n v="902"/>
    <n v="5.98"/>
    <n v="1"/>
    <n v="740"/>
    <n v="4543.6000000000004"/>
    <n v="0"/>
    <x v="0"/>
    <s v="OK"/>
  </r>
  <r>
    <s v="IT-10120"/>
    <s v="Control switch B-120"/>
    <x v="3"/>
    <x v="3"/>
    <x v="1"/>
    <s v="2026-02"/>
    <n v="4.09"/>
    <n v="4.4800000000000004"/>
    <n v="4.4902839999999999"/>
    <n v="6.5"/>
    <n v="34"/>
    <m/>
    <n v="0"/>
    <n v="352"/>
    <n v="1580.58"/>
    <n v="87"/>
    <n v="265"/>
    <n v="2.09"/>
    <n v="0"/>
    <n v="593"/>
    <n v="3854.5"/>
    <n v="0"/>
    <x v="0"/>
    <s v="OK"/>
  </r>
  <r>
    <s v="IT-10120"/>
    <s v="Control switch B-120"/>
    <x v="3"/>
    <x v="3"/>
    <x v="1"/>
    <s v="2026-03"/>
    <n v="4.28"/>
    <n v="4.6900000000000004"/>
    <n v="4.6461940000000004"/>
    <n v="6.5"/>
    <n v="34"/>
    <n v="32"/>
    <n v="1253"/>
    <n v="783"/>
    <n v="3637.97"/>
    <n v="65"/>
    <n v="718"/>
    <n v="4.67"/>
    <n v="3"/>
    <n v="822"/>
    <n v="5343"/>
    <n v="0"/>
    <x v="0"/>
    <s v="OK"/>
  </r>
  <r>
    <s v="IT-10120"/>
    <s v="Control switch B-120"/>
    <x v="3"/>
    <x v="3"/>
    <x v="1"/>
    <s v="2026-04"/>
    <n v="4.29"/>
    <n v="4.7"/>
    <n v="4.6774339999999999"/>
    <n v="6.5"/>
    <n v="34"/>
    <n v="49"/>
    <n v="1084"/>
    <n v="678"/>
    <n v="3171.3"/>
    <n v="130"/>
    <n v="548"/>
    <n v="3.31"/>
    <n v="0"/>
    <n v="1189"/>
    <n v="7728.5"/>
    <n v="0"/>
    <x v="0"/>
    <s v="OK"/>
  </r>
  <r>
    <s v="IT-10120"/>
    <s v="Control switch B-120"/>
    <x v="3"/>
    <x v="3"/>
    <x v="1"/>
    <s v="2026-05"/>
    <n v="4.43"/>
    <n v="4.8499999999999996"/>
    <n v="4.6774279999999999"/>
    <n v="6.5"/>
    <n v="34"/>
    <m/>
    <n v="0"/>
    <n v="381"/>
    <n v="1782.1"/>
    <n v="195"/>
    <n v="186"/>
    <n v="2.17"/>
    <n v="0"/>
    <n v="297"/>
    <n v="1930.5"/>
    <n v="0"/>
    <x v="0"/>
    <s v="OK"/>
  </r>
  <r>
    <s v="IT-10120"/>
    <s v="Control switch B-120"/>
    <x v="3"/>
    <x v="3"/>
    <x v="1"/>
    <s v="2026-06"/>
    <n v="4.3499999999999996"/>
    <n v="4.76"/>
    <n v="4.7455619999999996"/>
    <n v="6.5"/>
    <n v="34"/>
    <n v="32"/>
    <n v="1798"/>
    <n v="1861"/>
    <n v="8831.49"/>
    <n v="108"/>
    <n v="1753"/>
    <n v="13.41"/>
    <n v="4"/>
    <n v="318"/>
    <n v="2067"/>
    <n v="0"/>
    <x v="0"/>
    <s v="OK"/>
  </r>
  <r>
    <s v="IT-10120"/>
    <s v="Control switch B-120"/>
    <x v="3"/>
    <x v="3"/>
    <x v="1"/>
    <s v="2026-07"/>
    <n v="4.2699999999999996"/>
    <n v="4.68"/>
    <n v="4.7308399999999997"/>
    <n v="6.5"/>
    <n v="34"/>
    <n v="42"/>
    <n v="539"/>
    <n v="1559"/>
    <n v="7375.38"/>
    <n v="152"/>
    <n v="1407"/>
    <n v="14.07"/>
    <n v="0"/>
    <n v="841"/>
    <n v="5466.5"/>
    <n v="0"/>
    <x v="0"/>
    <s v="OK"/>
  </r>
  <r>
    <s v="IT-10120"/>
    <s v="Control switch B-120"/>
    <x v="3"/>
    <x v="3"/>
    <x v="1"/>
    <s v="2026-08"/>
    <n v="4.41"/>
    <n v="4.83"/>
    <n v="4.7308440000000003"/>
    <n v="6.5"/>
    <n v="34"/>
    <m/>
    <n v="0"/>
    <n v="770"/>
    <n v="3642.75"/>
    <n v="152"/>
    <n v="618"/>
    <n v="5.2"/>
    <n v="0"/>
    <n v="789"/>
    <n v="5128.5"/>
    <n v="0"/>
    <x v="0"/>
    <s v="OK"/>
  </r>
  <r>
    <s v="IT-10121"/>
    <s v="Bolt assortment 10-121"/>
    <x v="2"/>
    <x v="2"/>
    <x v="1"/>
    <s v="2024-09"/>
    <n v="40.31"/>
    <n v="40.31"/>
    <n v="40.781227000000001"/>
    <n v="59.53"/>
    <n v="47"/>
    <n v="45"/>
    <n v="280"/>
    <n v="375"/>
    <n v="15292.96"/>
    <n v="35"/>
    <n v="340"/>
    <n v="9.48"/>
    <n v="0"/>
    <n v="199"/>
    <n v="11846.47"/>
    <n v="0"/>
    <x v="0"/>
    <s v="OK"/>
  </r>
  <r>
    <s v="IT-10121"/>
    <s v="Bolt assortment 10-121"/>
    <x v="2"/>
    <x v="2"/>
    <x v="1"/>
    <s v="2024-10"/>
    <n v="40.28"/>
    <n v="40.28"/>
    <n v="40.693989999999999"/>
    <n v="59.53"/>
    <n v="47"/>
    <n v="45"/>
    <n v="79"/>
    <n v="203"/>
    <n v="8260.8799999999992"/>
    <n v="15"/>
    <n v="188"/>
    <n v="4.49"/>
    <n v="1"/>
    <n v="251"/>
    <n v="14942.03"/>
    <n v="0"/>
    <x v="0"/>
    <s v="OK"/>
  </r>
  <r>
    <s v="IT-10121"/>
    <s v="Bolt assortment 10-121"/>
    <x v="2"/>
    <x v="2"/>
    <x v="1"/>
    <s v="2024-11"/>
    <n v="41.64"/>
    <n v="41.64"/>
    <n v="40.889859000000001"/>
    <n v="59.53"/>
    <n v="47"/>
    <n v="43"/>
    <n v="53"/>
    <n v="71"/>
    <n v="2903.18"/>
    <n v="25"/>
    <n v="46"/>
    <n v="1.45"/>
    <n v="0"/>
    <n v="185"/>
    <n v="11013.05"/>
    <n v="0"/>
    <x v="0"/>
    <s v="OK"/>
  </r>
  <r>
    <s v="IT-10121"/>
    <s v="Bolt assortment 10-121"/>
    <x v="2"/>
    <x v="2"/>
    <x v="1"/>
    <s v="2024-12"/>
    <n v="42.57"/>
    <n v="42.57"/>
    <n v="42.263356000000002"/>
    <n v="59.53"/>
    <n v="47"/>
    <n v="42"/>
    <n v="318"/>
    <n v="289"/>
    <n v="12214.11"/>
    <n v="45"/>
    <n v="244"/>
    <n v="7.09"/>
    <n v="0"/>
    <n v="100"/>
    <n v="5953"/>
    <n v="0"/>
    <x v="0"/>
    <s v="OK"/>
  </r>
  <r>
    <s v="IT-10121"/>
    <s v="Bolt assortment 10-121"/>
    <x v="2"/>
    <x v="2"/>
    <x v="1"/>
    <s v="2025-01"/>
    <n v="42.06"/>
    <n v="42.06"/>
    <n v="42.188882"/>
    <n v="59.53"/>
    <n v="47"/>
    <n v="44"/>
    <n v="167"/>
    <n v="304"/>
    <n v="12825.42"/>
    <n v="35"/>
    <n v="269"/>
    <n v="9.14"/>
    <n v="6"/>
    <n v="152"/>
    <n v="9048.56"/>
    <n v="0"/>
    <x v="0"/>
    <s v="OK"/>
  </r>
  <r>
    <s v="IT-10121"/>
    <s v="Bolt assortment 10-121"/>
    <x v="2"/>
    <x v="2"/>
    <x v="1"/>
    <s v="2025-02"/>
    <n v="41.41"/>
    <n v="41.41"/>
    <n v="42.188865999999997"/>
    <n v="62.46"/>
    <n v="47"/>
    <m/>
    <n v="0"/>
    <n v="238"/>
    <n v="10040.950000000001"/>
    <n v="15"/>
    <n v="223"/>
    <n v="9.6199999999999992"/>
    <n v="0"/>
    <n v="66"/>
    <n v="4122.3599999999997"/>
    <n v="0"/>
    <x v="0"/>
    <s v="OK"/>
  </r>
  <r>
    <s v="IT-10121"/>
    <s v="Bolt assortment 10-121"/>
    <x v="2"/>
    <x v="2"/>
    <x v="1"/>
    <s v="2025-03"/>
    <n v="41.34"/>
    <n v="41.34"/>
    <n v="41.658152999999999"/>
    <n v="62.46"/>
    <n v="47"/>
    <n v="65"/>
    <n v="397"/>
    <n v="563"/>
    <n v="23453.54"/>
    <n v="15"/>
    <n v="548"/>
    <n v="24.96"/>
    <n v="4"/>
    <n v="72"/>
    <n v="4497.12"/>
    <n v="0"/>
    <x v="0"/>
    <s v="OK"/>
  </r>
  <r>
    <s v="IT-10121"/>
    <s v="Bolt assortment 10-121"/>
    <x v="2"/>
    <x v="2"/>
    <x v="1"/>
    <s v="2025-04"/>
    <n v="42.06"/>
    <n v="42.06"/>
    <n v="41.658155999999998"/>
    <n v="62.46"/>
    <n v="47"/>
    <m/>
    <n v="0"/>
    <n v="553"/>
    <n v="23036.959999999999"/>
    <n v="15"/>
    <n v="538"/>
    <n v="47.51"/>
    <n v="5"/>
    <n v="10"/>
    <n v="624.6"/>
    <n v="0"/>
    <x v="0"/>
    <s v="OK"/>
  </r>
  <r>
    <s v="IT-10121"/>
    <s v="Bolt assortment 10-121"/>
    <x v="2"/>
    <x v="2"/>
    <x v="1"/>
    <s v="2025-05"/>
    <n v="42.83"/>
    <n v="42.83"/>
    <n v="41.718465999999999"/>
    <n v="62.46"/>
    <n v="47"/>
    <n v="41"/>
    <n v="30"/>
    <n v="313"/>
    <n v="13057.88"/>
    <n v="30"/>
    <n v="283"/>
    <n v="11.69"/>
    <n v="1"/>
    <n v="270"/>
    <n v="16864.2"/>
    <n v="0"/>
    <x v="0"/>
    <s v="OK"/>
  </r>
  <r>
    <s v="IT-10121"/>
    <s v="Bolt assortment 10-121"/>
    <x v="2"/>
    <x v="2"/>
    <x v="1"/>
    <s v="2025-06"/>
    <n v="42.19"/>
    <n v="42.19"/>
    <n v="41.826479999999997"/>
    <n v="62.46"/>
    <n v="47"/>
    <n v="46"/>
    <n v="93"/>
    <n v="304"/>
    <n v="12715.25"/>
    <n v="20"/>
    <n v="284"/>
    <n v="10.35"/>
    <n v="1"/>
    <n v="102"/>
    <n v="6370.92"/>
    <n v="0"/>
    <x v="0"/>
    <s v="OK"/>
  </r>
  <r>
    <s v="IT-10121"/>
    <s v="Bolt assortment 10-121"/>
    <x v="2"/>
    <x v="2"/>
    <x v="1"/>
    <s v="2025-07"/>
    <n v="42.41"/>
    <n v="42.41"/>
    <n v="41.826478999999999"/>
    <n v="62.46"/>
    <n v="47"/>
    <m/>
    <n v="0"/>
    <n v="71"/>
    <n v="2969.68"/>
    <n v="40"/>
    <n v="31"/>
    <n v="1.54"/>
    <n v="0"/>
    <n v="233"/>
    <n v="14553.18"/>
    <n v="0"/>
    <x v="0"/>
    <s v="OK"/>
  </r>
  <r>
    <s v="IT-10121"/>
    <s v="Bolt assortment 10-121"/>
    <x v="2"/>
    <x v="2"/>
    <x v="1"/>
    <s v="2025-08"/>
    <n v="42.83"/>
    <n v="42.83"/>
    <n v="42.68"/>
    <n v="62.46"/>
    <n v="47"/>
    <n v="76"/>
    <n v="404"/>
    <n v="456"/>
    <n v="19462.080000000002"/>
    <n v="35"/>
    <n v="421"/>
    <n v="16.93"/>
    <n v="6"/>
    <n v="19"/>
    <n v="1186.74"/>
    <n v="0"/>
    <x v="0"/>
    <s v="OK"/>
  </r>
  <r>
    <s v="IT-10121"/>
    <s v="Bolt assortment 10-121"/>
    <x v="2"/>
    <x v="2"/>
    <x v="1"/>
    <s v="2025-09"/>
    <n v="41.2"/>
    <n v="41.2"/>
    <n v="42.68"/>
    <n v="62.46"/>
    <n v="47"/>
    <m/>
    <n v="0"/>
    <n v="363"/>
    <n v="15492.84"/>
    <n v="10"/>
    <n v="353"/>
    <n v="13.83"/>
    <n v="1"/>
    <n v="93"/>
    <n v="5808.78"/>
    <n v="0"/>
    <x v="0"/>
    <s v="OK"/>
  </r>
  <r>
    <s v="IT-10121"/>
    <s v="Bolt assortment 10-121"/>
    <x v="2"/>
    <x v="2"/>
    <x v="1"/>
    <s v="2025-10"/>
    <n v="42.15"/>
    <n v="42.15"/>
    <n v="42.433757"/>
    <n v="62.46"/>
    <n v="47"/>
    <n v="41"/>
    <n v="315"/>
    <n v="527"/>
    <n v="22362.59"/>
    <n v="45"/>
    <n v="482"/>
    <n v="26.34"/>
    <n v="0"/>
    <n v="151"/>
    <n v="9431.4599999999991"/>
    <n v="0"/>
    <x v="0"/>
    <s v="OK"/>
  </r>
  <r>
    <s v="IT-10121"/>
    <s v="Bolt assortment 10-121"/>
    <x v="2"/>
    <x v="2"/>
    <x v="1"/>
    <s v="2025-11"/>
    <n v="42.27"/>
    <n v="42.27"/>
    <n v="42.390537999999999"/>
    <n v="62.46"/>
    <n v="47"/>
    <n v="40"/>
    <n v="189"/>
    <n v="465"/>
    <n v="19711.599999999999"/>
    <n v="20"/>
    <n v="445"/>
    <n v="12.21"/>
    <n v="1"/>
    <n v="251"/>
    <n v="15677.46"/>
    <n v="0"/>
    <x v="0"/>
    <s v="OK"/>
  </r>
  <r>
    <s v="IT-10121"/>
    <s v="Bolt assortment 10-121"/>
    <x v="2"/>
    <x v="2"/>
    <x v="1"/>
    <s v="2025-12"/>
    <n v="42.34"/>
    <n v="42.34"/>
    <n v="42.381455000000003"/>
    <n v="62.46"/>
    <n v="47"/>
    <n v="41"/>
    <n v="102"/>
    <n v="385"/>
    <n v="16316.86"/>
    <n v="20"/>
    <n v="365"/>
    <n v="8.66"/>
    <n v="2"/>
    <n v="182"/>
    <n v="11367.72"/>
    <n v="0"/>
    <x v="0"/>
    <s v="OK"/>
  </r>
  <r>
    <s v="IT-10121"/>
    <s v="Bolt assortment 10-121"/>
    <x v="2"/>
    <x v="2"/>
    <x v="1"/>
    <s v="2026-01"/>
    <n v="42.44"/>
    <n v="42.44"/>
    <n v="42.381458000000002"/>
    <n v="62.46"/>
    <n v="47"/>
    <m/>
    <n v="0"/>
    <n v="192"/>
    <n v="8137.24"/>
    <n v="10"/>
    <n v="182"/>
    <n v="4.03"/>
    <n v="0"/>
    <n v="193"/>
    <n v="12054.78"/>
    <n v="0"/>
    <x v="0"/>
    <s v="OK"/>
  </r>
  <r>
    <s v="IT-10121"/>
    <s v="Bolt assortment 10-121"/>
    <x v="2"/>
    <x v="2"/>
    <x v="1"/>
    <s v="2026-02"/>
    <n v="43.94"/>
    <n v="43.94"/>
    <n v="42.875"/>
    <n v="65.53"/>
    <n v="47"/>
    <n v="84"/>
    <n v="89"/>
    <n v="52"/>
    <n v="2229.5"/>
    <n v="25"/>
    <n v="27"/>
    <n v="1.1100000000000001"/>
    <n v="0"/>
    <n v="229"/>
    <n v="15006.37"/>
    <n v="0"/>
    <x v="0"/>
    <s v="OK"/>
  </r>
  <r>
    <s v="IT-10121"/>
    <s v="Bolt assortment 10-121"/>
    <x v="2"/>
    <x v="2"/>
    <x v="1"/>
    <s v="2026-03"/>
    <n v="43.77"/>
    <n v="43.77"/>
    <n v="42.875"/>
    <n v="65.53"/>
    <n v="47"/>
    <m/>
    <n v="0"/>
    <n v="0"/>
    <n v="0"/>
    <n v="0"/>
    <n v="0"/>
    <n v="0"/>
    <n v="8"/>
    <n v="52"/>
    <n v="3407.56"/>
    <n v="130"/>
    <x v="1"/>
    <s v="OK"/>
  </r>
  <r>
    <s v="IT-10121"/>
    <s v="Bolt assortment 10-121"/>
    <x v="2"/>
    <x v="2"/>
    <x v="1"/>
    <s v="2026-04"/>
    <n v="43.85"/>
    <n v="43.85"/>
    <n v="43.85"/>
    <n v="65.53"/>
    <n v="47"/>
    <n v="46"/>
    <n v="536"/>
    <n v="440"/>
    <n v="19294"/>
    <n v="20"/>
    <n v="420"/>
    <n v="14.84"/>
    <n v="0"/>
    <n v="96"/>
    <n v="6290.88"/>
    <n v="0"/>
    <x v="0"/>
    <s v="OK"/>
  </r>
  <r>
    <s v="IT-10121"/>
    <s v="Bolt assortment 10-121"/>
    <x v="2"/>
    <x v="2"/>
    <x v="1"/>
    <s v="2026-05"/>
    <n v="43.24"/>
    <n v="43.24"/>
    <n v="43.727105999999999"/>
    <n v="65.53"/>
    <n v="47"/>
    <n v="61"/>
    <n v="111"/>
    <n v="432"/>
    <n v="18890.11"/>
    <n v="35"/>
    <n v="397"/>
    <n v="21.26"/>
    <n v="2"/>
    <n v="119"/>
    <n v="7798.07"/>
    <n v="0"/>
    <x v="0"/>
    <s v="OK"/>
  </r>
  <r>
    <s v="IT-10121"/>
    <s v="Bolt assortment 10-121"/>
    <x v="2"/>
    <x v="2"/>
    <x v="1"/>
    <s v="2026-06"/>
    <n v="43.8"/>
    <n v="43.8"/>
    <n v="43.727114999999998"/>
    <n v="65.53"/>
    <n v="47"/>
    <m/>
    <n v="0"/>
    <n v="156"/>
    <n v="6821.43"/>
    <n v="35"/>
    <n v="121"/>
    <n v="4.13"/>
    <n v="1"/>
    <n v="276"/>
    <n v="18086.28"/>
    <n v="0"/>
    <x v="0"/>
    <s v="OK"/>
  </r>
  <r>
    <s v="IT-10121"/>
    <s v="Bolt assortment 10-121"/>
    <x v="2"/>
    <x v="2"/>
    <x v="1"/>
    <s v="2026-07"/>
    <n v="43.53"/>
    <n v="43.53"/>
    <n v="43.600543999999999"/>
    <n v="65.53"/>
    <n v="47"/>
    <n v="46"/>
    <n v="280"/>
    <n v="294"/>
    <n v="12818.56"/>
    <n v="30"/>
    <n v="264"/>
    <n v="7.2"/>
    <n v="2"/>
    <n v="142"/>
    <n v="9305.26"/>
    <n v="0"/>
    <x v="0"/>
    <s v="OK"/>
  </r>
  <r>
    <s v="IT-10121"/>
    <s v="Bolt assortment 10-121"/>
    <x v="2"/>
    <x v="2"/>
    <x v="1"/>
    <s v="2026-08"/>
    <n v="42.34"/>
    <n v="42.34"/>
    <n v="43.261893999999998"/>
    <n v="65.53"/>
    <n v="47"/>
    <n v="44"/>
    <n v="108"/>
    <n v="227"/>
    <n v="9820.4500000000007"/>
    <n v="35"/>
    <n v="192"/>
    <n v="5.03"/>
    <n v="2"/>
    <n v="175"/>
    <n v="11467.75"/>
    <n v="0"/>
    <x v="0"/>
    <s v="OK"/>
  </r>
  <r>
    <s v="IT-10122"/>
    <s v="Roller bearing L-122"/>
    <x v="0"/>
    <x v="0"/>
    <x v="1"/>
    <s v="2024-09"/>
    <n v="38.630000000000003"/>
    <n v="40.99"/>
    <n v="40.319707999999999"/>
    <n v="54.54"/>
    <n v="47"/>
    <n v="43"/>
    <n v="274"/>
    <n v="1164"/>
    <n v="46932.14"/>
    <n v="68"/>
    <n v="1096"/>
    <n v="19.32"/>
    <n v="0"/>
    <n v="292"/>
    <n v="15925.68"/>
    <n v="0"/>
    <x v="0"/>
    <s v="OK"/>
  </r>
  <r>
    <s v="IT-10122"/>
    <s v="Roller bearing L-122"/>
    <x v="0"/>
    <x v="0"/>
    <x v="1"/>
    <s v="2024-10"/>
    <n v="38.590000000000003"/>
    <n v="40.950000000000003"/>
    <n v="40.366340000000001"/>
    <n v="54.54"/>
    <n v="47"/>
    <n v="42"/>
    <n v="93"/>
    <n v="1060"/>
    <n v="42788.32"/>
    <n v="17"/>
    <n v="1043"/>
    <n v="20.67"/>
    <n v="3"/>
    <n v="197"/>
    <n v="10744.38"/>
    <n v="0"/>
    <x v="0"/>
    <s v="OK"/>
  </r>
  <r>
    <s v="IT-10122"/>
    <s v="Roller bearing L-122"/>
    <x v="0"/>
    <x v="0"/>
    <x v="1"/>
    <s v="2024-11"/>
    <n v="37.86"/>
    <n v="40.18"/>
    <n v="40.366334999999999"/>
    <n v="54.54"/>
    <n v="47"/>
    <m/>
    <n v="0"/>
    <n v="813"/>
    <n v="32817.83"/>
    <n v="68"/>
    <n v="745"/>
    <n v="14.36"/>
    <n v="1"/>
    <n v="247"/>
    <n v="13471.38"/>
    <n v="0"/>
    <x v="0"/>
    <s v="OK"/>
  </r>
  <r>
    <s v="IT-10122"/>
    <s v="Roller bearing L-122"/>
    <x v="0"/>
    <x v="0"/>
    <x v="1"/>
    <s v="2024-12"/>
    <n v="39.049999999999997"/>
    <n v="41.44"/>
    <n v="40.604692999999997"/>
    <n v="54.54"/>
    <n v="47"/>
    <n v="67"/>
    <n v="232"/>
    <n v="846"/>
    <n v="34351.57"/>
    <n v="42"/>
    <n v="804"/>
    <n v="17.29"/>
    <n v="5"/>
    <n v="199"/>
    <n v="10853.46"/>
    <n v="0"/>
    <x v="0"/>
    <s v="OK"/>
  </r>
  <r>
    <s v="IT-10122"/>
    <s v="Roller bearing L-122"/>
    <x v="0"/>
    <x v="0"/>
    <x v="1"/>
    <s v="2025-01"/>
    <n v="38.33"/>
    <n v="40.68"/>
    <n v="40.604695"/>
    <n v="54.54"/>
    <n v="47"/>
    <m/>
    <n v="0"/>
    <n v="573"/>
    <n v="23266.49"/>
    <n v="34"/>
    <n v="539"/>
    <n v="10.47"/>
    <n v="3"/>
    <n v="273"/>
    <n v="14889.42"/>
    <n v="0"/>
    <x v="0"/>
    <s v="OK"/>
  </r>
  <r>
    <s v="IT-10122"/>
    <s v="Roller bearing L-122"/>
    <x v="0"/>
    <x v="0"/>
    <x v="1"/>
    <s v="2025-02"/>
    <n v="38.93"/>
    <n v="41.31"/>
    <n v="40.963993000000002"/>
    <n v="55.97"/>
    <n v="47"/>
    <n v="42"/>
    <n v="595"/>
    <n v="899"/>
    <n v="36826.629999999997"/>
    <n v="34"/>
    <n v="865"/>
    <n v="15.6"/>
    <n v="0"/>
    <n v="269"/>
    <n v="15055.93"/>
    <n v="0"/>
    <x v="0"/>
    <s v="OK"/>
  </r>
  <r>
    <s v="IT-10122"/>
    <s v="Roller bearing L-122"/>
    <x v="0"/>
    <x v="0"/>
    <x v="1"/>
    <s v="2025-03"/>
    <n v="39.01"/>
    <n v="41.4"/>
    <n v="41.054653999999999"/>
    <n v="55.97"/>
    <n v="47"/>
    <n v="57"/>
    <n v="236"/>
    <n v="1012"/>
    <n v="41547.31"/>
    <n v="42"/>
    <n v="970"/>
    <n v="19.57"/>
    <n v="2"/>
    <n v="123"/>
    <n v="6884.31"/>
    <n v="0"/>
    <x v="0"/>
    <s v="OK"/>
  </r>
  <r>
    <s v="IT-10122"/>
    <s v="Roller bearing L-122"/>
    <x v="0"/>
    <x v="0"/>
    <x v="1"/>
    <s v="2025-04"/>
    <n v="39.82"/>
    <n v="42.26"/>
    <n v="41.406390000000002"/>
    <n v="55.97"/>
    <n v="47"/>
    <n v="42"/>
    <n v="417"/>
    <n v="1180"/>
    <n v="48859.54"/>
    <n v="25"/>
    <n v="1155"/>
    <n v="23.41"/>
    <n v="0"/>
    <n v="249"/>
    <n v="13936.53"/>
    <n v="0"/>
    <x v="0"/>
    <s v="OK"/>
  </r>
  <r>
    <s v="IT-10122"/>
    <s v="Roller bearing L-122"/>
    <x v="0"/>
    <x v="0"/>
    <x v="1"/>
    <s v="2025-05"/>
    <n v="39.01"/>
    <n v="41.4"/>
    <n v="41.404747999999998"/>
    <n v="55.97"/>
    <n v="47"/>
    <n v="58"/>
    <n v="407"/>
    <n v="1327"/>
    <n v="54944.1"/>
    <n v="51"/>
    <n v="1276"/>
    <n v="27.6"/>
    <n v="0"/>
    <n v="260"/>
    <n v="14552.2"/>
    <n v="0"/>
    <x v="0"/>
    <s v="OK"/>
  </r>
  <r>
    <s v="IT-10122"/>
    <s v="Roller bearing L-122"/>
    <x v="0"/>
    <x v="0"/>
    <x v="1"/>
    <s v="2025-06"/>
    <n v="39.28"/>
    <n v="41.68"/>
    <n v="41.404746000000003"/>
    <n v="55.97"/>
    <n v="47"/>
    <m/>
    <n v="0"/>
    <n v="986"/>
    <n v="40825.08"/>
    <n v="42"/>
    <n v="944"/>
    <n v="15.08"/>
    <n v="2"/>
    <n v="341"/>
    <n v="19085.77"/>
    <n v="0"/>
    <x v="0"/>
    <s v="OK"/>
  </r>
  <r>
    <s v="IT-10122"/>
    <s v="Roller bearing L-122"/>
    <x v="0"/>
    <x v="0"/>
    <x v="1"/>
    <s v="2025-07"/>
    <n v="39.15"/>
    <n v="41.55"/>
    <n v="41.438282999999998"/>
    <n v="55.97"/>
    <n v="47"/>
    <n v="42"/>
    <n v="296"/>
    <n v="1200"/>
    <n v="49725.94"/>
    <n v="25"/>
    <n v="1175"/>
    <n v="23.09"/>
    <n v="0"/>
    <n v="82"/>
    <n v="4589.54"/>
    <n v="0"/>
    <x v="0"/>
    <s v="OK"/>
  </r>
  <r>
    <s v="IT-10122"/>
    <s v="Roller bearing L-122"/>
    <x v="0"/>
    <x v="0"/>
    <x v="1"/>
    <s v="2025-08"/>
    <n v="39.159999999999997"/>
    <n v="41.56"/>
    <n v="41.458362000000001"/>
    <n v="55.97"/>
    <n v="47"/>
    <n v="45"/>
    <n v="237"/>
    <n v="1105"/>
    <n v="45811.49"/>
    <n v="34"/>
    <n v="1071"/>
    <n v="19.239999999999998"/>
    <n v="0"/>
    <n v="332"/>
    <n v="18582.04"/>
    <n v="0"/>
    <x v="0"/>
    <s v="OK"/>
  </r>
  <r>
    <s v="IT-10122"/>
    <s v="Roller bearing L-122"/>
    <x v="0"/>
    <x v="0"/>
    <x v="1"/>
    <s v="2025-09"/>
    <n v="39.520000000000003"/>
    <n v="41.94"/>
    <n v="41.458356999999999"/>
    <n v="55.97"/>
    <n v="47"/>
    <m/>
    <n v="0"/>
    <n v="706"/>
    <n v="29269.599999999999"/>
    <n v="51"/>
    <n v="655"/>
    <n v="11.41"/>
    <n v="3"/>
    <n v="399"/>
    <n v="22332.03"/>
    <n v="0"/>
    <x v="0"/>
    <s v="OK"/>
  </r>
  <r>
    <s v="IT-10122"/>
    <s v="Roller bearing L-122"/>
    <x v="0"/>
    <x v="0"/>
    <x v="1"/>
    <s v="2025-10"/>
    <n v="39.200000000000003"/>
    <n v="41.6"/>
    <n v="41.458351"/>
    <n v="55.97"/>
    <n v="47"/>
    <m/>
    <n v="0"/>
    <n v="467"/>
    <n v="19361.05"/>
    <n v="76"/>
    <n v="391"/>
    <n v="6.33"/>
    <n v="1"/>
    <n v="239"/>
    <n v="13376.83"/>
    <n v="0"/>
    <x v="0"/>
    <s v="OK"/>
  </r>
  <r>
    <s v="IT-10122"/>
    <s v="Roller bearing L-122"/>
    <x v="0"/>
    <x v="0"/>
    <x v="1"/>
    <s v="2025-11"/>
    <n v="39.090000000000003"/>
    <n v="41.48"/>
    <n v="41.472729999999999"/>
    <n v="55.97"/>
    <n v="47"/>
    <n v="44"/>
    <n v="924"/>
    <n v="956"/>
    <n v="39647.93"/>
    <n v="17"/>
    <n v="939"/>
    <n v="11.58"/>
    <n v="0"/>
    <n v="435"/>
    <n v="24346.95"/>
    <n v="0"/>
    <x v="0"/>
    <s v="OK"/>
  </r>
  <r>
    <s v="IT-10122"/>
    <s v="Roller bearing L-122"/>
    <x v="0"/>
    <x v="0"/>
    <x v="1"/>
    <s v="2025-12"/>
    <n v="40.299999999999997"/>
    <n v="42.77"/>
    <n v="41.953547999999998"/>
    <n v="55.97"/>
    <n v="47"/>
    <n v="45"/>
    <n v="563"/>
    <n v="1167"/>
    <n v="48959.79"/>
    <n v="25"/>
    <n v="1142"/>
    <n v="14.95"/>
    <n v="0"/>
    <n v="352"/>
    <n v="19701.439999999999"/>
    <n v="0"/>
    <x v="0"/>
    <s v="OK"/>
  </r>
  <r>
    <s v="IT-10122"/>
    <s v="Roller bearing L-122"/>
    <x v="0"/>
    <x v="0"/>
    <x v="1"/>
    <s v="2026-01"/>
    <n v="39.46"/>
    <n v="41.88"/>
    <n v="41.953552999999999"/>
    <n v="55.97"/>
    <n v="47"/>
    <m/>
    <n v="0"/>
    <n v="729"/>
    <n v="30584.14"/>
    <n v="34"/>
    <n v="695"/>
    <n v="7.82"/>
    <n v="0"/>
    <n v="438"/>
    <n v="24514.86"/>
    <n v="0"/>
    <x v="0"/>
    <s v="OK"/>
  </r>
  <r>
    <s v="IT-10122"/>
    <s v="Roller bearing L-122"/>
    <x v="0"/>
    <x v="0"/>
    <x v="1"/>
    <s v="2026-02"/>
    <n v="39.18"/>
    <n v="41.58"/>
    <n v="41.786302999999997"/>
    <n v="57.44"/>
    <n v="47"/>
    <n v="42"/>
    <n v="591"/>
    <n v="1117"/>
    <n v="46675.3"/>
    <n v="59"/>
    <n v="1058"/>
    <n v="14.46"/>
    <n v="1"/>
    <n v="203"/>
    <n v="11660.32"/>
    <n v="0"/>
    <x v="0"/>
    <s v="OK"/>
  </r>
  <r>
    <s v="IT-10122"/>
    <s v="Roller bearing L-122"/>
    <x v="0"/>
    <x v="0"/>
    <x v="1"/>
    <s v="2026-03"/>
    <n v="39.119999999999997"/>
    <n v="41.51"/>
    <n v="41.786307000000001"/>
    <n v="57.44"/>
    <n v="47"/>
    <m/>
    <n v="0"/>
    <n v="1010"/>
    <n v="42204.17"/>
    <n v="42"/>
    <n v="968"/>
    <n v="17.36"/>
    <n v="0"/>
    <n v="107"/>
    <n v="6146.08"/>
    <n v="0"/>
    <x v="0"/>
    <s v="OK"/>
  </r>
  <r>
    <s v="IT-10122"/>
    <s v="Roller bearing L-122"/>
    <x v="0"/>
    <x v="0"/>
    <x v="1"/>
    <s v="2026-04"/>
    <n v="40.58"/>
    <n v="43.06"/>
    <n v="41.786310999999998"/>
    <n v="57.44"/>
    <n v="47"/>
    <m/>
    <n v="0"/>
    <n v="816"/>
    <n v="34097.629999999997"/>
    <n v="17"/>
    <n v="799"/>
    <n v="20.59"/>
    <n v="0"/>
    <n v="194"/>
    <n v="11143.36"/>
    <n v="0"/>
    <x v="0"/>
    <s v="OK"/>
  </r>
  <r>
    <s v="IT-10122"/>
    <s v="Roller bearing L-122"/>
    <x v="0"/>
    <x v="0"/>
    <x v="1"/>
    <s v="2026-05"/>
    <n v="40.83"/>
    <n v="43.33"/>
    <n v="42.434089999999998"/>
    <n v="57.44"/>
    <n v="47"/>
    <n v="42"/>
    <n v="590"/>
    <n v="1017"/>
    <n v="43155.47"/>
    <n v="25"/>
    <n v="992"/>
    <n v="19.37"/>
    <n v="1"/>
    <n v="389"/>
    <n v="22344.16"/>
    <n v="0"/>
    <x v="0"/>
    <s v="OK"/>
  </r>
  <r>
    <s v="IT-10122"/>
    <s v="Roller bearing L-122"/>
    <x v="0"/>
    <x v="0"/>
    <x v="1"/>
    <s v="2026-06"/>
    <n v="41.55"/>
    <n v="44.09"/>
    <n v="42.434097000000001"/>
    <n v="57.44"/>
    <n v="47"/>
    <m/>
    <n v="0"/>
    <n v="742"/>
    <n v="31486.1"/>
    <n v="25"/>
    <n v="717"/>
    <n v="11.24"/>
    <n v="4"/>
    <n v="275"/>
    <n v="15796"/>
    <n v="0"/>
    <x v="0"/>
    <s v="OK"/>
  </r>
  <r>
    <s v="IT-10122"/>
    <s v="Roller bearing L-122"/>
    <x v="0"/>
    <x v="0"/>
    <x v="1"/>
    <s v="2026-07"/>
    <n v="40.54"/>
    <n v="43.02"/>
    <n v="42.690899999999999"/>
    <n v="57.44"/>
    <n v="47"/>
    <n v="46"/>
    <n v="579"/>
    <n v="1178"/>
    <n v="50289.88"/>
    <n v="68"/>
    <n v="1110"/>
    <n v="19.18"/>
    <n v="2"/>
    <n v="143"/>
    <n v="8213.92"/>
    <n v="0"/>
    <x v="0"/>
    <s v="OK"/>
  </r>
  <r>
    <s v="IT-10122"/>
    <s v="Roller bearing L-122"/>
    <x v="0"/>
    <x v="0"/>
    <x v="1"/>
    <s v="2026-08"/>
    <n v="40.9"/>
    <n v="43.4"/>
    <n v="42.852969000000002"/>
    <n v="57.44"/>
    <n v="47"/>
    <n v="43"/>
    <n v="349"/>
    <n v="1273"/>
    <n v="54551.83"/>
    <n v="68"/>
    <n v="1205"/>
    <n v="24.9"/>
    <n v="0"/>
    <n v="254"/>
    <n v="14589.76"/>
    <n v="0"/>
    <x v="0"/>
    <s v="OK"/>
  </r>
  <r>
    <s v="IT-10123"/>
    <s v="Sensor unit B-123"/>
    <x v="3"/>
    <x v="3"/>
    <x v="0"/>
    <s v="2024-09"/>
    <n v="1.95"/>
    <n v="2.12"/>
    <n v="2.0869599999999999"/>
    <n v="3"/>
    <n v="28"/>
    <m/>
    <n v="0"/>
    <n v="773"/>
    <n v="1613.22"/>
    <n v="70"/>
    <n v="703"/>
    <n v="17.37"/>
    <n v="1"/>
    <n v="161"/>
    <n v="483"/>
    <n v="0"/>
    <x v="0"/>
    <s v="OK"/>
  </r>
  <r>
    <s v="IT-10123"/>
    <s v="Sensor unit B-123"/>
    <x v="3"/>
    <x v="3"/>
    <x v="0"/>
    <s v="2024-10"/>
    <n v="1.89"/>
    <n v="2.06"/>
    <n v="2.0869529999999998"/>
    <n v="3"/>
    <n v="28"/>
    <m/>
    <n v="0"/>
    <n v="653"/>
    <n v="1362.78"/>
    <n v="35"/>
    <n v="618"/>
    <n v="16.7"/>
    <n v="3"/>
    <n v="120"/>
    <n v="360"/>
    <n v="0"/>
    <x v="0"/>
    <s v="OK"/>
  </r>
  <r>
    <s v="IT-10123"/>
    <s v="Sensor unit B-123"/>
    <x v="3"/>
    <x v="3"/>
    <x v="0"/>
    <s v="2024-11"/>
    <n v="1.91"/>
    <n v="2.08"/>
    <n v="2.0838589999999999"/>
    <n v="3"/>
    <n v="28"/>
    <n v="38"/>
    <n v="523"/>
    <n v="868"/>
    <n v="1808.79"/>
    <n v="79"/>
    <n v="789"/>
    <n v="19.16"/>
    <n v="0"/>
    <n v="308"/>
    <n v="924"/>
    <n v="0"/>
    <x v="0"/>
    <s v="OK"/>
  </r>
  <r>
    <s v="IT-10123"/>
    <s v="Sensor unit B-123"/>
    <x v="3"/>
    <x v="3"/>
    <x v="0"/>
    <s v="2024-12"/>
    <n v="1.93"/>
    <n v="2.1"/>
    <n v="2.087634"/>
    <n v="3"/>
    <n v="28"/>
    <n v="24"/>
    <n v="265"/>
    <n v="841"/>
    <n v="1755.7"/>
    <n v="26"/>
    <n v="815"/>
    <n v="15.35"/>
    <n v="1"/>
    <n v="292"/>
    <n v="876"/>
    <n v="0"/>
    <x v="0"/>
    <s v="OK"/>
  </r>
  <r>
    <s v="IT-10123"/>
    <s v="Sensor unit B-123"/>
    <x v="3"/>
    <x v="3"/>
    <x v="0"/>
    <s v="2025-01"/>
    <n v="1.92"/>
    <n v="2.09"/>
    <n v="2.0876410000000001"/>
    <n v="3"/>
    <n v="28"/>
    <m/>
    <n v="0"/>
    <n v="585"/>
    <n v="1221.27"/>
    <n v="61"/>
    <n v="524"/>
    <n v="8.98"/>
    <n v="0"/>
    <n v="256"/>
    <n v="768"/>
    <n v="0"/>
    <x v="0"/>
    <s v="OK"/>
  </r>
  <r>
    <s v="IT-10123"/>
    <s v="Sensor unit B-123"/>
    <x v="3"/>
    <x v="3"/>
    <x v="0"/>
    <s v="2025-02"/>
    <n v="1.92"/>
    <n v="2.09"/>
    <n v="2.0882200000000002"/>
    <n v="3.1"/>
    <n v="28"/>
    <n v="46"/>
    <n v="192"/>
    <n v="573"/>
    <n v="1196.55"/>
    <n v="88"/>
    <n v="485"/>
    <n v="9.8000000000000007"/>
    <n v="4"/>
    <n v="204"/>
    <n v="632.4"/>
    <n v="0"/>
    <x v="0"/>
    <s v="OK"/>
  </r>
  <r>
    <s v="IT-10123"/>
    <s v="Sensor unit B-123"/>
    <x v="3"/>
    <x v="3"/>
    <x v="0"/>
    <s v="2025-03"/>
    <n v="1.98"/>
    <n v="2.16"/>
    <n v="2.0964260000000001"/>
    <n v="3.1"/>
    <n v="28"/>
    <n v="24"/>
    <n v="74"/>
    <n v="484"/>
    <n v="1014.67"/>
    <n v="70"/>
    <n v="414"/>
    <n v="9.99"/>
    <n v="1"/>
    <n v="163"/>
    <n v="505.3"/>
    <n v="0"/>
    <x v="0"/>
    <s v="OK"/>
  </r>
  <r>
    <s v="IT-10123"/>
    <s v="Sensor unit B-123"/>
    <x v="3"/>
    <x v="3"/>
    <x v="0"/>
    <s v="2025-04"/>
    <n v="2.0099999999999998"/>
    <n v="2.19"/>
    <n v="2.1425230000000002"/>
    <n v="3.1"/>
    <n v="28"/>
    <n v="26"/>
    <n v="470"/>
    <n v="642"/>
    <n v="1375.5"/>
    <n v="53"/>
    <n v="589"/>
    <n v="12.02"/>
    <n v="2"/>
    <n v="312"/>
    <n v="967.2"/>
    <n v="0"/>
    <x v="0"/>
    <s v="OK"/>
  </r>
  <r>
    <s v="IT-10123"/>
    <s v="Sensor unit B-123"/>
    <x v="3"/>
    <x v="3"/>
    <x v="0"/>
    <s v="2025-05"/>
    <n v="2.0299999999999998"/>
    <n v="2.21"/>
    <n v="2.169054"/>
    <n v="3.1"/>
    <n v="28"/>
    <n v="28"/>
    <n v="416"/>
    <n v="782"/>
    <n v="1696.2"/>
    <n v="70"/>
    <n v="712"/>
    <n v="13.69"/>
    <n v="2"/>
    <n v="276"/>
    <n v="855.6"/>
    <n v="0"/>
    <x v="0"/>
    <s v="OK"/>
  </r>
  <r>
    <s v="IT-10123"/>
    <s v="Sensor unit B-123"/>
    <x v="3"/>
    <x v="3"/>
    <x v="0"/>
    <s v="2025-06"/>
    <n v="2.04"/>
    <n v="2.2200000000000002"/>
    <n v="2.1784539999999999"/>
    <n v="3.1"/>
    <n v="28"/>
    <n v="26"/>
    <n v="177"/>
    <n v="731"/>
    <n v="1592.45"/>
    <n v="61"/>
    <n v="670"/>
    <n v="11.65"/>
    <n v="1"/>
    <n v="228"/>
    <n v="706.8"/>
    <n v="0"/>
    <x v="0"/>
    <s v="OK"/>
  </r>
  <r>
    <s v="IT-10123"/>
    <s v="Sensor unit B-123"/>
    <x v="3"/>
    <x v="3"/>
    <x v="0"/>
    <s v="2025-07"/>
    <n v="2.0499999999999998"/>
    <n v="2.23"/>
    <n v="2.1907519999999998"/>
    <n v="3.1"/>
    <n v="28"/>
    <n v="26"/>
    <n v="229"/>
    <n v="625"/>
    <n v="1369.22"/>
    <n v="26"/>
    <n v="599"/>
    <n v="9.7899999999999991"/>
    <n v="0"/>
    <n v="335"/>
    <n v="1038.5"/>
    <n v="0"/>
    <x v="0"/>
    <s v="OK"/>
  </r>
  <r>
    <s v="IT-10123"/>
    <s v="Sensor unit B-123"/>
    <x v="3"/>
    <x v="3"/>
    <x v="0"/>
    <s v="2025-08"/>
    <n v="1.99"/>
    <n v="2.17"/>
    <n v="2.180771"/>
    <n v="3.1"/>
    <n v="28"/>
    <n v="25"/>
    <n v="579"/>
    <n v="882"/>
    <n v="1923.44"/>
    <n v="79"/>
    <n v="803"/>
    <n v="13.1"/>
    <n v="0"/>
    <n v="322"/>
    <n v="998.2"/>
    <n v="0"/>
    <x v="0"/>
    <s v="OK"/>
  </r>
  <r>
    <s v="IT-10123"/>
    <s v="Sensor unit B-123"/>
    <x v="3"/>
    <x v="3"/>
    <x v="0"/>
    <s v="2025-09"/>
    <n v="1.98"/>
    <n v="2.16"/>
    <n v="2.1807639999999999"/>
    <n v="3.1"/>
    <n v="28"/>
    <m/>
    <n v="0"/>
    <n v="589"/>
    <n v="1284.47"/>
    <n v="53"/>
    <n v="536"/>
    <n v="8.15"/>
    <n v="0"/>
    <n v="293"/>
    <n v="908.3"/>
    <n v="0"/>
    <x v="0"/>
    <s v="OK"/>
  </r>
  <r>
    <s v="IT-10123"/>
    <s v="Sensor unit B-123"/>
    <x v="3"/>
    <x v="3"/>
    <x v="0"/>
    <s v="2025-10"/>
    <n v="2.0499999999999998"/>
    <n v="2.23"/>
    <n v="2.1807530000000002"/>
    <n v="3.1"/>
    <n v="28"/>
    <m/>
    <n v="0"/>
    <n v="425"/>
    <n v="926.82"/>
    <n v="88"/>
    <n v="337"/>
    <n v="7.17"/>
    <n v="0"/>
    <n v="164"/>
    <n v="508.4"/>
    <n v="0"/>
    <x v="0"/>
    <s v="OK"/>
  </r>
  <r>
    <s v="IT-10123"/>
    <s v="Sensor unit B-123"/>
    <x v="3"/>
    <x v="3"/>
    <x v="0"/>
    <s v="2025-11"/>
    <n v="1.98"/>
    <n v="2.16"/>
    <n v="2.1746150000000002"/>
    <n v="3.1"/>
    <n v="28"/>
    <n v="39"/>
    <n v="178"/>
    <n v="208"/>
    <n v="452.32"/>
    <n v="79"/>
    <n v="129"/>
    <n v="3.17"/>
    <n v="1"/>
    <n v="395"/>
    <n v="1224.5"/>
    <n v="0"/>
    <x v="0"/>
    <s v="OK"/>
  </r>
  <r>
    <s v="IT-10123"/>
    <s v="Sensor unit B-123"/>
    <x v="3"/>
    <x v="3"/>
    <x v="0"/>
    <s v="2025-12"/>
    <n v="2.0499999999999998"/>
    <n v="2.23"/>
    <n v="2.2189709999999998"/>
    <n v="3.1"/>
    <n v="28"/>
    <n v="28"/>
    <n v="837"/>
    <n v="865"/>
    <n v="1919.41"/>
    <n v="70"/>
    <n v="795"/>
    <n v="15.38"/>
    <n v="0"/>
    <n v="180"/>
    <n v="558"/>
    <n v="0"/>
    <x v="0"/>
    <s v="OK"/>
  </r>
  <r>
    <s v="IT-10123"/>
    <s v="Sensor unit B-123"/>
    <x v="3"/>
    <x v="3"/>
    <x v="0"/>
    <s v="2026-01"/>
    <n v="2.0099999999999998"/>
    <n v="2.19"/>
    <n v="2.2143489999999999"/>
    <n v="3.1"/>
    <n v="28"/>
    <n v="25"/>
    <n v="164"/>
    <n v="784"/>
    <n v="1736.05"/>
    <n v="88"/>
    <n v="696"/>
    <n v="12.57"/>
    <n v="2"/>
    <n v="245"/>
    <n v="759.5"/>
    <n v="0"/>
    <x v="0"/>
    <s v="OK"/>
  </r>
  <r>
    <s v="IT-10123"/>
    <s v="Sensor unit B-123"/>
    <x v="3"/>
    <x v="3"/>
    <x v="0"/>
    <s v="2026-02"/>
    <n v="2.06"/>
    <n v="2.2400000000000002"/>
    <n v="2.2143570000000001"/>
    <n v="3.2"/>
    <n v="28"/>
    <m/>
    <n v="0"/>
    <n v="544"/>
    <n v="1204.6099999999999"/>
    <n v="88"/>
    <n v="456"/>
    <n v="10.52"/>
    <n v="0"/>
    <n v="240"/>
    <n v="768"/>
    <n v="0"/>
    <x v="0"/>
    <s v="OK"/>
  </r>
  <r>
    <s v="IT-10123"/>
    <s v="Sensor unit B-123"/>
    <x v="3"/>
    <x v="3"/>
    <x v="0"/>
    <s v="2026-03"/>
    <n v="2.1"/>
    <n v="2.29"/>
    <n v="2.2345359999999999"/>
    <n v="3.2"/>
    <n v="28"/>
    <n v="26"/>
    <n v="198"/>
    <n v="399"/>
    <n v="891.58"/>
    <n v="53"/>
    <n v="346"/>
    <n v="6.2"/>
    <n v="3"/>
    <n v="343"/>
    <n v="1097.5999999999999"/>
    <n v="0"/>
    <x v="0"/>
    <s v="OK"/>
  </r>
  <r>
    <s v="IT-10123"/>
    <s v="Sensor unit B-123"/>
    <x v="3"/>
    <x v="3"/>
    <x v="0"/>
    <s v="2026-04"/>
    <n v="2.15"/>
    <n v="2.34"/>
    <n v="2.3081680000000002"/>
    <n v="3.2"/>
    <n v="28"/>
    <n v="27"/>
    <n v="923"/>
    <n v="1228"/>
    <n v="2834.43"/>
    <n v="70"/>
    <n v="1158"/>
    <n v="23.06"/>
    <n v="4"/>
    <n v="94"/>
    <n v="300.8"/>
    <n v="0"/>
    <x v="0"/>
    <s v="OK"/>
  </r>
  <r>
    <s v="IT-10123"/>
    <s v="Sensor unit B-123"/>
    <x v="3"/>
    <x v="3"/>
    <x v="0"/>
    <s v="2026-05"/>
    <n v="2.11"/>
    <n v="2.2999999999999998"/>
    <n v="2.3081649999999998"/>
    <n v="3.2"/>
    <n v="28"/>
    <m/>
    <n v="0"/>
    <n v="943"/>
    <n v="2176.6"/>
    <n v="79"/>
    <n v="864"/>
    <n v="17.170000000000002"/>
    <n v="0"/>
    <n v="285"/>
    <n v="912"/>
    <n v="0"/>
    <x v="0"/>
    <s v="OK"/>
  </r>
  <r>
    <s v="IT-10123"/>
    <s v="Sensor unit B-123"/>
    <x v="3"/>
    <x v="3"/>
    <x v="0"/>
    <s v="2026-06"/>
    <n v="2.13"/>
    <n v="2.3199999999999998"/>
    <n v="2.30816"/>
    <n v="3.2"/>
    <n v="28"/>
    <m/>
    <n v="0"/>
    <n v="549"/>
    <n v="1267.18"/>
    <n v="26"/>
    <n v="523"/>
    <n v="9.23"/>
    <n v="1"/>
    <n v="394"/>
    <n v="1260.8"/>
    <n v="0"/>
    <x v="0"/>
    <s v="OK"/>
  </r>
  <r>
    <s v="IT-10123"/>
    <s v="Sensor unit B-123"/>
    <x v="3"/>
    <x v="3"/>
    <x v="0"/>
    <s v="2026-07"/>
    <n v="2.12"/>
    <n v="2.31"/>
    <n v="2.3090039999999998"/>
    <n v="3.2"/>
    <n v="28"/>
    <n v="28"/>
    <n v="468"/>
    <n v="673"/>
    <n v="1553.96"/>
    <n v="18"/>
    <n v="655"/>
    <n v="8.65"/>
    <n v="0"/>
    <n v="344"/>
    <n v="1100.8"/>
    <n v="0"/>
    <x v="0"/>
    <s v="OK"/>
  </r>
  <r>
    <s v="IT-10123"/>
    <s v="Sensor unit B-123"/>
    <x v="3"/>
    <x v="3"/>
    <x v="0"/>
    <s v="2026-08"/>
    <n v="2.17"/>
    <n v="2.36"/>
    <n v="2.3317299999999999"/>
    <n v="3.2"/>
    <n v="28"/>
    <n v="27"/>
    <n v="541"/>
    <n v="1098"/>
    <n v="2560.2399999999998"/>
    <n v="35"/>
    <n v="1063"/>
    <n v="16.899999999999999"/>
    <n v="0"/>
    <n v="116"/>
    <n v="371.2"/>
    <n v="0"/>
    <x v="0"/>
    <s v="OK"/>
  </r>
  <r>
    <s v="IT-10124"/>
    <s v="Pillow block A-124"/>
    <x v="0"/>
    <x v="0"/>
    <x v="1"/>
    <s v="2024-09"/>
    <n v="51.67"/>
    <n v="51.67"/>
    <n v="52.34"/>
    <n v="70.290000000000006"/>
    <n v="41"/>
    <m/>
    <n v="0"/>
    <n v="138"/>
    <n v="7222.92"/>
    <n v="38"/>
    <n v="100"/>
    <n v="3.24"/>
    <n v="0"/>
    <n v="194"/>
    <n v="13636.26"/>
    <n v="0"/>
    <x v="0"/>
    <s v="OK"/>
  </r>
  <r>
    <s v="IT-10124"/>
    <s v="Pillow block A-124"/>
    <x v="0"/>
    <x v="0"/>
    <x v="1"/>
    <s v="2024-10"/>
    <n v="52.95"/>
    <n v="52.95"/>
    <n v="52.780267000000002"/>
    <n v="70.290000000000006"/>
    <n v="41"/>
    <n v="65"/>
    <n v="358"/>
    <n v="300"/>
    <n v="15834.08"/>
    <n v="51"/>
    <n v="249"/>
    <n v="6.74"/>
    <n v="0"/>
    <n v="196"/>
    <n v="13776.84"/>
    <n v="0"/>
    <x v="0"/>
    <s v="OK"/>
  </r>
  <r>
    <s v="IT-10124"/>
    <s v="Pillow block A-124"/>
    <x v="0"/>
    <x v="0"/>
    <x v="1"/>
    <s v="2024-11"/>
    <n v="52.54"/>
    <n v="52.54"/>
    <n v="52.727206000000002"/>
    <n v="70.290000000000006"/>
    <n v="41"/>
    <n v="41"/>
    <n v="85"/>
    <n v="315"/>
    <n v="16609.07"/>
    <n v="51"/>
    <n v="264"/>
    <n v="8.9"/>
    <n v="12"/>
    <n v="70"/>
    <n v="4920.3"/>
    <n v="0"/>
    <x v="0"/>
    <s v="OK"/>
  </r>
  <r>
    <s v="IT-10124"/>
    <s v="Pillow block A-124"/>
    <x v="0"/>
    <x v="0"/>
    <x v="1"/>
    <s v="2024-12"/>
    <n v="51.66"/>
    <n v="51.66"/>
    <n v="52.154372000000002"/>
    <n v="70.290000000000006"/>
    <n v="41"/>
    <n v="57"/>
    <n v="365"/>
    <n v="597"/>
    <n v="31136.16"/>
    <n v="57"/>
    <n v="540"/>
    <n v="22.48"/>
    <n v="5"/>
    <n v="83"/>
    <n v="5834.07"/>
    <n v="0"/>
    <x v="0"/>
    <s v="OK"/>
  </r>
  <r>
    <s v="IT-10124"/>
    <s v="Pillow block A-124"/>
    <x v="0"/>
    <x v="0"/>
    <x v="1"/>
    <s v="2025-01"/>
    <n v="51.99"/>
    <n v="51.99"/>
    <n v="52.154386000000002"/>
    <n v="70.290000000000006"/>
    <n v="41"/>
    <m/>
    <n v="0"/>
    <n v="342"/>
    <n v="17836.8"/>
    <n v="57"/>
    <n v="285"/>
    <n v="11.02"/>
    <n v="0"/>
    <n v="255"/>
    <n v="17923.95"/>
    <n v="0"/>
    <x v="0"/>
    <s v="OK"/>
  </r>
  <r>
    <s v="IT-10124"/>
    <s v="Pillow block A-124"/>
    <x v="0"/>
    <x v="0"/>
    <x v="1"/>
    <s v="2025-02"/>
    <n v="52.41"/>
    <n v="52.41"/>
    <n v="52.154443999999998"/>
    <n v="74.180000000000007"/>
    <n v="41"/>
    <m/>
    <n v="0"/>
    <n v="36"/>
    <n v="1877.56"/>
    <n v="36"/>
    <n v="0"/>
    <n v="0.72"/>
    <n v="1"/>
    <n v="306"/>
    <n v="22699.08"/>
    <n v="0"/>
    <x v="0"/>
    <s v="OK"/>
  </r>
  <r>
    <s v="IT-10124"/>
    <s v="Pillow block A-124"/>
    <x v="0"/>
    <x v="0"/>
    <x v="1"/>
    <s v="2025-03"/>
    <n v="52.25"/>
    <n v="52.25"/>
    <n v="52.243046999999997"/>
    <n v="74.180000000000007"/>
    <n v="41"/>
    <n v="40"/>
    <n v="459"/>
    <n v="338"/>
    <n v="17658.150000000001"/>
    <n v="19"/>
    <n v="319"/>
    <n v="6.05"/>
    <n v="1"/>
    <n v="157"/>
    <n v="11646.26"/>
    <n v="0"/>
    <x v="0"/>
    <s v="OK"/>
  </r>
  <r>
    <s v="IT-10124"/>
    <s v="Pillow block A-124"/>
    <x v="0"/>
    <x v="0"/>
    <x v="1"/>
    <s v="2025-04"/>
    <n v="54.33"/>
    <n v="54.33"/>
    <n v="53.288077000000001"/>
    <n v="74.180000000000007"/>
    <n v="41"/>
    <n v="35"/>
    <n v="339"/>
    <n v="416"/>
    <n v="22167.84"/>
    <n v="44"/>
    <n v="372"/>
    <n v="7.31"/>
    <n v="2"/>
    <n v="261"/>
    <n v="19360.98"/>
    <n v="0"/>
    <x v="0"/>
    <s v="OK"/>
  </r>
  <r>
    <s v="IT-10124"/>
    <s v="Pillow block A-124"/>
    <x v="0"/>
    <x v="0"/>
    <x v="1"/>
    <s v="2025-05"/>
    <n v="53.36"/>
    <n v="53.36"/>
    <n v="53.312514"/>
    <n v="74.180000000000007"/>
    <n v="41"/>
    <n v="40"/>
    <n v="214"/>
    <n v="366"/>
    <n v="19512.38"/>
    <n v="38"/>
    <n v="328"/>
    <n v="7.05"/>
    <n v="0"/>
    <n v="264"/>
    <n v="19583.52"/>
    <n v="0"/>
    <x v="0"/>
    <s v="OK"/>
  </r>
  <r>
    <s v="IT-10124"/>
    <s v="Pillow block A-124"/>
    <x v="0"/>
    <x v="0"/>
    <x v="1"/>
    <s v="2025-06"/>
    <n v="54.5"/>
    <n v="54.5"/>
    <n v="53.455241999999998"/>
    <n v="74.180000000000007"/>
    <n v="41"/>
    <n v="39"/>
    <n v="50"/>
    <n v="330"/>
    <n v="17640.23"/>
    <n v="64"/>
    <n v="266"/>
    <n v="7.02"/>
    <n v="0"/>
    <n v="86"/>
    <n v="6379.48"/>
    <n v="0"/>
    <x v="0"/>
    <s v="OK"/>
  </r>
  <r>
    <s v="IT-10124"/>
    <s v="Pillow block A-124"/>
    <x v="0"/>
    <x v="0"/>
    <x v="1"/>
    <s v="2025-07"/>
    <n v="53.01"/>
    <n v="53.01"/>
    <n v="53.277154000000003"/>
    <n v="74.180000000000007"/>
    <n v="41"/>
    <n v="37"/>
    <n v="220"/>
    <n v="253"/>
    <n v="13479.12"/>
    <n v="32"/>
    <n v="221"/>
    <n v="5.14"/>
    <n v="0"/>
    <n v="297"/>
    <n v="22031.46"/>
    <n v="0"/>
    <x v="0"/>
    <s v="OK"/>
  </r>
  <r>
    <s v="IT-10124"/>
    <s v="Pillow block A-124"/>
    <x v="0"/>
    <x v="0"/>
    <x v="1"/>
    <s v="2025-08"/>
    <n v="53.45"/>
    <n v="53.45"/>
    <n v="53.363064000000001"/>
    <n v="74.180000000000007"/>
    <n v="41"/>
    <n v="37"/>
    <n v="250"/>
    <n v="346"/>
    <n v="18463.62"/>
    <n v="44"/>
    <n v="302"/>
    <n v="8.42"/>
    <n v="1"/>
    <n v="157"/>
    <n v="11646.26"/>
    <n v="0"/>
    <x v="0"/>
    <s v="OK"/>
  </r>
  <r>
    <s v="IT-10124"/>
    <s v="Pillow block A-124"/>
    <x v="0"/>
    <x v="0"/>
    <x v="1"/>
    <s v="2025-09"/>
    <n v="52.54"/>
    <n v="52.54"/>
    <n v="53.066408000000003"/>
    <n v="74.180000000000007"/>
    <n v="41"/>
    <n v="37"/>
    <n v="195"/>
    <n v="284"/>
    <n v="15070.86"/>
    <n v="51"/>
    <n v="233"/>
    <n v="5.25"/>
    <n v="0"/>
    <n v="257"/>
    <n v="19064.259999999998"/>
    <n v="0"/>
    <x v="0"/>
    <s v="OK"/>
  </r>
  <r>
    <s v="IT-10124"/>
    <s v="Pillow block A-124"/>
    <x v="0"/>
    <x v="0"/>
    <x v="1"/>
    <s v="2025-10"/>
    <n v="52.77"/>
    <n v="52.77"/>
    <n v="52.995676000000003"/>
    <n v="74.180000000000007"/>
    <n v="41"/>
    <n v="58"/>
    <n v="89"/>
    <n v="185"/>
    <n v="9804.2000000000007"/>
    <n v="38"/>
    <n v="147"/>
    <n v="4.04"/>
    <n v="2"/>
    <n v="188"/>
    <n v="13945.84"/>
    <n v="0"/>
    <x v="0"/>
    <s v="OK"/>
  </r>
  <r>
    <s v="IT-10124"/>
    <s v="Pillow block A-124"/>
    <x v="0"/>
    <x v="0"/>
    <x v="1"/>
    <s v="2025-11"/>
    <n v="53.61"/>
    <n v="53.61"/>
    <n v="53.347538"/>
    <n v="74.180000000000007"/>
    <n v="41"/>
    <n v="36"/>
    <n v="248"/>
    <n v="260"/>
    <n v="13870.36"/>
    <n v="64"/>
    <n v="196"/>
    <n v="5.47"/>
    <n v="0"/>
    <n v="173"/>
    <n v="12833.14"/>
    <n v="0"/>
    <x v="0"/>
    <s v="OK"/>
  </r>
  <r>
    <s v="IT-10124"/>
    <s v="Pillow block A-124"/>
    <x v="0"/>
    <x v="0"/>
    <x v="1"/>
    <s v="2025-12"/>
    <n v="52.63"/>
    <n v="52.63"/>
    <n v="52.887326999999999"/>
    <n v="74.180000000000007"/>
    <n v="41"/>
    <n v="40"/>
    <n v="465"/>
    <n v="505"/>
    <n v="26708.1"/>
    <n v="32"/>
    <n v="473"/>
    <n v="11.42"/>
    <n v="1"/>
    <n v="220"/>
    <n v="16319.6"/>
    <n v="0"/>
    <x v="0"/>
    <s v="OK"/>
  </r>
  <r>
    <s v="IT-10124"/>
    <s v="Pillow block A-124"/>
    <x v="0"/>
    <x v="0"/>
    <x v="1"/>
    <s v="2026-01"/>
    <n v="53.19"/>
    <n v="53.19"/>
    <n v="52.980040000000002"/>
    <n v="74.180000000000007"/>
    <n v="41"/>
    <n v="40"/>
    <n v="223"/>
    <n v="505"/>
    <n v="26754.92"/>
    <n v="51"/>
    <n v="454"/>
    <n v="10.77"/>
    <n v="1"/>
    <n v="223"/>
    <n v="16542.14"/>
    <n v="0"/>
    <x v="0"/>
    <s v="OK"/>
  </r>
  <r>
    <s v="IT-10124"/>
    <s v="Pillow block A-124"/>
    <x v="0"/>
    <x v="0"/>
    <x v="1"/>
    <s v="2026-02"/>
    <n v="53.24"/>
    <n v="53.24"/>
    <n v="52.980027999999997"/>
    <n v="78.28"/>
    <n v="41"/>
    <m/>
    <n v="0"/>
    <n v="352"/>
    <n v="18648.97"/>
    <n v="19"/>
    <n v="333"/>
    <n v="7.59"/>
    <n v="2"/>
    <n v="153"/>
    <n v="11976.84"/>
    <n v="0"/>
    <x v="0"/>
    <s v="OK"/>
  </r>
  <r>
    <s v="IT-10124"/>
    <s v="Pillow block A-124"/>
    <x v="0"/>
    <x v="0"/>
    <x v="1"/>
    <s v="2026-03"/>
    <n v="53.02"/>
    <n v="53.02"/>
    <n v="52.99888"/>
    <n v="78.28"/>
    <n v="41"/>
    <n v="39"/>
    <n v="314"/>
    <n v="652"/>
    <n v="34555.269999999997"/>
    <n v="44"/>
    <n v="608"/>
    <n v="21.49"/>
    <n v="8"/>
    <n v="14"/>
    <n v="1095.92"/>
    <n v="0"/>
    <x v="0"/>
    <s v="OK"/>
  </r>
  <r>
    <s v="IT-10124"/>
    <s v="Pillow block A-124"/>
    <x v="0"/>
    <x v="0"/>
    <x v="1"/>
    <s v="2026-04"/>
    <n v="55.71"/>
    <n v="55.71"/>
    <n v="53.209781999999997"/>
    <n v="78.28"/>
    <n v="41"/>
    <n v="39"/>
    <n v="55"/>
    <n v="595"/>
    <n v="31659.82"/>
    <n v="25"/>
    <n v="570"/>
    <n v="27.11"/>
    <n v="0"/>
    <n v="112"/>
    <n v="8767.36"/>
    <n v="0"/>
    <x v="0"/>
    <s v="OK"/>
  </r>
  <r>
    <s v="IT-10124"/>
    <s v="Pillow block A-124"/>
    <x v="0"/>
    <x v="0"/>
    <x v="1"/>
    <s v="2026-05"/>
    <n v="54.38"/>
    <n v="54.38"/>
    <n v="53.209772999999998"/>
    <n v="78.28"/>
    <n v="41"/>
    <m/>
    <n v="0"/>
    <n v="484"/>
    <n v="25753.53"/>
    <n v="38"/>
    <n v="446"/>
    <n v="26.84"/>
    <n v="1"/>
    <n v="111"/>
    <n v="8689.08"/>
    <n v="0"/>
    <x v="0"/>
    <s v="OK"/>
  </r>
  <r>
    <s v="IT-10124"/>
    <s v="Pillow block A-124"/>
    <x v="0"/>
    <x v="0"/>
    <x v="1"/>
    <s v="2026-06"/>
    <n v="54.4"/>
    <n v="54.4"/>
    <n v="53.362026"/>
    <n v="78.28"/>
    <n v="41"/>
    <n v="38"/>
    <n v="71"/>
    <n v="469"/>
    <n v="25026.79"/>
    <n v="64"/>
    <n v="405"/>
    <n v="19.73"/>
    <n v="0"/>
    <n v="86"/>
    <n v="6732.08"/>
    <n v="0"/>
    <x v="0"/>
    <s v="OK"/>
  </r>
  <r>
    <s v="IT-10124"/>
    <s v="Pillow block A-124"/>
    <x v="0"/>
    <x v="0"/>
    <x v="1"/>
    <s v="2026-07"/>
    <n v="56.19"/>
    <n v="56.19"/>
    <n v="54.284357999999997"/>
    <n v="78.28"/>
    <n v="41"/>
    <n v="40"/>
    <n v="227"/>
    <n v="475"/>
    <n v="25785.07"/>
    <n v="13"/>
    <n v="462"/>
    <n v="14.94"/>
    <n v="3"/>
    <n v="221"/>
    <n v="17299.88"/>
    <n v="0"/>
    <x v="0"/>
    <s v="OK"/>
  </r>
  <r>
    <s v="IT-10124"/>
    <s v="Pillow block A-124"/>
    <x v="0"/>
    <x v="0"/>
    <x v="1"/>
    <s v="2026-08"/>
    <n v="55.26"/>
    <n v="55.26"/>
    <n v="54.517325999999997"/>
    <n v="78.28"/>
    <n v="41"/>
    <n v="40"/>
    <n v="149"/>
    <n v="430"/>
    <n v="23442.45"/>
    <n v="38"/>
    <n v="392"/>
    <n v="11.28"/>
    <n v="0"/>
    <n v="194"/>
    <n v="15186.32"/>
    <n v="0"/>
    <x v="0"/>
    <s v="OK"/>
  </r>
  <r>
    <s v="IT-10125"/>
    <s v="Roller bearing B-125"/>
    <x v="0"/>
    <x v="0"/>
    <x v="1"/>
    <s v="2024-09"/>
    <n v="5.23"/>
    <n v="5.23"/>
    <n v="5.23"/>
    <n v="7.12"/>
    <n v="45"/>
    <n v="44"/>
    <n v="904"/>
    <n v="622"/>
    <n v="3253.06"/>
    <n v="112"/>
    <n v="510"/>
    <n v="7.53"/>
    <n v="1"/>
    <n v="282"/>
    <n v="2007.84"/>
    <n v="0"/>
    <x v="0"/>
    <s v="OK"/>
  </r>
  <r>
    <s v="IT-10125"/>
    <s v="Roller bearing B-125"/>
    <x v="0"/>
    <x v="0"/>
    <x v="1"/>
    <s v="2024-10"/>
    <n v="5.21"/>
    <n v="5.21"/>
    <n v="5.2224709999999996"/>
    <n v="7.12"/>
    <n v="45"/>
    <n v="41"/>
    <n v="376"/>
    <n v="696"/>
    <n v="3634.84"/>
    <n v="56"/>
    <n v="640"/>
    <n v="11.59"/>
    <n v="0"/>
    <n v="302"/>
    <n v="2150.2399999999998"/>
    <n v="0"/>
    <x v="0"/>
    <s v="OK"/>
  </r>
  <r>
    <s v="IT-10125"/>
    <s v="Roller bearing B-125"/>
    <x v="0"/>
    <x v="0"/>
    <x v="1"/>
    <s v="2024-11"/>
    <n v="5.37"/>
    <n v="5.37"/>
    <n v="5.222467"/>
    <n v="7.12"/>
    <n v="45"/>
    <m/>
    <n v="0"/>
    <n v="377"/>
    <n v="1968.87"/>
    <n v="45"/>
    <n v="332"/>
    <n v="5.43"/>
    <n v="2"/>
    <n v="319"/>
    <n v="2271.2800000000002"/>
    <n v="0"/>
    <x v="0"/>
    <s v="OK"/>
  </r>
  <r>
    <s v="IT-10125"/>
    <s v="Roller bearing B-125"/>
    <x v="0"/>
    <x v="0"/>
    <x v="1"/>
    <s v="2024-12"/>
    <n v="5.31"/>
    <n v="5.31"/>
    <n v="5.2778999999999998"/>
    <n v="7.12"/>
    <n v="45"/>
    <n v="41"/>
    <n v="651"/>
    <n v="643"/>
    <n v="3393.69"/>
    <n v="45"/>
    <n v="598"/>
    <n v="8.4"/>
    <n v="1"/>
    <n v="385"/>
    <n v="2741.2"/>
    <n v="0"/>
    <x v="0"/>
    <s v="OK"/>
  </r>
  <r>
    <s v="IT-10125"/>
    <s v="Roller bearing B-125"/>
    <x v="0"/>
    <x v="0"/>
    <x v="1"/>
    <s v="2025-01"/>
    <n v="5.36"/>
    <n v="5.36"/>
    <n v="5.2778890000000001"/>
    <n v="7.12"/>
    <n v="45"/>
    <m/>
    <n v="0"/>
    <n v="379"/>
    <n v="2000.32"/>
    <n v="112"/>
    <n v="267"/>
    <n v="5.15"/>
    <n v="5"/>
    <n v="264"/>
    <n v="1879.68"/>
    <n v="0"/>
    <x v="0"/>
    <s v="OK"/>
  </r>
  <r>
    <s v="IT-10125"/>
    <s v="Roller bearing B-125"/>
    <x v="0"/>
    <x v="0"/>
    <x v="1"/>
    <s v="2025-02"/>
    <n v="5.29"/>
    <n v="5.29"/>
    <n v="5.2819250000000002"/>
    <n v="7.51"/>
    <n v="45"/>
    <n v="69"/>
    <n v="191"/>
    <n v="187"/>
    <n v="987.72"/>
    <n v="45"/>
    <n v="142"/>
    <n v="2.33"/>
    <n v="0"/>
    <n v="383"/>
    <n v="2876.33"/>
    <n v="0"/>
    <x v="0"/>
    <s v="OK"/>
  </r>
  <r>
    <s v="IT-10125"/>
    <s v="Roller bearing B-125"/>
    <x v="0"/>
    <x v="0"/>
    <x v="1"/>
    <s v="2025-03"/>
    <n v="5.22"/>
    <n v="5.22"/>
    <n v="5.232138"/>
    <n v="7.51"/>
    <n v="45"/>
    <n v="42"/>
    <n v="767"/>
    <n v="926"/>
    <n v="4844.96"/>
    <n v="22"/>
    <n v="904"/>
    <n v="17.64"/>
    <n v="3"/>
    <n v="28"/>
    <n v="210.28"/>
    <n v="0"/>
    <x v="0"/>
    <s v="OK"/>
  </r>
  <r>
    <s v="IT-10125"/>
    <s v="Roller bearing B-125"/>
    <x v="0"/>
    <x v="0"/>
    <x v="1"/>
    <s v="2025-04"/>
    <n v="5.38"/>
    <n v="5.38"/>
    <n v="5.2966639999999998"/>
    <n v="7.51"/>
    <n v="45"/>
    <n v="42"/>
    <n v="717"/>
    <n v="1256"/>
    <n v="6652.61"/>
    <n v="90"/>
    <n v="1166"/>
    <n v="20.010000000000002"/>
    <n v="1"/>
    <n v="387"/>
    <n v="2906.37"/>
    <n v="0"/>
    <x v="0"/>
    <s v="OK"/>
  </r>
  <r>
    <s v="IT-10125"/>
    <s v="Roller bearing B-125"/>
    <x v="0"/>
    <x v="0"/>
    <x v="1"/>
    <s v="2025-05"/>
    <n v="5.44"/>
    <n v="5.44"/>
    <n v="5.2966629999999997"/>
    <n v="7.51"/>
    <n v="45"/>
    <m/>
    <n v="0"/>
    <n v="965"/>
    <n v="5111.28"/>
    <n v="45"/>
    <n v="920"/>
    <n v="17.96"/>
    <n v="0"/>
    <n v="291"/>
    <n v="2185.41"/>
    <n v="0"/>
    <x v="0"/>
    <s v="OK"/>
  </r>
  <r>
    <s v="IT-10125"/>
    <s v="Roller bearing B-125"/>
    <x v="0"/>
    <x v="0"/>
    <x v="1"/>
    <s v="2025-06"/>
    <n v="5.54"/>
    <n v="5.54"/>
    <n v="5.3524450000000003"/>
    <n v="7.51"/>
    <n v="45"/>
    <n v="41"/>
    <n v="287"/>
    <n v="1129"/>
    <n v="6042.91"/>
    <n v="34"/>
    <n v="1095"/>
    <n v="18.32"/>
    <n v="5"/>
    <n v="123"/>
    <n v="923.73"/>
    <n v="0"/>
    <x v="0"/>
    <s v="OK"/>
  </r>
  <r>
    <s v="IT-10125"/>
    <s v="Roller bearing B-125"/>
    <x v="0"/>
    <x v="0"/>
    <x v="1"/>
    <s v="2025-07"/>
    <n v="5.37"/>
    <n v="5.37"/>
    <n v="5.3570859999999998"/>
    <n v="7.51"/>
    <n v="45"/>
    <n v="41"/>
    <n v="406"/>
    <n v="978"/>
    <n v="5239.2299999999996"/>
    <n v="112"/>
    <n v="866"/>
    <n v="13.24"/>
    <n v="0"/>
    <n v="557"/>
    <n v="4183.07"/>
    <n v="0"/>
    <x v="0"/>
    <s v="OK"/>
  </r>
  <r>
    <s v="IT-10125"/>
    <s v="Roller bearing B-125"/>
    <x v="0"/>
    <x v="0"/>
    <x v="1"/>
    <s v="2025-08"/>
    <n v="5.54"/>
    <n v="5.54"/>
    <n v="5.3570820000000001"/>
    <n v="7.51"/>
    <n v="45"/>
    <m/>
    <n v="0"/>
    <n v="723"/>
    <n v="3873.17"/>
    <n v="22"/>
    <n v="701"/>
    <n v="10.16"/>
    <n v="3"/>
    <n v="255"/>
    <n v="1915.05"/>
    <n v="0"/>
    <x v="0"/>
    <s v="OK"/>
  </r>
  <r>
    <s v="IT-10125"/>
    <s v="Roller bearing B-125"/>
    <x v="0"/>
    <x v="0"/>
    <x v="1"/>
    <s v="2025-09"/>
    <n v="5.39"/>
    <n v="5.39"/>
    <n v="5.3570779999999996"/>
    <n v="7.51"/>
    <n v="45"/>
    <m/>
    <n v="0"/>
    <n v="373"/>
    <n v="1998.19"/>
    <n v="22"/>
    <n v="351"/>
    <n v="4.22"/>
    <n v="0"/>
    <n v="350"/>
    <n v="2628.5"/>
    <n v="0"/>
    <x v="0"/>
    <s v="OK"/>
  </r>
  <r>
    <s v="IT-10125"/>
    <s v="Roller bearing B-125"/>
    <x v="0"/>
    <x v="0"/>
    <x v="1"/>
    <s v="2025-10"/>
    <n v="5.55"/>
    <n v="5.55"/>
    <n v="5.4054919999999997"/>
    <n v="7.51"/>
    <n v="45"/>
    <n v="66"/>
    <n v="125"/>
    <n v="264"/>
    <n v="1427.05"/>
    <n v="101"/>
    <n v="163"/>
    <n v="4.1399999999999997"/>
    <n v="0"/>
    <n v="234"/>
    <n v="1757.34"/>
    <n v="0"/>
    <x v="0"/>
    <s v="OK"/>
  </r>
  <r>
    <s v="IT-10125"/>
    <s v="Roller bearing B-125"/>
    <x v="0"/>
    <x v="0"/>
    <x v="1"/>
    <s v="2025-11"/>
    <n v="5.51"/>
    <n v="5.51"/>
    <n v="5.483466"/>
    <n v="7.51"/>
    <n v="45"/>
    <n v="42"/>
    <n v="776"/>
    <n v="828"/>
    <n v="4540.3100000000004"/>
    <n v="78"/>
    <n v="750"/>
    <n v="13.52"/>
    <n v="2"/>
    <n v="212"/>
    <n v="1592.12"/>
    <n v="0"/>
    <x v="0"/>
    <s v="OK"/>
  </r>
  <r>
    <s v="IT-10125"/>
    <s v="Roller bearing B-125"/>
    <x v="0"/>
    <x v="0"/>
    <x v="1"/>
    <s v="2025-12"/>
    <n v="5.49"/>
    <n v="5.49"/>
    <n v="5.4853759999999996"/>
    <n v="7.51"/>
    <n v="45"/>
    <n v="40"/>
    <n v="341"/>
    <n v="850"/>
    <n v="4662.57"/>
    <n v="34"/>
    <n v="816"/>
    <n v="14.6"/>
    <n v="0"/>
    <n v="319"/>
    <n v="2395.69"/>
    <n v="0"/>
    <x v="0"/>
    <s v="OK"/>
  </r>
  <r>
    <s v="IT-10125"/>
    <s v="Roller bearing B-125"/>
    <x v="0"/>
    <x v="0"/>
    <x v="1"/>
    <s v="2026-01"/>
    <n v="5.48"/>
    <n v="5.48"/>
    <n v="5.4850500000000002"/>
    <n v="7.51"/>
    <n v="45"/>
    <n v="38"/>
    <n v="55"/>
    <n v="905"/>
    <n v="4963.97"/>
    <n v="78"/>
    <n v="827"/>
    <n v="22.4"/>
    <n v="31"/>
    <n v="0"/>
    <n v="0"/>
    <n v="0"/>
    <x v="0"/>
    <s v="OK"/>
  </r>
  <r>
    <s v="IT-10125"/>
    <s v="Roller bearing B-125"/>
    <x v="0"/>
    <x v="0"/>
    <x v="1"/>
    <s v="2026-02"/>
    <n v="5.45"/>
    <n v="5.45"/>
    <n v="5.4850500000000002"/>
    <n v="7.92"/>
    <n v="45"/>
    <m/>
    <n v="0"/>
    <n v="905"/>
    <n v="4963.97"/>
    <n v="45"/>
    <n v="860"/>
    <n v="36.479999999999997"/>
    <n v="59"/>
    <n v="0"/>
    <n v="0"/>
    <n v="0"/>
    <x v="0"/>
    <s v="OK"/>
  </r>
  <r>
    <s v="IT-10125"/>
    <s v="Roller bearing B-125"/>
    <x v="0"/>
    <x v="0"/>
    <x v="1"/>
    <s v="2026-03"/>
    <n v="5.41"/>
    <n v="5.41"/>
    <n v="5.4597949999999997"/>
    <n v="7.92"/>
    <n v="45"/>
    <n v="69"/>
    <n v="459"/>
    <n v="1364"/>
    <n v="7447.16"/>
    <n v="101"/>
    <n v="1263"/>
    <m/>
    <n v="90"/>
    <n v="0"/>
    <n v="0"/>
    <n v="0"/>
    <x v="0"/>
    <s v="OK"/>
  </r>
  <r>
    <s v="IT-10125"/>
    <s v="Roller bearing B-125"/>
    <x v="0"/>
    <x v="0"/>
    <x v="1"/>
    <s v="2026-04"/>
    <n v="5.64"/>
    <n v="5.64"/>
    <n v="5.4597949999999997"/>
    <n v="7.92"/>
    <n v="45"/>
    <m/>
    <n v="0"/>
    <n v="1364"/>
    <n v="7447.16"/>
    <n v="45"/>
    <n v="1319"/>
    <m/>
    <n v="120"/>
    <n v="0"/>
    <n v="0"/>
    <n v="0"/>
    <x v="0"/>
    <s v="OK"/>
  </r>
  <r>
    <s v="IT-10125"/>
    <s v="Roller bearing B-125"/>
    <x v="0"/>
    <x v="0"/>
    <x v="1"/>
    <s v="2026-05"/>
    <n v="5.57"/>
    <n v="5.57"/>
    <n v="5.4597949999999997"/>
    <n v="7.92"/>
    <n v="45"/>
    <m/>
    <n v="0"/>
    <n v="1364"/>
    <n v="7447.16"/>
    <n v="56"/>
    <n v="1308"/>
    <m/>
    <n v="151"/>
    <n v="0"/>
    <n v="0"/>
    <n v="0"/>
    <x v="0"/>
    <s v="OK"/>
  </r>
  <r>
    <s v="IT-10125"/>
    <s v="Roller bearing B-125"/>
    <x v="0"/>
    <x v="0"/>
    <x v="1"/>
    <s v="2026-06"/>
    <n v="5.53"/>
    <n v="5.53"/>
    <n v="5.4753740000000004"/>
    <n v="7.92"/>
    <n v="45"/>
    <n v="53"/>
    <n v="389"/>
    <n v="1753"/>
    <n v="9598.33"/>
    <n v="56"/>
    <n v="1697"/>
    <m/>
    <n v="181"/>
    <n v="0"/>
    <n v="0"/>
    <n v="0"/>
    <x v="0"/>
    <s v="OK"/>
  </r>
  <r>
    <s v="IT-10125"/>
    <s v="Roller bearing B-125"/>
    <x v="0"/>
    <x v="0"/>
    <x v="1"/>
    <s v="2026-07"/>
    <n v="5.67"/>
    <n v="5.67"/>
    <n v="5.4753740000000004"/>
    <n v="7.92"/>
    <n v="45"/>
    <m/>
    <n v="0"/>
    <n v="1753"/>
    <n v="9598.33"/>
    <n v="112"/>
    <n v="1641"/>
    <m/>
    <n v="212"/>
    <n v="0"/>
    <n v="0"/>
    <n v="0"/>
    <x v="0"/>
    <s v="OK"/>
  </r>
  <r>
    <s v="IT-10125"/>
    <s v="Roller bearing B-125"/>
    <x v="0"/>
    <x v="0"/>
    <x v="1"/>
    <s v="2026-08"/>
    <n v="5.6"/>
    <n v="5.6"/>
    <n v="5.4753740000000004"/>
    <n v="7.92"/>
    <n v="45"/>
    <m/>
    <n v="0"/>
    <n v="1753"/>
    <n v="9598.33"/>
    <n v="78"/>
    <n v="1675"/>
    <m/>
    <n v="243"/>
    <n v="0"/>
    <n v="0"/>
    <n v="0"/>
    <x v="0"/>
    <s v="OK"/>
  </r>
  <r>
    <s v="IT-10126"/>
    <s v="Anchor bolt A-126"/>
    <x v="2"/>
    <x v="2"/>
    <x v="1"/>
    <s v="2024-09"/>
    <n v="2.99"/>
    <n v="3.27"/>
    <n v="3.3122229999999999"/>
    <n v="4.5"/>
    <n v="42"/>
    <m/>
    <n v="0"/>
    <n v="1453"/>
    <n v="4812.66"/>
    <n v="118"/>
    <n v="1335"/>
    <n v="10.17"/>
    <n v="0"/>
    <n v="758"/>
    <n v="3411"/>
    <n v="0"/>
    <x v="0"/>
    <s v="OK"/>
  </r>
  <r>
    <s v="IT-10126"/>
    <s v="Anchor bolt A-126"/>
    <x v="2"/>
    <x v="2"/>
    <x v="1"/>
    <s v="2024-10"/>
    <n v="3.06"/>
    <n v="3.34"/>
    <n v="3.3230439999999999"/>
    <n v="4.5"/>
    <n v="42"/>
    <n v="42"/>
    <n v="927"/>
    <n v="2221"/>
    <n v="7380.48"/>
    <n v="47"/>
    <n v="2174"/>
    <n v="21.75"/>
    <n v="2"/>
    <n v="159"/>
    <n v="715.5"/>
    <n v="0"/>
    <x v="0"/>
    <s v="OK"/>
  </r>
  <r>
    <s v="IT-10126"/>
    <s v="Anchor bolt A-126"/>
    <x v="2"/>
    <x v="2"/>
    <x v="1"/>
    <s v="2024-11"/>
    <n v="3.05"/>
    <n v="3.33"/>
    <n v="3.3234180000000002"/>
    <n v="4.5"/>
    <n v="42"/>
    <n v="36"/>
    <n v="126"/>
    <n v="1299"/>
    <n v="4317.12"/>
    <n v="189"/>
    <n v="1110"/>
    <n v="8.59"/>
    <n v="0"/>
    <n v="1048"/>
    <n v="4716"/>
    <n v="0"/>
    <x v="0"/>
    <s v="OK"/>
  </r>
  <r>
    <s v="IT-10126"/>
    <s v="Anchor bolt A-126"/>
    <x v="2"/>
    <x v="2"/>
    <x v="1"/>
    <s v="2024-12"/>
    <n v="3.1"/>
    <n v="3.39"/>
    <n v="3.3233950000000001"/>
    <n v="4.5"/>
    <n v="42"/>
    <m/>
    <n v="0"/>
    <n v="162"/>
    <n v="538.39"/>
    <n v="162"/>
    <n v="0"/>
    <n v="0.91"/>
    <n v="0"/>
    <n v="1137"/>
    <n v="5116.5"/>
    <n v="0"/>
    <x v="0"/>
    <s v="OK"/>
  </r>
  <r>
    <s v="IT-10126"/>
    <s v="Anchor bolt A-126"/>
    <x v="2"/>
    <x v="2"/>
    <x v="1"/>
    <s v="2025-01"/>
    <n v="3.11"/>
    <n v="3.4"/>
    <n v="3.392862"/>
    <n v="4.5"/>
    <n v="42"/>
    <n v="37"/>
    <n v="1578"/>
    <n v="849"/>
    <n v="2880.54"/>
    <n v="71"/>
    <n v="778"/>
    <n v="3.63"/>
    <n v="0"/>
    <n v="891"/>
    <n v="4009.5"/>
    <n v="0"/>
    <x v="0"/>
    <s v="OK"/>
  </r>
  <r>
    <s v="IT-10126"/>
    <s v="Anchor bolt A-126"/>
    <x v="2"/>
    <x v="2"/>
    <x v="1"/>
    <s v="2025-02"/>
    <n v="3.18"/>
    <n v="3.47"/>
    <n v="3.4377680000000002"/>
    <n v="4.6500000000000004"/>
    <n v="42"/>
    <n v="42"/>
    <n v="1183"/>
    <n v="1156"/>
    <n v="3974.06"/>
    <n v="71"/>
    <n v="1085"/>
    <n v="5.12"/>
    <n v="0"/>
    <n v="876"/>
    <n v="4073.4"/>
    <n v="0"/>
    <x v="0"/>
    <s v="OK"/>
  </r>
  <r>
    <s v="IT-10126"/>
    <s v="Anchor bolt A-126"/>
    <x v="2"/>
    <x v="2"/>
    <x v="1"/>
    <s v="2025-03"/>
    <n v="3.15"/>
    <n v="3.44"/>
    <n v="3.4385059999999998"/>
    <n v="4.6500000000000004"/>
    <n v="42"/>
    <n v="41"/>
    <n v="562"/>
    <n v="482"/>
    <n v="1657.36"/>
    <n v="142"/>
    <n v="340"/>
    <n v="2.06"/>
    <n v="1"/>
    <n v="1236"/>
    <n v="5747.4"/>
    <n v="0"/>
    <x v="0"/>
    <s v="OK"/>
  </r>
  <r>
    <s v="IT-10126"/>
    <s v="Anchor bolt A-126"/>
    <x v="2"/>
    <x v="2"/>
    <x v="1"/>
    <s v="2025-04"/>
    <n v="3.14"/>
    <n v="3.43"/>
    <n v="3.4320659999999998"/>
    <n v="4.6500000000000004"/>
    <n v="42"/>
    <n v="41"/>
    <n v="1502"/>
    <n v="1418"/>
    <n v="4866.67"/>
    <n v="142"/>
    <n v="1276"/>
    <n v="6.73"/>
    <n v="2"/>
    <n v="566"/>
    <n v="2631.9"/>
    <n v="0"/>
    <x v="0"/>
    <s v="OK"/>
  </r>
  <r>
    <s v="IT-10126"/>
    <s v="Anchor bolt A-126"/>
    <x v="2"/>
    <x v="2"/>
    <x v="1"/>
    <s v="2025-05"/>
    <n v="3.14"/>
    <n v="3.43"/>
    <n v="3.4311419999999999"/>
    <n v="4.6500000000000004"/>
    <n v="42"/>
    <n v="38"/>
    <n v="1154"/>
    <n v="1392"/>
    <n v="4776.1499999999996"/>
    <n v="236"/>
    <n v="1156"/>
    <n v="6.14"/>
    <n v="0"/>
    <n v="1180"/>
    <n v="5487"/>
    <n v="0"/>
    <x v="0"/>
    <s v="OK"/>
  </r>
  <r>
    <s v="IT-10126"/>
    <s v="Anchor bolt A-126"/>
    <x v="2"/>
    <x v="2"/>
    <x v="1"/>
    <s v="2025-06"/>
    <n v="3.14"/>
    <n v="3.43"/>
    <n v="3.4308580000000002"/>
    <n v="4.6500000000000004"/>
    <n v="42"/>
    <n v="39"/>
    <n v="452"/>
    <n v="1072"/>
    <n v="3677.88"/>
    <n v="212"/>
    <n v="860"/>
    <n v="5.53"/>
    <n v="0"/>
    <n v="772"/>
    <n v="3589.8"/>
    <n v="0"/>
    <x v="0"/>
    <s v="OK"/>
  </r>
  <r>
    <s v="IT-10126"/>
    <s v="Anchor bolt A-126"/>
    <x v="2"/>
    <x v="2"/>
    <x v="1"/>
    <s v="2025-07"/>
    <n v="3.18"/>
    <n v="3.47"/>
    <n v="3.455031"/>
    <n v="4.6500000000000004"/>
    <n v="42"/>
    <n v="59"/>
    <n v="1731"/>
    <n v="1948"/>
    <n v="6730.4"/>
    <n v="236"/>
    <n v="1712"/>
    <n v="9.1199999999999992"/>
    <n v="0"/>
    <n v="855"/>
    <n v="3975.75"/>
    <n v="0"/>
    <x v="0"/>
    <s v="OK"/>
  </r>
  <r>
    <s v="IT-10126"/>
    <s v="Anchor bolt A-126"/>
    <x v="2"/>
    <x v="2"/>
    <x v="1"/>
    <s v="2025-08"/>
    <n v="3.16"/>
    <n v="3.45"/>
    <n v="3.4550329999999998"/>
    <n v="4.6500000000000004"/>
    <n v="42"/>
    <m/>
    <n v="0"/>
    <n v="1198"/>
    <n v="4139.13"/>
    <n v="142"/>
    <n v="1056"/>
    <n v="6.62"/>
    <n v="0"/>
    <n v="750"/>
    <n v="3487.5"/>
    <n v="0"/>
    <x v="0"/>
    <s v="OK"/>
  </r>
  <r>
    <s v="IT-10126"/>
    <s v="Anchor bolt A-126"/>
    <x v="2"/>
    <x v="2"/>
    <x v="1"/>
    <s v="2025-09"/>
    <n v="3.06"/>
    <n v="3.34"/>
    <n v="3.3943219999999998"/>
    <n v="4.6500000000000004"/>
    <n v="42"/>
    <n v="37"/>
    <n v="1339"/>
    <n v="1918"/>
    <n v="6510.31"/>
    <n v="189"/>
    <n v="1729"/>
    <n v="11.33"/>
    <n v="3"/>
    <n v="619"/>
    <n v="2878.35"/>
    <n v="0"/>
    <x v="0"/>
    <s v="OK"/>
  </r>
  <r>
    <s v="IT-10126"/>
    <s v="Anchor bolt A-126"/>
    <x v="2"/>
    <x v="2"/>
    <x v="1"/>
    <s v="2025-10"/>
    <n v="3.18"/>
    <n v="3.47"/>
    <n v="3.4129450000000001"/>
    <n v="4.6500000000000004"/>
    <n v="42"/>
    <n v="37"/>
    <n v="626"/>
    <n v="1647"/>
    <n v="5621.12"/>
    <n v="71"/>
    <n v="1576"/>
    <n v="9.5500000000000007"/>
    <n v="1"/>
    <n v="897"/>
    <n v="4171.05"/>
    <n v="0"/>
    <x v="0"/>
    <s v="OK"/>
  </r>
  <r>
    <s v="IT-10126"/>
    <s v="Anchor bolt A-126"/>
    <x v="2"/>
    <x v="2"/>
    <x v="1"/>
    <s v="2025-11"/>
    <n v="3.15"/>
    <n v="3.44"/>
    <n v="3.422221"/>
    <n v="4.6500000000000004"/>
    <n v="42"/>
    <n v="47"/>
    <n v="859"/>
    <n v="2112"/>
    <n v="7227.73"/>
    <n v="142"/>
    <n v="1970"/>
    <n v="14.37"/>
    <n v="0"/>
    <n v="394"/>
    <n v="1832.1"/>
    <n v="0"/>
    <x v="0"/>
    <s v="OK"/>
  </r>
  <r>
    <s v="IT-10126"/>
    <s v="Anchor bolt A-126"/>
    <x v="2"/>
    <x v="2"/>
    <x v="1"/>
    <s v="2025-12"/>
    <n v="3.22"/>
    <n v="3.52"/>
    <n v="3.4272269999999998"/>
    <n v="4.6500000000000004"/>
    <n v="42"/>
    <n v="40"/>
    <n v="114"/>
    <n v="1125"/>
    <n v="3855.63"/>
    <n v="94"/>
    <n v="1031"/>
    <n v="6.18"/>
    <n v="0"/>
    <n v="1101"/>
    <n v="5119.6499999999996"/>
    <n v="0"/>
    <x v="0"/>
    <s v="OK"/>
  </r>
  <r>
    <s v="IT-10126"/>
    <s v="Anchor bolt A-126"/>
    <x v="2"/>
    <x v="2"/>
    <x v="1"/>
    <s v="2026-01"/>
    <n v="3.23"/>
    <n v="3.53"/>
    <n v="3.4843570000000001"/>
    <n v="4.6500000000000004"/>
    <n v="42"/>
    <n v="41"/>
    <n v="1408"/>
    <n v="1533"/>
    <n v="5341.52"/>
    <n v="142"/>
    <n v="1391"/>
    <n v="8.08"/>
    <n v="0"/>
    <n v="1000"/>
    <n v="4650"/>
    <n v="0"/>
    <x v="0"/>
    <s v="OK"/>
  </r>
  <r>
    <s v="IT-10126"/>
    <s v="Anchor bolt A-126"/>
    <x v="2"/>
    <x v="2"/>
    <x v="1"/>
    <s v="2026-02"/>
    <n v="3.21"/>
    <n v="3.51"/>
    <n v="3.4919570000000002"/>
    <n v="4.8099999999999996"/>
    <n v="42"/>
    <n v="36"/>
    <n v="646"/>
    <n v="1354"/>
    <n v="4728.1099999999997"/>
    <n v="189"/>
    <n v="1165"/>
    <n v="5.95"/>
    <n v="0"/>
    <n v="825"/>
    <n v="3968.25"/>
    <n v="0"/>
    <x v="0"/>
    <s v="OK"/>
  </r>
  <r>
    <s v="IT-10126"/>
    <s v="Anchor bolt A-126"/>
    <x v="2"/>
    <x v="2"/>
    <x v="1"/>
    <s v="2026-03"/>
    <n v="3.15"/>
    <n v="3.44"/>
    <n v="3.4919560000000001"/>
    <n v="4.8099999999999996"/>
    <n v="42"/>
    <m/>
    <n v="0"/>
    <n v="859"/>
    <n v="2999.59"/>
    <n v="47"/>
    <n v="812"/>
    <n v="4.76"/>
    <n v="0"/>
    <n v="495"/>
    <n v="2380.9499999999998"/>
    <n v="0"/>
    <x v="0"/>
    <s v="OK"/>
  </r>
  <r>
    <s v="IT-10126"/>
    <s v="Anchor bolt A-126"/>
    <x v="2"/>
    <x v="2"/>
    <x v="1"/>
    <s v="2026-04"/>
    <n v="3.15"/>
    <n v="3.44"/>
    <n v="3.4673949999999998"/>
    <n v="4.8099999999999996"/>
    <n v="42"/>
    <n v="62"/>
    <n v="770"/>
    <n v="1144"/>
    <n v="3966.7"/>
    <n v="94"/>
    <n v="1050"/>
    <n v="8.06"/>
    <n v="1"/>
    <n v="485"/>
    <n v="2332.85"/>
    <n v="0"/>
    <x v="0"/>
    <s v="OK"/>
  </r>
  <r>
    <s v="IT-10126"/>
    <s v="Anchor bolt A-126"/>
    <x v="2"/>
    <x v="2"/>
    <x v="1"/>
    <s v="2026-05"/>
    <n v="3.26"/>
    <n v="3.56"/>
    <n v="3.5210499999999998"/>
    <n v="4.8099999999999996"/>
    <n v="42"/>
    <n v="48"/>
    <n v="1576"/>
    <n v="2399"/>
    <n v="8447"/>
    <n v="212"/>
    <n v="2187"/>
    <n v="24.23"/>
    <n v="1"/>
    <n v="321"/>
    <n v="1544.01"/>
    <n v="0"/>
    <x v="0"/>
    <s v="OK"/>
  </r>
  <r>
    <s v="IT-10126"/>
    <s v="Anchor bolt A-126"/>
    <x v="2"/>
    <x v="2"/>
    <x v="1"/>
    <s v="2026-06"/>
    <n v="3.19"/>
    <n v="3.48"/>
    <n v="3.5210509999999999"/>
    <n v="4.8099999999999996"/>
    <n v="42"/>
    <m/>
    <n v="0"/>
    <n v="1674"/>
    <n v="5894.24"/>
    <n v="189"/>
    <n v="1485"/>
    <n v="14.21"/>
    <n v="0"/>
    <n v="725"/>
    <n v="3487.25"/>
    <n v="0"/>
    <x v="0"/>
    <s v="OK"/>
  </r>
  <r>
    <s v="IT-10126"/>
    <s v="Anchor bolt A-126"/>
    <x v="2"/>
    <x v="2"/>
    <x v="1"/>
    <s v="2026-07"/>
    <n v="3.19"/>
    <n v="3.48"/>
    <n v="3.509128"/>
    <n v="4.8099999999999996"/>
    <n v="42"/>
    <n v="40"/>
    <n v="685"/>
    <n v="1479"/>
    <n v="5190"/>
    <n v="47"/>
    <n v="1432"/>
    <n v="10.09"/>
    <n v="1"/>
    <n v="880"/>
    <n v="4232.8"/>
    <n v="0"/>
    <x v="0"/>
    <s v="OK"/>
  </r>
  <r>
    <s v="IT-10126"/>
    <s v="Anchor bolt A-126"/>
    <x v="2"/>
    <x v="2"/>
    <x v="1"/>
    <s v="2026-08"/>
    <n v="3.15"/>
    <n v="3.44"/>
    <n v="3.5091290000000002"/>
    <n v="4.8099999999999996"/>
    <n v="42"/>
    <m/>
    <n v="0"/>
    <n v="700"/>
    <n v="2456.39"/>
    <n v="94"/>
    <n v="606"/>
    <n v="3.86"/>
    <n v="0"/>
    <n v="779"/>
    <n v="3746.99"/>
    <n v="0"/>
    <x v="0"/>
    <s v="OK"/>
  </r>
  <r>
    <s v="IT-10127"/>
    <s v="Filter cartridge 10-127"/>
    <x v="1"/>
    <x v="1"/>
    <x v="1"/>
    <s v="2024-09"/>
    <n v="1.21"/>
    <n v="1.21"/>
    <n v="1.227533"/>
    <n v="1.69"/>
    <n v="49"/>
    <n v="44"/>
    <n v="233"/>
    <n v="920"/>
    <n v="1129.33"/>
    <n v="123"/>
    <n v="797"/>
    <n v="7.84"/>
    <n v="0"/>
    <n v="650"/>
    <n v="1098.5"/>
    <n v="0"/>
    <x v="0"/>
    <s v="OK"/>
  </r>
  <r>
    <s v="IT-10127"/>
    <s v="Filter cartridge 10-127"/>
    <x v="1"/>
    <x v="1"/>
    <x v="1"/>
    <s v="2024-10"/>
    <n v="1.21"/>
    <n v="1.21"/>
    <n v="1.22106"/>
    <n v="1.69"/>
    <n v="49"/>
    <n v="49"/>
    <n v="538"/>
    <n v="1075"/>
    <n v="1312.64"/>
    <n v="49"/>
    <n v="1026"/>
    <n v="9.02"/>
    <n v="0"/>
    <n v="383"/>
    <n v="647.27"/>
    <n v="0"/>
    <x v="0"/>
    <s v="OK"/>
  </r>
  <r>
    <s v="IT-10127"/>
    <s v="Filter cartridge 10-127"/>
    <x v="1"/>
    <x v="1"/>
    <x v="1"/>
    <s v="2024-11"/>
    <n v="1.24"/>
    <n v="1.24"/>
    <n v="1.2300059999999999"/>
    <n v="1.69"/>
    <n v="49"/>
    <n v="42"/>
    <n v="962"/>
    <n v="1542"/>
    <n v="1896.67"/>
    <n v="111"/>
    <n v="1431"/>
    <n v="13.12"/>
    <n v="0"/>
    <n v="495"/>
    <n v="836.55"/>
    <n v="0"/>
    <x v="0"/>
    <s v="OK"/>
  </r>
  <r>
    <s v="IT-10127"/>
    <s v="Filter cartridge 10-127"/>
    <x v="1"/>
    <x v="1"/>
    <x v="1"/>
    <s v="2024-12"/>
    <n v="1.24"/>
    <n v="1.24"/>
    <n v="1.230448"/>
    <n v="1.69"/>
    <n v="49"/>
    <n v="48"/>
    <n v="71"/>
    <n v="1005"/>
    <n v="1236.5999999999999"/>
    <n v="98"/>
    <n v="907"/>
    <n v="8.89"/>
    <n v="1"/>
    <n v="608"/>
    <n v="1027.52"/>
    <n v="0"/>
    <x v="0"/>
    <s v="OK"/>
  </r>
  <r>
    <s v="IT-10127"/>
    <s v="Filter cartridge 10-127"/>
    <x v="1"/>
    <x v="1"/>
    <x v="1"/>
    <s v="2025-01"/>
    <n v="1.27"/>
    <n v="1.27"/>
    <n v="1.2465379999999999"/>
    <n v="1.69"/>
    <n v="49"/>
    <n v="49"/>
    <n v="689"/>
    <n v="1577"/>
    <n v="1965.79"/>
    <n v="37"/>
    <n v="1540"/>
    <n v="16.989999999999998"/>
    <n v="0"/>
    <n v="117"/>
    <n v="197.73"/>
    <n v="0"/>
    <x v="0"/>
    <s v="OK"/>
  </r>
  <r>
    <s v="IT-10127"/>
    <s v="Filter cartridge 10-127"/>
    <x v="1"/>
    <x v="1"/>
    <x v="1"/>
    <s v="2025-02"/>
    <n v="1.27"/>
    <n v="1.27"/>
    <n v="1.250224"/>
    <n v="1.77"/>
    <n v="49"/>
    <n v="49"/>
    <n v="294"/>
    <n v="1563"/>
    <n v="1954.1"/>
    <n v="49"/>
    <n v="1514"/>
    <n v="19.45"/>
    <n v="0"/>
    <n v="308"/>
    <n v="545.16"/>
    <n v="0"/>
    <x v="0"/>
    <s v="OK"/>
  </r>
  <r>
    <s v="IT-10127"/>
    <s v="Filter cartridge 10-127"/>
    <x v="1"/>
    <x v="1"/>
    <x v="1"/>
    <s v="2025-03"/>
    <n v="1.3"/>
    <n v="1.3"/>
    <n v="1.250227"/>
    <n v="1.77"/>
    <n v="49"/>
    <m/>
    <n v="0"/>
    <n v="1276"/>
    <n v="1595.29"/>
    <n v="86"/>
    <n v="1190"/>
    <n v="23.04"/>
    <n v="1"/>
    <n v="287"/>
    <n v="507.99"/>
    <n v="0"/>
    <x v="0"/>
    <s v="OK"/>
  </r>
  <r>
    <s v="IT-10127"/>
    <s v="Filter cartridge 10-127"/>
    <x v="1"/>
    <x v="1"/>
    <x v="1"/>
    <s v="2025-04"/>
    <n v="1.3"/>
    <n v="1.3"/>
    <n v="1.2692030000000001"/>
    <n v="1.77"/>
    <n v="49"/>
    <n v="45"/>
    <n v="786"/>
    <n v="1455"/>
    <n v="1846.69"/>
    <n v="86"/>
    <n v="1369"/>
    <n v="15.39"/>
    <n v="0"/>
    <n v="607"/>
    <n v="1074.3900000000001"/>
    <n v="0"/>
    <x v="0"/>
    <s v="OK"/>
  </r>
  <r>
    <s v="IT-10127"/>
    <s v="Filter cartridge 10-127"/>
    <x v="1"/>
    <x v="1"/>
    <x v="1"/>
    <s v="2025-05"/>
    <n v="1.3"/>
    <n v="1.3"/>
    <n v="1.2691969999999999"/>
    <n v="1.77"/>
    <n v="49"/>
    <m/>
    <n v="0"/>
    <n v="872"/>
    <n v="1106.74"/>
    <n v="25"/>
    <n v="847"/>
    <n v="7.76"/>
    <n v="0"/>
    <n v="583"/>
    <n v="1031.9100000000001"/>
    <n v="0"/>
    <x v="0"/>
    <s v="OK"/>
  </r>
  <r>
    <s v="IT-10127"/>
    <s v="Filter cartridge 10-127"/>
    <x v="1"/>
    <x v="1"/>
    <x v="1"/>
    <s v="2025-06"/>
    <n v="1.26"/>
    <n v="1.26"/>
    <n v="1.2691859999999999"/>
    <n v="1.77"/>
    <n v="49"/>
    <m/>
    <n v="0"/>
    <n v="430"/>
    <n v="545.75"/>
    <n v="62"/>
    <n v="368"/>
    <n v="3.43"/>
    <n v="0"/>
    <n v="442"/>
    <n v="782.34"/>
    <n v="0"/>
    <x v="0"/>
    <s v="OK"/>
  </r>
  <r>
    <s v="IT-10127"/>
    <s v="Filter cartridge 10-127"/>
    <x v="1"/>
    <x v="1"/>
    <x v="1"/>
    <s v="2025-07"/>
    <n v="1.29"/>
    <n v="1.29"/>
    <n v="1.2828029999999999"/>
    <n v="1.77"/>
    <n v="49"/>
    <n v="62"/>
    <n v="814"/>
    <n v="767"/>
    <n v="983.91"/>
    <n v="49"/>
    <n v="718"/>
    <n v="6.71"/>
    <n v="1"/>
    <n v="477"/>
    <n v="844.29"/>
    <n v="0"/>
    <x v="0"/>
    <s v="OK"/>
  </r>
  <r>
    <s v="IT-10127"/>
    <s v="Filter cartridge 10-127"/>
    <x v="1"/>
    <x v="1"/>
    <x v="1"/>
    <s v="2025-08"/>
    <n v="1.28"/>
    <n v="1.28"/>
    <n v="1.28105"/>
    <n v="1.77"/>
    <n v="49"/>
    <n v="44"/>
    <n v="1284"/>
    <n v="1590"/>
    <n v="2036.87"/>
    <n v="86"/>
    <n v="1504"/>
    <n v="15.14"/>
    <n v="0"/>
    <n v="461"/>
    <n v="815.97"/>
    <n v="0"/>
    <x v="0"/>
    <s v="OK"/>
  </r>
  <r>
    <s v="IT-10127"/>
    <s v="Filter cartridge 10-127"/>
    <x v="1"/>
    <x v="1"/>
    <x v="1"/>
    <s v="2025-09"/>
    <n v="1.27"/>
    <n v="1.27"/>
    <n v="1.2789090000000001"/>
    <n v="1.77"/>
    <n v="49"/>
    <n v="48"/>
    <n v="382"/>
    <n v="1247"/>
    <n v="1594.8"/>
    <n v="86"/>
    <n v="1161"/>
    <n v="9.86"/>
    <n v="1"/>
    <n v="725"/>
    <n v="1283.25"/>
    <n v="0"/>
    <x v="0"/>
    <s v="OK"/>
  </r>
  <r>
    <s v="IT-10127"/>
    <s v="Filter cartridge 10-127"/>
    <x v="1"/>
    <x v="1"/>
    <x v="1"/>
    <s v="2025-10"/>
    <n v="1.28"/>
    <n v="1.28"/>
    <n v="1.2789090000000001"/>
    <n v="1.77"/>
    <n v="49"/>
    <m/>
    <n v="0"/>
    <n v="724"/>
    <n v="925.93"/>
    <n v="123"/>
    <n v="601"/>
    <n v="5.57"/>
    <n v="0"/>
    <n v="523"/>
    <n v="925.71"/>
    <n v="0"/>
    <x v="0"/>
    <s v="OK"/>
  </r>
  <r>
    <s v="IT-10127"/>
    <s v="Filter cartridge 10-127"/>
    <x v="1"/>
    <x v="1"/>
    <x v="1"/>
    <s v="2025-11"/>
    <n v="1.26"/>
    <n v="1.26"/>
    <n v="1.2682690000000001"/>
    <n v="1.77"/>
    <n v="49"/>
    <n v="76"/>
    <n v="932"/>
    <n v="1652"/>
    <n v="2095.1799999999998"/>
    <n v="111"/>
    <n v="1541"/>
    <n v="17.149999999999999"/>
    <n v="0"/>
    <n v="4"/>
    <n v="7.08"/>
    <n v="0"/>
    <x v="0"/>
    <s v="OK"/>
  </r>
  <r>
    <s v="IT-10127"/>
    <s v="Filter cartridge 10-127"/>
    <x v="1"/>
    <x v="1"/>
    <x v="1"/>
    <s v="2025-12"/>
    <n v="1.25"/>
    <n v="1.25"/>
    <n v="1.268267"/>
    <n v="1.77"/>
    <n v="49"/>
    <m/>
    <n v="0"/>
    <n v="1327"/>
    <n v="1682.99"/>
    <n v="86"/>
    <n v="1241"/>
    <n v="20.47"/>
    <n v="6"/>
    <n v="325"/>
    <n v="575.25"/>
    <n v="0"/>
    <x v="0"/>
    <s v="OK"/>
  </r>
  <r>
    <s v="IT-10127"/>
    <s v="Filter cartridge 10-127"/>
    <x v="1"/>
    <x v="1"/>
    <x v="1"/>
    <s v="2026-01"/>
    <n v="1.35"/>
    <n v="1.35"/>
    <n v="1.291749"/>
    <n v="1.77"/>
    <n v="49"/>
    <n v="63"/>
    <n v="535"/>
    <n v="1401"/>
    <n v="1809.74"/>
    <n v="98"/>
    <n v="1303"/>
    <n v="23.31"/>
    <n v="0"/>
    <n v="461"/>
    <n v="815.97"/>
    <n v="0"/>
    <x v="0"/>
    <s v="OK"/>
  </r>
  <r>
    <s v="IT-10127"/>
    <s v="Filter cartridge 10-127"/>
    <x v="1"/>
    <x v="1"/>
    <x v="1"/>
    <s v="2026-02"/>
    <n v="1.33"/>
    <n v="1.33"/>
    <n v="1.3031090000000001"/>
    <n v="1.86"/>
    <n v="49"/>
    <n v="47"/>
    <n v="592"/>
    <n v="1631"/>
    <n v="2125.37"/>
    <n v="98"/>
    <n v="1533"/>
    <n v="18.27"/>
    <n v="0"/>
    <n v="362"/>
    <n v="673.32"/>
    <n v="0"/>
    <x v="0"/>
    <s v="OK"/>
  </r>
  <r>
    <s v="IT-10127"/>
    <s v="Filter cartridge 10-127"/>
    <x v="1"/>
    <x v="1"/>
    <x v="1"/>
    <s v="2026-03"/>
    <n v="1.31"/>
    <n v="1.31"/>
    <n v="1.3031090000000001"/>
    <n v="1.86"/>
    <n v="49"/>
    <m/>
    <n v="0"/>
    <n v="1010"/>
    <n v="1316.14"/>
    <n v="37"/>
    <n v="973"/>
    <n v="8.99"/>
    <n v="0"/>
    <n v="621"/>
    <n v="1155.06"/>
    <n v="0"/>
    <x v="0"/>
    <s v="OK"/>
  </r>
  <r>
    <s v="IT-10127"/>
    <s v="Filter cartridge 10-127"/>
    <x v="1"/>
    <x v="1"/>
    <x v="1"/>
    <s v="2026-04"/>
    <n v="1.31"/>
    <n v="1.31"/>
    <n v="1.3067470000000001"/>
    <n v="1.86"/>
    <n v="49"/>
    <n v="45"/>
    <n v="1130"/>
    <n v="1611"/>
    <n v="2105.17"/>
    <n v="37"/>
    <n v="1574"/>
    <n v="13.55"/>
    <n v="0"/>
    <n v="529"/>
    <n v="983.94"/>
    <n v="0"/>
    <x v="0"/>
    <s v="OK"/>
  </r>
  <r>
    <s v="IT-10127"/>
    <s v="Filter cartridge 10-127"/>
    <x v="1"/>
    <x v="1"/>
    <x v="1"/>
    <s v="2026-05"/>
    <n v="1.32"/>
    <n v="1.32"/>
    <n v="1.3070820000000001"/>
    <n v="1.86"/>
    <n v="49"/>
    <n v="47"/>
    <n v="42"/>
    <n v="1484"/>
    <n v="1939.71"/>
    <n v="62"/>
    <n v="1422"/>
    <n v="14.79"/>
    <n v="0"/>
    <n v="169"/>
    <n v="314.33999999999997"/>
    <n v="0"/>
    <x v="0"/>
    <s v="OK"/>
  </r>
  <r>
    <s v="IT-10127"/>
    <s v="Filter cartridge 10-127"/>
    <x v="1"/>
    <x v="1"/>
    <x v="1"/>
    <s v="2026-06"/>
    <n v="1.31"/>
    <n v="1.31"/>
    <n v="1.3070809999999999"/>
    <n v="1.86"/>
    <n v="49"/>
    <m/>
    <n v="0"/>
    <n v="1223"/>
    <n v="1598.56"/>
    <n v="74"/>
    <n v="1149"/>
    <n v="16.579999999999998"/>
    <n v="0"/>
    <n v="261"/>
    <n v="485.46"/>
    <n v="0"/>
    <x v="0"/>
    <s v="OK"/>
  </r>
  <r>
    <s v="IT-10127"/>
    <s v="Filter cartridge 10-127"/>
    <x v="1"/>
    <x v="1"/>
    <x v="1"/>
    <s v="2026-07"/>
    <n v="1.31"/>
    <n v="1.31"/>
    <n v="1.308165"/>
    <n v="1.86"/>
    <n v="49"/>
    <n v="42"/>
    <n v="720"/>
    <n v="1564"/>
    <n v="2045.97"/>
    <n v="25"/>
    <n v="1539"/>
    <n v="25.41"/>
    <n v="2"/>
    <n v="379"/>
    <n v="704.94"/>
    <n v="0"/>
    <x v="0"/>
    <s v="OK"/>
  </r>
  <r>
    <s v="IT-10127"/>
    <s v="Filter cartridge 10-127"/>
    <x v="1"/>
    <x v="1"/>
    <x v="1"/>
    <s v="2026-08"/>
    <n v="1.33"/>
    <n v="1.33"/>
    <n v="1.3081670000000001"/>
    <n v="1.86"/>
    <n v="49"/>
    <m/>
    <n v="0"/>
    <n v="1162"/>
    <n v="1520.09"/>
    <n v="62"/>
    <n v="1100"/>
    <n v="14.66"/>
    <n v="0"/>
    <n v="402"/>
    <n v="747.72"/>
    <n v="0"/>
    <x v="0"/>
    <s v="OK"/>
  </r>
  <r>
    <s v="IT-10128"/>
    <s v="Filter cartridge 10-128"/>
    <x v="1"/>
    <x v="1"/>
    <x v="0"/>
    <s v="2024-09"/>
    <n v="506.67"/>
    <n v="546.85"/>
    <n v="552.53260299999999"/>
    <n v="740.03"/>
    <n v="44"/>
    <n v="58"/>
    <n v="5"/>
    <n v="73"/>
    <n v="40334.879999999997"/>
    <n v="11"/>
    <n v="62"/>
    <n v="9.23"/>
    <n v="4"/>
    <n v="32"/>
    <n v="23680.959999999999"/>
    <n v="0"/>
    <x v="0"/>
    <s v="OK"/>
  </r>
  <r>
    <s v="IT-10128"/>
    <s v="Filter cartridge 10-128"/>
    <x v="1"/>
    <x v="1"/>
    <x v="0"/>
    <s v="2024-10"/>
    <n v="503.64"/>
    <n v="543.58000000000004"/>
    <n v="548.35031700000002"/>
    <n v="740.03"/>
    <n v="44"/>
    <n v="43"/>
    <n v="64"/>
    <n v="63"/>
    <n v="34546.07"/>
    <n v="9"/>
    <n v="54"/>
    <n v="6"/>
    <n v="0"/>
    <n v="74"/>
    <n v="54762.22"/>
    <n v="0"/>
    <x v="0"/>
    <s v="OK"/>
  </r>
  <r>
    <s v="IT-10128"/>
    <s v="Filter cartridge 10-128"/>
    <x v="1"/>
    <x v="1"/>
    <x v="0"/>
    <s v="2024-11"/>
    <n v="503.23"/>
    <n v="543.14"/>
    <n v="547.19255799999996"/>
    <n v="740.03"/>
    <n v="44"/>
    <n v="43"/>
    <n v="18"/>
    <n v="43"/>
    <n v="23529.279999999999"/>
    <n v="9"/>
    <n v="34"/>
    <n v="3.88"/>
    <n v="3"/>
    <n v="38"/>
    <n v="28121.14"/>
    <n v="0"/>
    <x v="0"/>
    <s v="OK"/>
  </r>
  <r>
    <s v="IT-10128"/>
    <s v="Filter cartridge 10-128"/>
    <x v="1"/>
    <x v="1"/>
    <x v="0"/>
    <s v="2024-12"/>
    <n v="502.83"/>
    <n v="542.70000000000005"/>
    <n v="543.89247899999998"/>
    <n v="740.03"/>
    <n v="44"/>
    <n v="40"/>
    <n v="119"/>
    <n v="121"/>
    <n v="65810.990000000005"/>
    <n v="5"/>
    <n v="116"/>
    <n v="10.39"/>
    <n v="0"/>
    <n v="41"/>
    <n v="30341.23"/>
    <n v="0"/>
    <x v="0"/>
    <s v="OK"/>
  </r>
  <r>
    <s v="IT-10128"/>
    <s v="Filter cartridge 10-128"/>
    <x v="1"/>
    <x v="1"/>
    <x v="0"/>
    <s v="2025-01"/>
    <n v="516.82000000000005"/>
    <n v="557.79999999999995"/>
    <n v="547.72328700000003"/>
    <n v="740.03"/>
    <n v="44"/>
    <n v="43"/>
    <n v="46"/>
    <n v="143"/>
    <n v="78324.429999999993"/>
    <n v="8"/>
    <n v="135"/>
    <n v="18.25"/>
    <n v="14"/>
    <n v="24"/>
    <n v="17760.72"/>
    <n v="0"/>
    <x v="0"/>
    <s v="OK"/>
  </r>
  <r>
    <s v="IT-10128"/>
    <s v="Filter cartridge 10-128"/>
    <x v="1"/>
    <x v="1"/>
    <x v="0"/>
    <s v="2025-02"/>
    <n v="528.14"/>
    <n v="570.02"/>
    <n v="547.723298"/>
    <n v="779.35"/>
    <n v="44"/>
    <m/>
    <n v="0"/>
    <n v="94"/>
    <n v="51485.99"/>
    <n v="11"/>
    <n v="83"/>
    <n v="10.6"/>
    <n v="0"/>
    <n v="49"/>
    <n v="38188.15"/>
    <n v="0"/>
    <x v="0"/>
    <s v="OK"/>
  </r>
  <r>
    <s v="IT-10128"/>
    <s v="Filter cartridge 10-128"/>
    <x v="1"/>
    <x v="1"/>
    <x v="0"/>
    <s v="2025-03"/>
    <n v="526.88"/>
    <n v="568.66"/>
    <n v="547.72328600000003"/>
    <n v="779.35"/>
    <n v="44"/>
    <m/>
    <n v="0"/>
    <n v="70"/>
    <n v="38340.629999999997"/>
    <n v="6"/>
    <n v="64"/>
    <n v="9.2799999999999994"/>
    <n v="3"/>
    <n v="24"/>
    <n v="18704.400000000001"/>
    <n v="0"/>
    <x v="0"/>
    <s v="OK"/>
  </r>
  <r>
    <s v="IT-10128"/>
    <s v="Filter cartridge 10-128"/>
    <x v="1"/>
    <x v="1"/>
    <x v="0"/>
    <s v="2025-04"/>
    <n v="533.79"/>
    <n v="576.12"/>
    <n v="559.41611899999998"/>
    <n v="779.35"/>
    <n v="44"/>
    <n v="40"/>
    <n v="49"/>
    <n v="67"/>
    <n v="37480.879999999997"/>
    <n v="3"/>
    <n v="64"/>
    <n v="6.81"/>
    <n v="1"/>
    <n v="52"/>
    <n v="40526.199999999997"/>
    <n v="0"/>
    <x v="0"/>
    <s v="OK"/>
  </r>
  <r>
    <s v="IT-10128"/>
    <s v="Filter cartridge 10-128"/>
    <x v="1"/>
    <x v="1"/>
    <x v="0"/>
    <s v="2025-05"/>
    <n v="526.91"/>
    <n v="568.69000000000005"/>
    <n v="559.41600000000005"/>
    <n v="779.35"/>
    <n v="44"/>
    <m/>
    <n v="0"/>
    <n v="25"/>
    <n v="13985.4"/>
    <n v="12"/>
    <n v="13"/>
    <n v="2.78"/>
    <n v="4"/>
    <n v="42"/>
    <n v="32732.7"/>
    <n v="0"/>
    <x v="0"/>
    <s v="OK"/>
  </r>
  <r>
    <s v="IT-10128"/>
    <s v="Filter cartridge 10-128"/>
    <x v="1"/>
    <x v="1"/>
    <x v="0"/>
    <s v="2025-06"/>
    <n v="519.05999999999995"/>
    <n v="560.22"/>
    <n v="559.41600000000005"/>
    <n v="779.35"/>
    <n v="44"/>
    <m/>
    <n v="0"/>
    <n v="0"/>
    <n v="0"/>
    <n v="0"/>
    <n v="0"/>
    <n v="0"/>
    <n v="5"/>
    <n v="25"/>
    <n v="19483.75"/>
    <n v="19"/>
    <x v="1"/>
    <s v="OK"/>
  </r>
  <r>
    <s v="IT-10128"/>
    <s v="Filter cartridge 10-128"/>
    <x v="1"/>
    <x v="1"/>
    <x v="0"/>
    <s v="2025-07"/>
    <n v="536.91"/>
    <n v="579.49"/>
    <n v="579.49"/>
    <n v="779.35"/>
    <n v="44"/>
    <n v="72"/>
    <n v="45"/>
    <n v="18"/>
    <n v="10430.82"/>
    <n v="12"/>
    <n v="6"/>
    <n v="2.52"/>
    <n v="4"/>
    <n v="27"/>
    <n v="21042.45"/>
    <n v="0"/>
    <x v="0"/>
    <s v="OK"/>
  </r>
  <r>
    <s v="IT-10128"/>
    <s v="Filter cartridge 10-128"/>
    <x v="1"/>
    <x v="1"/>
    <x v="0"/>
    <s v="2025-08"/>
    <n v="517.20000000000005"/>
    <n v="558.21"/>
    <n v="560.90744199999995"/>
    <n v="779.35"/>
    <n v="44"/>
    <n v="70"/>
    <n v="124"/>
    <n v="86"/>
    <n v="48238.04"/>
    <n v="12"/>
    <n v="74"/>
    <n v="10.47"/>
    <n v="2"/>
    <n v="56"/>
    <n v="43643.6"/>
    <n v="0"/>
    <x v="0"/>
    <s v="OK"/>
  </r>
  <r>
    <s v="IT-10128"/>
    <s v="Filter cartridge 10-128"/>
    <x v="1"/>
    <x v="1"/>
    <x v="0"/>
    <s v="2025-09"/>
    <n v="517.46"/>
    <n v="558.49"/>
    <n v="560.90733299999999"/>
    <n v="779.35"/>
    <n v="44"/>
    <m/>
    <n v="0"/>
    <n v="45"/>
    <n v="25240.83"/>
    <n v="14"/>
    <n v="31"/>
    <n v="4.7699999999999996"/>
    <n v="3"/>
    <n v="41"/>
    <n v="31953.35"/>
    <n v="0"/>
    <x v="0"/>
    <s v="OK"/>
  </r>
  <r>
    <s v="IT-10128"/>
    <s v="Filter cartridge 10-128"/>
    <x v="1"/>
    <x v="1"/>
    <x v="0"/>
    <s v="2025-10"/>
    <n v="530.79999999999995"/>
    <n v="572.89"/>
    <n v="560.90733299999999"/>
    <n v="779.35"/>
    <n v="44"/>
    <m/>
    <n v="0"/>
    <n v="0"/>
    <n v="0"/>
    <n v="0"/>
    <n v="0"/>
    <n v="0"/>
    <n v="2"/>
    <n v="45"/>
    <n v="35070.75"/>
    <n v="34"/>
    <x v="1"/>
    <s v="OK"/>
  </r>
  <r>
    <s v="IT-10128"/>
    <s v="Filter cartridge 10-128"/>
    <x v="1"/>
    <x v="1"/>
    <x v="0"/>
    <s v="2025-11"/>
    <n v="516.91999999999996"/>
    <n v="557.91"/>
    <n v="557.91"/>
    <n v="779.35"/>
    <n v="44"/>
    <n v="71"/>
    <n v="68"/>
    <n v="10"/>
    <n v="5579.1"/>
    <n v="3"/>
    <n v="7"/>
    <n v="0.9"/>
    <n v="0"/>
    <n v="58"/>
    <n v="45202.3"/>
    <n v="0"/>
    <x v="0"/>
    <s v="OK"/>
  </r>
  <r>
    <s v="IT-10128"/>
    <s v="Filter cartridge 10-128"/>
    <x v="1"/>
    <x v="1"/>
    <x v="0"/>
    <s v="2025-12"/>
    <n v="524.52"/>
    <n v="566.11"/>
    <n v="565.13374999999996"/>
    <n v="779.35"/>
    <n v="44"/>
    <n v="41"/>
    <n v="74"/>
    <n v="24"/>
    <n v="13563.21"/>
    <n v="11"/>
    <n v="13"/>
    <n v="1.94"/>
    <n v="2"/>
    <n v="60"/>
    <n v="46761"/>
    <n v="0"/>
    <x v="0"/>
    <s v="OK"/>
  </r>
  <r>
    <s v="IT-10128"/>
    <s v="Filter cartridge 10-128"/>
    <x v="1"/>
    <x v="1"/>
    <x v="0"/>
    <s v="2026-01"/>
    <n v="557.42999999999995"/>
    <n v="601.63"/>
    <n v="592.00465099999997"/>
    <n v="779.35"/>
    <n v="44"/>
    <n v="43"/>
    <n v="67"/>
    <n v="43"/>
    <n v="25456.2"/>
    <n v="9"/>
    <n v="34"/>
    <n v="3.4"/>
    <n v="2"/>
    <n v="48"/>
    <n v="37408.800000000003"/>
    <n v="0"/>
    <x v="0"/>
    <s v="OK"/>
  </r>
  <r>
    <s v="IT-10128"/>
    <s v="Filter cartridge 10-128"/>
    <x v="1"/>
    <x v="1"/>
    <x v="0"/>
    <s v="2026-02"/>
    <n v="557"/>
    <n v="601.16999999999996"/>
    <n v="598.59414600000002"/>
    <n v="820.76"/>
    <n v="44"/>
    <n v="43"/>
    <n v="110"/>
    <n v="123"/>
    <n v="73627.08"/>
    <n v="14"/>
    <n v="109"/>
    <n v="11.46"/>
    <n v="0"/>
    <n v="30"/>
    <n v="24622.799999999999"/>
    <n v="0"/>
    <x v="0"/>
    <s v="OK"/>
  </r>
  <r>
    <s v="IT-10128"/>
    <s v="Filter cartridge 10-128"/>
    <x v="1"/>
    <x v="1"/>
    <x v="0"/>
    <s v="2026-03"/>
    <n v="555.44000000000005"/>
    <n v="599.49"/>
    <n v="598.83797600000003"/>
    <n v="820.76"/>
    <n v="44"/>
    <n v="44"/>
    <n v="46"/>
    <n v="84"/>
    <n v="50302.39"/>
    <n v="14"/>
    <n v="70"/>
    <n v="6.63"/>
    <n v="7"/>
    <n v="85"/>
    <n v="69764.600000000006"/>
    <n v="0"/>
    <x v="0"/>
    <s v="OK"/>
  </r>
  <r>
    <s v="IT-10128"/>
    <s v="Filter cartridge 10-128"/>
    <x v="1"/>
    <x v="1"/>
    <x v="0"/>
    <s v="2026-04"/>
    <n v="550.66"/>
    <n v="594.33000000000004"/>
    <n v="598.83797100000004"/>
    <n v="820.76"/>
    <n v="44"/>
    <m/>
    <n v="0"/>
    <n v="69"/>
    <n v="41319.82"/>
    <n v="8"/>
    <n v="61"/>
    <n v="6.75"/>
    <n v="1"/>
    <n v="15"/>
    <n v="12311.4"/>
    <n v="0"/>
    <x v="0"/>
    <s v="OK"/>
  </r>
  <r>
    <s v="IT-10128"/>
    <s v="Filter cartridge 10-128"/>
    <x v="1"/>
    <x v="1"/>
    <x v="0"/>
    <s v="2026-05"/>
    <n v="539.95000000000005"/>
    <n v="582.77"/>
    <n v="596.45755599999995"/>
    <n v="820.76"/>
    <n v="44"/>
    <n v="42"/>
    <n v="12"/>
    <n v="45"/>
    <n v="26840.59"/>
    <n v="11"/>
    <n v="34"/>
    <n v="4.3499999999999996"/>
    <n v="1"/>
    <n v="36"/>
    <n v="29547.360000000001"/>
    <n v="0"/>
    <x v="0"/>
    <s v="OK"/>
  </r>
  <r>
    <s v="IT-10128"/>
    <s v="Filter cartridge 10-128"/>
    <x v="1"/>
    <x v="1"/>
    <x v="0"/>
    <s v="2026-06"/>
    <n v="557.52"/>
    <n v="601.73"/>
    <n v="599.23245899999995"/>
    <n v="820.76"/>
    <n v="44"/>
    <n v="44"/>
    <n v="50"/>
    <n v="61"/>
    <n v="36553.18"/>
    <n v="8"/>
    <n v="53"/>
    <n v="9.33"/>
    <n v="2"/>
    <n v="34"/>
    <n v="27905.84"/>
    <n v="0"/>
    <x v="0"/>
    <s v="OK"/>
  </r>
  <r>
    <s v="IT-10128"/>
    <s v="Filter cartridge 10-128"/>
    <x v="1"/>
    <x v="1"/>
    <x v="0"/>
    <s v="2026-07"/>
    <n v="547.97"/>
    <n v="591.41999999999996"/>
    <n v="594.17470600000001"/>
    <n v="820.76"/>
    <n v="44"/>
    <n v="41"/>
    <n v="112"/>
    <n v="102"/>
    <n v="60605.82"/>
    <n v="6"/>
    <n v="96"/>
    <n v="9.51"/>
    <n v="1"/>
    <n v="71"/>
    <n v="58273.96"/>
    <n v="0"/>
    <x v="0"/>
    <s v="OK"/>
  </r>
  <r>
    <s v="IT-10128"/>
    <s v="Filter cartridge 10-128"/>
    <x v="1"/>
    <x v="1"/>
    <x v="0"/>
    <s v="2026-08"/>
    <n v="551.22"/>
    <n v="594.92999999999995"/>
    <n v="594.174667"/>
    <n v="820.76"/>
    <n v="44"/>
    <m/>
    <n v="0"/>
    <n v="60"/>
    <n v="35650.480000000003"/>
    <n v="8"/>
    <n v="52"/>
    <n v="5.36"/>
    <n v="1"/>
    <n v="42"/>
    <n v="34471.919999999998"/>
    <n v="0"/>
    <x v="0"/>
    <s v="OK"/>
  </r>
  <r>
    <s v="IT-10129"/>
    <s v="Hydraulic hose S-129"/>
    <x v="1"/>
    <x v="1"/>
    <x v="0"/>
    <s v="2024-09"/>
    <n v="26.96"/>
    <n v="26.96"/>
    <n v="26.93"/>
    <n v="36.58"/>
    <n v="37"/>
    <m/>
    <n v="0"/>
    <n v="0"/>
    <n v="0"/>
    <n v="0"/>
    <n v="0"/>
    <m/>
    <n v="230"/>
    <n v="0"/>
    <n v="0"/>
    <n v="0"/>
    <x v="0"/>
    <s v="OK"/>
  </r>
  <r>
    <s v="IT-10129"/>
    <s v="Hydraulic hose S-129"/>
    <x v="1"/>
    <x v="1"/>
    <x v="0"/>
    <s v="2024-10"/>
    <n v="27.32"/>
    <n v="27.32"/>
    <n v="26.93"/>
    <n v="36.58"/>
    <n v="37"/>
    <m/>
    <n v="0"/>
    <n v="0"/>
    <n v="0"/>
    <n v="0"/>
    <n v="0"/>
    <m/>
    <n v="261"/>
    <n v="0"/>
    <n v="0"/>
    <n v="0"/>
    <x v="0"/>
    <s v="OK"/>
  </r>
  <r>
    <s v="IT-10129"/>
    <s v="Hydraulic hose S-129"/>
    <x v="1"/>
    <x v="1"/>
    <x v="0"/>
    <s v="2024-11"/>
    <n v="27.19"/>
    <n v="27.19"/>
    <n v="26.93"/>
    <n v="36.58"/>
    <n v="37"/>
    <m/>
    <n v="0"/>
    <n v="0"/>
    <n v="0"/>
    <n v="0"/>
    <n v="0"/>
    <m/>
    <n v="291"/>
    <n v="0"/>
    <n v="0"/>
    <n v="0"/>
    <x v="0"/>
    <s v="OK"/>
  </r>
  <r>
    <s v="IT-10129"/>
    <s v="Hydraulic hose S-129"/>
    <x v="1"/>
    <x v="1"/>
    <x v="0"/>
    <s v="2024-12"/>
    <n v="26.77"/>
    <n v="26.77"/>
    <n v="26.93"/>
    <n v="36.58"/>
    <n v="37"/>
    <m/>
    <n v="0"/>
    <n v="0"/>
    <n v="0"/>
    <n v="0"/>
    <n v="0"/>
    <m/>
    <n v="322"/>
    <n v="0"/>
    <n v="0"/>
    <n v="0"/>
    <x v="0"/>
    <s v="OK"/>
  </r>
  <r>
    <s v="IT-10129"/>
    <s v="Hydraulic hose S-129"/>
    <x v="1"/>
    <x v="1"/>
    <x v="0"/>
    <s v="2025-01"/>
    <n v="27.47"/>
    <n v="27.47"/>
    <n v="26.93"/>
    <n v="36.58"/>
    <n v="37"/>
    <m/>
    <n v="0"/>
    <n v="0"/>
    <n v="0"/>
    <n v="0"/>
    <n v="0"/>
    <m/>
    <n v="353"/>
    <n v="0"/>
    <n v="0"/>
    <n v="0"/>
    <x v="0"/>
    <s v="OK"/>
  </r>
  <r>
    <s v="IT-10129"/>
    <s v="Hydraulic hose S-129"/>
    <x v="1"/>
    <x v="1"/>
    <x v="0"/>
    <s v="2025-02"/>
    <n v="27.76"/>
    <n v="27.76"/>
    <n v="26.93"/>
    <n v="38.31"/>
    <n v="37"/>
    <m/>
    <n v="0"/>
    <n v="0"/>
    <n v="0"/>
    <n v="0"/>
    <n v="0"/>
    <m/>
    <n v="381"/>
    <n v="0"/>
    <n v="0"/>
    <n v="0"/>
    <x v="0"/>
    <s v="OK"/>
  </r>
  <r>
    <s v="IT-10129"/>
    <s v="Hydraulic hose S-129"/>
    <x v="1"/>
    <x v="1"/>
    <x v="0"/>
    <s v="2025-03"/>
    <n v="28.06"/>
    <n v="28.06"/>
    <n v="26.93"/>
    <n v="38.31"/>
    <n v="37"/>
    <m/>
    <n v="0"/>
    <n v="0"/>
    <n v="0"/>
    <n v="0"/>
    <n v="0"/>
    <m/>
    <n v="412"/>
    <n v="0"/>
    <n v="0"/>
    <n v="0"/>
    <x v="0"/>
    <s v="OK"/>
  </r>
  <r>
    <s v="IT-10129"/>
    <s v="Hydraulic hose S-129"/>
    <x v="1"/>
    <x v="1"/>
    <x v="0"/>
    <s v="2025-04"/>
    <n v="28.35"/>
    <n v="28.35"/>
    <n v="26.93"/>
    <n v="38.31"/>
    <n v="37"/>
    <m/>
    <n v="0"/>
    <n v="0"/>
    <n v="0"/>
    <n v="0"/>
    <n v="0"/>
    <m/>
    <n v="442"/>
    <n v="0"/>
    <n v="0"/>
    <n v="0"/>
    <x v="0"/>
    <s v="OK"/>
  </r>
  <r>
    <s v="IT-10129"/>
    <s v="Hydraulic hose S-129"/>
    <x v="1"/>
    <x v="1"/>
    <x v="0"/>
    <s v="2025-05"/>
    <n v="27.51"/>
    <n v="27.51"/>
    <n v="26.93"/>
    <n v="38.31"/>
    <n v="37"/>
    <m/>
    <n v="0"/>
    <n v="0"/>
    <n v="0"/>
    <n v="0"/>
    <n v="0"/>
    <m/>
    <n v="473"/>
    <n v="0"/>
    <n v="0"/>
    <n v="0"/>
    <x v="0"/>
    <s v="OK"/>
  </r>
  <r>
    <s v="IT-10129"/>
    <s v="Hydraulic hose S-129"/>
    <x v="1"/>
    <x v="1"/>
    <x v="0"/>
    <s v="2025-06"/>
    <n v="28.1"/>
    <n v="28.1"/>
    <n v="26.93"/>
    <n v="38.31"/>
    <n v="37"/>
    <m/>
    <n v="0"/>
    <n v="0"/>
    <n v="0"/>
    <n v="0"/>
    <n v="0"/>
    <m/>
    <n v="503"/>
    <n v="0"/>
    <n v="0"/>
    <n v="0"/>
    <x v="0"/>
    <s v="OK"/>
  </r>
  <r>
    <s v="IT-10129"/>
    <s v="Hydraulic hose S-129"/>
    <x v="1"/>
    <x v="1"/>
    <x v="0"/>
    <s v="2025-07"/>
    <n v="27.64"/>
    <n v="27.64"/>
    <n v="26.93"/>
    <n v="38.31"/>
    <n v="37"/>
    <m/>
    <n v="0"/>
    <n v="0"/>
    <n v="0"/>
    <n v="0"/>
    <n v="0"/>
    <m/>
    <n v="534"/>
    <n v="0"/>
    <n v="0"/>
    <n v="0"/>
    <x v="0"/>
    <s v="OK"/>
  </r>
  <r>
    <s v="IT-10129"/>
    <s v="Hydraulic hose S-129"/>
    <x v="1"/>
    <x v="1"/>
    <x v="0"/>
    <s v="2025-08"/>
    <n v="27.6"/>
    <n v="27.6"/>
    <n v="26.93"/>
    <n v="38.31"/>
    <n v="37"/>
    <m/>
    <n v="0"/>
    <n v="0"/>
    <n v="0"/>
    <n v="0"/>
    <n v="0"/>
    <m/>
    <n v="565"/>
    <n v="0"/>
    <n v="0"/>
    <n v="0"/>
    <x v="0"/>
    <s v="OK"/>
  </r>
  <r>
    <s v="IT-10129"/>
    <s v="Hydraulic hose S-129"/>
    <x v="1"/>
    <x v="1"/>
    <x v="0"/>
    <s v="2025-09"/>
    <n v="28.02"/>
    <n v="28.02"/>
    <n v="26.93"/>
    <n v="38.31"/>
    <n v="37"/>
    <m/>
    <n v="0"/>
    <n v="0"/>
    <n v="0"/>
    <n v="0"/>
    <n v="0"/>
    <m/>
    <n v="595"/>
    <n v="0"/>
    <n v="0"/>
    <n v="0"/>
    <x v="0"/>
    <s v="OK"/>
  </r>
  <r>
    <s v="IT-10129"/>
    <s v="Hydraulic hose S-129"/>
    <x v="1"/>
    <x v="1"/>
    <x v="0"/>
    <s v="2025-10"/>
    <n v="27.64"/>
    <n v="27.64"/>
    <n v="26.93"/>
    <n v="38.31"/>
    <n v="37"/>
    <m/>
    <n v="0"/>
    <n v="0"/>
    <n v="0"/>
    <n v="0"/>
    <n v="0"/>
    <m/>
    <n v="626"/>
    <n v="0"/>
    <n v="0"/>
    <n v="0"/>
    <x v="0"/>
    <s v="OK"/>
  </r>
  <r>
    <s v="IT-10129"/>
    <s v="Hydraulic hose S-129"/>
    <x v="1"/>
    <x v="1"/>
    <x v="0"/>
    <s v="2025-11"/>
    <n v="27.93"/>
    <n v="27.93"/>
    <n v="27.93"/>
    <n v="38.31"/>
    <n v="37"/>
    <n v="33"/>
    <n v="20"/>
    <n v="20"/>
    <n v="558.6"/>
    <n v="0"/>
    <n v="20"/>
    <m/>
    <n v="656"/>
    <n v="0"/>
    <n v="0"/>
    <n v="0"/>
    <x v="0"/>
    <s v="OK"/>
  </r>
  <r>
    <s v="IT-10129"/>
    <s v="Hydraulic hose S-129"/>
    <x v="1"/>
    <x v="1"/>
    <x v="0"/>
    <s v="2025-12"/>
    <n v="28.09"/>
    <n v="28.09"/>
    <n v="28.024633999999999"/>
    <n v="38.31"/>
    <n v="37"/>
    <n v="56"/>
    <n v="29"/>
    <n v="41"/>
    <n v="1149.01"/>
    <n v="1"/>
    <n v="40"/>
    <n v="67.36"/>
    <n v="2"/>
    <n v="8"/>
    <n v="306.48"/>
    <n v="0"/>
    <x v="0"/>
    <s v="OK"/>
  </r>
  <r>
    <s v="IT-10129"/>
    <s v="Hydraulic hose S-129"/>
    <x v="1"/>
    <x v="1"/>
    <x v="0"/>
    <s v="2026-01"/>
    <n v="29.47"/>
    <n v="29.47"/>
    <n v="28.729285999999998"/>
    <n v="38.31"/>
    <n v="37"/>
    <n v="32"/>
    <n v="39"/>
    <n v="56"/>
    <n v="1608.84"/>
    <n v="4"/>
    <n v="52"/>
    <n v="23"/>
    <n v="2"/>
    <n v="24"/>
    <n v="919.44"/>
    <n v="0"/>
    <x v="0"/>
    <s v="OK"/>
  </r>
  <r>
    <s v="IT-10129"/>
    <s v="Hydraulic hose S-129"/>
    <x v="1"/>
    <x v="1"/>
    <x v="0"/>
    <s v="2026-02"/>
    <n v="28.6"/>
    <n v="28.6"/>
    <n v="28.647024999999999"/>
    <n v="40.119999999999997"/>
    <n v="37"/>
    <n v="35"/>
    <n v="98"/>
    <n v="121"/>
    <n v="3466.29"/>
    <n v="3"/>
    <n v="118"/>
    <n v="23.93"/>
    <n v="4"/>
    <n v="33"/>
    <n v="1323.96"/>
    <n v="0"/>
    <x v="0"/>
    <s v="OK"/>
  </r>
  <r>
    <s v="IT-10129"/>
    <s v="Hydraulic hose S-129"/>
    <x v="1"/>
    <x v="1"/>
    <x v="0"/>
    <s v="2026-03"/>
    <n v="28.63"/>
    <n v="28.63"/>
    <n v="28.647030000000001"/>
    <n v="40.119999999999997"/>
    <n v="37"/>
    <m/>
    <n v="0"/>
    <n v="101"/>
    <n v="2893.35"/>
    <n v="8"/>
    <n v="93"/>
    <n v="16.86"/>
    <n v="24"/>
    <n v="20"/>
    <n v="802.4"/>
    <n v="0"/>
    <x v="0"/>
    <s v="OK"/>
  </r>
  <r>
    <s v="IT-10129"/>
    <s v="Hydraulic hose S-129"/>
    <x v="1"/>
    <x v="1"/>
    <x v="0"/>
    <s v="2026-04"/>
    <n v="29.42"/>
    <n v="29.42"/>
    <n v="28.774805000000001"/>
    <n v="40.119999999999997"/>
    <n v="37"/>
    <n v="34"/>
    <n v="20"/>
    <n v="77"/>
    <n v="2215.66"/>
    <n v="8"/>
    <n v="69"/>
    <n v="10.09"/>
    <n v="1"/>
    <n v="44"/>
    <n v="1765.28"/>
    <n v="0"/>
    <x v="0"/>
    <s v="OK"/>
  </r>
  <r>
    <s v="IT-10129"/>
    <s v="Hydraulic hose S-129"/>
    <x v="1"/>
    <x v="1"/>
    <x v="0"/>
    <s v="2026-05"/>
    <n v="29.38"/>
    <n v="29.38"/>
    <n v="28.936153999999998"/>
    <n v="40.119999999999997"/>
    <n v="37"/>
    <n v="41"/>
    <n v="28"/>
    <n v="65"/>
    <n v="1880.85"/>
    <n v="8"/>
    <n v="57"/>
    <n v="8.2100000000000009"/>
    <n v="7"/>
    <n v="40"/>
    <n v="1604.8"/>
    <n v="0"/>
    <x v="0"/>
    <s v="OK"/>
  </r>
  <r>
    <s v="IT-10129"/>
    <s v="Hydraulic hose S-129"/>
    <x v="1"/>
    <x v="1"/>
    <x v="0"/>
    <s v="2026-06"/>
    <n v="29.48"/>
    <n v="29.48"/>
    <n v="29.280263000000001"/>
    <n v="40.119999999999997"/>
    <n v="37"/>
    <n v="36"/>
    <n v="112"/>
    <n v="114"/>
    <n v="3337.95"/>
    <n v="10"/>
    <n v="104"/>
    <n v="10.08"/>
    <n v="4"/>
    <n v="63"/>
    <n v="2527.56"/>
    <n v="0"/>
    <x v="0"/>
    <s v="OK"/>
  </r>
  <r>
    <s v="IT-10129"/>
    <s v="Hydraulic hose S-129"/>
    <x v="1"/>
    <x v="1"/>
    <x v="0"/>
    <s v="2026-07"/>
    <n v="29.46"/>
    <n v="29.46"/>
    <n v="29.280221999999998"/>
    <n v="40.119999999999997"/>
    <n v="37"/>
    <m/>
    <n v="0"/>
    <n v="90"/>
    <n v="2635.22"/>
    <n v="8"/>
    <n v="82"/>
    <n v="9.31"/>
    <n v="5"/>
    <n v="24"/>
    <n v="962.88"/>
    <n v="0"/>
    <x v="0"/>
    <s v="OK"/>
  </r>
  <r>
    <s v="IT-10129"/>
    <s v="Hydraulic hose S-129"/>
    <x v="1"/>
    <x v="1"/>
    <x v="0"/>
    <s v="2026-08"/>
    <n v="29.57"/>
    <n v="29.57"/>
    <n v="29.401779999999999"/>
    <n v="40.119999999999997"/>
    <n v="37"/>
    <n v="34"/>
    <n v="65"/>
    <n v="118"/>
    <n v="3469.41"/>
    <n v="4"/>
    <n v="114"/>
    <n v="12.51"/>
    <n v="1"/>
    <n v="37"/>
    <n v="1484.44"/>
    <n v="0"/>
    <x v="0"/>
    <s v="OK"/>
  </r>
  <r>
    <s v="IT-10130"/>
    <s v="Pillow block S-130"/>
    <x v="0"/>
    <x v="0"/>
    <x v="1"/>
    <s v="2024-09"/>
    <n v="2.38"/>
    <n v="2.38"/>
    <n v="2.366911"/>
    <n v="3.14"/>
    <n v="31"/>
    <m/>
    <n v="0"/>
    <n v="246"/>
    <n v="582.26"/>
    <n v="122"/>
    <n v="124"/>
    <n v="2.31"/>
    <n v="1"/>
    <n v="660"/>
    <n v="2072.4"/>
    <n v="0"/>
    <x v="0"/>
    <s v="OK"/>
  </r>
  <r>
    <s v="IT-10130"/>
    <s v="Pillow block S-130"/>
    <x v="0"/>
    <x v="0"/>
    <x v="1"/>
    <s v="2024-10"/>
    <n v="2.33"/>
    <n v="2.33"/>
    <n v="2.3436340000000002"/>
    <n v="3.14"/>
    <n v="31"/>
    <n v="51"/>
    <n v="420"/>
    <n v="0"/>
    <n v="0"/>
    <n v="0"/>
    <n v="0"/>
    <n v="0"/>
    <n v="0"/>
    <n v="666"/>
    <n v="2091.2399999999998"/>
    <n v="383"/>
    <x v="1"/>
    <s v="OK"/>
  </r>
  <r>
    <s v="IT-10130"/>
    <s v="Pillow block S-130"/>
    <x v="0"/>
    <x v="0"/>
    <x v="1"/>
    <s v="2024-11"/>
    <n v="2.37"/>
    <n v="2.37"/>
    <n v="2.37"/>
    <n v="3.14"/>
    <n v="31"/>
    <n v="27"/>
    <n v="2199"/>
    <n v="1545"/>
    <n v="3661.65"/>
    <n v="49"/>
    <n v="1496"/>
    <n v="10.14"/>
    <n v="1"/>
    <n v="654"/>
    <n v="2053.56"/>
    <n v="0"/>
    <x v="0"/>
    <s v="OK"/>
  </r>
  <r>
    <s v="IT-10130"/>
    <s v="Pillow block S-130"/>
    <x v="0"/>
    <x v="0"/>
    <x v="1"/>
    <s v="2024-12"/>
    <n v="2.3199999999999998"/>
    <n v="2.3199999999999998"/>
    <n v="2.37"/>
    <n v="3.14"/>
    <n v="31"/>
    <m/>
    <n v="0"/>
    <n v="1120"/>
    <n v="2654.4"/>
    <n v="195"/>
    <n v="925"/>
    <n v="8.44"/>
    <n v="1"/>
    <n v="425"/>
    <n v="1334.5"/>
    <n v="0"/>
    <x v="0"/>
    <s v="OK"/>
  </r>
  <r>
    <s v="IT-10130"/>
    <s v="Pillow block S-130"/>
    <x v="0"/>
    <x v="0"/>
    <x v="1"/>
    <s v="2025-01"/>
    <n v="2.4"/>
    <n v="2.4"/>
    <n v="2.3827449999999999"/>
    <n v="3.14"/>
    <n v="31"/>
    <n v="27"/>
    <n v="827"/>
    <n v="1377"/>
    <n v="3281.04"/>
    <n v="73"/>
    <n v="1304"/>
    <n v="10.97"/>
    <n v="0"/>
    <n v="570"/>
    <n v="1789.8"/>
    <n v="0"/>
    <x v="0"/>
    <s v="OK"/>
  </r>
  <r>
    <s v="IT-10130"/>
    <s v="Pillow block S-130"/>
    <x v="0"/>
    <x v="0"/>
    <x v="1"/>
    <s v="2025-02"/>
    <n v="2.38"/>
    <n v="2.38"/>
    <n v="2.3827479999999999"/>
    <n v="3.29"/>
    <n v="31"/>
    <m/>
    <n v="0"/>
    <n v="1179"/>
    <n v="2809.26"/>
    <n v="146"/>
    <n v="1033"/>
    <n v="12.71"/>
    <n v="2"/>
    <n v="198"/>
    <n v="651.41999999999996"/>
    <n v="0"/>
    <x v="0"/>
    <s v="OK"/>
  </r>
  <r>
    <s v="IT-10130"/>
    <s v="Pillow block S-130"/>
    <x v="0"/>
    <x v="0"/>
    <x v="1"/>
    <s v="2025-03"/>
    <n v="2.34"/>
    <n v="2.34"/>
    <n v="2.359899"/>
    <n v="3.29"/>
    <n v="31"/>
    <n v="29"/>
    <n v="1354"/>
    <n v="1690"/>
    <n v="3988.23"/>
    <n v="122"/>
    <n v="1568"/>
    <n v="13.49"/>
    <n v="0"/>
    <n v="843"/>
    <n v="2773.47"/>
    <n v="0"/>
    <x v="0"/>
    <s v="OK"/>
  </r>
  <r>
    <s v="IT-10130"/>
    <s v="Pillow block S-130"/>
    <x v="0"/>
    <x v="0"/>
    <x v="1"/>
    <s v="2025-04"/>
    <n v="2.4700000000000002"/>
    <n v="2.4700000000000002"/>
    <n v="2.359896"/>
    <n v="3.29"/>
    <n v="31"/>
    <m/>
    <n v="0"/>
    <n v="1158"/>
    <n v="2732.76"/>
    <n v="49"/>
    <n v="1109"/>
    <n v="9.36"/>
    <n v="0"/>
    <n v="532"/>
    <n v="1750.28"/>
    <n v="0"/>
    <x v="0"/>
    <s v="OK"/>
  </r>
  <r>
    <s v="IT-10130"/>
    <s v="Pillow block S-130"/>
    <x v="0"/>
    <x v="0"/>
    <x v="1"/>
    <s v="2025-05"/>
    <n v="2.38"/>
    <n v="2.38"/>
    <n v="2.35989"/>
    <n v="3.29"/>
    <n v="31"/>
    <m/>
    <n v="0"/>
    <n v="181"/>
    <n v="427.14"/>
    <n v="181"/>
    <n v="0"/>
    <n v="1.01"/>
    <n v="0"/>
    <n v="977"/>
    <n v="3214.33"/>
    <n v="0"/>
    <x v="0"/>
    <s v="OK"/>
  </r>
  <r>
    <s v="IT-10130"/>
    <s v="Pillow block S-130"/>
    <x v="0"/>
    <x v="0"/>
    <x v="1"/>
    <s v="2025-06"/>
    <n v="2.46"/>
    <n v="2.46"/>
    <n v="2.35989"/>
    <n v="3.29"/>
    <n v="31"/>
    <m/>
    <n v="0"/>
    <n v="0"/>
    <n v="0"/>
    <n v="0"/>
    <n v="0"/>
    <n v="0"/>
    <n v="0"/>
    <n v="181"/>
    <n v="595.49"/>
    <n v="817"/>
    <x v="1"/>
    <s v="OK"/>
  </r>
  <r>
    <s v="IT-10130"/>
    <s v="Pillow block S-130"/>
    <x v="0"/>
    <x v="0"/>
    <x v="1"/>
    <s v="2025-07"/>
    <n v="2.48"/>
    <n v="2.48"/>
    <n v="2.48"/>
    <n v="3.29"/>
    <n v="31"/>
    <n v="30"/>
    <n v="1717"/>
    <n v="807"/>
    <n v="2001.36"/>
    <n v="171"/>
    <n v="636"/>
    <n v="5.13"/>
    <n v="0"/>
    <n v="910"/>
    <n v="2993.9"/>
    <n v="0"/>
    <x v="0"/>
    <s v="OK"/>
  </r>
  <r>
    <s v="IT-10130"/>
    <s v="Pillow block S-130"/>
    <x v="0"/>
    <x v="0"/>
    <x v="1"/>
    <s v="2025-08"/>
    <n v="2.46"/>
    <n v="2.46"/>
    <n v="2.4736549999999999"/>
    <n v="3.29"/>
    <n v="31"/>
    <n v="27"/>
    <n v="376"/>
    <n v="394"/>
    <n v="974.62"/>
    <n v="146"/>
    <n v="248"/>
    <n v="2.75"/>
    <n v="1"/>
    <n v="789"/>
    <n v="2595.81"/>
    <n v="0"/>
    <x v="0"/>
    <s v="OK"/>
  </r>
  <r>
    <s v="IT-10130"/>
    <s v="Pillow block S-130"/>
    <x v="0"/>
    <x v="0"/>
    <x v="1"/>
    <s v="2025-09"/>
    <n v="2.46"/>
    <n v="2.46"/>
    <n v="2.462323"/>
    <n v="3.29"/>
    <n v="31"/>
    <n v="30"/>
    <n v="1920"/>
    <n v="1670"/>
    <n v="4112.08"/>
    <n v="195"/>
    <n v="1475"/>
    <n v="9.3699999999999992"/>
    <n v="0"/>
    <n v="644"/>
    <n v="2118.7600000000002"/>
    <n v="0"/>
    <x v="0"/>
    <s v="OK"/>
  </r>
  <r>
    <s v="IT-10130"/>
    <s v="Pillow block S-130"/>
    <x v="0"/>
    <x v="0"/>
    <x v="1"/>
    <s v="2025-10"/>
    <n v="2.46"/>
    <n v="2.46"/>
    <n v="2.4623210000000002"/>
    <n v="3.29"/>
    <n v="31"/>
    <m/>
    <n v="0"/>
    <n v="978"/>
    <n v="2408.15"/>
    <n v="122"/>
    <n v="856"/>
    <n v="6.05"/>
    <n v="0"/>
    <n v="692"/>
    <n v="2276.6799999999998"/>
    <n v="0"/>
    <x v="0"/>
    <s v="OK"/>
  </r>
  <r>
    <s v="IT-10130"/>
    <s v="Pillow block S-130"/>
    <x v="0"/>
    <x v="0"/>
    <x v="1"/>
    <s v="2025-11"/>
    <n v="2.42"/>
    <n v="2.42"/>
    <n v="2.4393419999999999"/>
    <n v="3.29"/>
    <n v="31"/>
    <n v="30"/>
    <n v="1162"/>
    <n v="1019"/>
    <n v="2485.69"/>
    <n v="73"/>
    <n v="946"/>
    <n v="5.39"/>
    <n v="0"/>
    <n v="1121"/>
    <n v="3688.09"/>
    <n v="0"/>
    <x v="0"/>
    <s v="OK"/>
  </r>
  <r>
    <s v="IT-10130"/>
    <s v="Pillow block S-130"/>
    <x v="0"/>
    <x v="0"/>
    <x v="1"/>
    <s v="2025-12"/>
    <n v="2.38"/>
    <n v="2.38"/>
    <n v="2.439346"/>
    <n v="3.29"/>
    <n v="31"/>
    <m/>
    <n v="0"/>
    <n v="918"/>
    <n v="2239.3200000000002"/>
    <n v="195"/>
    <n v="723"/>
    <n v="6.3"/>
    <n v="8"/>
    <n v="101"/>
    <n v="332.29"/>
    <n v="0"/>
    <x v="0"/>
    <s v="OK"/>
  </r>
  <r>
    <s v="IT-10130"/>
    <s v="Pillow block S-130"/>
    <x v="0"/>
    <x v="0"/>
    <x v="1"/>
    <s v="2026-01"/>
    <n v="2.4500000000000002"/>
    <n v="2.4500000000000002"/>
    <n v="2.4450889999999998"/>
    <n v="3.29"/>
    <n v="31"/>
    <n v="28"/>
    <n v="1071"/>
    <n v="786"/>
    <n v="1921.84"/>
    <n v="171"/>
    <n v="615"/>
    <n v="4.26"/>
    <n v="0"/>
    <n v="1203"/>
    <n v="3957.87"/>
    <n v="0"/>
    <x v="0"/>
    <s v="OK"/>
  </r>
  <r>
    <s v="IT-10130"/>
    <s v="Pillow block S-130"/>
    <x v="0"/>
    <x v="0"/>
    <x v="1"/>
    <s v="2026-02"/>
    <n v="2.4700000000000002"/>
    <n v="2.4700000000000002"/>
    <n v="2.4450889999999998"/>
    <n v="3.44"/>
    <n v="31"/>
    <m/>
    <n v="0"/>
    <n v="0"/>
    <n v="0"/>
    <n v="0"/>
    <n v="0"/>
    <n v="0"/>
    <n v="0"/>
    <n v="786"/>
    <n v="2703.84"/>
    <n v="110"/>
    <x v="1"/>
    <s v="OK"/>
  </r>
  <r>
    <s v="IT-10130"/>
    <s v="Pillow block S-130"/>
    <x v="0"/>
    <x v="0"/>
    <x v="1"/>
    <s v="2026-03"/>
    <n v="2.41"/>
    <n v="2.41"/>
    <n v="2.41"/>
    <n v="3.44"/>
    <n v="31"/>
    <n v="28"/>
    <n v="1938"/>
    <n v="1296"/>
    <n v="3123.36"/>
    <n v="122"/>
    <n v="1174"/>
    <n v="6.33"/>
    <n v="0"/>
    <n v="642"/>
    <n v="2208.48"/>
    <n v="0"/>
    <x v="0"/>
    <s v="OK"/>
  </r>
  <r>
    <s v="IT-10130"/>
    <s v="Pillow block S-130"/>
    <x v="0"/>
    <x v="0"/>
    <x v="1"/>
    <s v="2026-04"/>
    <n v="2.52"/>
    <n v="2.52"/>
    <n v="2.41"/>
    <n v="3.44"/>
    <n v="31"/>
    <m/>
    <n v="0"/>
    <n v="777"/>
    <n v="1872.57"/>
    <n v="244"/>
    <n v="533"/>
    <n v="5.07"/>
    <n v="0"/>
    <n v="519"/>
    <n v="1785.36"/>
    <n v="0"/>
    <x v="0"/>
    <s v="OK"/>
  </r>
  <r>
    <s v="IT-10130"/>
    <s v="Pillow block S-130"/>
    <x v="0"/>
    <x v="0"/>
    <x v="1"/>
    <s v="2026-05"/>
    <n v="2.52"/>
    <n v="2.52"/>
    <n v="2.4770479999999999"/>
    <n v="3.44"/>
    <n v="31"/>
    <n v="28"/>
    <n v="1213"/>
    <n v="1477"/>
    <n v="3658.6"/>
    <n v="195"/>
    <n v="1282"/>
    <n v="11.6"/>
    <n v="1"/>
    <n v="513"/>
    <n v="1764.72"/>
    <n v="0"/>
    <x v="0"/>
    <s v="OK"/>
  </r>
  <r>
    <s v="IT-10130"/>
    <s v="Pillow block S-130"/>
    <x v="0"/>
    <x v="0"/>
    <x v="1"/>
    <s v="2026-06"/>
    <n v="2.48"/>
    <n v="2.48"/>
    <n v="2.4781840000000002"/>
    <n v="3.44"/>
    <n v="31"/>
    <n v="30"/>
    <n v="920"/>
    <n v="947"/>
    <n v="2346.84"/>
    <n v="146"/>
    <n v="801"/>
    <n v="4.96"/>
    <n v="0"/>
    <n v="1450"/>
    <n v="4988"/>
    <n v="0"/>
    <x v="0"/>
    <s v="OK"/>
  </r>
  <r>
    <s v="IT-10130"/>
    <s v="Pillow block S-130"/>
    <x v="0"/>
    <x v="0"/>
    <x v="1"/>
    <s v="2026-07"/>
    <n v="2.5099999999999998"/>
    <n v="2.5099999999999998"/>
    <n v="2.480248"/>
    <n v="3.44"/>
    <n v="31"/>
    <n v="29"/>
    <n v="66"/>
    <n v="403"/>
    <n v="999.54"/>
    <n v="73"/>
    <n v="330"/>
    <n v="2.06"/>
    <n v="0"/>
    <n v="610"/>
    <n v="2098.4"/>
    <n v="0"/>
    <x v="0"/>
    <s v="OK"/>
  </r>
  <r>
    <s v="IT-10130"/>
    <s v="Pillow block S-130"/>
    <x v="0"/>
    <x v="0"/>
    <x v="1"/>
    <s v="2026-08"/>
    <n v="2.46"/>
    <n v="2.46"/>
    <n v="2.480248"/>
    <n v="3.44"/>
    <n v="31"/>
    <m/>
    <n v="0"/>
    <n v="0"/>
    <n v="0"/>
    <n v="0"/>
    <n v="0"/>
    <n v="0"/>
    <n v="0"/>
    <n v="403"/>
    <n v="1386.32"/>
    <n v="638"/>
    <x v="1"/>
    <s v="OK"/>
  </r>
  <r>
    <s v="IT-10131"/>
    <s v="Relay 20-131"/>
    <x v="3"/>
    <x v="3"/>
    <x v="0"/>
    <s v="2024-09"/>
    <n v="1.54"/>
    <n v="1.68"/>
    <n v="1.6929970000000001"/>
    <n v="2.2799999999999998"/>
    <n v="59"/>
    <n v="53"/>
    <n v="282"/>
    <n v="347"/>
    <n v="587.47"/>
    <n v="55"/>
    <n v="292"/>
    <n v="7.23"/>
    <n v="6"/>
    <n v="69"/>
    <n v="157.32"/>
    <n v="0"/>
    <x v="0"/>
    <s v="OK"/>
  </r>
  <r>
    <s v="IT-10131"/>
    <s v="Relay 20-131"/>
    <x v="3"/>
    <x v="3"/>
    <x v="0"/>
    <s v="2024-10"/>
    <n v="1.57"/>
    <n v="1.71"/>
    <n v="1.6929829999999999"/>
    <n v="2.2799999999999998"/>
    <n v="59"/>
    <m/>
    <n v="0"/>
    <n v="238"/>
    <n v="402.93"/>
    <n v="49"/>
    <n v="189"/>
    <n v="7.63"/>
    <n v="0"/>
    <n v="109"/>
    <n v="248.52"/>
    <n v="0"/>
    <x v="0"/>
    <s v="OK"/>
  </r>
  <r>
    <s v="IT-10131"/>
    <s v="Relay 20-131"/>
    <x v="3"/>
    <x v="3"/>
    <x v="0"/>
    <s v="2024-11"/>
    <n v="1.56"/>
    <n v="1.7"/>
    <n v="1.696561"/>
    <n v="2.2799999999999998"/>
    <n v="59"/>
    <n v="87"/>
    <n v="248"/>
    <n v="253"/>
    <n v="429.23"/>
    <n v="18"/>
    <n v="235"/>
    <n v="8"/>
    <n v="1"/>
    <n v="233"/>
    <n v="531.24"/>
    <n v="0"/>
    <x v="0"/>
    <s v="OK"/>
  </r>
  <r>
    <s v="IT-10131"/>
    <s v="Relay 20-131"/>
    <x v="3"/>
    <x v="3"/>
    <x v="0"/>
    <s v="2024-12"/>
    <n v="1.57"/>
    <n v="1.71"/>
    <n v="1.6965809999999999"/>
    <n v="2.2799999999999998"/>
    <n v="59"/>
    <m/>
    <n v="0"/>
    <n v="117"/>
    <n v="198.5"/>
    <n v="12"/>
    <n v="105"/>
    <n v="3.22"/>
    <n v="0"/>
    <n v="136"/>
    <n v="310.08"/>
    <n v="0"/>
    <x v="0"/>
    <s v="OK"/>
  </r>
  <r>
    <s v="IT-10131"/>
    <s v="Relay 20-131"/>
    <x v="3"/>
    <x v="3"/>
    <x v="0"/>
    <s v="2025-01"/>
    <n v="1.53"/>
    <n v="1.67"/>
    <n v="1.6821740000000001"/>
    <n v="2.2799999999999998"/>
    <n v="59"/>
    <n v="56"/>
    <n v="140"/>
    <n v="46"/>
    <n v="77.38"/>
    <n v="46"/>
    <n v="0"/>
    <n v="1.04"/>
    <n v="2"/>
    <n v="211"/>
    <n v="481.08"/>
    <n v="0"/>
    <x v="0"/>
    <s v="OK"/>
  </r>
  <r>
    <s v="IT-10131"/>
    <s v="Relay 20-131"/>
    <x v="3"/>
    <x v="3"/>
    <x v="0"/>
    <s v="2025-02"/>
    <n v="1.56"/>
    <n v="1.7"/>
    <n v="1.6821740000000001"/>
    <n v="2.37"/>
    <n v="59"/>
    <m/>
    <n v="0"/>
    <n v="0"/>
    <n v="0"/>
    <n v="0"/>
    <n v="0"/>
    <n v="0"/>
    <n v="2"/>
    <n v="46"/>
    <n v="109.02"/>
    <n v="62"/>
    <x v="1"/>
    <s v="OK"/>
  </r>
  <r>
    <s v="IT-10131"/>
    <s v="Relay 20-131"/>
    <x v="3"/>
    <x v="3"/>
    <x v="0"/>
    <s v="2025-03"/>
    <n v="1.65"/>
    <n v="1.8"/>
    <n v="1.8"/>
    <n v="2.37"/>
    <n v="59"/>
    <n v="53"/>
    <n v="266"/>
    <n v="197"/>
    <n v="354.6"/>
    <n v="55"/>
    <n v="142"/>
    <n v="7.77"/>
    <n v="0"/>
    <n v="69"/>
    <n v="163.53"/>
    <n v="0"/>
    <x v="0"/>
    <s v="OK"/>
  </r>
  <r>
    <s v="IT-10131"/>
    <s v="Relay 20-131"/>
    <x v="3"/>
    <x v="3"/>
    <x v="0"/>
    <s v="2025-04"/>
    <n v="1.63"/>
    <n v="1.78"/>
    <n v="1.7864230000000001"/>
    <n v="2.37"/>
    <n v="59"/>
    <n v="58"/>
    <n v="416"/>
    <n v="520"/>
    <n v="928.94"/>
    <n v="25"/>
    <n v="495"/>
    <n v="31.79"/>
    <n v="0"/>
    <n v="93"/>
    <n v="220.41"/>
    <n v="0"/>
    <x v="0"/>
    <s v="OK"/>
  </r>
  <r>
    <s v="IT-10131"/>
    <s v="Relay 20-131"/>
    <x v="3"/>
    <x v="3"/>
    <x v="0"/>
    <s v="2025-05"/>
    <n v="1.68"/>
    <n v="1.83"/>
    <n v="1.786438"/>
    <n v="2.37"/>
    <n v="59"/>
    <m/>
    <n v="0"/>
    <n v="146"/>
    <n v="260.82"/>
    <n v="43"/>
    <n v="103"/>
    <n v="3.58"/>
    <n v="1"/>
    <n v="374"/>
    <n v="886.38"/>
    <n v="0"/>
    <x v="0"/>
    <s v="OK"/>
  </r>
  <r>
    <s v="IT-10131"/>
    <s v="Relay 20-131"/>
    <x v="3"/>
    <x v="3"/>
    <x v="0"/>
    <s v="2025-06"/>
    <n v="1.68"/>
    <n v="1.83"/>
    <n v="1.816988"/>
    <n v="2.37"/>
    <n v="59"/>
    <n v="58"/>
    <n v="343"/>
    <n v="322"/>
    <n v="585.07000000000005"/>
    <n v="25"/>
    <n v="297"/>
    <n v="6.6"/>
    <n v="1"/>
    <n v="167"/>
    <n v="395.79"/>
    <n v="0"/>
    <x v="0"/>
    <s v="OK"/>
  </r>
  <r>
    <s v="IT-10131"/>
    <s v="Relay 20-131"/>
    <x v="3"/>
    <x v="3"/>
    <x v="0"/>
    <s v="2025-07"/>
    <n v="1.63"/>
    <n v="1.78"/>
    <n v="1.816997"/>
    <n v="2.37"/>
    <n v="59"/>
    <m/>
    <n v="0"/>
    <n v="293"/>
    <n v="532.38"/>
    <n v="18"/>
    <n v="275"/>
    <n v="6.76"/>
    <n v="3"/>
    <n v="29"/>
    <n v="68.73"/>
    <n v="0"/>
    <x v="0"/>
    <s v="OK"/>
  </r>
  <r>
    <s v="IT-10131"/>
    <s v="Relay 20-131"/>
    <x v="3"/>
    <x v="3"/>
    <x v="0"/>
    <s v="2025-08"/>
    <n v="1.68"/>
    <n v="1.83"/>
    <n v="1.820802"/>
    <n v="2.37"/>
    <n v="59"/>
    <n v="56"/>
    <n v="121"/>
    <n v="262"/>
    <n v="477.05"/>
    <n v="25"/>
    <n v="237"/>
    <n v="9.89"/>
    <n v="4"/>
    <n v="152"/>
    <n v="360.24"/>
    <n v="0"/>
    <x v="0"/>
    <s v="OK"/>
  </r>
  <r>
    <s v="IT-10131"/>
    <s v="Relay 20-131"/>
    <x v="3"/>
    <x v="3"/>
    <x v="0"/>
    <s v="2025-09"/>
    <n v="1.67"/>
    <n v="1.82"/>
    <n v="1.820395"/>
    <n v="2.37"/>
    <n v="59"/>
    <n v="50"/>
    <n v="274"/>
    <n v="506"/>
    <n v="921.12"/>
    <n v="12"/>
    <n v="494"/>
    <n v="31.52"/>
    <n v="9"/>
    <n v="30"/>
    <n v="71.099999999999994"/>
    <n v="0"/>
    <x v="0"/>
    <s v="OK"/>
  </r>
  <r>
    <s v="IT-10131"/>
    <s v="Relay 20-131"/>
    <x v="3"/>
    <x v="3"/>
    <x v="0"/>
    <s v="2025-10"/>
    <n v="1.63"/>
    <n v="1.78"/>
    <n v="1.8203940000000001"/>
    <n v="2.37"/>
    <n v="59"/>
    <m/>
    <n v="0"/>
    <n v="279"/>
    <n v="507.89"/>
    <n v="62"/>
    <n v="217"/>
    <n v="8.9700000000000006"/>
    <n v="0"/>
    <n v="227"/>
    <n v="537.99"/>
    <n v="0"/>
    <x v="0"/>
    <s v="OK"/>
  </r>
  <r>
    <s v="IT-10131"/>
    <s v="Relay 20-131"/>
    <x v="3"/>
    <x v="3"/>
    <x v="0"/>
    <s v="2025-11"/>
    <n v="1.64"/>
    <n v="1.79"/>
    <n v="1.806691"/>
    <n v="2.37"/>
    <n v="59"/>
    <n v="56"/>
    <n v="229"/>
    <n v="272"/>
    <n v="491.42"/>
    <n v="25"/>
    <n v="247"/>
    <n v="7.17"/>
    <n v="0"/>
    <n v="236"/>
    <n v="559.32000000000005"/>
    <n v="0"/>
    <x v="0"/>
    <s v="OK"/>
  </r>
  <r>
    <s v="IT-10131"/>
    <s v="Relay 20-131"/>
    <x v="3"/>
    <x v="3"/>
    <x v="0"/>
    <s v="2025-12"/>
    <n v="1.67"/>
    <n v="1.82"/>
    <n v="1.8067009999999999"/>
    <n v="2.37"/>
    <n v="59"/>
    <m/>
    <n v="0"/>
    <n v="194"/>
    <n v="350.5"/>
    <n v="55"/>
    <n v="139"/>
    <n v="4.71"/>
    <n v="5"/>
    <n v="78"/>
    <n v="184.86"/>
    <n v="0"/>
    <x v="0"/>
    <s v="OK"/>
  </r>
  <r>
    <s v="IT-10131"/>
    <s v="Relay 20-131"/>
    <x v="3"/>
    <x v="3"/>
    <x v="0"/>
    <s v="2026-01"/>
    <n v="1.65"/>
    <n v="1.8"/>
    <n v="1.806667"/>
    <n v="2.37"/>
    <n v="59"/>
    <m/>
    <n v="0"/>
    <n v="15"/>
    <n v="27.1"/>
    <n v="15"/>
    <n v="0"/>
    <n v="0.4"/>
    <n v="4"/>
    <n v="179"/>
    <n v="424.23"/>
    <n v="0"/>
    <x v="0"/>
    <s v="OK"/>
  </r>
  <r>
    <s v="IT-10131"/>
    <s v="Relay 20-131"/>
    <x v="3"/>
    <x v="3"/>
    <x v="0"/>
    <s v="2026-02"/>
    <n v="1.65"/>
    <n v="1.8"/>
    <n v="1.80026"/>
    <n v="2.4700000000000002"/>
    <n v="59"/>
    <n v="50"/>
    <n v="377"/>
    <n v="269"/>
    <n v="484.27"/>
    <n v="31"/>
    <n v="238"/>
    <n v="9.1"/>
    <n v="2"/>
    <n v="123"/>
    <n v="303.81"/>
    <n v="0"/>
    <x v="0"/>
    <s v="OK"/>
  </r>
  <r>
    <s v="IT-10131"/>
    <s v="Relay 20-131"/>
    <x v="3"/>
    <x v="3"/>
    <x v="0"/>
    <s v="2026-03"/>
    <n v="1.75"/>
    <n v="1.91"/>
    <n v="1.83"/>
    <n v="2.4700000000000002"/>
    <n v="59"/>
    <n v="55"/>
    <n v="100"/>
    <n v="211"/>
    <n v="386.13"/>
    <n v="43"/>
    <n v="168"/>
    <n v="5.9"/>
    <n v="3"/>
    <n v="158"/>
    <n v="390.26"/>
    <n v="0"/>
    <x v="0"/>
    <s v="OK"/>
  </r>
  <r>
    <s v="IT-10131"/>
    <s v="Relay 20-131"/>
    <x v="3"/>
    <x v="3"/>
    <x v="0"/>
    <s v="2026-04"/>
    <n v="1.72"/>
    <n v="1.87"/>
    <n v="1.83"/>
    <n v="2.4700000000000002"/>
    <n v="59"/>
    <m/>
    <n v="0"/>
    <n v="44"/>
    <n v="80.52"/>
    <n v="37"/>
    <n v="7"/>
    <n v="1.25"/>
    <n v="0"/>
    <n v="167"/>
    <n v="412.49"/>
    <n v="0"/>
    <x v="0"/>
    <s v="OK"/>
  </r>
  <r>
    <s v="IT-10131"/>
    <s v="Relay 20-131"/>
    <x v="3"/>
    <x v="3"/>
    <x v="0"/>
    <s v="2026-05"/>
    <n v="1.75"/>
    <n v="1.91"/>
    <n v="1.83"/>
    <n v="2.4700000000000002"/>
    <n v="59"/>
    <m/>
    <n v="0"/>
    <n v="0"/>
    <n v="0"/>
    <n v="0"/>
    <n v="0"/>
    <n v="0"/>
    <n v="2"/>
    <n v="44"/>
    <n v="108.68"/>
    <n v="209"/>
    <x v="1"/>
    <s v="OK"/>
  </r>
  <r>
    <s v="IT-10131"/>
    <s v="Relay 20-131"/>
    <x v="3"/>
    <x v="3"/>
    <x v="0"/>
    <s v="2026-06"/>
    <n v="1.76"/>
    <n v="1.92"/>
    <n v="1.92"/>
    <n v="2.4700000000000002"/>
    <n v="59"/>
    <n v="51"/>
    <n v="517"/>
    <n v="406"/>
    <n v="779.52"/>
    <n v="37"/>
    <n v="369"/>
    <n v="16.39"/>
    <n v="3"/>
    <n v="111"/>
    <n v="274.17"/>
    <n v="0"/>
    <x v="0"/>
    <s v="OK"/>
  </r>
  <r>
    <s v="IT-10131"/>
    <s v="Relay 20-131"/>
    <x v="3"/>
    <x v="3"/>
    <x v="0"/>
    <s v="2026-07"/>
    <n v="1.76"/>
    <n v="1.92"/>
    <n v="1.92"/>
    <n v="2.4700000000000002"/>
    <n v="59"/>
    <n v="57"/>
    <n v="100"/>
    <n v="433"/>
    <n v="831.36"/>
    <n v="31"/>
    <n v="402"/>
    <n v="24.96"/>
    <n v="1"/>
    <n v="73"/>
    <n v="180.31"/>
    <n v="0"/>
    <x v="0"/>
    <s v="OK"/>
  </r>
  <r>
    <s v="IT-10131"/>
    <s v="Relay 20-131"/>
    <x v="3"/>
    <x v="3"/>
    <x v="0"/>
    <s v="2026-08"/>
    <n v="1.77"/>
    <n v="1.93"/>
    <n v="1.9221699999999999"/>
    <n v="2.4700000000000002"/>
    <n v="59"/>
    <n v="57"/>
    <n v="119"/>
    <n v="235"/>
    <n v="451.71"/>
    <n v="25"/>
    <n v="210"/>
    <n v="6.16"/>
    <n v="0"/>
    <n v="317"/>
    <n v="782.99"/>
    <n v="0"/>
    <x v="0"/>
    <s v="OK"/>
  </r>
  <r>
    <s v="IT-10132"/>
    <s v="Pressure valve 10-132"/>
    <x v="1"/>
    <x v="1"/>
    <x v="0"/>
    <s v="2024-09"/>
    <n v="276.27999999999997"/>
    <n v="305.02999999999997"/>
    <n v="308.53808800000002"/>
    <n v="417.4"/>
    <n v="33"/>
    <m/>
    <n v="0"/>
    <n v="68"/>
    <n v="20980.59"/>
    <n v="11"/>
    <n v="57"/>
    <n v="9.82"/>
    <n v="3"/>
    <n v="41"/>
    <n v="17113.400000000001"/>
    <n v="0"/>
    <x v="0"/>
    <s v="OK"/>
  </r>
  <r>
    <s v="IT-10132"/>
    <s v="Pressure valve 10-132"/>
    <x v="1"/>
    <x v="1"/>
    <x v="0"/>
    <s v="2024-10"/>
    <n v="279.83"/>
    <n v="308.95"/>
    <n v="308.68061699999998"/>
    <n v="417.4"/>
    <n v="33"/>
    <n v="39"/>
    <n v="36"/>
    <n v="81"/>
    <n v="25003.13"/>
    <n v="12"/>
    <n v="69"/>
    <n v="9.9499999999999993"/>
    <n v="3"/>
    <n v="23"/>
    <n v="9600.2000000000007"/>
    <n v="0"/>
    <x v="0"/>
    <s v="OK"/>
  </r>
  <r>
    <s v="IT-10132"/>
    <s v="Pressure valve 10-132"/>
    <x v="1"/>
    <x v="1"/>
    <x v="0"/>
    <s v="2024-11"/>
    <n v="282.41000000000003"/>
    <n v="311.8"/>
    <n v="309.64047599999998"/>
    <n v="417.4"/>
    <n v="33"/>
    <n v="42"/>
    <n v="36"/>
    <n v="84"/>
    <n v="26009.8"/>
    <n v="4"/>
    <n v="80"/>
    <n v="11.26"/>
    <n v="4"/>
    <n v="33"/>
    <n v="13774.2"/>
    <n v="0"/>
    <x v="0"/>
    <s v="OK"/>
  </r>
  <r>
    <s v="IT-10132"/>
    <s v="Pressure valve 10-132"/>
    <x v="1"/>
    <x v="1"/>
    <x v="0"/>
    <s v="2024-12"/>
    <n v="272.55"/>
    <n v="300.91000000000003"/>
    <n v="306.22415899999999"/>
    <n v="417.4"/>
    <n v="33"/>
    <n v="31"/>
    <n v="54"/>
    <n v="113"/>
    <n v="34603.33"/>
    <n v="12"/>
    <n v="101"/>
    <n v="18.34"/>
    <n v="2"/>
    <n v="25"/>
    <n v="10435"/>
    <n v="0"/>
    <x v="0"/>
    <s v="OK"/>
  </r>
  <r>
    <s v="IT-10132"/>
    <s v="Pressure valve 10-132"/>
    <x v="1"/>
    <x v="1"/>
    <x v="0"/>
    <s v="2025-01"/>
    <n v="291.92"/>
    <n v="322.3"/>
    <n v="306.22412700000001"/>
    <n v="417.4"/>
    <n v="33"/>
    <m/>
    <n v="0"/>
    <n v="63"/>
    <n v="19292.12"/>
    <n v="6"/>
    <n v="57"/>
    <n v="7.67"/>
    <n v="3"/>
    <n v="50"/>
    <n v="20870"/>
    <n v="0"/>
    <x v="0"/>
    <s v="OK"/>
  </r>
  <r>
    <s v="IT-10132"/>
    <s v="Pressure valve 10-132"/>
    <x v="1"/>
    <x v="1"/>
    <x v="0"/>
    <s v="2025-02"/>
    <n v="291.85000000000002"/>
    <n v="322.22000000000003"/>
    <n v="306.22399999999999"/>
    <n v="434.53"/>
    <n v="33"/>
    <m/>
    <n v="0"/>
    <n v="25"/>
    <n v="7655.6"/>
    <n v="6"/>
    <n v="19"/>
    <n v="2.84"/>
    <n v="4"/>
    <n v="38"/>
    <n v="16512.14"/>
    <n v="0"/>
    <x v="0"/>
    <s v="OK"/>
  </r>
  <r>
    <s v="IT-10132"/>
    <s v="Pressure valve 10-132"/>
    <x v="1"/>
    <x v="1"/>
    <x v="0"/>
    <s v="2025-03"/>
    <n v="287.74"/>
    <n v="317.68"/>
    <n v="315.40699999999998"/>
    <n v="434.53"/>
    <n v="33"/>
    <n v="33"/>
    <n v="101"/>
    <n v="100"/>
    <n v="31540.7"/>
    <n v="7"/>
    <n v="93"/>
    <n v="11.28"/>
    <n v="2"/>
    <n v="26"/>
    <n v="11297.78"/>
    <n v="0"/>
    <x v="0"/>
    <s v="OK"/>
  </r>
  <r>
    <s v="IT-10132"/>
    <s v="Pressure valve 10-132"/>
    <x v="1"/>
    <x v="1"/>
    <x v="0"/>
    <s v="2025-04"/>
    <n v="290.06"/>
    <n v="320.24"/>
    <n v="316.78788100000003"/>
    <n v="434.53"/>
    <n v="33"/>
    <n v="33"/>
    <n v="40"/>
    <n v="118"/>
    <n v="37380.97"/>
    <n v="11"/>
    <n v="107"/>
    <n v="17.45"/>
    <n v="5"/>
    <n v="22"/>
    <n v="9559.66"/>
    <n v="0"/>
    <x v="0"/>
    <s v="OK"/>
  </r>
  <r>
    <s v="IT-10132"/>
    <s v="Pressure valve 10-132"/>
    <x v="1"/>
    <x v="1"/>
    <x v="0"/>
    <s v="2025-05"/>
    <n v="286.06"/>
    <n v="315.83"/>
    <n v="316.78787499999999"/>
    <n v="434.53"/>
    <n v="33"/>
    <m/>
    <n v="0"/>
    <n v="80"/>
    <n v="25343.03"/>
    <n v="11"/>
    <n v="69"/>
    <n v="12.23"/>
    <n v="0"/>
    <n v="38"/>
    <n v="16512.14"/>
    <n v="0"/>
    <x v="0"/>
    <s v="OK"/>
  </r>
  <r>
    <s v="IT-10132"/>
    <s v="Pressure valve 10-132"/>
    <x v="1"/>
    <x v="1"/>
    <x v="0"/>
    <s v="2025-06"/>
    <n v="289.86"/>
    <n v="320.02"/>
    <n v="317.79097300000001"/>
    <n v="434.53"/>
    <n v="33"/>
    <n v="30"/>
    <n v="36"/>
    <n v="113"/>
    <n v="35910.379999999997"/>
    <n v="7"/>
    <n v="106"/>
    <n v="23.32"/>
    <n v="2"/>
    <n v="3"/>
    <n v="1303.5899999999999"/>
    <n v="0"/>
    <x v="0"/>
    <s v="OK"/>
  </r>
  <r>
    <s v="IT-10132"/>
    <s v="Pressure valve 10-132"/>
    <x v="1"/>
    <x v="1"/>
    <x v="0"/>
    <s v="2025-07"/>
    <n v="293.85000000000002"/>
    <n v="324.43"/>
    <n v="319.395039"/>
    <n v="434.53"/>
    <n v="33"/>
    <n v="29"/>
    <n v="36"/>
    <n v="129"/>
    <n v="41201.96"/>
    <n v="5"/>
    <n v="124"/>
    <n v="27.79"/>
    <n v="3"/>
    <n v="20"/>
    <n v="8690.6"/>
    <n v="0"/>
    <x v="0"/>
    <s v="OK"/>
  </r>
  <r>
    <s v="IT-10132"/>
    <s v="Pressure valve 10-132"/>
    <x v="1"/>
    <x v="1"/>
    <x v="0"/>
    <s v="2025-08"/>
    <n v="293.37"/>
    <n v="323.89999999999998"/>
    <n v="319.39505500000001"/>
    <n v="434.53"/>
    <n v="33"/>
    <m/>
    <n v="0"/>
    <n v="91"/>
    <n v="29064.95"/>
    <n v="7"/>
    <n v="84"/>
    <n v="19.61"/>
    <n v="5"/>
    <n v="38"/>
    <n v="16512.14"/>
    <n v="0"/>
    <x v="0"/>
    <s v="OK"/>
  </r>
  <r>
    <s v="IT-10132"/>
    <s v="Pressure valve 10-132"/>
    <x v="1"/>
    <x v="1"/>
    <x v="0"/>
    <s v="2025-09"/>
    <n v="289.88"/>
    <n v="320.05"/>
    <n v="319.580714"/>
    <n v="434.53"/>
    <n v="33"/>
    <n v="51"/>
    <n v="36"/>
    <n v="98"/>
    <n v="31318.91"/>
    <n v="7"/>
    <n v="91"/>
    <n v="14.8"/>
    <n v="9"/>
    <n v="29"/>
    <n v="12601.37"/>
    <n v="0"/>
    <x v="0"/>
    <s v="OK"/>
  </r>
  <r>
    <s v="IT-10132"/>
    <s v="Pressure valve 10-132"/>
    <x v="1"/>
    <x v="1"/>
    <x v="0"/>
    <s v="2025-10"/>
    <n v="293.54000000000002"/>
    <n v="324.08999999999997"/>
    <n v="320.792125"/>
    <n v="434.53"/>
    <n v="33"/>
    <n v="30"/>
    <n v="36"/>
    <n v="80"/>
    <n v="25663.37"/>
    <n v="8"/>
    <n v="72"/>
    <n v="8.69"/>
    <n v="2"/>
    <n v="54"/>
    <n v="23464.62"/>
    <n v="0"/>
    <x v="0"/>
    <s v="OK"/>
  </r>
  <r>
    <s v="IT-10132"/>
    <s v="Pressure valve 10-132"/>
    <x v="1"/>
    <x v="1"/>
    <x v="0"/>
    <s v="2025-11"/>
    <n v="283.04000000000002"/>
    <n v="312.49"/>
    <n v="317.88972699999999"/>
    <n v="434.53"/>
    <n v="33"/>
    <n v="30"/>
    <n v="43"/>
    <n v="110"/>
    <n v="34967.870000000003"/>
    <n v="5"/>
    <n v="105"/>
    <n v="14.9"/>
    <n v="1"/>
    <n v="13"/>
    <n v="5648.89"/>
    <n v="0"/>
    <x v="0"/>
    <s v="OK"/>
  </r>
  <r>
    <s v="IT-10132"/>
    <s v="Pressure valve 10-132"/>
    <x v="1"/>
    <x v="1"/>
    <x v="0"/>
    <s v="2025-12"/>
    <n v="290.5"/>
    <n v="320.73"/>
    <n v="317.88971400000003"/>
    <n v="434.53"/>
    <n v="33"/>
    <m/>
    <n v="0"/>
    <n v="70"/>
    <n v="22252.28"/>
    <n v="2"/>
    <n v="68"/>
    <n v="8.6"/>
    <n v="0"/>
    <n v="40"/>
    <n v="17381.2"/>
    <n v="0"/>
    <x v="0"/>
    <s v="OK"/>
  </r>
  <r>
    <s v="IT-10132"/>
    <s v="Pressure valve 10-132"/>
    <x v="1"/>
    <x v="1"/>
    <x v="0"/>
    <s v="2026-01"/>
    <n v="299.3"/>
    <n v="330.45"/>
    <n v="317.88967700000001"/>
    <n v="434.53"/>
    <n v="33"/>
    <m/>
    <n v="0"/>
    <n v="31"/>
    <n v="9854.58"/>
    <n v="2"/>
    <n v="29"/>
    <n v="4.43"/>
    <n v="1"/>
    <n v="39"/>
    <n v="16946.669999999998"/>
    <n v="0"/>
    <x v="0"/>
    <s v="OK"/>
  </r>
  <r>
    <s v="IT-10132"/>
    <s v="Pressure valve 10-132"/>
    <x v="1"/>
    <x v="1"/>
    <x v="0"/>
    <s v="2026-02"/>
    <n v="296.75"/>
    <n v="327.63"/>
    <n v="323.12323500000002"/>
    <n v="452.37"/>
    <n v="33"/>
    <n v="32"/>
    <n v="36"/>
    <n v="34"/>
    <n v="10986.19"/>
    <n v="12"/>
    <n v="22"/>
    <n v="3.9"/>
    <n v="5"/>
    <n v="33"/>
    <n v="14928.21"/>
    <n v="0"/>
    <x v="0"/>
    <s v="OK"/>
  </r>
  <r>
    <s v="IT-10132"/>
    <s v="Pressure valve 10-132"/>
    <x v="1"/>
    <x v="1"/>
    <x v="0"/>
    <s v="2026-03"/>
    <n v="295.51"/>
    <n v="326.26"/>
    <n v="325.47576099999998"/>
    <n v="452.37"/>
    <n v="33"/>
    <n v="30"/>
    <n v="102"/>
    <n v="92"/>
    <n v="29943.77"/>
    <n v="2"/>
    <n v="90"/>
    <n v="10.199999999999999"/>
    <n v="0"/>
    <n v="44"/>
    <n v="19904.28"/>
    <n v="0"/>
    <x v="0"/>
    <s v="OK"/>
  </r>
  <r>
    <s v="IT-10132"/>
    <s v="Pressure valve 10-132"/>
    <x v="1"/>
    <x v="1"/>
    <x v="0"/>
    <s v="2026-04"/>
    <n v="293.75"/>
    <n v="324.32"/>
    <n v="325.47583300000002"/>
    <n v="452.37"/>
    <n v="33"/>
    <m/>
    <n v="0"/>
    <n v="36"/>
    <n v="11717.13"/>
    <n v="6"/>
    <n v="30"/>
    <n v="3.44"/>
    <n v="3"/>
    <n v="56"/>
    <n v="25332.720000000001"/>
    <n v="0"/>
    <x v="0"/>
    <s v="OK"/>
  </r>
  <r>
    <s v="IT-10132"/>
    <s v="Pressure valve 10-132"/>
    <x v="1"/>
    <x v="1"/>
    <x v="0"/>
    <s v="2026-05"/>
    <n v="298.63"/>
    <n v="329.71"/>
    <n v="328.33666699999998"/>
    <n v="452.37"/>
    <n v="33"/>
    <n v="30"/>
    <n v="75"/>
    <n v="48"/>
    <n v="15760.16"/>
    <n v="6"/>
    <n v="42"/>
    <n v="3.87"/>
    <n v="2"/>
    <n v="63"/>
    <n v="28499.31"/>
    <n v="0"/>
    <x v="0"/>
    <s v="OK"/>
  </r>
  <r>
    <s v="IT-10132"/>
    <s v="Pressure valve 10-132"/>
    <x v="1"/>
    <x v="1"/>
    <x v="0"/>
    <s v="2026-06"/>
    <n v="295.49"/>
    <n v="326.24"/>
    <n v="326.95371699999998"/>
    <n v="452.37"/>
    <n v="33"/>
    <n v="29"/>
    <n v="93"/>
    <n v="113"/>
    <n v="36945.769999999997"/>
    <n v="11"/>
    <n v="102"/>
    <n v="9.99"/>
    <n v="0"/>
    <n v="28"/>
    <n v="12666.36"/>
    <n v="0"/>
    <x v="0"/>
    <s v="OK"/>
  </r>
  <r>
    <s v="IT-10132"/>
    <s v="Pressure valve 10-132"/>
    <x v="1"/>
    <x v="1"/>
    <x v="0"/>
    <s v="2026-07"/>
    <n v="298.13"/>
    <n v="329.15"/>
    <n v="326.953667"/>
    <n v="452.37"/>
    <n v="33"/>
    <m/>
    <n v="0"/>
    <n v="60"/>
    <n v="19617.22"/>
    <n v="7"/>
    <n v="53"/>
    <n v="5.48"/>
    <n v="6"/>
    <n v="53"/>
    <n v="23975.61"/>
    <n v="0"/>
    <x v="0"/>
    <s v="OK"/>
  </r>
  <r>
    <s v="IT-10132"/>
    <s v="Pressure valve 10-132"/>
    <x v="1"/>
    <x v="1"/>
    <x v="0"/>
    <s v="2026-08"/>
    <n v="301.85000000000002"/>
    <n v="333.26"/>
    <n v="331.22572300000002"/>
    <n v="452.37"/>
    <n v="33"/>
    <n v="30"/>
    <n v="126"/>
    <n v="159"/>
    <n v="52664.89"/>
    <n v="2"/>
    <n v="157"/>
    <n v="19.350000000000001"/>
    <n v="2"/>
    <n v="27"/>
    <n v="12213.99"/>
    <n v="0"/>
    <x v="0"/>
    <s v="OK"/>
  </r>
  <r>
    <s v="IT-10133"/>
    <s v="Filter cartridge M-133"/>
    <x v="1"/>
    <x v="1"/>
    <x v="0"/>
    <s v="2024-09"/>
    <n v="69.02"/>
    <n v="69.02"/>
    <n v="68.462451000000001"/>
    <n v="100.6"/>
    <n v="15"/>
    <n v="13"/>
    <n v="127"/>
    <n v="253"/>
    <n v="17321"/>
    <n v="38"/>
    <n v="215"/>
    <n v="5.68"/>
    <n v="2"/>
    <n v="209"/>
    <n v="21025.4"/>
    <n v="0"/>
    <x v="0"/>
    <s v="OK"/>
  </r>
  <r>
    <s v="IT-10133"/>
    <s v="Filter cartridge M-133"/>
    <x v="1"/>
    <x v="1"/>
    <x v="0"/>
    <s v="2024-10"/>
    <n v="68.17"/>
    <n v="68.17"/>
    <n v="68.323491000000004"/>
    <n v="100.6"/>
    <n v="15"/>
    <n v="14"/>
    <n v="229"/>
    <n v="275"/>
    <n v="18788.96"/>
    <n v="13"/>
    <n v="262"/>
    <n v="6.27"/>
    <n v="0"/>
    <n v="207"/>
    <n v="20824.2"/>
    <n v="0"/>
    <x v="0"/>
    <s v="OK"/>
  </r>
  <r>
    <s v="IT-10133"/>
    <s v="Filter cartridge M-133"/>
    <x v="1"/>
    <x v="1"/>
    <x v="0"/>
    <s v="2024-11"/>
    <n v="69.150000000000006"/>
    <n v="69.150000000000006"/>
    <n v="68.640409000000005"/>
    <n v="100.6"/>
    <n v="15"/>
    <n v="14"/>
    <n v="171"/>
    <n v="171"/>
    <n v="11737.51"/>
    <n v="25"/>
    <n v="146"/>
    <n v="3.22"/>
    <n v="0"/>
    <n v="275"/>
    <n v="27665"/>
    <n v="0"/>
    <x v="0"/>
    <s v="OK"/>
  </r>
  <r>
    <s v="IT-10133"/>
    <s v="Filter cartridge M-133"/>
    <x v="1"/>
    <x v="1"/>
    <x v="0"/>
    <s v="2024-12"/>
    <n v="69.83"/>
    <n v="69.83"/>
    <n v="69.359121999999999"/>
    <n v="100.6"/>
    <n v="15"/>
    <n v="20"/>
    <n v="261"/>
    <n v="319"/>
    <n v="22125.56"/>
    <n v="56"/>
    <n v="263"/>
    <n v="7.05"/>
    <n v="0"/>
    <n v="113"/>
    <n v="11367.8"/>
    <n v="0"/>
    <x v="0"/>
    <s v="OK"/>
  </r>
  <r>
    <s v="IT-10133"/>
    <s v="Filter cartridge M-133"/>
    <x v="1"/>
    <x v="1"/>
    <x v="0"/>
    <s v="2025-01"/>
    <n v="72.19"/>
    <n v="72.19"/>
    <n v="69.736048999999994"/>
    <n v="100.6"/>
    <n v="15"/>
    <n v="15"/>
    <n v="49"/>
    <n v="205"/>
    <n v="14295.89"/>
    <n v="38"/>
    <n v="167"/>
    <n v="4.8899999999999997"/>
    <n v="0"/>
    <n v="163"/>
    <n v="16397.8"/>
    <n v="0"/>
    <x v="0"/>
    <s v="OK"/>
  </r>
  <r>
    <s v="IT-10133"/>
    <s v="Filter cartridge M-133"/>
    <x v="1"/>
    <x v="1"/>
    <x v="0"/>
    <s v="2025-02"/>
    <n v="71.959999999999994"/>
    <n v="71.959999999999994"/>
    <n v="71.057193999999996"/>
    <n v="105.96"/>
    <n v="15"/>
    <n v="13"/>
    <n v="300"/>
    <n v="253"/>
    <n v="17977.47"/>
    <n v="56"/>
    <n v="197"/>
    <n v="6.16"/>
    <n v="1"/>
    <n v="252"/>
    <n v="26701.919999999998"/>
    <n v="0"/>
    <x v="0"/>
    <s v="OK"/>
  </r>
  <r>
    <s v="IT-10133"/>
    <s v="Filter cartridge M-133"/>
    <x v="1"/>
    <x v="1"/>
    <x v="0"/>
    <s v="2025-03"/>
    <n v="71.61"/>
    <n v="71.61"/>
    <n v="71.179666999999995"/>
    <n v="105.96"/>
    <n v="15"/>
    <n v="14"/>
    <n v="72"/>
    <n v="270"/>
    <n v="19218.509999999998"/>
    <n v="25"/>
    <n v="245"/>
    <n v="7.39"/>
    <n v="1"/>
    <n v="55"/>
    <n v="5827.8"/>
    <n v="0"/>
    <x v="0"/>
    <s v="OK"/>
  </r>
  <r>
    <s v="IT-10133"/>
    <s v="Filter cartridge M-133"/>
    <x v="1"/>
    <x v="1"/>
    <x v="0"/>
    <s v="2025-04"/>
    <n v="72.489999999999995"/>
    <n v="72.489999999999995"/>
    <n v="71.703783000000001"/>
    <n v="105.96"/>
    <n v="15"/>
    <n v="21"/>
    <n v="180"/>
    <n v="230"/>
    <n v="16491.87"/>
    <n v="19"/>
    <n v="211"/>
    <n v="5.55"/>
    <n v="3"/>
    <n v="220"/>
    <n v="23311.200000000001"/>
    <n v="0"/>
    <x v="0"/>
    <s v="OK"/>
  </r>
  <r>
    <s v="IT-10133"/>
    <s v="Filter cartridge M-133"/>
    <x v="1"/>
    <x v="1"/>
    <x v="0"/>
    <s v="2025-05"/>
    <n v="70.7"/>
    <n v="70.7"/>
    <n v="71.189138"/>
    <n v="105.96"/>
    <n v="15"/>
    <n v="24"/>
    <n v="242"/>
    <n v="174"/>
    <n v="12386.91"/>
    <n v="56"/>
    <n v="118"/>
    <n v="3.99"/>
    <n v="3"/>
    <n v="298"/>
    <n v="31576.080000000002"/>
    <n v="0"/>
    <x v="0"/>
    <s v="OK"/>
  </r>
  <r>
    <s v="IT-10133"/>
    <s v="Filter cartridge M-133"/>
    <x v="1"/>
    <x v="1"/>
    <x v="0"/>
    <s v="2025-06"/>
    <n v="70.180000000000007"/>
    <n v="70.180000000000007"/>
    <n v="70.697971999999993"/>
    <n v="105.96"/>
    <n v="15"/>
    <n v="25"/>
    <n v="165"/>
    <n v="286"/>
    <n v="20219.62"/>
    <n v="13"/>
    <n v="273"/>
    <n v="6.51"/>
    <n v="0"/>
    <n v="53"/>
    <n v="5615.88"/>
    <n v="0"/>
    <x v="0"/>
    <s v="OK"/>
  </r>
  <r>
    <s v="IT-10133"/>
    <s v="Filter cartridge M-133"/>
    <x v="1"/>
    <x v="1"/>
    <x v="0"/>
    <s v="2025-07"/>
    <n v="70.989999999999995"/>
    <n v="70.989999999999995"/>
    <n v="70.766765000000007"/>
    <n v="105.96"/>
    <n v="15"/>
    <n v="23"/>
    <n v="88"/>
    <n v="34"/>
    <n v="2406.0700000000002"/>
    <n v="13"/>
    <n v="21"/>
    <n v="0.65"/>
    <n v="1"/>
    <n v="340"/>
    <n v="36026.400000000001"/>
    <n v="0"/>
    <x v="0"/>
    <s v="OK"/>
  </r>
  <r>
    <s v="IT-10133"/>
    <s v="Filter cartridge M-133"/>
    <x v="1"/>
    <x v="1"/>
    <x v="0"/>
    <s v="2025-08"/>
    <n v="71"/>
    <n v="71"/>
    <n v="70.983667999999994"/>
    <n v="105.96"/>
    <n v="15"/>
    <n v="25"/>
    <n v="452"/>
    <n v="259"/>
    <n v="18384.77"/>
    <n v="50"/>
    <n v="209"/>
    <n v="5.49"/>
    <n v="0"/>
    <n v="227"/>
    <n v="24052.92"/>
    <n v="0"/>
    <x v="0"/>
    <s v="OK"/>
  </r>
  <r>
    <s v="IT-10133"/>
    <s v="Filter cartridge M-133"/>
    <x v="1"/>
    <x v="1"/>
    <x v="0"/>
    <s v="2025-09"/>
    <n v="72.33"/>
    <n v="72.33"/>
    <n v="71.633973999999995"/>
    <n v="105.96"/>
    <n v="15"/>
    <n v="13"/>
    <n v="242"/>
    <n v="229"/>
    <n v="16404.18"/>
    <n v="38"/>
    <n v="191"/>
    <n v="3.59"/>
    <n v="3"/>
    <n v="272"/>
    <n v="28821.119999999999"/>
    <n v="0"/>
    <x v="0"/>
    <s v="OK"/>
  </r>
  <r>
    <s v="IT-10133"/>
    <s v="Filter cartridge M-133"/>
    <x v="1"/>
    <x v="1"/>
    <x v="0"/>
    <s v="2025-10"/>
    <n v="71.33"/>
    <n v="71.33"/>
    <n v="71.504017000000005"/>
    <n v="105.96"/>
    <n v="15"/>
    <n v="14"/>
    <n v="171"/>
    <n v="239"/>
    <n v="17089.46"/>
    <n v="25"/>
    <n v="214"/>
    <n v="4.76"/>
    <n v="0"/>
    <n v="161"/>
    <n v="17059.560000000001"/>
    <n v="0"/>
    <x v="0"/>
    <s v="OK"/>
  </r>
  <r>
    <s v="IT-10133"/>
    <s v="Filter cartridge M-133"/>
    <x v="1"/>
    <x v="1"/>
    <x v="0"/>
    <s v="2025-11"/>
    <n v="70.72"/>
    <n v="70.72"/>
    <n v="71.180378000000005"/>
    <n v="105.96"/>
    <n v="15"/>
    <n v="14"/>
    <n v="168"/>
    <n v="185"/>
    <n v="13168.37"/>
    <n v="31"/>
    <n v="154"/>
    <n v="3.67"/>
    <n v="1"/>
    <n v="222"/>
    <n v="23523.119999999999"/>
    <n v="0"/>
    <x v="0"/>
    <s v="OK"/>
  </r>
  <r>
    <s v="IT-10133"/>
    <s v="Filter cartridge M-133"/>
    <x v="1"/>
    <x v="1"/>
    <x v="0"/>
    <s v="2025-12"/>
    <n v="69.930000000000007"/>
    <n v="69.930000000000007"/>
    <n v="70.563734999999994"/>
    <n v="105.96"/>
    <n v="15"/>
    <n v="13"/>
    <n v="180"/>
    <n v="249"/>
    <n v="17570.37"/>
    <n v="13"/>
    <n v="236"/>
    <n v="6.56"/>
    <n v="0"/>
    <n v="116"/>
    <n v="12291.36"/>
    <n v="0"/>
    <x v="0"/>
    <s v="OK"/>
  </r>
  <r>
    <s v="IT-10133"/>
    <s v="Filter cartridge M-133"/>
    <x v="1"/>
    <x v="1"/>
    <x v="0"/>
    <s v="2026-01"/>
    <n v="74.38"/>
    <n v="74.38"/>
    <n v="72.254146000000006"/>
    <n v="105.96"/>
    <n v="15"/>
    <n v="13"/>
    <n v="198"/>
    <n v="246"/>
    <n v="17774.52"/>
    <n v="63"/>
    <n v="183"/>
    <n v="6"/>
    <n v="5"/>
    <n v="201"/>
    <n v="21297.96"/>
    <n v="0"/>
    <x v="0"/>
    <s v="OK"/>
  </r>
  <r>
    <s v="IT-10133"/>
    <s v="Filter cartridge M-133"/>
    <x v="1"/>
    <x v="1"/>
    <x v="0"/>
    <s v="2026-02"/>
    <n v="72.8"/>
    <n v="72.8"/>
    <n v="72.458332999999996"/>
    <n v="111.61"/>
    <n v="15"/>
    <n v="13"/>
    <n v="147"/>
    <n v="228"/>
    <n v="16520.5"/>
    <n v="25"/>
    <n v="203"/>
    <n v="6.08"/>
    <n v="0"/>
    <n v="165"/>
    <n v="18415.650000000001"/>
    <n v="0"/>
    <x v="0"/>
    <s v="OK"/>
  </r>
  <r>
    <s v="IT-10133"/>
    <s v="Filter cartridge M-133"/>
    <x v="1"/>
    <x v="1"/>
    <x v="0"/>
    <s v="2026-03"/>
    <n v="72.489999999999995"/>
    <n v="72.489999999999995"/>
    <n v="72.472885000000005"/>
    <n v="111.61"/>
    <n v="15"/>
    <n v="26"/>
    <n v="194"/>
    <n v="364"/>
    <n v="26380.13"/>
    <n v="13"/>
    <n v="351"/>
    <n v="11.04"/>
    <n v="0"/>
    <n v="58"/>
    <n v="6473.38"/>
    <n v="0"/>
    <x v="0"/>
    <s v="OK"/>
  </r>
  <r>
    <s v="IT-10133"/>
    <s v="Filter cartridge M-133"/>
    <x v="1"/>
    <x v="1"/>
    <x v="0"/>
    <s v="2026-04"/>
    <n v="73.52"/>
    <n v="73.52"/>
    <n v="72.472894999999994"/>
    <n v="111.61"/>
    <n v="15"/>
    <m/>
    <n v="0"/>
    <n v="76"/>
    <n v="5507.94"/>
    <n v="13"/>
    <n v="63"/>
    <n v="1.89"/>
    <n v="1"/>
    <n v="288"/>
    <n v="32143.68"/>
    <n v="0"/>
    <x v="0"/>
    <s v="OK"/>
  </r>
  <r>
    <s v="IT-10133"/>
    <s v="Filter cartridge M-133"/>
    <x v="1"/>
    <x v="1"/>
    <x v="0"/>
    <s v="2026-05"/>
    <n v="73.47"/>
    <n v="73.47"/>
    <n v="73.136222000000004"/>
    <n v="111.61"/>
    <n v="15"/>
    <n v="15"/>
    <n v="151"/>
    <n v="90"/>
    <n v="6582.26"/>
    <n v="38"/>
    <n v="52"/>
    <n v="2.4500000000000002"/>
    <n v="1"/>
    <n v="137"/>
    <n v="15290.57"/>
    <n v="0"/>
    <x v="0"/>
    <s v="OK"/>
  </r>
  <r>
    <s v="IT-10133"/>
    <s v="Filter cartridge M-133"/>
    <x v="1"/>
    <x v="1"/>
    <x v="0"/>
    <s v="2026-06"/>
    <n v="74"/>
    <n v="74"/>
    <n v="73.721321000000003"/>
    <n v="111.61"/>
    <n v="15"/>
    <n v="13"/>
    <n v="189"/>
    <n v="106"/>
    <n v="7814.46"/>
    <n v="13"/>
    <n v="93"/>
    <n v="2.2999999999999998"/>
    <n v="2"/>
    <n v="173"/>
    <n v="19308.53"/>
    <n v="0"/>
    <x v="0"/>
    <s v="OK"/>
  </r>
  <r>
    <s v="IT-10133"/>
    <s v="Filter cartridge M-133"/>
    <x v="1"/>
    <x v="1"/>
    <x v="0"/>
    <s v="2026-07"/>
    <n v="73.400000000000006"/>
    <n v="73.400000000000006"/>
    <n v="73.485179000000002"/>
    <n v="111.61"/>
    <n v="15"/>
    <n v="20"/>
    <n v="294"/>
    <n v="112"/>
    <n v="8230.34"/>
    <n v="25"/>
    <n v="87"/>
    <n v="2.46"/>
    <n v="0"/>
    <n v="288"/>
    <n v="32143.68"/>
    <n v="0"/>
    <x v="0"/>
    <s v="OK"/>
  </r>
  <r>
    <s v="IT-10133"/>
    <s v="Filter cartridge M-133"/>
    <x v="1"/>
    <x v="1"/>
    <x v="0"/>
    <s v="2026-08"/>
    <n v="75.11"/>
    <n v="75.11"/>
    <n v="74.766006000000004"/>
    <n v="111.61"/>
    <n v="15"/>
    <n v="14"/>
    <n v="417"/>
    <n v="318"/>
    <n v="23775.59"/>
    <n v="44"/>
    <n v="274"/>
    <n v="6.22"/>
    <n v="2"/>
    <n v="211"/>
    <n v="23549.71"/>
    <n v="0"/>
    <x v="0"/>
    <s v="OK"/>
  </r>
  <r>
    <s v="IT-10134"/>
    <s v="Bolt assortment M-134"/>
    <x v="2"/>
    <x v="2"/>
    <x v="0"/>
    <s v="2024-09"/>
    <n v="11.62"/>
    <n v="12.59"/>
    <n v="12.322404000000001"/>
    <n v="16.7"/>
    <n v="17"/>
    <m/>
    <n v="0"/>
    <n v="104"/>
    <n v="1281.53"/>
    <n v="7"/>
    <n v="97"/>
    <n v="31.79"/>
    <n v="5"/>
    <n v="15"/>
    <n v="250.5"/>
    <n v="0"/>
    <x v="0"/>
    <s v="OK"/>
  </r>
  <r>
    <s v="IT-10134"/>
    <s v="Bolt assortment M-134"/>
    <x v="2"/>
    <x v="2"/>
    <x v="0"/>
    <s v="2024-10"/>
    <n v="11.31"/>
    <n v="12.25"/>
    <n v="12.322368000000001"/>
    <n v="16.7"/>
    <n v="17"/>
    <m/>
    <n v="0"/>
    <n v="76"/>
    <n v="936.5"/>
    <n v="3"/>
    <n v="73"/>
    <n v="16.649999999999999"/>
    <n v="7"/>
    <n v="28"/>
    <n v="467.6"/>
    <n v="0"/>
    <x v="0"/>
    <s v="OK"/>
  </r>
  <r>
    <s v="IT-10134"/>
    <s v="Bolt assortment M-134"/>
    <x v="2"/>
    <x v="2"/>
    <x v="0"/>
    <s v="2024-11"/>
    <n v="11.21"/>
    <n v="12.14"/>
    <n v="12.278554"/>
    <n v="16.7"/>
    <n v="17"/>
    <n v="25"/>
    <n v="24"/>
    <n v="83"/>
    <n v="1019.12"/>
    <n v="6"/>
    <n v="77"/>
    <n v="17.98"/>
    <n v="10"/>
    <n v="17"/>
    <n v="283.89999999999998"/>
    <n v="0"/>
    <x v="0"/>
    <s v="OK"/>
  </r>
  <r>
    <s v="IT-10134"/>
    <s v="Bolt assortment M-134"/>
    <x v="2"/>
    <x v="2"/>
    <x v="0"/>
    <s v="2024-12"/>
    <n v="11.91"/>
    <n v="12.9"/>
    <n v="12.417999999999999"/>
    <n v="16.7"/>
    <n v="17"/>
    <n v="17"/>
    <n v="24"/>
    <n v="70"/>
    <n v="869.26"/>
    <n v="6"/>
    <n v="64"/>
    <n v="11.22"/>
    <n v="5"/>
    <n v="37"/>
    <n v="617.9"/>
    <n v="0"/>
    <x v="0"/>
    <s v="OK"/>
  </r>
  <r>
    <s v="IT-10134"/>
    <s v="Bolt assortment M-134"/>
    <x v="2"/>
    <x v="2"/>
    <x v="0"/>
    <s v="2025-01"/>
    <n v="11.9"/>
    <n v="12.89"/>
    <n v="12.589615"/>
    <n v="16.7"/>
    <n v="17"/>
    <n v="15"/>
    <n v="40"/>
    <n v="104"/>
    <n v="1309.32"/>
    <n v="3"/>
    <n v="101"/>
    <n v="22.78"/>
    <n v="21"/>
    <n v="6"/>
    <n v="100.2"/>
    <n v="0"/>
    <x v="0"/>
    <s v="OK"/>
  </r>
  <r>
    <s v="IT-10134"/>
    <s v="Bolt assortment M-134"/>
    <x v="2"/>
    <x v="2"/>
    <x v="0"/>
    <s v="2025-02"/>
    <n v="11.73"/>
    <n v="12.71"/>
    <n v="12.612143"/>
    <n v="17.12"/>
    <n v="17"/>
    <n v="17"/>
    <n v="24"/>
    <n v="98"/>
    <n v="1235.99"/>
    <n v="7"/>
    <n v="91"/>
    <n v="17.260000000000002"/>
    <n v="3"/>
    <n v="30"/>
    <n v="513.6"/>
    <n v="0"/>
    <x v="0"/>
    <s v="OK"/>
  </r>
  <r>
    <s v="IT-10134"/>
    <s v="Bolt assortment M-134"/>
    <x v="2"/>
    <x v="2"/>
    <x v="0"/>
    <s v="2025-03"/>
    <n v="11.72"/>
    <n v="12.7"/>
    <n v="12.612062999999999"/>
    <n v="17.12"/>
    <n v="17"/>
    <m/>
    <n v="0"/>
    <n v="63"/>
    <n v="794.56"/>
    <n v="8"/>
    <n v="55"/>
    <n v="11.41"/>
    <n v="4"/>
    <n v="35"/>
    <n v="599.20000000000005"/>
    <n v="0"/>
    <x v="0"/>
    <s v="OK"/>
  </r>
  <r>
    <s v="IT-10134"/>
    <s v="Bolt assortment M-134"/>
    <x v="2"/>
    <x v="2"/>
    <x v="0"/>
    <s v="2025-04"/>
    <n v="11.71"/>
    <n v="12.68"/>
    <n v="12.644949"/>
    <n v="17.12"/>
    <n v="17"/>
    <n v="17"/>
    <n v="59"/>
    <n v="99"/>
    <n v="1251.8499999999999"/>
    <n v="4"/>
    <n v="95"/>
    <n v="14.3"/>
    <n v="0"/>
    <n v="23"/>
    <n v="393.76"/>
    <n v="0"/>
    <x v="0"/>
    <s v="OK"/>
  </r>
  <r>
    <s v="IT-10134"/>
    <s v="Bolt assortment M-134"/>
    <x v="2"/>
    <x v="2"/>
    <x v="0"/>
    <s v="2025-05"/>
    <n v="11.87"/>
    <n v="12.86"/>
    <n v="12.645"/>
    <n v="17.12"/>
    <n v="17"/>
    <m/>
    <n v="0"/>
    <n v="78"/>
    <n v="986.31"/>
    <n v="4"/>
    <n v="74"/>
    <n v="12.98"/>
    <n v="14"/>
    <n v="21"/>
    <n v="359.52"/>
    <n v="0"/>
    <x v="0"/>
    <s v="OK"/>
  </r>
  <r>
    <s v="IT-10134"/>
    <s v="Bolt assortment M-134"/>
    <x v="2"/>
    <x v="2"/>
    <x v="0"/>
    <s v="2025-06"/>
    <n v="11.56"/>
    <n v="12.52"/>
    <n v="12.645"/>
    <n v="17.12"/>
    <n v="17"/>
    <m/>
    <n v="0"/>
    <n v="58"/>
    <n v="733.41"/>
    <n v="4"/>
    <n v="54"/>
    <n v="11.78"/>
    <n v="7"/>
    <n v="20"/>
    <n v="342.4"/>
    <n v="0"/>
    <x v="0"/>
    <s v="OK"/>
  </r>
  <r>
    <s v="IT-10134"/>
    <s v="Bolt assortment M-134"/>
    <x v="2"/>
    <x v="2"/>
    <x v="0"/>
    <s v="2025-07"/>
    <n v="11.49"/>
    <n v="12.45"/>
    <n v="12.547453000000001"/>
    <n v="17.12"/>
    <n v="17"/>
    <n v="16"/>
    <n v="58"/>
    <n v="106"/>
    <n v="1330.03"/>
    <n v="7"/>
    <n v="99"/>
    <n v="27.32"/>
    <n v="7"/>
    <n v="10"/>
    <n v="171.2"/>
    <n v="0"/>
    <x v="0"/>
    <s v="OK"/>
  </r>
  <r>
    <s v="IT-10134"/>
    <s v="Bolt assortment M-134"/>
    <x v="2"/>
    <x v="2"/>
    <x v="0"/>
    <s v="2025-08"/>
    <n v="11.82"/>
    <n v="12.8"/>
    <n v="12.597184"/>
    <n v="17.12"/>
    <n v="17"/>
    <n v="17"/>
    <n v="26"/>
    <n v="103"/>
    <n v="1297.51"/>
    <n v="7"/>
    <n v="96"/>
    <n v="22.94"/>
    <n v="2"/>
    <n v="29"/>
    <n v="496.48"/>
    <n v="0"/>
    <x v="0"/>
    <s v="OK"/>
  </r>
  <r>
    <s v="IT-10134"/>
    <s v="Bolt assortment M-134"/>
    <x v="2"/>
    <x v="2"/>
    <x v="0"/>
    <s v="2025-09"/>
    <n v="11.9"/>
    <n v="12.89"/>
    <n v="12.597123"/>
    <n v="17.12"/>
    <n v="17"/>
    <m/>
    <n v="0"/>
    <n v="73"/>
    <n v="919.59"/>
    <n v="6"/>
    <n v="67"/>
    <n v="13.9"/>
    <n v="5"/>
    <n v="30"/>
    <n v="513.6"/>
    <n v="0"/>
    <x v="0"/>
    <s v="OK"/>
  </r>
  <r>
    <s v="IT-10134"/>
    <s v="Bolt assortment M-134"/>
    <x v="2"/>
    <x v="2"/>
    <x v="0"/>
    <s v="2025-10"/>
    <n v="11.5"/>
    <n v="12.46"/>
    <n v="12.542702999999999"/>
    <n v="17.12"/>
    <n v="17"/>
    <n v="15"/>
    <n v="48"/>
    <n v="74"/>
    <n v="928.16"/>
    <n v="5"/>
    <n v="69"/>
    <n v="9.18"/>
    <n v="1"/>
    <n v="47"/>
    <n v="804.64"/>
    <n v="0"/>
    <x v="0"/>
    <s v="OK"/>
  </r>
  <r>
    <s v="IT-10134"/>
    <s v="Bolt assortment M-134"/>
    <x v="2"/>
    <x v="2"/>
    <x v="0"/>
    <s v="2025-11"/>
    <n v="11.63"/>
    <n v="12.6"/>
    <n v="12.560745000000001"/>
    <n v="17.12"/>
    <n v="17"/>
    <n v="17"/>
    <n v="34"/>
    <n v="94"/>
    <n v="1180.71"/>
    <n v="2"/>
    <n v="92"/>
    <n v="13.43"/>
    <n v="4"/>
    <n v="14"/>
    <n v="239.68"/>
    <n v="0"/>
    <x v="0"/>
    <s v="OK"/>
  </r>
  <r>
    <s v="IT-10134"/>
    <s v="Bolt assortment M-134"/>
    <x v="2"/>
    <x v="2"/>
    <x v="0"/>
    <s v="2025-12"/>
    <n v="11.87"/>
    <n v="12.86"/>
    <n v="12.621600000000001"/>
    <n v="17.12"/>
    <n v="17"/>
    <n v="15"/>
    <n v="24"/>
    <n v="75"/>
    <n v="946.62"/>
    <n v="5"/>
    <n v="70"/>
    <n v="9.48"/>
    <n v="1"/>
    <n v="43"/>
    <n v="736.16"/>
    <n v="0"/>
    <x v="0"/>
    <s v="OK"/>
  </r>
  <r>
    <s v="IT-10134"/>
    <s v="Bolt assortment M-134"/>
    <x v="2"/>
    <x v="2"/>
    <x v="0"/>
    <s v="2026-01"/>
    <n v="12.09"/>
    <n v="13.1"/>
    <n v="12.788"/>
    <n v="17.12"/>
    <n v="17"/>
    <n v="15"/>
    <n v="40"/>
    <n v="75"/>
    <n v="959.1"/>
    <n v="3"/>
    <n v="72"/>
    <n v="10.16"/>
    <n v="12"/>
    <n v="40"/>
    <n v="684.8"/>
    <n v="0"/>
    <x v="0"/>
    <s v="OK"/>
  </r>
  <r>
    <s v="IT-10134"/>
    <s v="Bolt assortment M-134"/>
    <x v="2"/>
    <x v="2"/>
    <x v="0"/>
    <s v="2026-02"/>
    <n v="11.93"/>
    <n v="12.92"/>
    <n v="12.829221"/>
    <n v="17.55"/>
    <n v="17"/>
    <n v="16"/>
    <n v="34"/>
    <n v="77"/>
    <n v="987.85"/>
    <n v="6"/>
    <n v="71"/>
    <n v="8.61"/>
    <n v="0"/>
    <n v="32"/>
    <n v="561.6"/>
    <n v="0"/>
    <x v="0"/>
    <s v="OK"/>
  </r>
  <r>
    <s v="IT-10134"/>
    <s v="Bolt assortment M-134"/>
    <x v="2"/>
    <x v="2"/>
    <x v="0"/>
    <s v="2026-03"/>
    <n v="12.06"/>
    <n v="13.06"/>
    <n v="12.884022999999999"/>
    <n v="17.55"/>
    <n v="17"/>
    <n v="17"/>
    <n v="24"/>
    <n v="87"/>
    <n v="1120.9100000000001"/>
    <n v="2"/>
    <n v="85"/>
    <n v="13.01"/>
    <n v="10"/>
    <n v="14"/>
    <n v="245.7"/>
    <n v="0"/>
    <x v="0"/>
    <s v="OK"/>
  </r>
  <r>
    <s v="IT-10134"/>
    <s v="Bolt assortment M-134"/>
    <x v="2"/>
    <x v="2"/>
    <x v="0"/>
    <s v="2026-04"/>
    <n v="12.13"/>
    <n v="13.14"/>
    <n v="12.939361999999999"/>
    <n v="17.55"/>
    <n v="17"/>
    <n v="16"/>
    <n v="24"/>
    <n v="94"/>
    <n v="1216.3"/>
    <n v="2"/>
    <n v="92"/>
    <n v="18.97"/>
    <n v="2"/>
    <n v="17"/>
    <n v="298.35000000000002"/>
    <n v="0"/>
    <x v="0"/>
    <s v="OK"/>
  </r>
  <r>
    <s v="IT-10134"/>
    <s v="Bolt assortment M-134"/>
    <x v="2"/>
    <x v="2"/>
    <x v="0"/>
    <s v="2026-05"/>
    <n v="12.01"/>
    <n v="13.01"/>
    <n v="12.939355000000001"/>
    <n v="17.55"/>
    <n v="17"/>
    <m/>
    <n v="0"/>
    <n v="62"/>
    <n v="802.24"/>
    <n v="2"/>
    <n v="60"/>
    <n v="12.93"/>
    <n v="0"/>
    <n v="32"/>
    <n v="561.6"/>
    <n v="0"/>
    <x v="0"/>
    <s v="OK"/>
  </r>
  <r>
    <s v="IT-10134"/>
    <s v="Bolt assortment M-134"/>
    <x v="2"/>
    <x v="2"/>
    <x v="0"/>
    <s v="2026-06"/>
    <n v="11.81"/>
    <n v="12.79"/>
    <n v="12.897593000000001"/>
    <n v="17.55"/>
    <n v="17"/>
    <n v="16"/>
    <n v="24"/>
    <n v="54"/>
    <n v="696.47"/>
    <n v="5"/>
    <n v="49"/>
    <n v="8.67"/>
    <n v="6"/>
    <n v="32"/>
    <n v="561.6"/>
    <n v="0"/>
    <x v="0"/>
    <s v="OK"/>
  </r>
  <r>
    <s v="IT-10134"/>
    <s v="Bolt assortment M-134"/>
    <x v="2"/>
    <x v="2"/>
    <x v="0"/>
    <s v="2026-07"/>
    <n v="11.87"/>
    <n v="12.86"/>
    <n v="12.883881000000001"/>
    <n v="17.55"/>
    <n v="17"/>
    <n v="19"/>
    <n v="31"/>
    <n v="67"/>
    <n v="863.22"/>
    <n v="8"/>
    <n v="59"/>
    <n v="10.74"/>
    <n v="3"/>
    <n v="18"/>
    <n v="315.89999999999998"/>
    <n v="0"/>
    <x v="0"/>
    <s v="OK"/>
  </r>
  <r>
    <s v="IT-10134"/>
    <s v="Bolt assortment M-134"/>
    <x v="2"/>
    <x v="2"/>
    <x v="0"/>
    <s v="2026-08"/>
    <n v="12.08"/>
    <n v="13.09"/>
    <n v="12.938281"/>
    <n v="17.55"/>
    <n v="17"/>
    <n v="27"/>
    <n v="24"/>
    <n v="64"/>
    <n v="828.05"/>
    <n v="7"/>
    <n v="57"/>
    <n v="10.92"/>
    <n v="1"/>
    <n v="27"/>
    <n v="473.85"/>
    <n v="0"/>
    <x v="0"/>
    <s v="OK"/>
  </r>
  <r>
    <s v="IT-10135"/>
    <s v="Bolt assortment M-135"/>
    <x v="2"/>
    <x v="2"/>
    <x v="1"/>
    <s v="2024-09"/>
    <n v="4.43"/>
    <n v="4.43"/>
    <n v="4.5163589999999996"/>
    <n v="6.27"/>
    <n v="42"/>
    <m/>
    <n v="0"/>
    <n v="1442"/>
    <n v="6512.59"/>
    <n v="83"/>
    <n v="1359"/>
    <n v="9.42"/>
    <n v="2"/>
    <n v="578"/>
    <n v="3624.06"/>
    <n v="0"/>
    <x v="0"/>
    <s v="OK"/>
  </r>
  <r>
    <s v="IT-10135"/>
    <s v="Bolt assortment M-135"/>
    <x v="2"/>
    <x v="2"/>
    <x v="1"/>
    <s v="2024-10"/>
    <n v="4.45"/>
    <n v="4.45"/>
    <n v="4.4922810000000002"/>
    <n v="6.27"/>
    <n v="42"/>
    <n v="40"/>
    <n v="821"/>
    <n v="1175"/>
    <n v="5278.43"/>
    <n v="55"/>
    <n v="1120"/>
    <n v="6.98"/>
    <n v="1"/>
    <n v="1088"/>
    <n v="6821.76"/>
    <n v="0"/>
    <x v="0"/>
    <s v="OK"/>
  </r>
  <r>
    <s v="IT-10135"/>
    <s v="Bolt assortment M-135"/>
    <x v="2"/>
    <x v="2"/>
    <x v="1"/>
    <s v="2024-11"/>
    <n v="4.47"/>
    <n v="4.47"/>
    <n v="4.4834149999999999"/>
    <n v="6.27"/>
    <n v="42"/>
    <n v="37"/>
    <n v="776"/>
    <n v="650"/>
    <n v="2914.22"/>
    <n v="165"/>
    <n v="485"/>
    <n v="2.85"/>
    <n v="0"/>
    <n v="1301"/>
    <n v="8157.27"/>
    <n v="0"/>
    <x v="0"/>
    <s v="OK"/>
  </r>
  <r>
    <s v="IT-10135"/>
    <s v="Bolt assortment M-135"/>
    <x v="2"/>
    <x v="2"/>
    <x v="1"/>
    <s v="2024-12"/>
    <n v="4.62"/>
    <n v="4.62"/>
    <n v="4.5764570000000004"/>
    <n v="6.27"/>
    <n v="42"/>
    <n v="41"/>
    <n v="1389"/>
    <n v="1431"/>
    <n v="6548.91"/>
    <n v="165"/>
    <n v="1266"/>
    <n v="6.28"/>
    <n v="6"/>
    <n v="608"/>
    <n v="3812.16"/>
    <n v="0"/>
    <x v="0"/>
    <s v="OK"/>
  </r>
  <r>
    <s v="IT-10135"/>
    <s v="Bolt assortment M-135"/>
    <x v="2"/>
    <x v="2"/>
    <x v="1"/>
    <s v="2025-01"/>
    <n v="4.59"/>
    <n v="4.59"/>
    <n v="4.5764290000000001"/>
    <n v="6.27"/>
    <n v="42"/>
    <m/>
    <n v="0"/>
    <n v="98"/>
    <n v="448.49"/>
    <n v="98"/>
    <n v="0"/>
    <n v="0.4"/>
    <n v="0"/>
    <n v="1333"/>
    <n v="8357.91"/>
    <n v="0"/>
    <x v="0"/>
    <s v="OK"/>
  </r>
  <r>
    <s v="IT-10135"/>
    <s v="Bolt assortment M-135"/>
    <x v="2"/>
    <x v="2"/>
    <x v="1"/>
    <s v="2025-02"/>
    <n v="4.57"/>
    <n v="4.57"/>
    <n v="4.5704269999999996"/>
    <n v="6.45"/>
    <n v="42"/>
    <n v="70"/>
    <n v="1395"/>
    <n v="773"/>
    <n v="3532.94"/>
    <n v="193"/>
    <n v="580"/>
    <n v="3.73"/>
    <n v="1"/>
    <n v="720"/>
    <n v="4644"/>
    <n v="0"/>
    <x v="0"/>
    <s v="OK"/>
  </r>
  <r>
    <s v="IT-10135"/>
    <s v="Bolt assortment M-135"/>
    <x v="2"/>
    <x v="2"/>
    <x v="1"/>
    <s v="2025-03"/>
    <n v="4.53"/>
    <n v="4.53"/>
    <n v="4.5478459999999998"/>
    <n v="6.45"/>
    <n v="42"/>
    <n v="41"/>
    <n v="978"/>
    <n v="1063"/>
    <n v="4834.3599999999997"/>
    <n v="275"/>
    <n v="788"/>
    <n v="4.99"/>
    <n v="0"/>
    <n v="688"/>
    <n v="4437.6000000000004"/>
    <n v="0"/>
    <x v="0"/>
    <s v="OK"/>
  </r>
  <r>
    <s v="IT-10135"/>
    <s v="Bolt assortment M-135"/>
    <x v="2"/>
    <x v="2"/>
    <x v="1"/>
    <s v="2025-04"/>
    <n v="4.5999999999999996"/>
    <n v="4.5999999999999996"/>
    <n v="4.5478459999999998"/>
    <n v="6.45"/>
    <n v="42"/>
    <m/>
    <n v="0"/>
    <n v="0"/>
    <n v="0"/>
    <n v="0"/>
    <n v="0"/>
    <n v="0"/>
    <n v="0"/>
    <n v="1063"/>
    <n v="6856.35"/>
    <n v="216"/>
    <x v="1"/>
    <s v="OK"/>
  </r>
  <r>
    <s v="IT-10135"/>
    <s v="Bolt assortment M-135"/>
    <x v="2"/>
    <x v="2"/>
    <x v="1"/>
    <s v="2025-05"/>
    <n v="4.58"/>
    <n v="4.58"/>
    <n v="4.58"/>
    <n v="6.45"/>
    <n v="42"/>
    <n v="36"/>
    <n v="1881"/>
    <n v="1062"/>
    <n v="4863.96"/>
    <n v="138"/>
    <n v="924"/>
    <n v="5.43"/>
    <n v="0"/>
    <n v="819"/>
    <n v="5282.55"/>
    <n v="0"/>
    <x v="0"/>
    <s v="OK"/>
  </r>
  <r>
    <s v="IT-10135"/>
    <s v="Bolt assortment M-135"/>
    <x v="2"/>
    <x v="2"/>
    <x v="1"/>
    <s v="2025-06"/>
    <n v="4.51"/>
    <n v="4.51"/>
    <n v="4.58"/>
    <n v="6.45"/>
    <n v="42"/>
    <m/>
    <n v="0"/>
    <n v="92"/>
    <n v="421.36"/>
    <n v="92"/>
    <n v="0"/>
    <n v="0.42"/>
    <n v="1"/>
    <n v="970"/>
    <n v="6256.5"/>
    <n v="0"/>
    <x v="0"/>
    <s v="OK"/>
  </r>
  <r>
    <s v="IT-10135"/>
    <s v="Bolt assortment M-135"/>
    <x v="2"/>
    <x v="2"/>
    <x v="1"/>
    <s v="2025-07"/>
    <n v="4.6100000000000003"/>
    <n v="4.6100000000000003"/>
    <n v="4.58"/>
    <n v="6.45"/>
    <n v="42"/>
    <m/>
    <n v="0"/>
    <n v="0"/>
    <n v="0"/>
    <n v="0"/>
    <n v="0"/>
    <n v="0"/>
    <n v="1"/>
    <n v="92"/>
    <n v="593.4"/>
    <n v="939"/>
    <x v="1"/>
    <s v="OK"/>
  </r>
  <r>
    <s v="IT-10135"/>
    <s v="Bolt assortment M-135"/>
    <x v="2"/>
    <x v="2"/>
    <x v="1"/>
    <s v="2025-08"/>
    <n v="4.57"/>
    <n v="4.57"/>
    <n v="4.57"/>
    <n v="6.45"/>
    <n v="42"/>
    <n v="58"/>
    <n v="2695"/>
    <n v="1706"/>
    <n v="7796.42"/>
    <n v="165"/>
    <n v="1541"/>
    <n v="10.93"/>
    <n v="0"/>
    <n v="989"/>
    <n v="6379.05"/>
    <n v="0"/>
    <x v="0"/>
    <s v="OK"/>
  </r>
  <r>
    <s v="IT-10135"/>
    <s v="Bolt assortment M-135"/>
    <x v="2"/>
    <x v="2"/>
    <x v="1"/>
    <s v="2025-09"/>
    <n v="4.6399999999999997"/>
    <n v="4.6399999999999997"/>
    <n v="4.582643"/>
    <n v="6.45"/>
    <n v="42"/>
    <n v="54"/>
    <n v="376"/>
    <n v="1850"/>
    <n v="8477.89"/>
    <n v="275"/>
    <n v="1575"/>
    <n v="18.52"/>
    <n v="1"/>
    <n v="232"/>
    <n v="1496.4"/>
    <n v="0"/>
    <x v="0"/>
    <s v="OK"/>
  </r>
  <r>
    <s v="IT-10135"/>
    <s v="Bolt assortment M-135"/>
    <x v="2"/>
    <x v="2"/>
    <x v="1"/>
    <s v="2025-10"/>
    <n v="4.63"/>
    <n v="4.63"/>
    <n v="4.5993750000000002"/>
    <n v="6.45"/>
    <n v="42"/>
    <n v="39"/>
    <n v="1011"/>
    <n v="1680"/>
    <n v="7726.95"/>
    <n v="193"/>
    <n v="1487"/>
    <n v="9.19"/>
    <n v="1"/>
    <n v="1181"/>
    <n v="7617.45"/>
    <n v="0"/>
    <x v="0"/>
    <s v="OK"/>
  </r>
  <r>
    <s v="IT-10135"/>
    <s v="Bolt assortment M-135"/>
    <x v="2"/>
    <x v="2"/>
    <x v="1"/>
    <s v="2025-11"/>
    <n v="4.6500000000000004"/>
    <n v="4.6500000000000004"/>
    <n v="4.5993750000000002"/>
    <n v="6.45"/>
    <n v="42"/>
    <m/>
    <n v="0"/>
    <n v="1120"/>
    <n v="5151.3"/>
    <n v="193"/>
    <n v="927"/>
    <n v="7.38"/>
    <n v="1"/>
    <n v="560"/>
    <n v="3612"/>
    <n v="0"/>
    <x v="0"/>
    <s v="OK"/>
  </r>
  <r>
    <s v="IT-10135"/>
    <s v="Bolt assortment M-135"/>
    <x v="2"/>
    <x v="2"/>
    <x v="1"/>
    <s v="2025-12"/>
    <n v="4.6500000000000004"/>
    <n v="4.6500000000000004"/>
    <n v="4.6322539999999996"/>
    <n v="6.45"/>
    <n v="42"/>
    <n v="39"/>
    <n v="2075"/>
    <n v="2045"/>
    <n v="9472.9599999999991"/>
    <n v="55"/>
    <n v="1990"/>
    <n v="9.3000000000000007"/>
    <n v="0"/>
    <n v="1150"/>
    <n v="7417.5"/>
    <n v="0"/>
    <x v="0"/>
    <s v="OK"/>
  </r>
  <r>
    <s v="IT-10135"/>
    <s v="Bolt assortment M-135"/>
    <x v="2"/>
    <x v="2"/>
    <x v="1"/>
    <s v="2026-01"/>
    <n v="4.7"/>
    <n v="4.7"/>
    <n v="4.6322580000000002"/>
    <n v="6.45"/>
    <n v="42"/>
    <m/>
    <n v="0"/>
    <n v="1125"/>
    <n v="5211.29"/>
    <n v="275"/>
    <n v="850"/>
    <n v="5.62"/>
    <n v="0"/>
    <n v="920"/>
    <n v="5934"/>
    <n v="0"/>
    <x v="0"/>
    <s v="OK"/>
  </r>
  <r>
    <s v="IT-10135"/>
    <s v="Bolt assortment M-135"/>
    <x v="2"/>
    <x v="2"/>
    <x v="1"/>
    <s v="2026-02"/>
    <n v="4.6399999999999997"/>
    <n v="4.6399999999999997"/>
    <n v="4.6351329999999997"/>
    <n v="6.63"/>
    <n v="42"/>
    <n v="41"/>
    <n v="665"/>
    <n v="1280"/>
    <n v="5932.97"/>
    <n v="275"/>
    <n v="1005"/>
    <n v="6.38"/>
    <n v="2"/>
    <n v="510"/>
    <n v="3381.3"/>
    <n v="0"/>
    <x v="0"/>
    <s v="OK"/>
  </r>
  <r>
    <s v="IT-10135"/>
    <s v="Bolt assortment M-135"/>
    <x v="2"/>
    <x v="2"/>
    <x v="1"/>
    <s v="2026-03"/>
    <n v="4.7300000000000004"/>
    <n v="4.7300000000000004"/>
    <n v="4.6747009999999998"/>
    <n v="6.63"/>
    <n v="42"/>
    <n v="37"/>
    <n v="916"/>
    <n v="902"/>
    <n v="4216.58"/>
    <n v="165"/>
    <n v="737"/>
    <n v="4.26"/>
    <n v="0"/>
    <n v="1294"/>
    <n v="8579.2199999999993"/>
    <n v="0"/>
    <x v="0"/>
    <s v="OK"/>
  </r>
  <r>
    <s v="IT-10135"/>
    <s v="Bolt assortment M-135"/>
    <x v="2"/>
    <x v="2"/>
    <x v="1"/>
    <s v="2026-04"/>
    <n v="4.7"/>
    <n v="4.7"/>
    <n v="4.6915139999999997"/>
    <n v="6.63"/>
    <n v="42"/>
    <n v="53"/>
    <n v="1787"/>
    <n v="984"/>
    <n v="4616.45"/>
    <n v="110"/>
    <n v="874"/>
    <n v="3.57"/>
    <n v="1"/>
    <n v="1705"/>
    <n v="11304.15"/>
    <n v="0"/>
    <x v="0"/>
    <s v="OK"/>
  </r>
  <r>
    <s v="IT-10135"/>
    <s v="Bolt assortment M-135"/>
    <x v="2"/>
    <x v="2"/>
    <x v="1"/>
    <s v="2026-05"/>
    <n v="4.74"/>
    <n v="4.74"/>
    <n v="4.7028470000000002"/>
    <n v="6.63"/>
    <n v="42"/>
    <n v="61"/>
    <n v="300"/>
    <n v="864"/>
    <n v="4063.26"/>
    <n v="138"/>
    <n v="726"/>
    <n v="3.32"/>
    <n v="0"/>
    <n v="420"/>
    <n v="2784.6"/>
    <n v="0"/>
    <x v="0"/>
    <s v="OK"/>
  </r>
  <r>
    <s v="IT-10135"/>
    <s v="Bolt assortment M-135"/>
    <x v="2"/>
    <x v="2"/>
    <x v="1"/>
    <s v="2026-06"/>
    <n v="4.6500000000000004"/>
    <n v="4.6500000000000004"/>
    <n v="4.6743389999999998"/>
    <n v="6.63"/>
    <n v="42"/>
    <n v="42"/>
    <n v="1012"/>
    <n v="1173"/>
    <n v="5483"/>
    <n v="83"/>
    <n v="1090"/>
    <n v="5.39"/>
    <n v="2"/>
    <n v="703"/>
    <n v="4660.8900000000003"/>
    <n v="0"/>
    <x v="0"/>
    <s v="OK"/>
  </r>
  <r>
    <s v="IT-10135"/>
    <s v="Bolt assortment M-135"/>
    <x v="2"/>
    <x v="2"/>
    <x v="1"/>
    <s v="2026-07"/>
    <n v="4.6100000000000003"/>
    <n v="4.6100000000000003"/>
    <n v="4.6370129999999996"/>
    <n v="6.63"/>
    <n v="42"/>
    <n v="40"/>
    <n v="1621"/>
    <n v="1995"/>
    <n v="9250.84"/>
    <n v="248"/>
    <n v="1747"/>
    <n v="13.64"/>
    <n v="0"/>
    <n v="799"/>
    <n v="5297.37"/>
    <n v="0"/>
    <x v="0"/>
    <s v="OK"/>
  </r>
  <r>
    <s v="IT-10135"/>
    <s v="Bolt assortment M-135"/>
    <x v="2"/>
    <x v="2"/>
    <x v="1"/>
    <s v="2026-08"/>
    <n v="4.6900000000000004"/>
    <n v="4.6900000000000004"/>
    <n v="4.6370129999999996"/>
    <n v="6.63"/>
    <n v="42"/>
    <m/>
    <n v="0"/>
    <n v="1995"/>
    <n v="9250.84"/>
    <n v="138"/>
    <n v="1857"/>
    <n v="17.46"/>
    <n v="31"/>
    <n v="0"/>
    <n v="0"/>
    <n v="0"/>
    <x v="0"/>
    <s v="OK"/>
  </r>
  <r>
    <s v="IT-10136"/>
    <s v="Coupling S-136"/>
    <x v="4"/>
    <x v="4"/>
    <x v="1"/>
    <s v="2024-09"/>
    <n v="84.59"/>
    <n v="84.59"/>
    <n v="84.573158000000006"/>
    <n v="113.79"/>
    <n v="39"/>
    <n v="34"/>
    <n v="44"/>
    <n v="19"/>
    <n v="1606.89"/>
    <n v="7"/>
    <n v="12"/>
    <n v="1.69"/>
    <n v="0"/>
    <n v="50"/>
    <n v="5689.5"/>
    <n v="0"/>
    <x v="0"/>
    <s v="OK"/>
  </r>
  <r>
    <s v="IT-10136"/>
    <s v="Coupling S-136"/>
    <x v="4"/>
    <x v="4"/>
    <x v="1"/>
    <s v="2024-10"/>
    <n v="87.68"/>
    <n v="87.68"/>
    <n v="86.903447999999997"/>
    <n v="113.79"/>
    <n v="39"/>
    <n v="51"/>
    <n v="57"/>
    <n v="29"/>
    <n v="2520.1999999999998"/>
    <n v="8"/>
    <n v="21"/>
    <n v="2.84"/>
    <n v="0"/>
    <n v="47"/>
    <n v="5348.13"/>
    <n v="0"/>
    <x v="0"/>
    <s v="OK"/>
  </r>
  <r>
    <s v="IT-10136"/>
    <s v="Coupling S-136"/>
    <x v="4"/>
    <x v="4"/>
    <x v="1"/>
    <s v="2024-11"/>
    <n v="89.43"/>
    <n v="89.43"/>
    <n v="88.453214000000003"/>
    <n v="113.79"/>
    <n v="39"/>
    <n v="35"/>
    <n v="46"/>
    <n v="28"/>
    <n v="2476.69"/>
    <n v="5"/>
    <n v="23"/>
    <n v="2.5299999999999998"/>
    <n v="6"/>
    <n v="47"/>
    <n v="5348.13"/>
    <n v="0"/>
    <x v="0"/>
    <s v="OK"/>
  </r>
  <r>
    <s v="IT-10136"/>
    <s v="Coupling S-136"/>
    <x v="4"/>
    <x v="4"/>
    <x v="1"/>
    <s v="2024-12"/>
    <n v="90.12"/>
    <n v="90.12"/>
    <n v="89.412666999999999"/>
    <n v="113.79"/>
    <n v="39"/>
    <n v="36"/>
    <n v="38"/>
    <n v="15"/>
    <n v="1341.19"/>
    <n v="9"/>
    <n v="6"/>
    <n v="1.36"/>
    <n v="9"/>
    <n v="51"/>
    <n v="5803.29"/>
    <n v="0"/>
    <x v="0"/>
    <s v="OK"/>
  </r>
  <r>
    <s v="IT-10136"/>
    <s v="Coupling S-136"/>
    <x v="4"/>
    <x v="4"/>
    <x v="1"/>
    <s v="2025-01"/>
    <n v="87.99"/>
    <n v="87.99"/>
    <n v="88.318147999999994"/>
    <n v="113.79"/>
    <n v="39"/>
    <n v="34"/>
    <n v="50"/>
    <n v="27"/>
    <n v="2384.59"/>
    <n v="3"/>
    <n v="24"/>
    <n v="2.61"/>
    <n v="0"/>
    <n v="38"/>
    <n v="4324.0200000000004"/>
    <n v="0"/>
    <x v="0"/>
    <s v="OK"/>
  </r>
  <r>
    <s v="IT-10136"/>
    <s v="Coupling S-136"/>
    <x v="4"/>
    <x v="4"/>
    <x v="1"/>
    <s v="2025-02"/>
    <n v="90.3"/>
    <n v="90.3"/>
    <n v="88.318147999999994"/>
    <n v="120.52"/>
    <n v="39"/>
    <m/>
    <n v="0"/>
    <n v="0"/>
    <n v="0"/>
    <n v="0"/>
    <n v="0"/>
    <n v="0"/>
    <n v="0"/>
    <n v="27"/>
    <n v="3254.04"/>
    <n v="19"/>
    <x v="1"/>
    <s v="OK"/>
  </r>
  <r>
    <s v="IT-10136"/>
    <s v="Coupling S-136"/>
    <x v="4"/>
    <x v="4"/>
    <x v="1"/>
    <s v="2025-03"/>
    <n v="87.6"/>
    <n v="87.6"/>
    <n v="87.6"/>
    <n v="120.52"/>
    <n v="39"/>
    <n v="38"/>
    <n v="63"/>
    <n v="24"/>
    <n v="2102.4"/>
    <n v="9"/>
    <n v="15"/>
    <n v="2.97"/>
    <n v="1"/>
    <n v="39"/>
    <n v="4700.28"/>
    <n v="0"/>
    <x v="0"/>
    <s v="OK"/>
  </r>
  <r>
    <s v="IT-10136"/>
    <s v="Coupling S-136"/>
    <x v="4"/>
    <x v="4"/>
    <x v="1"/>
    <s v="2025-04"/>
    <n v="88.02"/>
    <n v="88.02"/>
    <n v="87.833500000000001"/>
    <n v="120.52"/>
    <n v="39"/>
    <n v="34"/>
    <n v="30"/>
    <n v="20"/>
    <n v="1756.67"/>
    <n v="9"/>
    <n v="11"/>
    <n v="2.54"/>
    <n v="1"/>
    <n v="34"/>
    <n v="4097.68"/>
    <n v="0"/>
    <x v="0"/>
    <s v="OK"/>
  </r>
  <r>
    <s v="IT-10136"/>
    <s v="Coupling S-136"/>
    <x v="4"/>
    <x v="4"/>
    <x v="1"/>
    <s v="2025-05"/>
    <n v="87.42"/>
    <n v="87.42"/>
    <n v="87.547143000000005"/>
    <n v="120.52"/>
    <n v="39"/>
    <n v="35"/>
    <n v="45"/>
    <n v="28"/>
    <n v="2451.3200000000002"/>
    <n v="2"/>
    <n v="26"/>
    <n v="3.35"/>
    <n v="6"/>
    <n v="37"/>
    <n v="4459.24"/>
    <n v="0"/>
    <x v="0"/>
    <s v="OK"/>
  </r>
  <r>
    <s v="IT-10136"/>
    <s v="Coupling S-136"/>
    <x v="4"/>
    <x v="4"/>
    <x v="1"/>
    <s v="2025-06"/>
    <n v="87.47"/>
    <n v="87.47"/>
    <n v="87.490125000000006"/>
    <n v="120.52"/>
    <n v="39"/>
    <n v="35"/>
    <n v="79"/>
    <n v="80"/>
    <n v="6999.21"/>
    <n v="2"/>
    <n v="78"/>
    <n v="10.61"/>
    <n v="1"/>
    <n v="27"/>
    <n v="3254.04"/>
    <n v="0"/>
    <x v="0"/>
    <s v="OK"/>
  </r>
  <r>
    <s v="IT-10136"/>
    <s v="Coupling S-136"/>
    <x v="4"/>
    <x v="4"/>
    <x v="1"/>
    <s v="2025-07"/>
    <n v="89.49"/>
    <n v="89.49"/>
    <n v="88.035493000000002"/>
    <n v="120.52"/>
    <n v="39"/>
    <n v="39"/>
    <n v="30"/>
    <n v="71"/>
    <n v="6250.52"/>
    <n v="4"/>
    <n v="67"/>
    <n v="9.06"/>
    <n v="3"/>
    <n v="39"/>
    <n v="4700.28"/>
    <n v="0"/>
    <x v="0"/>
    <s v="OK"/>
  </r>
  <r>
    <s v="IT-10136"/>
    <s v="Coupling S-136"/>
    <x v="4"/>
    <x v="4"/>
    <x v="1"/>
    <s v="2025-08"/>
    <n v="89.12"/>
    <n v="89.12"/>
    <n v="88.035476000000003"/>
    <n v="120.52"/>
    <n v="39"/>
    <m/>
    <n v="0"/>
    <n v="42"/>
    <n v="3697.49"/>
    <n v="3"/>
    <n v="39"/>
    <n v="5.81"/>
    <n v="4"/>
    <n v="29"/>
    <n v="3495.08"/>
    <n v="0"/>
    <x v="0"/>
    <s v="OK"/>
  </r>
  <r>
    <s v="IT-10136"/>
    <s v="Coupling S-136"/>
    <x v="4"/>
    <x v="4"/>
    <x v="1"/>
    <s v="2025-09"/>
    <n v="89.85"/>
    <n v="89.85"/>
    <n v="88.974091000000001"/>
    <n v="120.52"/>
    <n v="39"/>
    <n v="35"/>
    <n v="45"/>
    <n v="66"/>
    <n v="5872.29"/>
    <n v="7"/>
    <n v="59"/>
    <n v="9.75"/>
    <n v="4"/>
    <n v="21"/>
    <n v="2530.92"/>
    <n v="0"/>
    <x v="0"/>
    <s v="OK"/>
  </r>
  <r>
    <s v="IT-10136"/>
    <s v="Coupling S-136"/>
    <x v="4"/>
    <x v="4"/>
    <x v="1"/>
    <s v="2025-10"/>
    <n v="95.56"/>
    <n v="95.56"/>
    <n v="91.812832999999998"/>
    <n v="120.52"/>
    <n v="39"/>
    <n v="38"/>
    <n v="50"/>
    <n v="60"/>
    <n v="5508.77"/>
    <n v="2"/>
    <n v="58"/>
    <n v="7.44"/>
    <n v="1"/>
    <n v="56"/>
    <n v="6749.12"/>
    <n v="0"/>
    <x v="0"/>
    <s v="OK"/>
  </r>
  <r>
    <s v="IT-10136"/>
    <s v="Coupling S-136"/>
    <x v="4"/>
    <x v="4"/>
    <x v="1"/>
    <s v="2025-11"/>
    <n v="95.1"/>
    <n v="95.1"/>
    <n v="91.812856999999994"/>
    <n v="120.52"/>
    <n v="39"/>
    <m/>
    <n v="0"/>
    <n v="35"/>
    <n v="3213.45"/>
    <n v="4"/>
    <n v="31"/>
    <n v="4.46"/>
    <n v="2"/>
    <n v="25"/>
    <n v="3013"/>
    <n v="0"/>
    <x v="0"/>
    <s v="OK"/>
  </r>
  <r>
    <s v="IT-10136"/>
    <s v="Coupling S-136"/>
    <x v="4"/>
    <x v="4"/>
    <x v="1"/>
    <s v="2025-12"/>
    <n v="95.29"/>
    <n v="95.29"/>
    <n v="91.812856999999994"/>
    <n v="120.52"/>
    <n v="39"/>
    <m/>
    <n v="0"/>
    <n v="0"/>
    <n v="0"/>
    <n v="0"/>
    <n v="0"/>
    <n v="0"/>
    <n v="0"/>
    <n v="35"/>
    <n v="4218.2"/>
    <n v="0"/>
    <x v="0"/>
    <s v="OK"/>
  </r>
  <r>
    <s v="IT-10136"/>
    <s v="Coupling S-136"/>
    <x v="4"/>
    <x v="4"/>
    <x v="1"/>
    <s v="2026-01"/>
    <n v="95.53"/>
    <n v="95.53"/>
    <n v="95.53"/>
    <n v="120.52"/>
    <n v="39"/>
    <n v="35"/>
    <n v="88"/>
    <n v="62"/>
    <n v="5922.86"/>
    <n v="4"/>
    <n v="58"/>
    <n v="9.48"/>
    <n v="2"/>
    <n v="26"/>
    <n v="3133.52"/>
    <n v="0"/>
    <x v="0"/>
    <s v="OK"/>
  </r>
  <r>
    <s v="IT-10136"/>
    <s v="Coupling S-136"/>
    <x v="4"/>
    <x v="4"/>
    <x v="1"/>
    <s v="2026-02"/>
    <n v="96.08"/>
    <n v="96.08"/>
    <n v="95.53"/>
    <n v="127.65"/>
    <n v="39"/>
    <m/>
    <n v="0"/>
    <n v="49"/>
    <n v="4680.97"/>
    <n v="7"/>
    <n v="42"/>
    <n v="8.51"/>
    <n v="8"/>
    <n v="13"/>
    <n v="1659.45"/>
    <n v="0"/>
    <x v="0"/>
    <s v="OK"/>
  </r>
  <r>
    <s v="IT-10136"/>
    <s v="Coupling S-136"/>
    <x v="4"/>
    <x v="4"/>
    <x v="1"/>
    <s v="2026-03"/>
    <n v="92.78"/>
    <n v="92.78"/>
    <n v="94.384137999999993"/>
    <n v="127.65"/>
    <n v="39"/>
    <n v="35"/>
    <n v="35"/>
    <n v="58"/>
    <n v="5474.28"/>
    <n v="4"/>
    <n v="54"/>
    <n v="11.47"/>
    <n v="6"/>
    <n v="26"/>
    <n v="3318.9"/>
    <n v="0"/>
    <x v="0"/>
    <s v="OK"/>
  </r>
  <r>
    <s v="IT-10136"/>
    <s v="Coupling S-136"/>
    <x v="4"/>
    <x v="4"/>
    <x v="1"/>
    <s v="2026-04"/>
    <n v="93.52"/>
    <n v="93.52"/>
    <n v="94.070727000000005"/>
    <n v="127.65"/>
    <n v="39"/>
    <n v="34"/>
    <n v="33"/>
    <n v="55"/>
    <n v="5173.8900000000003"/>
    <n v="3"/>
    <n v="52"/>
    <n v="9.32"/>
    <n v="3"/>
    <n v="36"/>
    <n v="4595.3999999999996"/>
    <n v="0"/>
    <x v="0"/>
    <s v="OK"/>
  </r>
  <r>
    <s v="IT-10136"/>
    <s v="Coupling S-136"/>
    <x v="4"/>
    <x v="4"/>
    <x v="1"/>
    <s v="2026-05"/>
    <n v="93.22"/>
    <n v="93.22"/>
    <n v="93.770422999999994"/>
    <n v="127.65"/>
    <n v="39"/>
    <n v="34"/>
    <n v="30"/>
    <n v="71"/>
    <n v="6657.7"/>
    <n v="6"/>
    <n v="65"/>
    <n v="12.28"/>
    <n v="13"/>
    <n v="14"/>
    <n v="1787.1"/>
    <n v="0"/>
    <x v="0"/>
    <s v="OK"/>
  </r>
  <r>
    <s v="IT-10136"/>
    <s v="Coupling S-136"/>
    <x v="4"/>
    <x v="4"/>
    <x v="1"/>
    <s v="2026-06"/>
    <n v="94.14"/>
    <n v="94.14"/>
    <n v="93.770285999999999"/>
    <n v="127.65"/>
    <n v="39"/>
    <m/>
    <n v="0"/>
    <n v="35"/>
    <n v="3281.96"/>
    <n v="2"/>
    <n v="33"/>
    <n v="5.29"/>
    <n v="10"/>
    <n v="36"/>
    <n v="4595.3999999999996"/>
    <n v="0"/>
    <x v="0"/>
    <s v="OK"/>
  </r>
  <r>
    <s v="IT-10136"/>
    <s v="Coupling S-136"/>
    <x v="4"/>
    <x v="4"/>
    <x v="1"/>
    <s v="2026-07"/>
    <n v="95.59"/>
    <n v="95.59"/>
    <n v="94.666875000000005"/>
    <n v="127.65"/>
    <n v="39"/>
    <n v="35"/>
    <n v="34"/>
    <n v="48"/>
    <n v="4544.01"/>
    <n v="6"/>
    <n v="42"/>
    <n v="8.89"/>
    <n v="0"/>
    <n v="21"/>
    <n v="2680.65"/>
    <n v="0"/>
    <x v="0"/>
    <s v="OK"/>
  </r>
  <r>
    <s v="IT-10136"/>
    <s v="Coupling S-136"/>
    <x v="4"/>
    <x v="4"/>
    <x v="1"/>
    <s v="2026-08"/>
    <n v="93.89"/>
    <n v="93.89"/>
    <n v="94.368162999999996"/>
    <n v="127.65"/>
    <n v="39"/>
    <n v="34"/>
    <n v="30"/>
    <n v="49"/>
    <n v="4624.04"/>
    <n v="10"/>
    <n v="39"/>
    <n v="7.49"/>
    <n v="1"/>
    <n v="29"/>
    <n v="3701.85"/>
    <n v="0"/>
    <x v="0"/>
    <s v="OK"/>
  </r>
  <r>
    <s v="IT-10137"/>
    <s v="Hex nut pack 20-137"/>
    <x v="2"/>
    <x v="2"/>
    <x v="1"/>
    <s v="2024-09"/>
    <n v="2.56"/>
    <n v="2.8"/>
    <n v="2.7900740000000002"/>
    <n v="4.1100000000000003"/>
    <n v="53"/>
    <n v="51"/>
    <n v="762"/>
    <n v="945"/>
    <n v="2636.62"/>
    <n v="16"/>
    <n v="929"/>
    <n v="14.82"/>
    <n v="1"/>
    <n v="297"/>
    <n v="1220.67"/>
    <n v="0"/>
    <x v="0"/>
    <s v="OK"/>
  </r>
  <r>
    <s v="IT-10137"/>
    <s v="Hex nut pack 20-137"/>
    <x v="2"/>
    <x v="2"/>
    <x v="1"/>
    <s v="2024-10"/>
    <n v="2.6"/>
    <n v="2.84"/>
    <n v="2.7900710000000002"/>
    <n v="4.1100000000000003"/>
    <n v="53"/>
    <m/>
    <n v="0"/>
    <n v="709"/>
    <n v="1978.16"/>
    <n v="33"/>
    <n v="676"/>
    <n v="11.6"/>
    <n v="0"/>
    <n v="236"/>
    <n v="969.96"/>
    <n v="0"/>
    <x v="0"/>
    <s v="OK"/>
  </r>
  <r>
    <s v="IT-10137"/>
    <s v="Hex nut pack 20-137"/>
    <x v="2"/>
    <x v="2"/>
    <x v="1"/>
    <s v="2024-11"/>
    <n v="2.62"/>
    <n v="2.86"/>
    <n v="2.7987150000000001"/>
    <n v="4.1100000000000003"/>
    <n v="53"/>
    <n v="51"/>
    <n v="100"/>
    <n v="568"/>
    <n v="1589.67"/>
    <n v="16"/>
    <n v="552"/>
    <n v="9.5399999999999991"/>
    <n v="0"/>
    <n v="241"/>
    <n v="990.51"/>
    <n v="0"/>
    <x v="0"/>
    <s v="OK"/>
  </r>
  <r>
    <s v="IT-10137"/>
    <s v="Hex nut pack 20-137"/>
    <x v="2"/>
    <x v="2"/>
    <x v="1"/>
    <s v="2024-12"/>
    <n v="2.69"/>
    <n v="2.94"/>
    <n v="2.7987069999999998"/>
    <n v="4.1100000000000003"/>
    <n v="53"/>
    <m/>
    <n v="0"/>
    <n v="232"/>
    <n v="649.29999999999995"/>
    <n v="74"/>
    <n v="158"/>
    <n v="3.75"/>
    <n v="0"/>
    <n v="336"/>
    <n v="1380.96"/>
    <n v="0"/>
    <x v="0"/>
    <s v="OK"/>
  </r>
  <r>
    <s v="IT-10137"/>
    <s v="Hex nut pack 20-137"/>
    <x v="2"/>
    <x v="2"/>
    <x v="1"/>
    <s v="2025-01"/>
    <n v="2.64"/>
    <n v="2.89"/>
    <n v="2.8658480000000002"/>
    <n v="4.1100000000000003"/>
    <n v="53"/>
    <n v="48"/>
    <n v="645"/>
    <n v="660"/>
    <n v="1891.46"/>
    <n v="41"/>
    <n v="619"/>
    <n v="10.92"/>
    <n v="0"/>
    <n v="217"/>
    <n v="891.87"/>
    <n v="0"/>
    <x v="0"/>
    <s v="OK"/>
  </r>
  <r>
    <s v="IT-10137"/>
    <s v="Hex nut pack 20-137"/>
    <x v="2"/>
    <x v="2"/>
    <x v="1"/>
    <s v="2025-02"/>
    <n v="2.66"/>
    <n v="2.91"/>
    <n v="2.8723130000000001"/>
    <n v="4.24"/>
    <n v="53"/>
    <n v="51"/>
    <n v="113"/>
    <n v="441"/>
    <n v="1266.69"/>
    <n v="49"/>
    <n v="392"/>
    <n v="6.41"/>
    <n v="0"/>
    <n v="332"/>
    <n v="1407.68"/>
    <n v="0"/>
    <x v="0"/>
    <s v="OK"/>
  </r>
  <r>
    <s v="IT-10137"/>
    <s v="Hex nut pack 20-137"/>
    <x v="2"/>
    <x v="2"/>
    <x v="1"/>
    <s v="2025-03"/>
    <n v="2.68"/>
    <n v="2.93"/>
    <n v="2.9080889999999999"/>
    <n v="4.24"/>
    <n v="53"/>
    <n v="52"/>
    <n v="720"/>
    <n v="947"/>
    <n v="2753.96"/>
    <n v="74"/>
    <n v="873"/>
    <n v="15.96"/>
    <n v="3"/>
    <n v="214"/>
    <n v="907.36"/>
    <n v="0"/>
    <x v="0"/>
    <s v="OK"/>
  </r>
  <r>
    <s v="IT-10137"/>
    <s v="Hex nut pack 20-137"/>
    <x v="2"/>
    <x v="2"/>
    <x v="1"/>
    <s v="2025-04"/>
    <n v="2.61"/>
    <n v="2.85"/>
    <n v="2.9080919999999999"/>
    <n v="4.24"/>
    <n v="53"/>
    <m/>
    <n v="0"/>
    <n v="786"/>
    <n v="2285.7600000000002"/>
    <n v="33"/>
    <n v="753"/>
    <n v="14.13"/>
    <n v="2"/>
    <n v="161"/>
    <n v="682.64"/>
    <n v="0"/>
    <x v="0"/>
    <s v="OK"/>
  </r>
  <r>
    <s v="IT-10137"/>
    <s v="Hex nut pack 20-137"/>
    <x v="2"/>
    <x v="2"/>
    <x v="1"/>
    <s v="2025-05"/>
    <n v="2.64"/>
    <n v="2.89"/>
    <n v="2.9021509999999999"/>
    <n v="4.24"/>
    <n v="53"/>
    <n v="53"/>
    <n v="384"/>
    <n v="967"/>
    <n v="2806.38"/>
    <n v="74"/>
    <n v="893"/>
    <n v="21.99"/>
    <n v="1"/>
    <n v="203"/>
    <n v="860.72"/>
    <n v="0"/>
    <x v="0"/>
    <s v="OK"/>
  </r>
  <r>
    <s v="IT-10137"/>
    <s v="Hex nut pack 20-137"/>
    <x v="2"/>
    <x v="2"/>
    <x v="1"/>
    <s v="2025-06"/>
    <n v="2.7"/>
    <n v="2.95"/>
    <n v="2.9101499999999998"/>
    <n v="4.24"/>
    <n v="53"/>
    <n v="50"/>
    <n v="194"/>
    <n v="1069"/>
    <n v="3110.95"/>
    <n v="25"/>
    <n v="1044"/>
    <n v="30.48"/>
    <n v="3"/>
    <n v="92"/>
    <n v="390.08"/>
    <n v="0"/>
    <x v="0"/>
    <s v="OK"/>
  </r>
  <r>
    <s v="IT-10137"/>
    <s v="Hex nut pack 20-137"/>
    <x v="2"/>
    <x v="2"/>
    <x v="1"/>
    <s v="2025-07"/>
    <n v="2.7"/>
    <n v="2.95"/>
    <n v="2.9135599999999999"/>
    <n v="4.24"/>
    <n v="53"/>
    <n v="52"/>
    <n v="100"/>
    <n v="1087"/>
    <n v="3167.04"/>
    <n v="16"/>
    <n v="1071"/>
    <n v="37.89"/>
    <n v="2"/>
    <n v="82"/>
    <n v="347.68"/>
    <n v="0"/>
    <x v="0"/>
    <s v="OK"/>
  </r>
  <r>
    <s v="IT-10137"/>
    <s v="Hex nut pack 20-137"/>
    <x v="2"/>
    <x v="2"/>
    <x v="1"/>
    <s v="2025-08"/>
    <n v="2.68"/>
    <n v="2.93"/>
    <n v="2.9135610000000001"/>
    <n v="4.24"/>
    <n v="53"/>
    <m/>
    <n v="0"/>
    <n v="716"/>
    <n v="2086.11"/>
    <n v="41"/>
    <n v="675"/>
    <n v="17.27"/>
    <n v="1"/>
    <n v="371"/>
    <n v="1573.04"/>
    <n v="0"/>
    <x v="0"/>
    <s v="OK"/>
  </r>
  <r>
    <s v="IT-10137"/>
    <s v="Hex nut pack 20-137"/>
    <x v="2"/>
    <x v="2"/>
    <x v="1"/>
    <s v="2025-09"/>
    <n v="2.68"/>
    <n v="2.93"/>
    <n v="2.9155669999999998"/>
    <n v="4.24"/>
    <n v="53"/>
    <n v="64"/>
    <n v="100"/>
    <n v="494"/>
    <n v="1440.29"/>
    <n v="33"/>
    <n v="461"/>
    <n v="8.3800000000000008"/>
    <n v="0"/>
    <n v="322"/>
    <n v="1365.28"/>
    <n v="0"/>
    <x v="0"/>
    <s v="OK"/>
  </r>
  <r>
    <s v="IT-10137"/>
    <s v="Hex nut pack 20-137"/>
    <x v="2"/>
    <x v="2"/>
    <x v="1"/>
    <s v="2025-10"/>
    <n v="2.67"/>
    <n v="2.92"/>
    <n v="2.9183349999999999"/>
    <n v="4.24"/>
    <n v="53"/>
    <n v="47"/>
    <n v="821"/>
    <n v="949"/>
    <n v="2769.5"/>
    <n v="82"/>
    <n v="867"/>
    <n v="11.78"/>
    <n v="0"/>
    <n v="366"/>
    <n v="1551.84"/>
    <n v="0"/>
    <x v="0"/>
    <s v="OK"/>
  </r>
  <r>
    <s v="IT-10137"/>
    <s v="Hex nut pack 20-137"/>
    <x v="2"/>
    <x v="2"/>
    <x v="1"/>
    <s v="2025-11"/>
    <n v="2.7"/>
    <n v="2.95"/>
    <n v="2.9183379999999999"/>
    <n v="4.24"/>
    <n v="53"/>
    <m/>
    <n v="0"/>
    <n v="662"/>
    <n v="1931.94"/>
    <n v="41"/>
    <n v="621"/>
    <n v="8.83"/>
    <n v="3"/>
    <n v="287"/>
    <n v="1216.8800000000001"/>
    <n v="0"/>
    <x v="0"/>
    <s v="OK"/>
  </r>
  <r>
    <s v="IT-10137"/>
    <s v="Hex nut pack 20-137"/>
    <x v="2"/>
    <x v="2"/>
    <x v="1"/>
    <s v="2025-12"/>
    <n v="2.67"/>
    <n v="2.92"/>
    <n v="2.9185599999999998"/>
    <n v="4.24"/>
    <n v="53"/>
    <n v="45"/>
    <n v="100"/>
    <n v="625"/>
    <n v="1824.1"/>
    <n v="33"/>
    <n v="592"/>
    <n v="10.4"/>
    <n v="1"/>
    <n v="137"/>
    <n v="580.88"/>
    <n v="0"/>
    <x v="0"/>
    <s v="OK"/>
  </r>
  <r>
    <s v="IT-10137"/>
    <s v="Hex nut pack 20-137"/>
    <x v="2"/>
    <x v="2"/>
    <x v="1"/>
    <s v="2026-01"/>
    <n v="2.69"/>
    <n v="2.94"/>
    <n v="2.9185400000000001"/>
    <n v="4.24"/>
    <n v="53"/>
    <m/>
    <n v="0"/>
    <n v="137"/>
    <n v="399.84"/>
    <n v="16"/>
    <n v="121"/>
    <n v="1.97"/>
    <n v="0"/>
    <n v="488"/>
    <n v="2069.12"/>
    <n v="0"/>
    <x v="0"/>
    <s v="OK"/>
  </r>
  <r>
    <s v="IT-10137"/>
    <s v="Hex nut pack 20-137"/>
    <x v="2"/>
    <x v="2"/>
    <x v="1"/>
    <s v="2026-02"/>
    <n v="2.71"/>
    <n v="2.96"/>
    <n v="2.9522680000000001"/>
    <n v="4.37"/>
    <n v="53"/>
    <n v="59"/>
    <n v="597"/>
    <n v="507"/>
    <n v="1496.8"/>
    <n v="33"/>
    <n v="474"/>
    <n v="7.65"/>
    <n v="1"/>
    <n v="227"/>
    <n v="991.99"/>
    <n v="0"/>
    <x v="0"/>
    <s v="OK"/>
  </r>
  <r>
    <s v="IT-10137"/>
    <s v="Hex nut pack 20-137"/>
    <x v="2"/>
    <x v="2"/>
    <x v="1"/>
    <s v="2026-03"/>
    <n v="2.72"/>
    <n v="2.97"/>
    <n v="2.9598140000000002"/>
    <n v="4.37"/>
    <n v="53"/>
    <n v="52"/>
    <n v="376"/>
    <n v="429"/>
    <n v="1269.76"/>
    <n v="41"/>
    <n v="388"/>
    <n v="4.72"/>
    <n v="0"/>
    <n v="454"/>
    <n v="1983.98"/>
    <n v="0"/>
    <x v="0"/>
    <s v="OK"/>
  </r>
  <r>
    <s v="IT-10137"/>
    <s v="Hex nut pack 20-137"/>
    <x v="2"/>
    <x v="2"/>
    <x v="1"/>
    <s v="2026-04"/>
    <n v="2.75"/>
    <n v="3.01"/>
    <n v="2.9597500000000001"/>
    <n v="4.37"/>
    <n v="53"/>
    <m/>
    <n v="0"/>
    <n v="40"/>
    <n v="118.39"/>
    <n v="40"/>
    <n v="0"/>
    <n v="0.48"/>
    <n v="1"/>
    <n v="389"/>
    <n v="1699.93"/>
    <n v="0"/>
    <x v="0"/>
    <s v="OK"/>
  </r>
  <r>
    <s v="IT-10137"/>
    <s v="Hex nut pack 20-137"/>
    <x v="2"/>
    <x v="2"/>
    <x v="1"/>
    <s v="2026-05"/>
    <n v="2.75"/>
    <n v="3.01"/>
    <n v="3.0076510000000001"/>
    <n v="4.37"/>
    <n v="53"/>
    <n v="48"/>
    <n v="817"/>
    <n v="596"/>
    <n v="1792.56"/>
    <n v="82"/>
    <n v="514"/>
    <n v="7.1"/>
    <n v="0"/>
    <n v="261"/>
    <n v="1140.57"/>
    <n v="0"/>
    <x v="0"/>
    <s v="OK"/>
  </r>
  <r>
    <s v="IT-10137"/>
    <s v="Hex nut pack 20-137"/>
    <x v="2"/>
    <x v="2"/>
    <x v="1"/>
    <s v="2026-06"/>
    <n v="2.74"/>
    <n v="2.99"/>
    <n v="3.0076610000000001"/>
    <n v="4.37"/>
    <n v="53"/>
    <m/>
    <n v="0"/>
    <n v="342"/>
    <n v="1028.6199999999999"/>
    <n v="65"/>
    <n v="277"/>
    <n v="4.92"/>
    <n v="1"/>
    <n v="254"/>
    <n v="1109.98"/>
    <n v="0"/>
    <x v="0"/>
    <s v="OK"/>
  </r>
  <r>
    <s v="IT-10137"/>
    <s v="Hex nut pack 20-137"/>
    <x v="2"/>
    <x v="2"/>
    <x v="1"/>
    <s v="2026-07"/>
    <n v="2.77"/>
    <n v="3.03"/>
    <n v="3.020651"/>
    <n v="4.37"/>
    <n v="53"/>
    <n v="48"/>
    <n v="475"/>
    <n v="630"/>
    <n v="1903.01"/>
    <n v="33"/>
    <n v="597"/>
    <n v="11.79"/>
    <n v="0"/>
    <n v="187"/>
    <n v="817.19"/>
    <n v="0"/>
    <x v="0"/>
    <s v="OK"/>
  </r>
  <r>
    <s v="IT-10137"/>
    <s v="Hex nut pack 20-137"/>
    <x v="2"/>
    <x v="2"/>
    <x v="1"/>
    <s v="2026-08"/>
    <n v="2.76"/>
    <n v="3.02"/>
    <n v="3.0204900000000001"/>
    <n v="4.37"/>
    <n v="53"/>
    <n v="49"/>
    <n v="212"/>
    <n v="714"/>
    <n v="2156.63"/>
    <n v="41"/>
    <n v="673"/>
    <n v="16.489999999999998"/>
    <n v="2"/>
    <n v="128"/>
    <n v="559.36"/>
    <n v="0"/>
    <x v="0"/>
    <s v="OK"/>
  </r>
  <r>
    <s v="IT-10138"/>
    <s v="Ball bearing 10-138"/>
    <x v="0"/>
    <x v="0"/>
    <x v="0"/>
    <s v="2024-09"/>
    <n v="64.09"/>
    <n v="64.09"/>
    <n v="63.724249999999998"/>
    <n v="84.31"/>
    <n v="35"/>
    <n v="58"/>
    <n v="68"/>
    <n v="40"/>
    <n v="2548.9699999999998"/>
    <n v="17"/>
    <n v="23"/>
    <n v="2.75"/>
    <n v="5"/>
    <n v="56"/>
    <n v="4721.3599999999997"/>
    <n v="0"/>
    <x v="0"/>
    <s v="OK"/>
  </r>
  <r>
    <s v="IT-10138"/>
    <s v="Ball bearing 10-138"/>
    <x v="0"/>
    <x v="0"/>
    <x v="0"/>
    <s v="2024-10"/>
    <n v="62.86"/>
    <n v="62.86"/>
    <n v="63.005876000000001"/>
    <n v="84.31"/>
    <n v="35"/>
    <n v="34"/>
    <n v="197"/>
    <n v="194"/>
    <n v="12223.14"/>
    <n v="17"/>
    <n v="177"/>
    <n v="16.14"/>
    <n v="5"/>
    <n v="43"/>
    <n v="3625.33"/>
    <n v="0"/>
    <x v="0"/>
    <s v="OK"/>
  </r>
  <r>
    <s v="IT-10138"/>
    <s v="Ball bearing 10-138"/>
    <x v="0"/>
    <x v="0"/>
    <x v="0"/>
    <s v="2024-11"/>
    <n v="64.08"/>
    <n v="64.08"/>
    <n v="63.005859000000001"/>
    <n v="84.31"/>
    <n v="35"/>
    <m/>
    <n v="0"/>
    <n v="128"/>
    <n v="8064.75"/>
    <n v="19"/>
    <n v="109"/>
    <n v="10.08"/>
    <n v="4"/>
    <n v="66"/>
    <n v="5564.46"/>
    <n v="0"/>
    <x v="0"/>
    <s v="OK"/>
  </r>
  <r>
    <s v="IT-10138"/>
    <s v="Ball bearing 10-138"/>
    <x v="0"/>
    <x v="0"/>
    <x v="0"/>
    <s v="2024-12"/>
    <n v="64.760000000000005"/>
    <n v="64.760000000000005"/>
    <n v="63.695891000000003"/>
    <n v="84.31"/>
    <n v="35"/>
    <n v="30"/>
    <n v="83"/>
    <n v="202"/>
    <n v="12866.57"/>
    <n v="6"/>
    <n v="196"/>
    <n v="22.5"/>
    <n v="5"/>
    <n v="9"/>
    <n v="758.79"/>
    <n v="0"/>
    <x v="0"/>
    <s v="OK"/>
  </r>
  <r>
    <s v="IT-10138"/>
    <s v="Ball bearing 10-138"/>
    <x v="0"/>
    <x v="0"/>
    <x v="0"/>
    <s v="2025-01"/>
    <n v="63.14"/>
    <n v="63.14"/>
    <n v="63.695867"/>
    <n v="84.31"/>
    <n v="35"/>
    <m/>
    <n v="0"/>
    <n v="150"/>
    <n v="9554.3799999999992"/>
    <n v="4"/>
    <n v="146"/>
    <n v="15.52"/>
    <n v="13"/>
    <n v="52"/>
    <n v="4384.12"/>
    <n v="0"/>
    <x v="0"/>
    <s v="OK"/>
  </r>
  <r>
    <s v="IT-10138"/>
    <s v="Ball bearing 10-138"/>
    <x v="0"/>
    <x v="0"/>
    <x v="0"/>
    <s v="2025-02"/>
    <n v="64.900000000000006"/>
    <n v="64.900000000000006"/>
    <n v="63.695900000000002"/>
    <n v="88.06"/>
    <n v="35"/>
    <m/>
    <n v="0"/>
    <n v="100"/>
    <n v="6369.59"/>
    <n v="4"/>
    <n v="96"/>
    <n v="11.58"/>
    <n v="7"/>
    <n v="50"/>
    <n v="4403"/>
    <n v="0"/>
    <x v="0"/>
    <s v="OK"/>
  </r>
  <r>
    <s v="IT-10138"/>
    <s v="Ball bearing 10-138"/>
    <x v="0"/>
    <x v="0"/>
    <x v="0"/>
    <s v="2025-03"/>
    <n v="62.57"/>
    <n v="62.57"/>
    <n v="63.240226999999997"/>
    <n v="88.06"/>
    <n v="35"/>
    <n v="32"/>
    <n v="68"/>
    <n v="88"/>
    <n v="5565.14"/>
    <n v="11"/>
    <n v="77"/>
    <n v="6.22"/>
    <n v="1"/>
    <n v="80"/>
    <n v="7044.8"/>
    <n v="0"/>
    <x v="0"/>
    <s v="OK"/>
  </r>
  <r>
    <s v="IT-10138"/>
    <s v="Ball bearing 10-138"/>
    <x v="0"/>
    <x v="0"/>
    <x v="0"/>
    <s v="2025-04"/>
    <n v="64.95"/>
    <n v="64.95"/>
    <n v="63.278182000000001"/>
    <n v="88.06"/>
    <n v="35"/>
    <n v="61"/>
    <n v="2"/>
    <n v="33"/>
    <n v="2088.1799999999998"/>
    <n v="13"/>
    <n v="20"/>
    <n v="2.2400000000000002"/>
    <n v="1"/>
    <n v="57"/>
    <n v="5019.42"/>
    <n v="0"/>
    <x v="0"/>
    <s v="OK"/>
  </r>
  <r>
    <s v="IT-10138"/>
    <s v="Ball bearing 10-138"/>
    <x v="0"/>
    <x v="0"/>
    <x v="0"/>
    <s v="2025-05"/>
    <n v="66.39"/>
    <n v="66.39"/>
    <n v="65.803178000000003"/>
    <n v="88.06"/>
    <n v="35"/>
    <n v="31"/>
    <n v="142"/>
    <n v="107"/>
    <n v="7040.94"/>
    <n v="19"/>
    <n v="88"/>
    <n v="6.86"/>
    <n v="7"/>
    <n v="68"/>
    <n v="5988.08"/>
    <n v="0"/>
    <x v="0"/>
    <s v="OK"/>
  </r>
  <r>
    <s v="IT-10138"/>
    <s v="Ball bearing 10-138"/>
    <x v="0"/>
    <x v="0"/>
    <x v="0"/>
    <s v="2025-06"/>
    <n v="65.33"/>
    <n v="65.33"/>
    <n v="65.689138"/>
    <n v="88.06"/>
    <n v="35"/>
    <n v="61"/>
    <n v="34"/>
    <n v="58"/>
    <n v="3809.97"/>
    <n v="8"/>
    <n v="50"/>
    <n v="3.63"/>
    <n v="3"/>
    <n v="83"/>
    <n v="7308.98"/>
    <n v="0"/>
    <x v="0"/>
    <s v="OK"/>
  </r>
  <r>
    <s v="IT-10138"/>
    <s v="Ball bearing 10-138"/>
    <x v="0"/>
    <x v="0"/>
    <x v="0"/>
    <s v="2025-07"/>
    <n v="66.349999999999994"/>
    <n v="66.349999999999994"/>
    <n v="65.924091000000004"/>
    <n v="88.06"/>
    <n v="35"/>
    <n v="34"/>
    <n v="32"/>
    <n v="44"/>
    <n v="2900.66"/>
    <n v="15"/>
    <n v="29"/>
    <n v="2.94"/>
    <n v="5"/>
    <n v="46"/>
    <n v="4050.76"/>
    <n v="0"/>
    <x v="0"/>
    <s v="OK"/>
  </r>
  <r>
    <s v="IT-10138"/>
    <s v="Ball bearing 10-138"/>
    <x v="0"/>
    <x v="0"/>
    <x v="0"/>
    <s v="2025-08"/>
    <n v="64.5"/>
    <n v="64.5"/>
    <n v="64.974705999999998"/>
    <n v="88.06"/>
    <n v="35"/>
    <n v="33"/>
    <n v="88"/>
    <n v="119"/>
    <n v="7731.99"/>
    <n v="19"/>
    <n v="100"/>
    <n v="11.01"/>
    <n v="1"/>
    <n v="13"/>
    <n v="1144.78"/>
    <n v="0"/>
    <x v="0"/>
    <s v="OK"/>
  </r>
  <r>
    <s v="IT-10138"/>
    <s v="Ball bearing 10-138"/>
    <x v="0"/>
    <x v="0"/>
    <x v="0"/>
    <s v="2025-09"/>
    <n v="66.38"/>
    <n v="66.38"/>
    <n v="65.579868000000005"/>
    <n v="88.06"/>
    <n v="35"/>
    <n v="33"/>
    <n v="90"/>
    <n v="151"/>
    <n v="9902.56"/>
    <n v="19"/>
    <n v="132"/>
    <n v="16.96"/>
    <n v="8"/>
    <n v="58"/>
    <n v="5107.4799999999996"/>
    <n v="0"/>
    <x v="0"/>
    <s v="OK"/>
  </r>
  <r>
    <s v="IT-10138"/>
    <s v="Ball bearing 10-138"/>
    <x v="0"/>
    <x v="0"/>
    <x v="0"/>
    <s v="2025-10"/>
    <n v="65.61"/>
    <n v="65.61"/>
    <n v="65.58"/>
    <n v="88.06"/>
    <n v="35"/>
    <n v="35"/>
    <n v="1"/>
    <n v="49"/>
    <n v="3213.42"/>
    <n v="17"/>
    <n v="32"/>
    <n v="3.7"/>
    <n v="0"/>
    <n v="103"/>
    <n v="9070.18"/>
    <n v="0"/>
    <x v="0"/>
    <s v="OK"/>
  </r>
  <r>
    <s v="IT-10138"/>
    <s v="Ball bearing 10-138"/>
    <x v="0"/>
    <x v="0"/>
    <x v="0"/>
    <s v="2025-11"/>
    <n v="64.760000000000005"/>
    <n v="64.760000000000005"/>
    <n v="65.378249999999994"/>
    <n v="88.06"/>
    <n v="35"/>
    <n v="34"/>
    <n v="16"/>
    <n v="40"/>
    <n v="2615.13"/>
    <n v="11"/>
    <n v="29"/>
    <n v="2.8"/>
    <n v="2"/>
    <n v="25"/>
    <n v="2201.5"/>
    <n v="0"/>
    <x v="0"/>
    <s v="OK"/>
  </r>
  <r>
    <s v="IT-10138"/>
    <s v="Ball bearing 10-138"/>
    <x v="0"/>
    <x v="0"/>
    <x v="0"/>
    <s v="2025-12"/>
    <n v="65.400000000000006"/>
    <n v="65.400000000000006"/>
    <n v="65.394653000000005"/>
    <n v="88.06"/>
    <n v="35"/>
    <n v="34"/>
    <n v="124"/>
    <n v="101"/>
    <n v="6604.86"/>
    <n v="19"/>
    <n v="82"/>
    <n v="6.95"/>
    <n v="8"/>
    <n v="63"/>
    <n v="5547.78"/>
    <n v="0"/>
    <x v="0"/>
    <s v="OK"/>
  </r>
  <r>
    <s v="IT-10138"/>
    <s v="Ball bearing 10-138"/>
    <x v="0"/>
    <x v="0"/>
    <x v="0"/>
    <s v="2026-01"/>
    <n v="65.7"/>
    <n v="65.7"/>
    <n v="65.394615000000002"/>
    <n v="88.06"/>
    <n v="35"/>
    <m/>
    <n v="0"/>
    <n v="26"/>
    <n v="1700.26"/>
    <n v="19"/>
    <n v="7"/>
    <n v="2.1"/>
    <n v="1"/>
    <n v="75"/>
    <n v="6604.5"/>
    <n v="0"/>
    <x v="0"/>
    <s v="OK"/>
  </r>
  <r>
    <s v="IT-10138"/>
    <s v="Ball bearing 10-138"/>
    <x v="0"/>
    <x v="0"/>
    <x v="0"/>
    <s v="2026-02"/>
    <n v="65.599999999999994"/>
    <n v="65.599999999999994"/>
    <n v="65.556897000000006"/>
    <n v="91.98"/>
    <n v="35"/>
    <n v="45"/>
    <n v="98"/>
    <n v="58"/>
    <n v="3802.3"/>
    <n v="15"/>
    <n v="43"/>
    <n v="3.66"/>
    <n v="2"/>
    <n v="66"/>
    <n v="6070.68"/>
    <n v="0"/>
    <x v="0"/>
    <s v="OK"/>
  </r>
  <r>
    <s v="IT-10138"/>
    <s v="Ball bearing 10-138"/>
    <x v="0"/>
    <x v="0"/>
    <x v="0"/>
    <s v="2026-03"/>
    <n v="65.3"/>
    <n v="65.3"/>
    <n v="65.378815000000003"/>
    <n v="91.98"/>
    <n v="35"/>
    <n v="30"/>
    <n v="131"/>
    <n v="135"/>
    <n v="8826.14"/>
    <n v="10"/>
    <n v="125"/>
    <n v="8.9"/>
    <n v="0"/>
    <n v="54"/>
    <n v="4966.92"/>
    <n v="0"/>
    <x v="0"/>
    <s v="OK"/>
  </r>
  <r>
    <s v="IT-10138"/>
    <s v="Ball bearing 10-138"/>
    <x v="0"/>
    <x v="0"/>
    <x v="0"/>
    <s v="2026-04"/>
    <n v="67.319999999999993"/>
    <n v="67.319999999999993"/>
    <n v="65.378780000000006"/>
    <n v="91.98"/>
    <n v="35"/>
    <m/>
    <n v="0"/>
    <n v="82"/>
    <n v="5361.06"/>
    <n v="15"/>
    <n v="67"/>
    <n v="6.03"/>
    <n v="0"/>
    <n v="53"/>
    <n v="4874.9399999999996"/>
    <n v="0"/>
    <x v="0"/>
    <s v="OK"/>
  </r>
  <r>
    <s v="IT-10138"/>
    <s v="Ball bearing 10-138"/>
    <x v="0"/>
    <x v="0"/>
    <x v="0"/>
    <s v="2026-05"/>
    <n v="68.19"/>
    <n v="68.19"/>
    <n v="66.825984000000005"/>
    <n v="91.98"/>
    <n v="35"/>
    <n v="33"/>
    <n v="87"/>
    <n v="127"/>
    <n v="8486.9"/>
    <n v="11"/>
    <n v="116"/>
    <n v="11.2"/>
    <n v="11"/>
    <n v="42"/>
    <n v="3863.16"/>
    <n v="0"/>
    <x v="0"/>
    <s v="OK"/>
  </r>
  <r>
    <s v="IT-10138"/>
    <s v="Ball bearing 10-138"/>
    <x v="0"/>
    <x v="0"/>
    <x v="0"/>
    <s v="2026-06"/>
    <n v="67.459999999999994"/>
    <n v="67.459999999999994"/>
    <n v="66.825979000000004"/>
    <n v="91.98"/>
    <n v="35"/>
    <m/>
    <n v="0"/>
    <n v="97"/>
    <n v="6482.12"/>
    <n v="10"/>
    <n v="87"/>
    <n v="10.09"/>
    <n v="0"/>
    <n v="30"/>
    <n v="2759.4"/>
    <n v="0"/>
    <x v="0"/>
    <s v="OK"/>
  </r>
  <r>
    <s v="IT-10138"/>
    <s v="Ball bearing 10-138"/>
    <x v="0"/>
    <x v="0"/>
    <x v="0"/>
    <s v="2026-07"/>
    <n v="66.33"/>
    <n v="66.33"/>
    <n v="66.825833000000003"/>
    <n v="91.98"/>
    <n v="35"/>
    <m/>
    <n v="0"/>
    <n v="12"/>
    <n v="801.91"/>
    <n v="4"/>
    <n v="8"/>
    <n v="1"/>
    <n v="5"/>
    <n v="85"/>
    <n v="7818.3"/>
    <n v="0"/>
    <x v="0"/>
    <s v="OK"/>
  </r>
  <r>
    <s v="IT-10138"/>
    <s v="Ball bearing 10-138"/>
    <x v="0"/>
    <x v="0"/>
    <x v="0"/>
    <s v="2026-08"/>
    <n v="67.77"/>
    <n v="67.77"/>
    <n v="67.691905000000006"/>
    <n v="91.98"/>
    <n v="35"/>
    <n v="31"/>
    <n v="133"/>
    <n v="84"/>
    <n v="5686.12"/>
    <n v="4"/>
    <n v="80"/>
    <n v="6.27"/>
    <n v="1"/>
    <n v="61"/>
    <n v="5610.78"/>
    <n v="0"/>
    <x v="0"/>
    <s v="OK"/>
  </r>
  <r>
    <s v="IT-10139"/>
    <s v="Control switch L-139"/>
    <x v="3"/>
    <x v="3"/>
    <x v="0"/>
    <s v="2024-09"/>
    <n v="423.01"/>
    <n v="423.01"/>
    <n v="430.34500000000003"/>
    <n v="613.96"/>
    <n v="17"/>
    <m/>
    <n v="0"/>
    <n v="4"/>
    <n v="1721.38"/>
    <n v="0"/>
    <n v="4"/>
    <n v="5.26"/>
    <n v="12"/>
    <n v="5"/>
    <n v="3069.8"/>
    <n v="0"/>
    <x v="0"/>
    <s v="OK"/>
  </r>
  <r>
    <s v="IT-10139"/>
    <s v="Control switch L-139"/>
    <x v="3"/>
    <x v="3"/>
    <x v="0"/>
    <s v="2024-10"/>
    <n v="428.18"/>
    <n v="428.18"/>
    <n v="429.04666700000001"/>
    <n v="613.96"/>
    <n v="17"/>
    <n v="16"/>
    <n v="6"/>
    <n v="6"/>
    <n v="2574.2800000000002"/>
    <n v="1"/>
    <n v="5"/>
    <n v="6.57"/>
    <n v="19"/>
    <n v="4"/>
    <n v="2455.84"/>
    <n v="0"/>
    <x v="0"/>
    <s v="OK"/>
  </r>
  <r>
    <s v="IT-10139"/>
    <s v="Control switch L-139"/>
    <x v="3"/>
    <x v="3"/>
    <x v="0"/>
    <s v="2024-11"/>
    <n v="425.45"/>
    <n v="425.45"/>
    <n v="427.411429"/>
    <n v="613.96"/>
    <n v="17"/>
    <n v="15"/>
    <n v="5"/>
    <n v="7"/>
    <n v="2991.88"/>
    <n v="0"/>
    <n v="7"/>
    <n v="7"/>
    <n v="4"/>
    <n v="4"/>
    <n v="2455.84"/>
    <n v="0"/>
    <x v="0"/>
    <s v="OK"/>
  </r>
  <r>
    <s v="IT-10139"/>
    <s v="Control switch L-139"/>
    <x v="3"/>
    <x v="3"/>
    <x v="0"/>
    <s v="2024-12"/>
    <n v="434.06"/>
    <n v="434.06"/>
    <n v="429.828889"/>
    <n v="613.96"/>
    <n v="17"/>
    <n v="15"/>
    <n v="4"/>
    <n v="9"/>
    <n v="3868.46"/>
    <n v="1"/>
    <n v="8"/>
    <n v="11.83"/>
    <n v="30"/>
    <n v="2"/>
    <n v="1227.92"/>
    <n v="0"/>
    <x v="0"/>
    <s v="OK"/>
  </r>
  <r>
    <s v="IT-10139"/>
    <s v="Control switch L-139"/>
    <x v="3"/>
    <x v="3"/>
    <x v="0"/>
    <s v="2025-01"/>
    <n v="426.28"/>
    <n v="426.28"/>
    <n v="428.94200000000001"/>
    <n v="613.96"/>
    <n v="17"/>
    <n v="15"/>
    <n v="3"/>
    <n v="10"/>
    <n v="4289.42"/>
    <n v="0"/>
    <n v="10"/>
    <n v="16.43"/>
    <n v="4"/>
    <n v="2"/>
    <n v="1227.92"/>
    <n v="0"/>
    <x v="0"/>
    <s v="OK"/>
  </r>
  <r>
    <s v="IT-10139"/>
    <s v="Control switch L-139"/>
    <x v="3"/>
    <x v="3"/>
    <x v="0"/>
    <s v="2025-02"/>
    <n v="425.41"/>
    <n v="425.41"/>
    <n v="428.126667"/>
    <n v="643.20000000000005"/>
    <n v="17"/>
    <n v="27"/>
    <n v="3"/>
    <n v="9"/>
    <n v="3853.14"/>
    <n v="1"/>
    <n v="8"/>
    <n v="14.46"/>
    <n v="3"/>
    <n v="4"/>
    <n v="2572.8000000000002"/>
    <n v="0"/>
    <x v="0"/>
    <s v="OK"/>
  </r>
  <r>
    <s v="IT-10139"/>
    <s v="Control switch L-139"/>
    <x v="3"/>
    <x v="3"/>
    <x v="0"/>
    <s v="2025-03"/>
    <n v="462.94"/>
    <n v="462.94"/>
    <n v="428.12625000000003"/>
    <n v="643.20000000000005"/>
    <n v="17"/>
    <m/>
    <n v="0"/>
    <n v="8"/>
    <n v="3425.01"/>
    <n v="1"/>
    <n v="7"/>
    <n v="14.69"/>
    <n v="14"/>
    <n v="1"/>
    <n v="643.20000000000005"/>
    <n v="0"/>
    <x v="0"/>
    <s v="OK"/>
  </r>
  <r>
    <s v="IT-10139"/>
    <s v="Control switch L-139"/>
    <x v="3"/>
    <x v="3"/>
    <x v="0"/>
    <s v="2025-04"/>
    <n v="462.3"/>
    <n v="462.3"/>
    <n v="437.44571400000001"/>
    <n v="643.20000000000005"/>
    <n v="17"/>
    <n v="15"/>
    <n v="3"/>
    <n v="7"/>
    <n v="3062.12"/>
    <n v="1"/>
    <n v="6"/>
    <n v="9.89"/>
    <n v="2"/>
    <n v="4"/>
    <n v="2572.8000000000002"/>
    <n v="0"/>
    <x v="0"/>
    <s v="OK"/>
  </r>
  <r>
    <s v="IT-10139"/>
    <s v="Control switch L-139"/>
    <x v="3"/>
    <x v="3"/>
    <x v="0"/>
    <s v="2025-05"/>
    <n v="457.71"/>
    <n v="457.71"/>
    <n v="445.88900000000001"/>
    <n v="643.20000000000005"/>
    <n v="17"/>
    <n v="15"/>
    <n v="5"/>
    <n v="10"/>
    <n v="4458.8900000000003"/>
    <n v="1"/>
    <n v="9"/>
    <n v="18.78"/>
    <n v="21"/>
    <n v="2"/>
    <n v="1286.4000000000001"/>
    <n v="0"/>
    <x v="0"/>
    <s v="OK"/>
  </r>
  <r>
    <s v="IT-10139"/>
    <s v="Control switch L-139"/>
    <x v="3"/>
    <x v="3"/>
    <x v="0"/>
    <s v="2025-06"/>
    <n v="460.64"/>
    <n v="460.64"/>
    <n v="445.88857100000001"/>
    <n v="643.20000000000005"/>
    <n v="17"/>
    <m/>
    <n v="0"/>
    <n v="7"/>
    <n v="3121.22"/>
    <n v="0"/>
    <n v="7"/>
    <n v="10.11"/>
    <n v="6"/>
    <n v="3"/>
    <n v="1929.6"/>
    <n v="0"/>
    <x v="0"/>
    <s v="OK"/>
  </r>
  <r>
    <s v="IT-10139"/>
    <s v="Control switch L-139"/>
    <x v="3"/>
    <x v="3"/>
    <x v="0"/>
    <s v="2025-07"/>
    <n v="462.77"/>
    <n v="462.77"/>
    <n v="452.92222199999998"/>
    <n v="643.20000000000005"/>
    <n v="17"/>
    <n v="17"/>
    <n v="5"/>
    <n v="9"/>
    <n v="4076.3"/>
    <n v="1"/>
    <n v="8"/>
    <n v="14.79"/>
    <n v="12"/>
    <n v="3"/>
    <n v="1929.6"/>
    <n v="0"/>
    <x v="0"/>
    <s v="OK"/>
  </r>
  <r>
    <s v="IT-10139"/>
    <s v="Control switch L-139"/>
    <x v="3"/>
    <x v="3"/>
    <x v="0"/>
    <s v="2025-08"/>
    <n v="454.49"/>
    <n v="454.49"/>
    <n v="452.92200000000003"/>
    <n v="643.20000000000005"/>
    <n v="17"/>
    <m/>
    <n v="0"/>
    <n v="5"/>
    <n v="2264.61"/>
    <n v="1"/>
    <n v="4"/>
    <n v="6.57"/>
    <n v="11"/>
    <n v="4"/>
    <n v="2572.8000000000002"/>
    <n v="0"/>
    <x v="0"/>
    <s v="OK"/>
  </r>
  <r>
    <s v="IT-10139"/>
    <s v="Control switch L-139"/>
    <x v="3"/>
    <x v="3"/>
    <x v="0"/>
    <s v="2025-09"/>
    <n v="452"/>
    <n v="452"/>
    <n v="452.38444399999997"/>
    <n v="643.20000000000005"/>
    <n v="17"/>
    <n v="16"/>
    <n v="7"/>
    <n v="9"/>
    <n v="4071.46"/>
    <n v="1"/>
    <n v="8"/>
    <n v="11.83"/>
    <n v="1"/>
    <n v="3"/>
    <n v="1929.6"/>
    <n v="0"/>
    <x v="0"/>
    <s v="OK"/>
  </r>
  <r>
    <s v="IT-10139"/>
    <s v="Control switch L-139"/>
    <x v="3"/>
    <x v="3"/>
    <x v="0"/>
    <s v="2025-10"/>
    <n v="452.14"/>
    <n v="452.14"/>
    <n v="452.38400000000001"/>
    <n v="643.20000000000005"/>
    <n v="17"/>
    <m/>
    <n v="0"/>
    <n v="5"/>
    <n v="2261.92"/>
    <n v="1"/>
    <n v="4"/>
    <n v="5.97"/>
    <n v="2"/>
    <n v="4"/>
    <n v="2572.8000000000002"/>
    <n v="0"/>
    <x v="0"/>
    <s v="OK"/>
  </r>
  <r>
    <s v="IT-10139"/>
    <s v="Control switch L-139"/>
    <x v="3"/>
    <x v="3"/>
    <x v="0"/>
    <s v="2025-11"/>
    <n v="449.2"/>
    <n v="449.2"/>
    <n v="451.19"/>
    <n v="643.20000000000005"/>
    <n v="17"/>
    <n v="16"/>
    <n v="3"/>
    <n v="4"/>
    <n v="1804.76"/>
    <n v="1"/>
    <n v="3"/>
    <n v="4.7300000000000004"/>
    <n v="1"/>
    <n v="4"/>
    <n v="2572.8000000000002"/>
    <n v="0"/>
    <x v="0"/>
    <s v="OK"/>
  </r>
  <r>
    <s v="IT-10139"/>
    <s v="Control switch L-139"/>
    <x v="3"/>
    <x v="3"/>
    <x v="0"/>
    <s v="2025-12"/>
    <n v="447.11"/>
    <n v="447.11"/>
    <n v="448.92285700000002"/>
    <n v="643.20000000000005"/>
    <n v="17"/>
    <n v="17"/>
    <n v="5"/>
    <n v="7"/>
    <n v="3142.46"/>
    <n v="1"/>
    <n v="6"/>
    <n v="9.1999999999999993"/>
    <n v="9"/>
    <n v="2"/>
    <n v="1286.4000000000001"/>
    <n v="0"/>
    <x v="0"/>
    <s v="OK"/>
  </r>
  <r>
    <s v="IT-10139"/>
    <s v="Control switch L-139"/>
    <x v="3"/>
    <x v="3"/>
    <x v="0"/>
    <s v="2026-01"/>
    <n v="459.29"/>
    <n v="459.29"/>
    <n v="453.70749999999998"/>
    <n v="643.20000000000005"/>
    <n v="17"/>
    <n v="16"/>
    <n v="6"/>
    <n v="8"/>
    <n v="3629.66"/>
    <n v="1"/>
    <n v="7"/>
    <n v="9.56"/>
    <n v="2"/>
    <n v="5"/>
    <n v="3216"/>
    <n v="0"/>
    <x v="0"/>
    <s v="OK"/>
  </r>
  <r>
    <s v="IT-10139"/>
    <s v="Control switch L-139"/>
    <x v="3"/>
    <x v="3"/>
    <x v="0"/>
    <s v="2026-02"/>
    <n v="450.68"/>
    <n v="450.68"/>
    <n v="453.70666699999998"/>
    <n v="673.84"/>
    <n v="17"/>
    <m/>
    <n v="0"/>
    <n v="6"/>
    <n v="2722.24"/>
    <n v="1"/>
    <n v="5"/>
    <n v="8.57"/>
    <n v="22"/>
    <n v="2"/>
    <n v="1347.68"/>
    <n v="0"/>
    <x v="0"/>
    <s v="OK"/>
  </r>
  <r>
    <s v="IT-10139"/>
    <s v="Control switch L-139"/>
    <x v="3"/>
    <x v="3"/>
    <x v="0"/>
    <s v="2026-03"/>
    <n v="487.85"/>
    <n v="487.85"/>
    <n v="470.77875"/>
    <n v="673.84"/>
    <n v="17"/>
    <n v="29"/>
    <n v="6"/>
    <n v="8"/>
    <n v="3766.23"/>
    <n v="1"/>
    <n v="7"/>
    <n v="9.35"/>
    <n v="5"/>
    <n v="4"/>
    <n v="2695.36"/>
    <n v="0"/>
    <x v="0"/>
    <s v="OK"/>
  </r>
  <r>
    <s v="IT-10139"/>
    <s v="Control switch L-139"/>
    <x v="3"/>
    <x v="3"/>
    <x v="0"/>
    <s v="2026-04"/>
    <n v="483.19"/>
    <n v="483.19"/>
    <n v="475.55200000000002"/>
    <n v="673.84"/>
    <n v="17"/>
    <n v="15"/>
    <n v="5"/>
    <n v="10"/>
    <n v="4755.5200000000004"/>
    <n v="1"/>
    <n v="9"/>
    <n v="14.13"/>
    <n v="14"/>
    <n v="3"/>
    <n v="2021.52"/>
    <n v="0"/>
    <x v="0"/>
    <s v="OK"/>
  </r>
  <r>
    <s v="IT-10139"/>
    <s v="Control switch L-139"/>
    <x v="3"/>
    <x v="3"/>
    <x v="0"/>
    <s v="2026-05"/>
    <n v="475.85"/>
    <n v="475.85"/>
    <n v="475.637"/>
    <n v="673.84"/>
    <n v="17"/>
    <n v="16"/>
    <n v="4"/>
    <n v="10"/>
    <n v="4756.37"/>
    <n v="0"/>
    <n v="10"/>
    <n v="11.95"/>
    <n v="4"/>
    <n v="4"/>
    <n v="2695.36"/>
    <n v="0"/>
    <x v="0"/>
    <s v="OK"/>
  </r>
  <r>
    <s v="IT-10139"/>
    <s v="Control switch L-139"/>
    <x v="3"/>
    <x v="3"/>
    <x v="0"/>
    <s v="2026-06"/>
    <n v="478.35"/>
    <n v="478.35"/>
    <n v="476.26307700000001"/>
    <n v="673.84"/>
    <n v="17"/>
    <n v="15"/>
    <n v="3"/>
    <n v="13"/>
    <n v="6191.42"/>
    <n v="0"/>
    <n v="13"/>
    <n v="24.14"/>
    <n v="34"/>
    <n v="0"/>
    <n v="0"/>
    <n v="0"/>
    <x v="0"/>
    <s v="OK"/>
  </r>
  <r>
    <s v="IT-10139"/>
    <s v="Control switch L-139"/>
    <x v="3"/>
    <x v="3"/>
    <x v="0"/>
    <s v="2026-07"/>
    <n v="484.43"/>
    <n v="484.43"/>
    <n v="476.26249999999999"/>
    <n v="673.84"/>
    <n v="17"/>
    <m/>
    <n v="0"/>
    <n v="8"/>
    <n v="3810.1"/>
    <n v="1"/>
    <n v="7"/>
    <n v="11.68"/>
    <n v="2"/>
    <n v="5"/>
    <n v="3369.2"/>
    <n v="0"/>
    <x v="0"/>
    <s v="OK"/>
  </r>
  <r>
    <s v="IT-10139"/>
    <s v="Control switch L-139"/>
    <x v="3"/>
    <x v="3"/>
    <x v="0"/>
    <s v="2026-08"/>
    <n v="477.79"/>
    <n v="477.79"/>
    <n v="476.77111100000002"/>
    <n v="673.84"/>
    <n v="17"/>
    <n v="15"/>
    <n v="4"/>
    <n v="9"/>
    <n v="4290.9399999999996"/>
    <n v="0"/>
    <n v="9"/>
    <n v="14.79"/>
    <n v="7"/>
    <n v="3"/>
    <n v="2021.52"/>
    <n v="0"/>
    <x v="0"/>
    <s v="OK"/>
  </r>
  <r>
    <s v="IT-10140"/>
    <s v="Gear set 10-140"/>
    <x v="4"/>
    <x v="4"/>
    <x v="1"/>
    <s v="2024-09"/>
    <n v="210.39"/>
    <n v="210.39"/>
    <n v="210.88833299999999"/>
    <n v="293.47000000000003"/>
    <n v="14"/>
    <n v="23"/>
    <n v="6"/>
    <n v="6"/>
    <n v="1265.33"/>
    <n v="1"/>
    <n v="5"/>
    <n v="7.89"/>
    <n v="29"/>
    <n v="2"/>
    <n v="586.94000000000005"/>
    <n v="0"/>
    <x v="0"/>
    <s v="OK"/>
  </r>
  <r>
    <s v="IT-10140"/>
    <s v="Gear set 10-140"/>
    <x v="4"/>
    <x v="4"/>
    <x v="1"/>
    <s v="2024-10"/>
    <n v="231.02"/>
    <n v="231.02"/>
    <n v="210.89"/>
    <n v="293.47000000000003"/>
    <n v="14"/>
    <m/>
    <n v="0"/>
    <n v="2"/>
    <n v="421.78"/>
    <n v="0"/>
    <n v="2"/>
    <n v="2.63"/>
    <n v="11"/>
    <n v="4"/>
    <n v="1173.8800000000001"/>
    <n v="0"/>
    <x v="0"/>
    <s v="OK"/>
  </r>
  <r>
    <s v="IT-10140"/>
    <s v="Gear set 10-140"/>
    <x v="4"/>
    <x v="4"/>
    <x v="1"/>
    <s v="2024-11"/>
    <n v="227.42"/>
    <n v="227.42"/>
    <n v="223.28666699999999"/>
    <n v="293.47000000000003"/>
    <n v="14"/>
    <n v="25"/>
    <n v="6"/>
    <n v="6"/>
    <n v="1339.72"/>
    <n v="1"/>
    <n v="5"/>
    <n v="9.75"/>
    <n v="20"/>
    <n v="2"/>
    <n v="586.94000000000005"/>
    <n v="0"/>
    <x v="0"/>
    <s v="OK"/>
  </r>
  <r>
    <s v="IT-10140"/>
    <s v="Gear set 10-140"/>
    <x v="4"/>
    <x v="4"/>
    <x v="1"/>
    <s v="2024-12"/>
    <n v="222.7"/>
    <n v="222.7"/>
    <n v="223.09142900000001"/>
    <n v="293.47000000000003"/>
    <n v="14"/>
    <n v="18"/>
    <n v="3"/>
    <n v="7"/>
    <n v="1561.64"/>
    <n v="1"/>
    <n v="6"/>
    <n v="11.5"/>
    <n v="6"/>
    <n v="2"/>
    <n v="586.94000000000005"/>
    <n v="0"/>
    <x v="0"/>
    <s v="OK"/>
  </r>
  <r>
    <s v="IT-10140"/>
    <s v="Gear set 10-140"/>
    <x v="4"/>
    <x v="4"/>
    <x v="1"/>
    <s v="2025-01"/>
    <n v="223.21"/>
    <n v="223.21"/>
    <n v="223.0925"/>
    <n v="293.47000000000003"/>
    <n v="14"/>
    <m/>
    <n v="0"/>
    <n v="4"/>
    <n v="892.37"/>
    <n v="1"/>
    <n v="3"/>
    <n v="7.51"/>
    <n v="14"/>
    <n v="3"/>
    <n v="880.41"/>
    <n v="0"/>
    <x v="0"/>
    <s v="OK"/>
  </r>
  <r>
    <s v="IT-10140"/>
    <s v="Gear set 10-140"/>
    <x v="4"/>
    <x v="4"/>
    <x v="1"/>
    <s v="2025-02"/>
    <n v="230.61"/>
    <n v="230.61"/>
    <n v="226.315"/>
    <n v="304.93"/>
    <n v="14"/>
    <n v="12"/>
    <n v="3"/>
    <n v="2"/>
    <n v="452.63"/>
    <n v="1"/>
    <n v="1"/>
    <n v="2.57"/>
    <n v="11"/>
    <n v="5"/>
    <n v="1524.65"/>
    <n v="0"/>
    <x v="0"/>
    <s v="OK"/>
  </r>
  <r>
    <s v="IT-10140"/>
    <s v="Gear set 10-140"/>
    <x v="4"/>
    <x v="4"/>
    <x v="1"/>
    <s v="2025-03"/>
    <n v="230.33"/>
    <n v="230.33"/>
    <n v="229.32599999999999"/>
    <n v="304.93"/>
    <n v="14"/>
    <n v="12"/>
    <n v="6"/>
    <n v="5"/>
    <n v="1146.6300000000001"/>
    <n v="1"/>
    <n v="4"/>
    <n v="5.84"/>
    <n v="5"/>
    <n v="3"/>
    <n v="914.79"/>
    <n v="0"/>
    <x v="0"/>
    <s v="OK"/>
  </r>
  <r>
    <s v="IT-10140"/>
    <s v="Gear set 10-140"/>
    <x v="4"/>
    <x v="4"/>
    <x v="1"/>
    <s v="2025-04"/>
    <n v="226.89"/>
    <n v="226.89"/>
    <n v="229.33"/>
    <n v="304.93"/>
    <n v="14"/>
    <m/>
    <n v="0"/>
    <n v="1"/>
    <n v="229.33"/>
    <n v="1"/>
    <n v="0"/>
    <n v="1.06"/>
    <n v="14"/>
    <n v="4"/>
    <n v="1219.72"/>
    <n v="0"/>
    <x v="0"/>
    <s v="OK"/>
  </r>
  <r>
    <s v="IT-10140"/>
    <s v="Gear set 10-140"/>
    <x v="4"/>
    <x v="4"/>
    <x v="1"/>
    <s v="2025-05"/>
    <n v="224.5"/>
    <n v="224.5"/>
    <n v="225.465"/>
    <n v="304.93"/>
    <n v="14"/>
    <n v="19"/>
    <n v="4"/>
    <n v="2"/>
    <n v="450.93"/>
    <n v="0"/>
    <n v="2"/>
    <n v="2.63"/>
    <n v="1"/>
    <n v="3"/>
    <n v="914.79"/>
    <n v="0"/>
    <x v="0"/>
    <s v="OK"/>
  </r>
  <r>
    <s v="IT-10140"/>
    <s v="Gear set 10-140"/>
    <x v="4"/>
    <x v="4"/>
    <x v="1"/>
    <s v="2025-06"/>
    <n v="228.31"/>
    <n v="228.31"/>
    <n v="227.172"/>
    <n v="304.93"/>
    <n v="14"/>
    <n v="12"/>
    <n v="3"/>
    <n v="0"/>
    <n v="0"/>
    <n v="0"/>
    <n v="0"/>
    <n v="0"/>
    <n v="13"/>
    <n v="5"/>
    <n v="1524.65"/>
    <n v="0"/>
    <x v="0"/>
    <s v="OK"/>
  </r>
  <r>
    <s v="IT-10140"/>
    <s v="Gear set 10-140"/>
    <x v="4"/>
    <x v="4"/>
    <x v="1"/>
    <s v="2025-07"/>
    <n v="229.42"/>
    <n v="229.42"/>
    <n v="229.42"/>
    <n v="304.93"/>
    <n v="14"/>
    <n v="14"/>
    <n v="8"/>
    <n v="4"/>
    <n v="917.68"/>
    <n v="1"/>
    <n v="3"/>
    <n v="4.38"/>
    <n v="3"/>
    <n v="4"/>
    <n v="1219.72"/>
    <n v="0"/>
    <x v="0"/>
    <s v="OK"/>
  </r>
  <r>
    <s v="IT-10140"/>
    <s v="Gear set 10-140"/>
    <x v="4"/>
    <x v="4"/>
    <x v="1"/>
    <s v="2025-08"/>
    <n v="226.74"/>
    <n v="226.74"/>
    <n v="228.27"/>
    <n v="304.93"/>
    <n v="14"/>
    <n v="13"/>
    <n v="3"/>
    <n v="1"/>
    <n v="228.27"/>
    <n v="0"/>
    <n v="1"/>
    <n v="0.88"/>
    <n v="8"/>
    <n v="6"/>
    <n v="1829.58"/>
    <n v="0"/>
    <x v="0"/>
    <s v="OK"/>
  </r>
  <r>
    <s v="IT-10140"/>
    <s v="Gear set 10-140"/>
    <x v="4"/>
    <x v="4"/>
    <x v="1"/>
    <s v="2025-09"/>
    <n v="223.94"/>
    <n v="223.94"/>
    <n v="224.421111"/>
    <n v="304.93"/>
    <n v="14"/>
    <n v="14"/>
    <n v="8"/>
    <n v="9"/>
    <n v="2019.79"/>
    <n v="1"/>
    <n v="8"/>
    <n v="11.83"/>
    <n v="38"/>
    <n v="0"/>
    <n v="0"/>
    <n v="0"/>
    <x v="0"/>
    <s v="OK"/>
  </r>
  <r>
    <s v="IT-10140"/>
    <s v="Gear set 10-140"/>
    <x v="4"/>
    <x v="4"/>
    <x v="1"/>
    <s v="2025-10"/>
    <n v="240.61"/>
    <n v="240.61"/>
    <n v="224.42142899999999"/>
    <n v="304.93"/>
    <n v="14"/>
    <m/>
    <n v="0"/>
    <n v="7"/>
    <n v="1570.95"/>
    <n v="1"/>
    <n v="6"/>
    <n v="11.5"/>
    <n v="19"/>
    <n v="2"/>
    <n v="609.86"/>
    <n v="0"/>
    <x v="0"/>
    <s v="OK"/>
  </r>
  <r>
    <s v="IT-10140"/>
    <s v="Gear set 10-140"/>
    <x v="4"/>
    <x v="4"/>
    <x v="1"/>
    <s v="2025-11"/>
    <n v="236.04"/>
    <n v="236.04"/>
    <n v="227.90600000000001"/>
    <n v="304.93"/>
    <n v="14"/>
    <n v="13"/>
    <n v="3"/>
    <n v="5"/>
    <n v="1139.53"/>
    <n v="0"/>
    <n v="5"/>
    <n v="9.2899999999999991"/>
    <n v="7"/>
    <n v="5"/>
    <n v="1524.65"/>
    <n v="0"/>
    <x v="0"/>
    <s v="OK"/>
  </r>
  <r>
    <s v="IT-10140"/>
    <s v="Gear set 10-140"/>
    <x v="4"/>
    <x v="4"/>
    <x v="1"/>
    <s v="2025-12"/>
    <n v="235.12"/>
    <n v="235.12"/>
    <n v="230.61166700000001"/>
    <n v="304.93"/>
    <n v="14"/>
    <n v="12"/>
    <n v="3"/>
    <n v="6"/>
    <n v="1383.67"/>
    <n v="1"/>
    <n v="5"/>
    <n v="8.76"/>
    <n v="14"/>
    <n v="2"/>
    <n v="609.86"/>
    <n v="0"/>
    <x v="0"/>
    <s v="OK"/>
  </r>
  <r>
    <s v="IT-10140"/>
    <s v="Gear set 10-140"/>
    <x v="4"/>
    <x v="4"/>
    <x v="1"/>
    <s v="2026-01"/>
    <n v="238.51"/>
    <n v="238.51"/>
    <n v="230.61"/>
    <n v="304.93"/>
    <n v="14"/>
    <m/>
    <n v="0"/>
    <n v="2"/>
    <n v="461.22"/>
    <n v="1"/>
    <n v="1"/>
    <n v="2.39"/>
    <n v="23"/>
    <n v="4"/>
    <n v="1219.72"/>
    <n v="0"/>
    <x v="0"/>
    <s v="OK"/>
  </r>
  <r>
    <s v="IT-10140"/>
    <s v="Gear set 10-140"/>
    <x v="4"/>
    <x v="4"/>
    <x v="1"/>
    <s v="2026-02"/>
    <n v="243.1"/>
    <n v="243.1"/>
    <n v="238.935"/>
    <n v="316.83"/>
    <n v="14"/>
    <n v="13"/>
    <n v="4"/>
    <n v="2"/>
    <n v="477.87"/>
    <n v="1"/>
    <n v="1"/>
    <n v="2.57"/>
    <n v="15"/>
    <n v="4"/>
    <n v="1267.32"/>
    <n v="0"/>
    <x v="0"/>
    <s v="OK"/>
  </r>
  <r>
    <s v="IT-10140"/>
    <s v="Gear set 10-140"/>
    <x v="4"/>
    <x v="4"/>
    <x v="1"/>
    <s v="2026-03"/>
    <n v="238.99"/>
    <n v="238.99"/>
    <n v="238.97"/>
    <n v="316.83"/>
    <n v="14"/>
    <n v="13"/>
    <n v="4"/>
    <n v="2"/>
    <n v="477.94"/>
    <n v="1"/>
    <n v="1"/>
    <n v="2.14"/>
    <n v="27"/>
    <n v="4"/>
    <n v="1267.32"/>
    <n v="0"/>
    <x v="0"/>
    <s v="OK"/>
  </r>
  <r>
    <s v="IT-10140"/>
    <s v="Gear set 10-140"/>
    <x v="4"/>
    <x v="4"/>
    <x v="1"/>
    <s v="2026-04"/>
    <n v="237.67"/>
    <n v="237.67"/>
    <n v="238.04249999999999"/>
    <n v="316.83"/>
    <n v="14"/>
    <n v="13"/>
    <n v="5"/>
    <n v="4"/>
    <n v="952.17"/>
    <n v="0"/>
    <n v="4"/>
    <n v="4.62"/>
    <n v="1"/>
    <n v="3"/>
    <n v="950.49"/>
    <n v="0"/>
    <x v="0"/>
    <s v="OK"/>
  </r>
  <r>
    <s v="IT-10140"/>
    <s v="Gear set 10-140"/>
    <x v="4"/>
    <x v="4"/>
    <x v="1"/>
    <s v="2026-05"/>
    <n v="238.85"/>
    <n v="238.85"/>
    <n v="238.39"/>
    <n v="316.83"/>
    <n v="14"/>
    <n v="12"/>
    <n v="3"/>
    <n v="3"/>
    <n v="715.17"/>
    <n v="1"/>
    <n v="2"/>
    <n v="3.58"/>
    <n v="12"/>
    <n v="4"/>
    <n v="1267.32"/>
    <n v="0"/>
    <x v="0"/>
    <s v="OK"/>
  </r>
  <r>
    <s v="IT-10140"/>
    <s v="Gear set 10-140"/>
    <x v="4"/>
    <x v="4"/>
    <x v="1"/>
    <s v="2026-06"/>
    <n v="241.21"/>
    <n v="241.21"/>
    <n v="239.8"/>
    <n v="316.83"/>
    <n v="14"/>
    <n v="25"/>
    <n v="3"/>
    <n v="5"/>
    <n v="1199"/>
    <n v="1"/>
    <n v="4"/>
    <n v="8.1300000000000008"/>
    <n v="8"/>
    <n v="1"/>
    <n v="316.83"/>
    <n v="0"/>
    <x v="0"/>
    <s v="OK"/>
  </r>
  <r>
    <s v="IT-10140"/>
    <s v="Gear set 10-140"/>
    <x v="4"/>
    <x v="4"/>
    <x v="1"/>
    <s v="2026-07"/>
    <n v="240.47"/>
    <n v="240.47"/>
    <n v="240.05142900000001"/>
    <n v="316.83"/>
    <n v="14"/>
    <n v="13"/>
    <n v="3"/>
    <n v="7"/>
    <n v="1680.36"/>
    <n v="1"/>
    <n v="6"/>
    <n v="15.33"/>
    <n v="2"/>
    <n v="1"/>
    <n v="316.83"/>
    <n v="0"/>
    <x v="0"/>
    <s v="OK"/>
  </r>
  <r>
    <s v="IT-10140"/>
    <s v="Gear set 10-140"/>
    <x v="4"/>
    <x v="4"/>
    <x v="1"/>
    <s v="2026-08"/>
    <n v="243.76"/>
    <n v="243.76"/>
    <n v="240.05"/>
    <n v="316.83"/>
    <n v="14"/>
    <m/>
    <n v="0"/>
    <n v="3"/>
    <n v="720.15"/>
    <n v="0"/>
    <n v="3"/>
    <n v="6.57"/>
    <n v="11"/>
    <n v="4"/>
    <n v="1267.32"/>
    <n v="0"/>
    <x v="0"/>
    <s v="OK"/>
  </r>
  <r>
    <s v="IT-10141"/>
    <s v="Sprocket L-141"/>
    <x v="4"/>
    <x v="4"/>
    <x v="1"/>
    <s v="2024-09"/>
    <n v="51.29"/>
    <n v="51.29"/>
    <n v="52.726067999999998"/>
    <n v="74.569999999999993"/>
    <n v="40"/>
    <m/>
    <n v="0"/>
    <n v="295"/>
    <n v="15554.19"/>
    <n v="30"/>
    <n v="265"/>
    <n v="10.62"/>
    <n v="1"/>
    <n v="156"/>
    <n v="11632.92"/>
    <n v="0"/>
    <x v="0"/>
    <s v="OK"/>
  </r>
  <r>
    <s v="IT-10141"/>
    <s v="Sprocket L-141"/>
    <x v="4"/>
    <x v="4"/>
    <x v="1"/>
    <s v="2024-10"/>
    <n v="54.86"/>
    <n v="54.86"/>
    <n v="53.172314"/>
    <n v="74.569999999999993"/>
    <n v="40"/>
    <n v="36"/>
    <n v="78"/>
    <n v="229"/>
    <n v="12176.46"/>
    <n v="15"/>
    <n v="214"/>
    <n v="7.07"/>
    <n v="1"/>
    <n v="144"/>
    <n v="10738.08"/>
    <n v="0"/>
    <x v="0"/>
    <s v="OK"/>
  </r>
  <r>
    <s v="IT-10141"/>
    <s v="Sprocket L-141"/>
    <x v="4"/>
    <x v="4"/>
    <x v="1"/>
    <s v="2024-11"/>
    <n v="55.84"/>
    <n v="55.84"/>
    <n v="54.435626999999997"/>
    <n v="74.569999999999993"/>
    <n v="40"/>
    <n v="35"/>
    <n v="206"/>
    <n v="375"/>
    <n v="20413.36"/>
    <n v="35"/>
    <n v="340"/>
    <n v="13.54"/>
    <n v="0"/>
    <n v="60"/>
    <n v="4474.2"/>
    <n v="0"/>
    <x v="0"/>
    <s v="OK"/>
  </r>
  <r>
    <s v="IT-10141"/>
    <s v="Sprocket L-141"/>
    <x v="4"/>
    <x v="4"/>
    <x v="1"/>
    <s v="2024-12"/>
    <n v="55.46"/>
    <n v="55.46"/>
    <n v="54.918962000000001"/>
    <n v="74.569999999999993"/>
    <n v="40"/>
    <n v="36"/>
    <n v="335"/>
    <n v="549"/>
    <n v="30150.51"/>
    <n v="10"/>
    <n v="539"/>
    <n v="19.77"/>
    <n v="0"/>
    <n v="161"/>
    <n v="12005.77"/>
    <n v="0"/>
    <x v="0"/>
    <s v="OK"/>
  </r>
  <r>
    <s v="IT-10141"/>
    <s v="Sprocket L-141"/>
    <x v="4"/>
    <x v="4"/>
    <x v="1"/>
    <s v="2025-01"/>
    <n v="54.35"/>
    <n v="54.35"/>
    <n v="54.918959999999998"/>
    <n v="74.569999999999993"/>
    <n v="40"/>
    <m/>
    <n v="0"/>
    <n v="519"/>
    <n v="28502.94"/>
    <n v="25"/>
    <n v="494"/>
    <n v="27.18"/>
    <n v="6"/>
    <n v="30"/>
    <n v="2237.1"/>
    <n v="0"/>
    <x v="0"/>
    <s v="OK"/>
  </r>
  <r>
    <s v="IT-10141"/>
    <s v="Sprocket L-141"/>
    <x v="4"/>
    <x v="4"/>
    <x v="1"/>
    <s v="2025-02"/>
    <n v="54.26"/>
    <n v="54.26"/>
    <n v="54.894511999999999"/>
    <n v="78.63"/>
    <n v="40"/>
    <n v="47"/>
    <n v="20"/>
    <n v="410"/>
    <n v="22506.75"/>
    <n v="20"/>
    <n v="390"/>
    <n v="16.47"/>
    <n v="2"/>
    <n v="129"/>
    <n v="10143.27"/>
    <n v="0"/>
    <x v="0"/>
    <s v="OK"/>
  </r>
  <r>
    <s v="IT-10141"/>
    <s v="Sprocket L-141"/>
    <x v="4"/>
    <x v="4"/>
    <x v="1"/>
    <s v="2025-03"/>
    <n v="55.64"/>
    <n v="55.64"/>
    <n v="54.894509999999997"/>
    <n v="78.63"/>
    <n v="40"/>
    <m/>
    <n v="0"/>
    <n v="204"/>
    <n v="11198.48"/>
    <n v="30"/>
    <n v="174"/>
    <n v="7.19"/>
    <n v="1"/>
    <n v="206"/>
    <n v="16197.78"/>
    <n v="0"/>
    <x v="0"/>
    <s v="OK"/>
  </r>
  <r>
    <s v="IT-10141"/>
    <s v="Sprocket L-141"/>
    <x v="4"/>
    <x v="4"/>
    <x v="1"/>
    <s v="2025-04"/>
    <n v="54.6"/>
    <n v="54.6"/>
    <n v="54.698172"/>
    <n v="78.63"/>
    <n v="40"/>
    <n v="56"/>
    <n v="408"/>
    <n v="580"/>
    <n v="31724.94"/>
    <n v="10"/>
    <n v="570"/>
    <n v="20.09"/>
    <n v="4"/>
    <n v="32"/>
    <n v="2516.16"/>
    <n v="0"/>
    <x v="0"/>
    <s v="OK"/>
  </r>
  <r>
    <s v="IT-10141"/>
    <s v="Sprocket L-141"/>
    <x v="4"/>
    <x v="4"/>
    <x v="1"/>
    <s v="2025-05"/>
    <n v="55.7"/>
    <n v="55.7"/>
    <n v="54.698169999999998"/>
    <n v="78.63"/>
    <n v="40"/>
    <m/>
    <n v="0"/>
    <n v="388"/>
    <n v="21222.89"/>
    <n v="20"/>
    <n v="368"/>
    <n v="11.86"/>
    <n v="0"/>
    <n v="192"/>
    <n v="15096.96"/>
    <n v="0"/>
    <x v="0"/>
    <s v="OK"/>
  </r>
  <r>
    <s v="IT-10141"/>
    <s v="Sprocket L-141"/>
    <x v="4"/>
    <x v="4"/>
    <x v="1"/>
    <s v="2025-06"/>
    <n v="54.3"/>
    <n v="54.3"/>
    <n v="54.698152999999998"/>
    <n v="78.63"/>
    <n v="40"/>
    <m/>
    <n v="0"/>
    <n v="287"/>
    <n v="15698.37"/>
    <n v="50"/>
    <n v="237"/>
    <n v="11.48"/>
    <n v="0"/>
    <n v="101"/>
    <n v="7941.63"/>
    <n v="0"/>
    <x v="0"/>
    <s v="OK"/>
  </r>
  <r>
    <s v="IT-10141"/>
    <s v="Sprocket L-141"/>
    <x v="4"/>
    <x v="4"/>
    <x v="1"/>
    <s v="2025-07"/>
    <n v="54.5"/>
    <n v="54.5"/>
    <n v="54.698148000000003"/>
    <n v="78.63"/>
    <n v="40"/>
    <m/>
    <n v="0"/>
    <n v="162"/>
    <n v="8861.1"/>
    <n v="25"/>
    <n v="137"/>
    <n v="5.09"/>
    <n v="0"/>
    <n v="125"/>
    <n v="9828.75"/>
    <n v="0"/>
    <x v="0"/>
    <s v="OK"/>
  </r>
  <r>
    <s v="IT-10141"/>
    <s v="Sprocket L-141"/>
    <x v="4"/>
    <x v="4"/>
    <x v="1"/>
    <s v="2025-08"/>
    <n v="54.98"/>
    <n v="54.98"/>
    <n v="54.805056999999998"/>
    <n v="78.63"/>
    <n v="40"/>
    <n v="39"/>
    <n v="99"/>
    <n v="0"/>
    <n v="0"/>
    <n v="0"/>
    <n v="0"/>
    <n v="0"/>
    <n v="0"/>
    <n v="261"/>
    <n v="20522.43"/>
    <n v="27"/>
    <x v="1"/>
    <s v="OK"/>
  </r>
  <r>
    <s v="IT-10141"/>
    <s v="Sprocket L-141"/>
    <x v="4"/>
    <x v="4"/>
    <x v="1"/>
    <s v="2025-09"/>
    <n v="55.49"/>
    <n v="55.49"/>
    <n v="55.49"/>
    <n v="78.63"/>
    <n v="40"/>
    <n v="36"/>
    <n v="226"/>
    <n v="8"/>
    <n v="443.92"/>
    <n v="8"/>
    <n v="0"/>
    <n v="0.17"/>
    <n v="0"/>
    <n v="218"/>
    <n v="17141.34"/>
    <n v="0"/>
    <x v="0"/>
    <s v="OK"/>
  </r>
  <r>
    <s v="IT-10141"/>
    <s v="Sprocket L-141"/>
    <x v="4"/>
    <x v="4"/>
    <x v="1"/>
    <s v="2025-10"/>
    <n v="57.74"/>
    <n v="57.74"/>
    <n v="57.676628000000001"/>
    <n v="78.63"/>
    <n v="40"/>
    <n v="34"/>
    <n v="276"/>
    <n v="172"/>
    <n v="9920.3799999999992"/>
    <n v="30"/>
    <n v="142"/>
    <n v="3.82"/>
    <n v="3"/>
    <n v="112"/>
    <n v="8806.56"/>
    <n v="0"/>
    <x v="0"/>
    <s v="OK"/>
  </r>
  <r>
    <s v="IT-10141"/>
    <s v="Sprocket L-141"/>
    <x v="4"/>
    <x v="4"/>
    <x v="1"/>
    <s v="2025-11"/>
    <n v="57.36"/>
    <n v="57.36"/>
    <n v="57.676628000000001"/>
    <n v="78.63"/>
    <n v="40"/>
    <m/>
    <n v="0"/>
    <n v="0"/>
    <n v="0"/>
    <n v="0"/>
    <n v="0"/>
    <n v="0"/>
    <n v="0"/>
    <n v="172"/>
    <n v="13524.36"/>
    <n v="74"/>
    <x v="1"/>
    <s v="OK"/>
  </r>
  <r>
    <s v="IT-10141"/>
    <s v="Sprocket L-141"/>
    <x v="4"/>
    <x v="4"/>
    <x v="1"/>
    <s v="2025-12"/>
    <n v="57.87"/>
    <n v="57.87"/>
    <n v="57.87"/>
    <n v="78.63"/>
    <n v="40"/>
    <n v="64"/>
    <n v="212"/>
    <n v="64"/>
    <n v="3703.68"/>
    <n v="30"/>
    <n v="34"/>
    <n v="1.95"/>
    <n v="6"/>
    <n v="148"/>
    <n v="11637.24"/>
    <n v="0"/>
    <x v="0"/>
    <s v="OK"/>
  </r>
  <r>
    <s v="IT-10141"/>
    <s v="Sprocket L-141"/>
    <x v="4"/>
    <x v="4"/>
    <x v="1"/>
    <s v="2026-01"/>
    <n v="58.77"/>
    <n v="58.77"/>
    <n v="58.592222"/>
    <n v="78.63"/>
    <n v="40"/>
    <n v="66"/>
    <n v="260"/>
    <n v="324"/>
    <n v="18983.88"/>
    <n v="10"/>
    <n v="314"/>
    <n v="13.31"/>
    <n v="37"/>
    <n v="0"/>
    <n v="0"/>
    <n v="0"/>
    <x v="0"/>
    <s v="OK"/>
  </r>
  <r>
    <s v="IT-10141"/>
    <s v="Sprocket L-141"/>
    <x v="4"/>
    <x v="4"/>
    <x v="1"/>
    <s v="2026-02"/>
    <n v="58.38"/>
    <n v="58.38"/>
    <n v="58.531453999999997"/>
    <n v="82.91"/>
    <n v="40"/>
    <n v="34"/>
    <n v="130"/>
    <n v="454"/>
    <n v="26573.279999999999"/>
    <n v="30"/>
    <n v="424"/>
    <n v="39.44"/>
    <n v="65"/>
    <n v="0"/>
    <n v="0"/>
    <n v="0"/>
    <x v="0"/>
    <s v="OK"/>
  </r>
  <r>
    <s v="IT-10141"/>
    <s v="Sprocket L-141"/>
    <x v="4"/>
    <x v="4"/>
    <x v="1"/>
    <s v="2026-03"/>
    <n v="59.28"/>
    <n v="59.28"/>
    <n v="58.641202999999997"/>
    <n v="82.91"/>
    <n v="40"/>
    <n v="40"/>
    <n v="78"/>
    <n v="532"/>
    <n v="31197.119999999999"/>
    <n v="25"/>
    <n v="507"/>
    <m/>
    <n v="96"/>
    <n v="0"/>
    <n v="0"/>
    <n v="0"/>
    <x v="0"/>
    <s v="OK"/>
  </r>
  <r>
    <s v="IT-10141"/>
    <s v="Sprocket L-141"/>
    <x v="4"/>
    <x v="4"/>
    <x v="1"/>
    <s v="2026-04"/>
    <n v="58.87"/>
    <n v="58.87"/>
    <n v="58.688057000000001"/>
    <n v="82.91"/>
    <n v="40"/>
    <n v="34"/>
    <n v="137"/>
    <n v="669"/>
    <n v="39262.31"/>
    <n v="10"/>
    <n v="659"/>
    <m/>
    <n v="126"/>
    <n v="0"/>
    <n v="0"/>
    <n v="0"/>
    <x v="0"/>
    <s v="OK"/>
  </r>
  <r>
    <s v="IT-10141"/>
    <s v="Sprocket L-141"/>
    <x v="4"/>
    <x v="4"/>
    <x v="1"/>
    <s v="2026-05"/>
    <n v="59.26"/>
    <n v="59.26"/>
    <n v="58.688057000000001"/>
    <n v="82.91"/>
    <n v="40"/>
    <m/>
    <n v="0"/>
    <n v="669"/>
    <n v="39262.31"/>
    <n v="50"/>
    <n v="619"/>
    <m/>
    <n v="157"/>
    <n v="0"/>
    <n v="0"/>
    <n v="0"/>
    <x v="0"/>
    <s v="OK"/>
  </r>
  <r>
    <s v="IT-10141"/>
    <s v="Sprocket L-141"/>
    <x v="4"/>
    <x v="4"/>
    <x v="1"/>
    <s v="2026-06"/>
    <n v="58.71"/>
    <n v="58.71"/>
    <n v="58.688057000000001"/>
    <n v="82.91"/>
    <n v="40"/>
    <m/>
    <n v="0"/>
    <n v="669"/>
    <n v="39262.31"/>
    <n v="20"/>
    <n v="649"/>
    <m/>
    <n v="187"/>
    <n v="0"/>
    <n v="0"/>
    <n v="0"/>
    <x v="0"/>
    <s v="OK"/>
  </r>
  <r>
    <s v="IT-10141"/>
    <s v="Sprocket L-141"/>
    <x v="4"/>
    <x v="4"/>
    <x v="1"/>
    <s v="2026-07"/>
    <n v="58.65"/>
    <n v="58.65"/>
    <n v="58.688057000000001"/>
    <n v="82.91"/>
    <n v="40"/>
    <m/>
    <n v="0"/>
    <n v="669"/>
    <n v="39262.31"/>
    <n v="15"/>
    <n v="654"/>
    <m/>
    <n v="218"/>
    <n v="0"/>
    <n v="0"/>
    <n v="0"/>
    <x v="0"/>
    <s v="OK"/>
  </r>
  <r>
    <s v="IT-10141"/>
    <s v="Sprocket L-141"/>
    <x v="4"/>
    <x v="4"/>
    <x v="1"/>
    <s v="2026-08"/>
    <n v="59.38"/>
    <n v="59.38"/>
    <n v="58.688057000000001"/>
    <n v="82.91"/>
    <n v="40"/>
    <m/>
    <n v="0"/>
    <n v="669"/>
    <n v="39262.31"/>
    <n v="30"/>
    <n v="639"/>
    <m/>
    <n v="249"/>
    <n v="0"/>
    <n v="0"/>
    <n v="0"/>
    <x v="0"/>
    <s v="OK"/>
  </r>
  <r>
    <s v="IT-10142"/>
    <s v="Roller bearing A-142"/>
    <x v="0"/>
    <x v="0"/>
    <x v="0"/>
    <s v="2024-09"/>
    <n v="9.07"/>
    <n v="9.07"/>
    <n v="9.0242210000000007"/>
    <n v="11.89"/>
    <n v="41"/>
    <n v="36"/>
    <n v="396"/>
    <n v="398"/>
    <n v="3591.64"/>
    <n v="48"/>
    <n v="350"/>
    <n v="10.36"/>
    <n v="3"/>
    <n v="88"/>
    <n v="1046.32"/>
    <n v="0"/>
    <x v="0"/>
    <s v="OK"/>
  </r>
  <r>
    <s v="IT-10142"/>
    <s v="Roller bearing A-142"/>
    <x v="0"/>
    <x v="0"/>
    <x v="0"/>
    <s v="2024-10"/>
    <n v="9.08"/>
    <n v="9.08"/>
    <n v="9.0242159999999991"/>
    <n v="11.89"/>
    <n v="41"/>
    <m/>
    <n v="0"/>
    <n v="185"/>
    <n v="1669.48"/>
    <n v="12"/>
    <n v="173"/>
    <n v="5.12"/>
    <n v="5"/>
    <n v="213"/>
    <n v="2532.5700000000002"/>
    <n v="0"/>
    <x v="0"/>
    <s v="OK"/>
  </r>
  <r>
    <s v="IT-10142"/>
    <s v="Roller bearing A-142"/>
    <x v="0"/>
    <x v="0"/>
    <x v="0"/>
    <s v="2024-11"/>
    <n v="8.9700000000000006"/>
    <n v="8.9700000000000006"/>
    <n v="9.0242159999999991"/>
    <n v="11.89"/>
    <n v="41"/>
    <m/>
    <n v="0"/>
    <n v="0"/>
    <n v="0"/>
    <n v="0"/>
    <n v="0"/>
    <n v="0"/>
    <n v="2"/>
    <n v="185"/>
    <n v="2199.65"/>
    <n v="38"/>
    <x v="1"/>
    <s v="OK"/>
  </r>
  <r>
    <s v="IT-10142"/>
    <s v="Roller bearing A-142"/>
    <x v="0"/>
    <x v="0"/>
    <x v="0"/>
    <s v="2024-12"/>
    <n v="8.7799999999999994"/>
    <n v="8.7799999999999994"/>
    <n v="8.7799999999999994"/>
    <n v="11.89"/>
    <n v="41"/>
    <n v="37"/>
    <n v="361"/>
    <n v="115"/>
    <n v="1009.7"/>
    <n v="61"/>
    <n v="54"/>
    <n v="2.35"/>
    <n v="0"/>
    <n v="246"/>
    <n v="2924.94"/>
    <n v="0"/>
    <x v="0"/>
    <s v="OK"/>
  </r>
  <r>
    <s v="IT-10142"/>
    <s v="Roller bearing A-142"/>
    <x v="0"/>
    <x v="0"/>
    <x v="0"/>
    <s v="2025-01"/>
    <n v="8.85"/>
    <n v="8.85"/>
    <n v="8.8172890000000006"/>
    <n v="11.89"/>
    <n v="41"/>
    <n v="53"/>
    <n v="131"/>
    <n v="225"/>
    <n v="1983.89"/>
    <n v="61"/>
    <n v="164"/>
    <n v="6.54"/>
    <n v="3"/>
    <n v="21"/>
    <n v="249.69"/>
    <n v="0"/>
    <x v="0"/>
    <s v="OK"/>
  </r>
  <r>
    <s v="IT-10142"/>
    <s v="Roller bearing A-142"/>
    <x v="0"/>
    <x v="0"/>
    <x v="0"/>
    <s v="2025-02"/>
    <n v="8.85"/>
    <n v="8.85"/>
    <n v="8.8376009999999994"/>
    <n v="12.22"/>
    <n v="41"/>
    <n v="54"/>
    <n v="369"/>
    <n v="496"/>
    <n v="4383.45"/>
    <n v="24"/>
    <n v="472"/>
    <n v="17.47"/>
    <n v="0"/>
    <n v="98"/>
    <n v="1197.56"/>
    <n v="0"/>
    <x v="0"/>
    <s v="OK"/>
  </r>
  <r>
    <s v="IT-10142"/>
    <s v="Roller bearing A-142"/>
    <x v="0"/>
    <x v="0"/>
    <x v="0"/>
    <s v="2025-03"/>
    <n v="8.94"/>
    <n v="8.94"/>
    <n v="8.8376070000000002"/>
    <n v="12.22"/>
    <n v="41"/>
    <m/>
    <n v="0"/>
    <n v="280"/>
    <n v="2474.5300000000002"/>
    <n v="18"/>
    <n v="262"/>
    <n v="10.75"/>
    <n v="0"/>
    <n v="216"/>
    <n v="2639.52"/>
    <n v="0"/>
    <x v="0"/>
    <s v="OK"/>
  </r>
  <r>
    <s v="IT-10142"/>
    <s v="Roller bearing A-142"/>
    <x v="0"/>
    <x v="0"/>
    <x v="0"/>
    <s v="2025-04"/>
    <n v="9.08"/>
    <n v="9.08"/>
    <n v="8.9661310000000007"/>
    <n v="12.22"/>
    <n v="41"/>
    <n v="39"/>
    <n v="316"/>
    <n v="566"/>
    <n v="5074.83"/>
    <n v="54"/>
    <n v="512"/>
    <n v="20.92"/>
    <n v="14"/>
    <n v="30"/>
    <n v="366.6"/>
    <n v="0"/>
    <x v="0"/>
    <s v="OK"/>
  </r>
  <r>
    <s v="IT-10142"/>
    <s v="Roller bearing A-142"/>
    <x v="0"/>
    <x v="0"/>
    <x v="0"/>
    <s v="2025-05"/>
    <n v="9.25"/>
    <n v="9.25"/>
    <n v="8.9661179999999998"/>
    <n v="12.22"/>
    <n v="41"/>
    <m/>
    <n v="0"/>
    <n v="304"/>
    <n v="2725.7"/>
    <n v="30"/>
    <n v="274"/>
    <n v="7.87"/>
    <n v="1"/>
    <n v="262"/>
    <n v="3201.64"/>
    <n v="0"/>
    <x v="0"/>
    <s v="OK"/>
  </r>
  <r>
    <s v="IT-10142"/>
    <s v="Roller bearing A-142"/>
    <x v="0"/>
    <x v="0"/>
    <x v="0"/>
    <s v="2025-06"/>
    <n v="9.31"/>
    <n v="9.31"/>
    <n v="8.9661469999999994"/>
    <n v="12.22"/>
    <n v="41"/>
    <m/>
    <n v="0"/>
    <n v="109"/>
    <n v="977.31"/>
    <n v="24"/>
    <n v="85"/>
    <n v="2.91"/>
    <n v="0"/>
    <n v="195"/>
    <n v="2382.9"/>
    <n v="0"/>
    <x v="0"/>
    <s v="OK"/>
  </r>
  <r>
    <s v="IT-10142"/>
    <s v="Roller bearing A-142"/>
    <x v="0"/>
    <x v="0"/>
    <x v="0"/>
    <s v="2025-07"/>
    <n v="9.07"/>
    <n v="9.07"/>
    <n v="9.0317530000000001"/>
    <n v="12.22"/>
    <n v="41"/>
    <n v="47"/>
    <n v="187"/>
    <n v="97"/>
    <n v="876.08"/>
    <n v="48"/>
    <n v="49"/>
    <n v="1.94"/>
    <n v="2"/>
    <n v="199"/>
    <n v="2431.7800000000002"/>
    <n v="0"/>
    <x v="0"/>
    <s v="OK"/>
  </r>
  <r>
    <s v="IT-10142"/>
    <s v="Roller bearing A-142"/>
    <x v="0"/>
    <x v="0"/>
    <x v="0"/>
    <s v="2025-08"/>
    <n v="9.25"/>
    <n v="9.25"/>
    <n v="9.2145340000000004"/>
    <n v="12.22"/>
    <n v="41"/>
    <n v="39"/>
    <n v="500"/>
    <n v="536"/>
    <n v="4938.99"/>
    <n v="48"/>
    <n v="488"/>
    <n v="15.48"/>
    <n v="2"/>
    <n v="61"/>
    <n v="745.42"/>
    <n v="0"/>
    <x v="0"/>
    <s v="OK"/>
  </r>
  <r>
    <s v="IT-10142"/>
    <s v="Roller bearing A-142"/>
    <x v="0"/>
    <x v="0"/>
    <x v="0"/>
    <s v="2025-09"/>
    <n v="9.1199999999999992"/>
    <n v="9.1199999999999992"/>
    <n v="9.2037619999999993"/>
    <n v="12.22"/>
    <n v="41"/>
    <n v="40"/>
    <n v="69"/>
    <n v="319"/>
    <n v="2936"/>
    <n v="48"/>
    <n v="271"/>
    <n v="7.68"/>
    <n v="1"/>
    <n v="286"/>
    <n v="3494.92"/>
    <n v="0"/>
    <x v="0"/>
    <s v="OK"/>
  </r>
  <r>
    <s v="IT-10142"/>
    <s v="Roller bearing A-142"/>
    <x v="0"/>
    <x v="0"/>
    <x v="0"/>
    <s v="2025-10"/>
    <n v="9.32"/>
    <n v="9.32"/>
    <n v="9.2425940000000004"/>
    <n v="12.22"/>
    <n v="41"/>
    <n v="39"/>
    <n v="160"/>
    <n v="320"/>
    <n v="2957.63"/>
    <n v="24"/>
    <n v="296"/>
    <n v="8.31"/>
    <n v="1"/>
    <n v="159"/>
    <n v="1942.98"/>
    <n v="0"/>
    <x v="0"/>
    <s v="OK"/>
  </r>
  <r>
    <s v="IT-10142"/>
    <s v="Roller bearing A-142"/>
    <x v="0"/>
    <x v="0"/>
    <x v="0"/>
    <s v="2025-11"/>
    <n v="9.1"/>
    <n v="9.1"/>
    <n v="9.212961"/>
    <n v="12.22"/>
    <n v="41"/>
    <n v="36"/>
    <n v="84"/>
    <n v="179"/>
    <n v="1649.12"/>
    <n v="30"/>
    <n v="149"/>
    <n v="3.47"/>
    <n v="0"/>
    <n v="225"/>
    <n v="2749.5"/>
    <n v="0"/>
    <x v="0"/>
    <s v="OK"/>
  </r>
  <r>
    <s v="IT-10142"/>
    <s v="Roller bearing A-142"/>
    <x v="0"/>
    <x v="0"/>
    <x v="0"/>
    <s v="2025-12"/>
    <n v="9.2899999999999991"/>
    <n v="9.2899999999999991"/>
    <n v="9.2130299999999998"/>
    <n v="12.22"/>
    <n v="41"/>
    <m/>
    <n v="0"/>
    <n v="33"/>
    <n v="304.02999999999997"/>
    <n v="12"/>
    <n v="21"/>
    <n v="0.82"/>
    <n v="3"/>
    <n v="146"/>
    <n v="1784.12"/>
    <n v="0"/>
    <x v="0"/>
    <s v="OK"/>
  </r>
  <r>
    <s v="IT-10142"/>
    <s v="Roller bearing A-142"/>
    <x v="0"/>
    <x v="0"/>
    <x v="0"/>
    <s v="2026-01"/>
    <n v="9.16"/>
    <n v="9.16"/>
    <n v="9.1641980000000007"/>
    <n v="12.22"/>
    <n v="41"/>
    <n v="58"/>
    <n v="385"/>
    <n v="243"/>
    <n v="2226.9"/>
    <n v="42"/>
    <n v="201"/>
    <n v="5.85"/>
    <n v="2"/>
    <n v="175"/>
    <n v="2138.5"/>
    <n v="0"/>
    <x v="0"/>
    <s v="OK"/>
  </r>
  <r>
    <s v="IT-10142"/>
    <s v="Roller bearing A-142"/>
    <x v="0"/>
    <x v="0"/>
    <x v="0"/>
    <s v="2026-02"/>
    <n v="9.3699999999999992"/>
    <n v="9.3699999999999992"/>
    <n v="9.2430719999999997"/>
    <n v="12.56"/>
    <n v="41"/>
    <n v="37"/>
    <n v="151"/>
    <n v="153"/>
    <n v="1414.19"/>
    <n v="48"/>
    <n v="105"/>
    <n v="3.5"/>
    <n v="1"/>
    <n v="241"/>
    <n v="3026.96"/>
    <n v="0"/>
    <x v="0"/>
    <s v="OK"/>
  </r>
  <r>
    <s v="IT-10142"/>
    <s v="Roller bearing A-142"/>
    <x v="0"/>
    <x v="0"/>
    <x v="0"/>
    <s v="2026-03"/>
    <n v="9.16"/>
    <n v="9.16"/>
    <n v="9.1997020000000003"/>
    <n v="12.56"/>
    <n v="41"/>
    <n v="38"/>
    <n v="167"/>
    <n v="235"/>
    <n v="2161.9299999999998"/>
    <n v="61"/>
    <n v="174"/>
    <n v="6.03"/>
    <n v="1"/>
    <n v="85"/>
    <n v="1067.5999999999999"/>
    <n v="0"/>
    <x v="0"/>
    <s v="OK"/>
  </r>
  <r>
    <s v="IT-10142"/>
    <s v="Roller bearing A-142"/>
    <x v="0"/>
    <x v="0"/>
    <x v="0"/>
    <s v="2026-04"/>
    <n v="9.56"/>
    <n v="9.56"/>
    <n v="9.3962389999999996"/>
    <n v="12.56"/>
    <n v="41"/>
    <n v="56"/>
    <n v="282"/>
    <n v="234"/>
    <n v="2198.7199999999998"/>
    <n v="30"/>
    <n v="204"/>
    <n v="4.8899999999999997"/>
    <n v="0"/>
    <n v="283"/>
    <n v="3554.48"/>
    <n v="0"/>
    <x v="0"/>
    <s v="OK"/>
  </r>
  <r>
    <s v="IT-10142"/>
    <s v="Roller bearing A-142"/>
    <x v="0"/>
    <x v="0"/>
    <x v="0"/>
    <s v="2026-05"/>
    <n v="9.3699999999999992"/>
    <n v="9.3699999999999992"/>
    <n v="9.3962310000000002"/>
    <n v="12.56"/>
    <n v="41"/>
    <m/>
    <n v="0"/>
    <n v="130"/>
    <n v="1221.51"/>
    <n v="24"/>
    <n v="106"/>
    <n v="3.62"/>
    <n v="4"/>
    <n v="104"/>
    <n v="1306.24"/>
    <n v="0"/>
    <x v="0"/>
    <s v="OK"/>
  </r>
  <r>
    <s v="IT-10142"/>
    <s v="Roller bearing A-142"/>
    <x v="0"/>
    <x v="0"/>
    <x v="0"/>
    <s v="2026-06"/>
    <n v="9.36"/>
    <n v="9.36"/>
    <n v="9.3667060000000006"/>
    <n v="12.56"/>
    <n v="41"/>
    <n v="37"/>
    <n v="572"/>
    <n v="513"/>
    <n v="4805.12"/>
    <n v="42"/>
    <n v="471"/>
    <n v="11.58"/>
    <n v="3"/>
    <n v="189"/>
    <n v="2373.84"/>
    <n v="0"/>
    <x v="0"/>
    <s v="OK"/>
  </r>
  <r>
    <s v="IT-10142"/>
    <s v="Roller bearing A-142"/>
    <x v="0"/>
    <x v="0"/>
    <x v="0"/>
    <s v="2026-07"/>
    <n v="9.4700000000000006"/>
    <n v="9.4700000000000006"/>
    <n v="9.3773490000000006"/>
    <n v="12.56"/>
    <n v="41"/>
    <n v="39"/>
    <n v="59"/>
    <n v="415"/>
    <n v="3891.6"/>
    <n v="61"/>
    <n v="354"/>
    <n v="12.12"/>
    <n v="0"/>
    <n v="157"/>
    <n v="1971.92"/>
    <n v="0"/>
    <x v="0"/>
    <s v="OK"/>
  </r>
  <r>
    <s v="IT-10142"/>
    <s v="Roller bearing A-142"/>
    <x v="0"/>
    <x v="0"/>
    <x v="0"/>
    <s v="2026-08"/>
    <n v="9.57"/>
    <n v="9.57"/>
    <n v="9.377364"/>
    <n v="12.56"/>
    <n v="41"/>
    <m/>
    <n v="0"/>
    <n v="239"/>
    <n v="2241.19"/>
    <n v="12"/>
    <n v="227"/>
    <n v="6.02"/>
    <n v="3"/>
    <n v="176"/>
    <n v="2210.56"/>
    <n v="0"/>
    <x v="0"/>
    <s v="OK"/>
  </r>
  <r>
    <s v="IT-10143"/>
    <s v="Gear set A-143"/>
    <x v="4"/>
    <x v="4"/>
    <x v="1"/>
    <s v="2024-09"/>
    <n v="2.68"/>
    <n v="2.68"/>
    <n v="2.7109220000000001"/>
    <n v="3.74"/>
    <n v="32"/>
    <n v="53"/>
    <n v="825"/>
    <n v="1682"/>
    <n v="4559.7700000000004"/>
    <n v="83"/>
    <n v="1599"/>
    <n v="8.8699999999999992"/>
    <n v="0"/>
    <n v="1014"/>
    <n v="3792.36"/>
    <n v="0"/>
    <x v="0"/>
    <s v="OK"/>
  </r>
  <r>
    <s v="IT-10143"/>
    <s v="Gear set A-143"/>
    <x v="4"/>
    <x v="4"/>
    <x v="1"/>
    <s v="2024-10"/>
    <n v="2.84"/>
    <n v="2.84"/>
    <n v="2.7109139999999998"/>
    <n v="3.74"/>
    <n v="32"/>
    <m/>
    <n v="0"/>
    <n v="678"/>
    <n v="1838"/>
    <n v="111"/>
    <n v="567"/>
    <n v="3.08"/>
    <n v="0"/>
    <n v="1004"/>
    <n v="3754.96"/>
    <n v="0"/>
    <x v="0"/>
    <s v="OK"/>
  </r>
  <r>
    <s v="IT-10143"/>
    <s v="Gear set A-143"/>
    <x v="4"/>
    <x v="4"/>
    <x v="1"/>
    <s v="2024-11"/>
    <n v="2.83"/>
    <n v="2.83"/>
    <n v="2.795731"/>
    <n v="3.74"/>
    <n v="32"/>
    <n v="42"/>
    <n v="1678"/>
    <n v="1996"/>
    <n v="5580.28"/>
    <n v="111"/>
    <n v="1885"/>
    <n v="10.91"/>
    <n v="2"/>
    <n v="360"/>
    <n v="1346.4"/>
    <n v="0"/>
    <x v="0"/>
    <s v="OK"/>
  </r>
  <r>
    <s v="IT-10143"/>
    <s v="Gear set A-143"/>
    <x v="4"/>
    <x v="4"/>
    <x v="1"/>
    <s v="2024-12"/>
    <n v="2.81"/>
    <n v="2.81"/>
    <n v="2.7996569999999998"/>
    <n v="3.74"/>
    <n v="32"/>
    <n v="29"/>
    <n v="757"/>
    <n v="1283"/>
    <n v="3591.96"/>
    <n v="111"/>
    <n v="1172"/>
    <n v="5.95"/>
    <n v="0"/>
    <n v="1470"/>
    <n v="5497.8"/>
    <n v="0"/>
    <x v="0"/>
    <s v="OK"/>
  </r>
  <r>
    <s v="IT-10143"/>
    <s v="Gear set A-143"/>
    <x v="4"/>
    <x v="4"/>
    <x v="1"/>
    <s v="2025-01"/>
    <n v="2.9"/>
    <n v="2.9"/>
    <n v="2.7996460000000001"/>
    <n v="3.74"/>
    <n v="32"/>
    <m/>
    <n v="0"/>
    <n v="395"/>
    <n v="1105.8599999999999"/>
    <n v="194"/>
    <n v="201"/>
    <n v="1.91"/>
    <n v="2"/>
    <n v="888"/>
    <n v="3321.12"/>
    <n v="0"/>
    <x v="0"/>
    <s v="OK"/>
  </r>
  <r>
    <s v="IT-10143"/>
    <s v="Gear set A-143"/>
    <x v="4"/>
    <x v="4"/>
    <x v="1"/>
    <s v="2025-02"/>
    <n v="2.89"/>
    <n v="2.89"/>
    <n v="2.877399"/>
    <n v="3.94"/>
    <n v="32"/>
    <n v="28"/>
    <n v="2437"/>
    <n v="2111"/>
    <n v="6074.19"/>
    <n v="166"/>
    <n v="1945"/>
    <n v="8.82"/>
    <n v="0"/>
    <n v="721"/>
    <n v="2840.74"/>
    <n v="0"/>
    <x v="0"/>
    <s v="OK"/>
  </r>
  <r>
    <s v="IT-10143"/>
    <s v="Gear set A-143"/>
    <x v="4"/>
    <x v="4"/>
    <x v="1"/>
    <s v="2025-03"/>
    <n v="2.85"/>
    <n v="2.85"/>
    <n v="2.8660359999999998"/>
    <n v="3.94"/>
    <n v="32"/>
    <n v="29"/>
    <n v="1496"/>
    <n v="3055"/>
    <n v="8755.74"/>
    <n v="111"/>
    <n v="2944"/>
    <n v="18.18"/>
    <n v="1"/>
    <n v="552"/>
    <n v="2174.88"/>
    <n v="0"/>
    <x v="0"/>
    <s v="OK"/>
  </r>
  <r>
    <s v="IT-10143"/>
    <s v="Gear set A-143"/>
    <x v="4"/>
    <x v="4"/>
    <x v="1"/>
    <s v="2025-04"/>
    <n v="2.9"/>
    <n v="2.9"/>
    <n v="2.8660380000000001"/>
    <n v="3.94"/>
    <n v="32"/>
    <m/>
    <n v="0"/>
    <n v="1931"/>
    <n v="5534.32"/>
    <n v="166"/>
    <n v="1765"/>
    <n v="10.24"/>
    <n v="1"/>
    <n v="1124"/>
    <n v="4428.5600000000004"/>
    <n v="0"/>
    <x v="0"/>
    <s v="OK"/>
  </r>
  <r>
    <s v="IT-10143"/>
    <s v="Gear set A-143"/>
    <x v="4"/>
    <x v="4"/>
    <x v="1"/>
    <s v="2025-05"/>
    <n v="2.92"/>
    <n v="2.92"/>
    <n v="2.8660399999999999"/>
    <n v="3.94"/>
    <n v="32"/>
    <m/>
    <n v="0"/>
    <n v="1058"/>
    <n v="3032.27"/>
    <n v="222"/>
    <n v="836"/>
    <n v="5.46"/>
    <n v="1"/>
    <n v="873"/>
    <n v="3439.62"/>
    <n v="0"/>
    <x v="0"/>
    <s v="OK"/>
  </r>
  <r>
    <s v="IT-10143"/>
    <s v="Gear set A-143"/>
    <x v="4"/>
    <x v="4"/>
    <x v="1"/>
    <s v="2025-06"/>
    <n v="2.88"/>
    <n v="2.88"/>
    <n v="2.8738419999999998"/>
    <n v="3.94"/>
    <n v="32"/>
    <n v="50"/>
    <n v="1341"/>
    <n v="1697"/>
    <n v="4876.91"/>
    <n v="83"/>
    <n v="1614"/>
    <n v="8.17"/>
    <n v="3"/>
    <n v="702"/>
    <n v="2765.88"/>
    <n v="0"/>
    <x v="0"/>
    <s v="OK"/>
  </r>
  <r>
    <s v="IT-10143"/>
    <s v="Gear set A-143"/>
    <x v="4"/>
    <x v="4"/>
    <x v="1"/>
    <s v="2025-07"/>
    <n v="2.86"/>
    <n v="2.86"/>
    <n v="2.8671799999999998"/>
    <n v="3.94"/>
    <n v="32"/>
    <n v="31"/>
    <n v="1574"/>
    <n v="2053"/>
    <n v="5886.32"/>
    <n v="250"/>
    <n v="1803"/>
    <n v="9.66"/>
    <n v="0"/>
    <n v="1218"/>
    <n v="4798.92"/>
    <n v="0"/>
    <x v="0"/>
    <s v="OK"/>
  </r>
  <r>
    <s v="IT-10143"/>
    <s v="Gear set A-143"/>
    <x v="4"/>
    <x v="4"/>
    <x v="1"/>
    <s v="2025-08"/>
    <n v="2.92"/>
    <n v="2.92"/>
    <n v="2.8740489999999999"/>
    <n v="3.94"/>
    <n v="32"/>
    <n v="28"/>
    <n v="307"/>
    <n v="1277"/>
    <n v="3670.16"/>
    <n v="277"/>
    <n v="1000"/>
    <n v="5.59"/>
    <n v="1"/>
    <n v="1083"/>
    <n v="4267.0200000000004"/>
    <n v="0"/>
    <x v="0"/>
    <s v="OK"/>
  </r>
  <r>
    <s v="IT-10143"/>
    <s v="Gear set A-143"/>
    <x v="4"/>
    <x v="4"/>
    <x v="1"/>
    <s v="2025-09"/>
    <n v="2.87"/>
    <n v="2.87"/>
    <n v="2.8740429999999999"/>
    <n v="3.94"/>
    <n v="32"/>
    <m/>
    <n v="0"/>
    <n v="695"/>
    <n v="1997.46"/>
    <n v="250"/>
    <n v="445"/>
    <n v="3.17"/>
    <n v="1"/>
    <n v="582"/>
    <n v="2293.08"/>
    <n v="0"/>
    <x v="0"/>
    <s v="OK"/>
  </r>
  <r>
    <s v="IT-10143"/>
    <s v="Gear set A-143"/>
    <x v="4"/>
    <x v="4"/>
    <x v="1"/>
    <s v="2025-10"/>
    <n v="3.1"/>
    <n v="3.1"/>
    <n v="3.061585"/>
    <n v="3.94"/>
    <n v="32"/>
    <n v="28"/>
    <n v="3393"/>
    <n v="3016"/>
    <n v="9233.74"/>
    <n v="194"/>
    <n v="2822"/>
    <n v="14.48"/>
    <n v="0"/>
    <n v="1072"/>
    <n v="4223.68"/>
    <n v="0"/>
    <x v="0"/>
    <s v="OK"/>
  </r>
  <r>
    <s v="IT-10143"/>
    <s v="Gear set A-143"/>
    <x v="4"/>
    <x v="4"/>
    <x v="1"/>
    <s v="2025-11"/>
    <n v="3.09"/>
    <n v="3.09"/>
    <n v="3.0615839999999999"/>
    <n v="3.94"/>
    <n v="32"/>
    <m/>
    <n v="0"/>
    <n v="1913"/>
    <n v="5856.81"/>
    <n v="222"/>
    <n v="1691"/>
    <n v="9.02"/>
    <n v="3"/>
    <n v="1103"/>
    <n v="4345.82"/>
    <n v="0"/>
    <x v="0"/>
    <s v="OK"/>
  </r>
  <r>
    <s v="IT-10143"/>
    <s v="Gear set A-143"/>
    <x v="4"/>
    <x v="4"/>
    <x v="1"/>
    <s v="2025-12"/>
    <n v="3.07"/>
    <n v="3.07"/>
    <n v="3.0646879999999999"/>
    <n v="3.94"/>
    <n v="32"/>
    <n v="29"/>
    <n v="1117"/>
    <n v="2289"/>
    <n v="7015.07"/>
    <n v="55"/>
    <n v="2234"/>
    <n v="10.32"/>
    <n v="0"/>
    <n v="741"/>
    <n v="2919.54"/>
    <n v="0"/>
    <x v="0"/>
    <s v="OK"/>
  </r>
  <r>
    <s v="IT-10143"/>
    <s v="Gear set A-143"/>
    <x v="4"/>
    <x v="4"/>
    <x v="1"/>
    <s v="2026-01"/>
    <n v="3.06"/>
    <n v="3.06"/>
    <n v="3.0643980000000002"/>
    <n v="3.94"/>
    <n v="32"/>
    <n v="28"/>
    <n v="152"/>
    <n v="1421"/>
    <n v="4354.51"/>
    <n v="55"/>
    <n v="1366"/>
    <n v="6.52"/>
    <n v="0"/>
    <n v="1020"/>
    <n v="4018.8"/>
    <n v="0"/>
    <x v="0"/>
    <s v="OK"/>
  </r>
  <r>
    <s v="IT-10143"/>
    <s v="Gear set A-143"/>
    <x v="4"/>
    <x v="4"/>
    <x v="1"/>
    <s v="2026-02"/>
    <n v="2.99"/>
    <n v="2.99"/>
    <n v="3.0251709999999998"/>
    <n v="4.16"/>
    <n v="32"/>
    <n v="28"/>
    <n v="1585"/>
    <n v="2218"/>
    <n v="6709.83"/>
    <n v="250"/>
    <n v="1968"/>
    <n v="11.19"/>
    <n v="0"/>
    <n v="788"/>
    <n v="3278.08"/>
    <n v="0"/>
    <x v="0"/>
    <s v="OK"/>
  </r>
  <r>
    <s v="IT-10143"/>
    <s v="Gear set A-143"/>
    <x v="4"/>
    <x v="4"/>
    <x v="1"/>
    <s v="2026-03"/>
    <n v="3.07"/>
    <n v="3.07"/>
    <n v="3.0375380000000001"/>
    <n v="4.16"/>
    <n v="32"/>
    <n v="30"/>
    <n v="845"/>
    <n v="2632"/>
    <n v="7994.8"/>
    <n v="111"/>
    <n v="2521"/>
    <n v="15.11"/>
    <n v="1"/>
    <n v="431"/>
    <n v="1792.96"/>
    <n v="0"/>
    <x v="0"/>
    <s v="OK"/>
  </r>
  <r>
    <s v="IT-10143"/>
    <s v="Gear set A-143"/>
    <x v="4"/>
    <x v="4"/>
    <x v="1"/>
    <s v="2026-04"/>
    <n v="3.04"/>
    <n v="3.04"/>
    <n v="3.0375359999999998"/>
    <n v="4.16"/>
    <n v="32"/>
    <m/>
    <n v="0"/>
    <n v="1782"/>
    <n v="5412.89"/>
    <n v="83"/>
    <n v="1699"/>
    <n v="10.95"/>
    <n v="0"/>
    <n v="850"/>
    <n v="3536"/>
    <n v="0"/>
    <x v="0"/>
    <s v="OK"/>
  </r>
  <r>
    <s v="IT-10143"/>
    <s v="Gear set A-143"/>
    <x v="4"/>
    <x v="4"/>
    <x v="1"/>
    <s v="2026-05"/>
    <n v="2.99"/>
    <n v="2.99"/>
    <n v="3.0333549999999998"/>
    <n v="4.16"/>
    <n v="32"/>
    <n v="56"/>
    <n v="172"/>
    <n v="927"/>
    <n v="2811.92"/>
    <n v="83"/>
    <n v="844"/>
    <n v="5.28"/>
    <n v="1"/>
    <n v="1027"/>
    <n v="4272.32"/>
    <n v="0"/>
    <x v="0"/>
    <s v="OK"/>
  </r>
  <r>
    <s v="IT-10143"/>
    <s v="Gear set A-143"/>
    <x v="4"/>
    <x v="4"/>
    <x v="1"/>
    <s v="2026-06"/>
    <n v="3.08"/>
    <n v="3.08"/>
    <n v="3.061458"/>
    <n v="4.16"/>
    <n v="32"/>
    <n v="41"/>
    <n v="1405"/>
    <n v="1845"/>
    <n v="5648.39"/>
    <n v="83"/>
    <n v="1762"/>
    <n v="10.15"/>
    <n v="0"/>
    <n v="487"/>
    <n v="2025.92"/>
    <n v="0"/>
    <x v="0"/>
    <s v="OK"/>
  </r>
  <r>
    <s v="IT-10143"/>
    <s v="Gear set A-143"/>
    <x v="4"/>
    <x v="4"/>
    <x v="1"/>
    <s v="2026-07"/>
    <n v="3.05"/>
    <n v="3.05"/>
    <n v="3.0559180000000001"/>
    <n v="4.16"/>
    <n v="32"/>
    <n v="39"/>
    <n v="1728"/>
    <n v="3094"/>
    <n v="9455.01"/>
    <n v="277"/>
    <n v="2817"/>
    <n v="20.399999999999999"/>
    <n v="0"/>
    <n v="479"/>
    <n v="1992.64"/>
    <n v="0"/>
    <x v="0"/>
    <s v="OK"/>
  </r>
  <r>
    <s v="IT-10143"/>
    <s v="Gear set A-143"/>
    <x v="4"/>
    <x v="4"/>
    <x v="1"/>
    <s v="2026-08"/>
    <n v="3.09"/>
    <n v="3.09"/>
    <n v="3.055917"/>
    <n v="4.16"/>
    <n v="32"/>
    <m/>
    <n v="0"/>
    <n v="2400"/>
    <n v="7334.2"/>
    <n v="55"/>
    <n v="2345"/>
    <n v="19"/>
    <n v="0"/>
    <n v="694"/>
    <n v="2887.04"/>
    <n v="0"/>
    <x v="0"/>
    <s v="OK"/>
  </r>
  <r>
    <s v="IT-10144"/>
    <s v="Hydraulic hose L-144"/>
    <x v="1"/>
    <x v="1"/>
    <x v="0"/>
    <s v="2024-09"/>
    <n v="20.7"/>
    <n v="20.7"/>
    <n v="20.849146999999999"/>
    <n v="27.95"/>
    <n v="56"/>
    <m/>
    <n v="0"/>
    <n v="739"/>
    <n v="15407.52"/>
    <n v="41"/>
    <n v="698"/>
    <n v="14.94"/>
    <n v="0"/>
    <n v="204"/>
    <n v="5701.8"/>
    <n v="0"/>
    <x v="0"/>
    <s v="OK"/>
  </r>
  <r>
    <s v="IT-10144"/>
    <s v="Hydraulic hose L-144"/>
    <x v="1"/>
    <x v="1"/>
    <x v="0"/>
    <s v="2024-10"/>
    <n v="20.46"/>
    <n v="20.46"/>
    <n v="20.849138"/>
    <n v="27.95"/>
    <n v="56"/>
    <m/>
    <n v="0"/>
    <n v="383"/>
    <n v="7985.22"/>
    <n v="58"/>
    <n v="325"/>
    <n v="6.36"/>
    <n v="0"/>
    <n v="356"/>
    <n v="9950.2000000000007"/>
    <n v="0"/>
    <x v="0"/>
    <s v="OK"/>
  </r>
  <r>
    <s v="IT-10144"/>
    <s v="Hydraulic hose L-144"/>
    <x v="1"/>
    <x v="1"/>
    <x v="0"/>
    <s v="2024-11"/>
    <n v="20.93"/>
    <n v="20.93"/>
    <n v="20.881986000000001"/>
    <n v="27.95"/>
    <n v="56"/>
    <n v="68"/>
    <n v="262"/>
    <n v="282"/>
    <n v="5888.72"/>
    <n v="33"/>
    <n v="249"/>
    <n v="3.97"/>
    <n v="0"/>
    <n v="363"/>
    <n v="10145.85"/>
    <n v="0"/>
    <x v="0"/>
    <s v="OK"/>
  </r>
  <r>
    <s v="IT-10144"/>
    <s v="Hydraulic hose L-144"/>
    <x v="1"/>
    <x v="1"/>
    <x v="0"/>
    <s v="2024-12"/>
    <n v="20.64"/>
    <n v="20.64"/>
    <n v="20.725296"/>
    <n v="27.95"/>
    <n v="56"/>
    <n v="52"/>
    <n v="518"/>
    <n v="608"/>
    <n v="12600.98"/>
    <n v="17"/>
    <n v="591"/>
    <n v="8.77"/>
    <n v="1"/>
    <n v="192"/>
    <n v="5366.4"/>
    <n v="0"/>
    <x v="0"/>
    <s v="OK"/>
  </r>
  <r>
    <s v="IT-10144"/>
    <s v="Hydraulic hose L-144"/>
    <x v="1"/>
    <x v="1"/>
    <x v="0"/>
    <s v="2025-01"/>
    <n v="21.69"/>
    <n v="21.69"/>
    <n v="20.725287999999999"/>
    <n v="27.95"/>
    <n v="56"/>
    <m/>
    <n v="0"/>
    <n v="312"/>
    <n v="6466.29"/>
    <n v="58"/>
    <n v="254"/>
    <n v="4.82"/>
    <n v="0"/>
    <n v="296"/>
    <n v="8273.2000000000007"/>
    <n v="0"/>
    <x v="0"/>
    <s v="OK"/>
  </r>
  <r>
    <s v="IT-10144"/>
    <s v="Hydraulic hose L-144"/>
    <x v="1"/>
    <x v="1"/>
    <x v="0"/>
    <s v="2025-02"/>
    <n v="21.62"/>
    <n v="21.62"/>
    <n v="21.239678999999999"/>
    <n v="29.45"/>
    <n v="56"/>
    <n v="71"/>
    <n v="422"/>
    <n v="498"/>
    <n v="10577.36"/>
    <n v="41"/>
    <n v="457"/>
    <n v="8.84"/>
    <n v="2"/>
    <n v="236"/>
    <n v="6950.2"/>
    <n v="0"/>
    <x v="0"/>
    <s v="OK"/>
  </r>
  <r>
    <s v="IT-10144"/>
    <s v="Hydraulic hose L-144"/>
    <x v="1"/>
    <x v="1"/>
    <x v="0"/>
    <s v="2025-03"/>
    <n v="21.7"/>
    <n v="21.7"/>
    <n v="21.239692999999999"/>
    <n v="29.45"/>
    <n v="56"/>
    <m/>
    <n v="0"/>
    <n v="228"/>
    <n v="4842.6499999999996"/>
    <n v="50"/>
    <n v="178"/>
    <n v="3.66"/>
    <n v="2"/>
    <n v="270"/>
    <n v="7951.5"/>
    <n v="0"/>
    <x v="0"/>
    <s v="OK"/>
  </r>
  <r>
    <s v="IT-10144"/>
    <s v="Hydraulic hose L-144"/>
    <x v="1"/>
    <x v="1"/>
    <x v="0"/>
    <s v="2025-04"/>
    <n v="21.07"/>
    <n v="21.07"/>
    <n v="21.110468999999998"/>
    <n v="29.45"/>
    <n v="56"/>
    <n v="49"/>
    <n v="728"/>
    <n v="683"/>
    <n v="14418.45"/>
    <n v="25"/>
    <n v="658"/>
    <n v="11.15"/>
    <n v="1"/>
    <n v="273"/>
    <n v="8039.85"/>
    <n v="0"/>
    <x v="0"/>
    <s v="OK"/>
  </r>
  <r>
    <s v="IT-10144"/>
    <s v="Hydraulic hose L-144"/>
    <x v="1"/>
    <x v="1"/>
    <x v="0"/>
    <s v="2025-05"/>
    <n v="21.14"/>
    <n v="21.14"/>
    <n v="21.119332"/>
    <n v="29.45"/>
    <n v="56"/>
    <n v="49"/>
    <n v="293"/>
    <n v="509"/>
    <n v="10749.74"/>
    <n v="58"/>
    <n v="451"/>
    <n v="6.62"/>
    <n v="1"/>
    <n v="467"/>
    <n v="13753.15"/>
    <n v="0"/>
    <x v="0"/>
    <s v="OK"/>
  </r>
  <r>
    <s v="IT-10144"/>
    <s v="Hydraulic hose L-144"/>
    <x v="1"/>
    <x v="1"/>
    <x v="0"/>
    <s v="2025-06"/>
    <n v="21.75"/>
    <n v="21.75"/>
    <n v="21.346212000000001"/>
    <n v="29.45"/>
    <n v="56"/>
    <n v="49"/>
    <n v="286"/>
    <n v="594"/>
    <n v="12679.65"/>
    <n v="25"/>
    <n v="569"/>
    <n v="8.2100000000000009"/>
    <n v="1"/>
    <n v="201"/>
    <n v="5919.45"/>
    <n v="0"/>
    <x v="0"/>
    <s v="OK"/>
  </r>
  <r>
    <s v="IT-10144"/>
    <s v="Hydraulic hose L-144"/>
    <x v="1"/>
    <x v="1"/>
    <x v="0"/>
    <s v="2025-07"/>
    <n v="21.76"/>
    <n v="21.76"/>
    <n v="21.449659"/>
    <n v="29.45"/>
    <n v="56"/>
    <n v="53"/>
    <n v="198"/>
    <n v="733"/>
    <n v="15722.6"/>
    <n v="74"/>
    <n v="659"/>
    <n v="13.25"/>
    <n v="7"/>
    <n v="59"/>
    <n v="1737.55"/>
    <n v="0"/>
    <x v="0"/>
    <s v="OK"/>
  </r>
  <r>
    <s v="IT-10144"/>
    <s v="Hydraulic hose L-144"/>
    <x v="1"/>
    <x v="1"/>
    <x v="0"/>
    <s v="2025-08"/>
    <n v="21.65"/>
    <n v="21.65"/>
    <n v="21.449660999999999"/>
    <n v="29.45"/>
    <n v="56"/>
    <m/>
    <n v="0"/>
    <n v="354"/>
    <n v="7593.18"/>
    <n v="58"/>
    <n v="296"/>
    <n v="7.28"/>
    <n v="0"/>
    <n v="379"/>
    <n v="11161.55"/>
    <n v="0"/>
    <x v="0"/>
    <s v="OK"/>
  </r>
  <r>
    <s v="IT-10144"/>
    <s v="Hydraulic hose L-144"/>
    <x v="1"/>
    <x v="1"/>
    <x v="0"/>
    <s v="2025-09"/>
    <n v="21.19"/>
    <n v="21.19"/>
    <n v="21.283225999999999"/>
    <n v="29.45"/>
    <n v="56"/>
    <n v="66"/>
    <n v="632"/>
    <n v="623"/>
    <n v="13259.45"/>
    <n v="50"/>
    <n v="573"/>
    <n v="10.220000000000001"/>
    <n v="0"/>
    <n v="363"/>
    <n v="10690.35"/>
    <n v="0"/>
    <x v="0"/>
    <s v="OK"/>
  </r>
  <r>
    <s v="IT-10144"/>
    <s v="Hydraulic hose L-144"/>
    <x v="1"/>
    <x v="1"/>
    <x v="0"/>
    <s v="2025-10"/>
    <n v="21.45"/>
    <n v="21.45"/>
    <n v="21.310911999999998"/>
    <n v="29.45"/>
    <n v="56"/>
    <n v="52"/>
    <n v="124"/>
    <n v="658"/>
    <n v="14022.58"/>
    <n v="58"/>
    <n v="600"/>
    <n v="10.41"/>
    <n v="10"/>
    <n v="89"/>
    <n v="2621.0500000000002"/>
    <n v="0"/>
    <x v="0"/>
    <s v="OK"/>
  </r>
  <r>
    <s v="IT-10144"/>
    <s v="Hydraulic hose L-144"/>
    <x v="1"/>
    <x v="1"/>
    <x v="0"/>
    <s v="2025-11"/>
    <n v="21.55"/>
    <n v="21.55"/>
    <n v="21.310914"/>
    <n v="29.45"/>
    <n v="56"/>
    <m/>
    <n v="0"/>
    <n v="514"/>
    <n v="10953.81"/>
    <n v="17"/>
    <n v="497"/>
    <n v="11.21"/>
    <n v="1"/>
    <n v="144"/>
    <n v="4240.8"/>
    <n v="0"/>
    <x v="0"/>
    <s v="OK"/>
  </r>
  <r>
    <s v="IT-10144"/>
    <s v="Hydraulic hose L-144"/>
    <x v="1"/>
    <x v="1"/>
    <x v="0"/>
    <s v="2025-12"/>
    <n v="21.62"/>
    <n v="21.62"/>
    <n v="21.491883999999999"/>
    <n v="29.45"/>
    <n v="56"/>
    <n v="51"/>
    <n v="726"/>
    <n v="982"/>
    <n v="21105.03"/>
    <n v="33"/>
    <n v="949"/>
    <n v="26.29"/>
    <n v="0"/>
    <n v="258"/>
    <n v="7598.1"/>
    <n v="0"/>
    <x v="0"/>
    <s v="OK"/>
  </r>
  <r>
    <s v="IT-10144"/>
    <s v="Hydraulic hose L-144"/>
    <x v="1"/>
    <x v="1"/>
    <x v="0"/>
    <s v="2026-01"/>
    <n v="22.62"/>
    <n v="22.62"/>
    <n v="21.491879000000001"/>
    <n v="29.45"/>
    <n v="56"/>
    <m/>
    <n v="0"/>
    <n v="873"/>
    <n v="18762.41"/>
    <n v="83"/>
    <n v="790"/>
    <n v="22.45"/>
    <n v="6"/>
    <n v="109"/>
    <n v="3210.05"/>
    <n v="0"/>
    <x v="0"/>
    <s v="OK"/>
  </r>
  <r>
    <s v="IT-10144"/>
    <s v="Hydraulic hose L-144"/>
    <x v="1"/>
    <x v="1"/>
    <x v="0"/>
    <s v="2026-02"/>
    <n v="21.94"/>
    <n v="21.94"/>
    <n v="21.491876000000001"/>
    <n v="31.03"/>
    <n v="56"/>
    <m/>
    <n v="0"/>
    <n v="629"/>
    <n v="13518.39"/>
    <n v="41"/>
    <n v="588"/>
    <n v="13.24"/>
    <n v="2"/>
    <n v="244"/>
    <n v="7571.32"/>
    <n v="0"/>
    <x v="0"/>
    <s v="OK"/>
  </r>
  <r>
    <s v="IT-10144"/>
    <s v="Hydraulic hose L-144"/>
    <x v="1"/>
    <x v="1"/>
    <x v="0"/>
    <s v="2026-03"/>
    <n v="22.66"/>
    <n v="22.66"/>
    <n v="21.863949000000002"/>
    <n v="31.03"/>
    <n v="56"/>
    <n v="51"/>
    <n v="294"/>
    <n v="661"/>
    <n v="14452.07"/>
    <n v="66"/>
    <n v="595"/>
    <n v="13.82"/>
    <n v="2"/>
    <n v="262"/>
    <n v="8129.86"/>
    <n v="0"/>
    <x v="0"/>
    <s v="OK"/>
  </r>
  <r>
    <s v="IT-10144"/>
    <s v="Hydraulic hose L-144"/>
    <x v="1"/>
    <x v="1"/>
    <x v="0"/>
    <s v="2026-04"/>
    <n v="21.96"/>
    <n v="21.96"/>
    <n v="21.898596000000001"/>
    <n v="31.03"/>
    <n v="56"/>
    <n v="99"/>
    <n v="373"/>
    <n v="748"/>
    <n v="16380.15"/>
    <n v="25"/>
    <n v="723"/>
    <n v="12.01"/>
    <n v="0"/>
    <n v="286"/>
    <n v="8874.58"/>
    <n v="0"/>
    <x v="0"/>
    <s v="OK"/>
  </r>
  <r>
    <s v="IT-10144"/>
    <s v="Hydraulic hose L-144"/>
    <x v="1"/>
    <x v="1"/>
    <x v="0"/>
    <s v="2026-05"/>
    <n v="21.89"/>
    <n v="21.89"/>
    <n v="21.895061999999999"/>
    <n v="31.03"/>
    <n v="56"/>
    <n v="54"/>
    <n v="523"/>
    <n v="960"/>
    <n v="21019.26"/>
    <n v="50"/>
    <n v="910"/>
    <n v="14.69"/>
    <n v="2"/>
    <n v="311"/>
    <n v="9650.33"/>
    <n v="0"/>
    <x v="0"/>
    <s v="OK"/>
  </r>
  <r>
    <s v="IT-10144"/>
    <s v="Hydraulic hose L-144"/>
    <x v="1"/>
    <x v="1"/>
    <x v="0"/>
    <s v="2026-06"/>
    <n v="21.79"/>
    <n v="21.79"/>
    <n v="21.895059"/>
    <n v="31.03"/>
    <n v="56"/>
    <m/>
    <n v="0"/>
    <n v="769"/>
    <n v="16837.3"/>
    <n v="83"/>
    <n v="686"/>
    <n v="12.69"/>
    <n v="0"/>
    <n v="191"/>
    <n v="5926.73"/>
    <n v="0"/>
    <x v="0"/>
    <s v="OK"/>
  </r>
  <r>
    <s v="IT-10144"/>
    <s v="Hydraulic hose L-144"/>
    <x v="1"/>
    <x v="1"/>
    <x v="0"/>
    <s v="2026-07"/>
    <n v="22.09"/>
    <n v="22.09"/>
    <n v="21.982541999999999"/>
    <n v="31.03"/>
    <n v="56"/>
    <n v="51"/>
    <n v="626"/>
    <n v="948"/>
    <n v="20839.45"/>
    <n v="58"/>
    <n v="890"/>
    <n v="13.13"/>
    <n v="0"/>
    <n v="447"/>
    <n v="13870.41"/>
    <n v="0"/>
    <x v="0"/>
    <s v="OK"/>
  </r>
  <r>
    <s v="IT-10144"/>
    <s v="Hydraulic hose L-144"/>
    <x v="1"/>
    <x v="1"/>
    <x v="0"/>
    <s v="2026-08"/>
    <n v="21.86"/>
    <n v="21.86"/>
    <n v="21.982547"/>
    <n v="31.03"/>
    <n v="56"/>
    <m/>
    <n v="0"/>
    <n v="805"/>
    <n v="17695.95"/>
    <n v="66"/>
    <n v="739"/>
    <n v="13.55"/>
    <n v="0"/>
    <n v="143"/>
    <n v="4437.29"/>
    <n v="0"/>
    <x v="0"/>
    <s v="OK"/>
  </r>
  <r>
    <s v="IT-10145"/>
    <s v="Relay A-145"/>
    <x v="3"/>
    <x v="3"/>
    <x v="0"/>
    <s v="2024-09"/>
    <n v="17.350000000000001"/>
    <n v="17.350000000000001"/>
    <n v="17.119149"/>
    <n v="25.01"/>
    <n v="35"/>
    <n v="32"/>
    <n v="100"/>
    <n v="282"/>
    <n v="4827.6000000000004"/>
    <n v="30"/>
    <n v="252"/>
    <n v="11.73"/>
    <n v="0"/>
    <n v="106"/>
    <n v="2651.06"/>
    <n v="0"/>
    <x v="0"/>
    <s v="OK"/>
  </r>
  <r>
    <s v="IT-10145"/>
    <s v="Relay A-145"/>
    <x v="3"/>
    <x v="3"/>
    <x v="0"/>
    <s v="2024-10"/>
    <n v="17.45"/>
    <n v="17.45"/>
    <n v="17.205741"/>
    <n v="25.01"/>
    <n v="35"/>
    <n v="33"/>
    <n v="100"/>
    <n v="270"/>
    <n v="4645.55"/>
    <n v="17"/>
    <n v="253"/>
    <n v="11.83"/>
    <n v="4"/>
    <n v="112"/>
    <n v="2801.12"/>
    <n v="0"/>
    <x v="0"/>
    <s v="OK"/>
  </r>
  <r>
    <s v="IT-10145"/>
    <s v="Relay A-145"/>
    <x v="3"/>
    <x v="3"/>
    <x v="0"/>
    <s v="2024-11"/>
    <n v="17.14"/>
    <n v="17.14"/>
    <n v="17.205714"/>
    <n v="25.01"/>
    <n v="35"/>
    <m/>
    <n v="0"/>
    <n v="154"/>
    <n v="2649.68"/>
    <n v="30"/>
    <n v="124"/>
    <n v="5.99"/>
    <n v="2"/>
    <n v="116"/>
    <n v="2901.16"/>
    <n v="0"/>
    <x v="0"/>
    <s v="OK"/>
  </r>
  <r>
    <s v="IT-10145"/>
    <s v="Relay A-145"/>
    <x v="3"/>
    <x v="3"/>
    <x v="0"/>
    <s v="2024-12"/>
    <n v="17.25"/>
    <n v="17.25"/>
    <n v="17.223213999999999"/>
    <n v="25.01"/>
    <n v="35"/>
    <n v="32"/>
    <n v="100"/>
    <n v="56"/>
    <n v="964.5"/>
    <n v="21"/>
    <n v="35"/>
    <n v="1.73"/>
    <n v="1"/>
    <n v="198"/>
    <n v="4951.9799999999996"/>
    <n v="0"/>
    <x v="0"/>
    <s v="OK"/>
  </r>
  <r>
    <s v="IT-10145"/>
    <s v="Relay A-145"/>
    <x v="3"/>
    <x v="3"/>
    <x v="0"/>
    <s v="2025-01"/>
    <n v="17.100000000000001"/>
    <n v="17.100000000000001"/>
    <n v="17.114419000000002"/>
    <n v="25.01"/>
    <n v="35"/>
    <n v="31"/>
    <n v="423"/>
    <n v="258"/>
    <n v="4415.5200000000004"/>
    <n v="17"/>
    <n v="241"/>
    <n v="6.34"/>
    <n v="0"/>
    <n v="221"/>
    <n v="5527.21"/>
    <n v="0"/>
    <x v="0"/>
    <s v="OK"/>
  </r>
  <r>
    <s v="IT-10145"/>
    <s v="Relay A-145"/>
    <x v="3"/>
    <x v="3"/>
    <x v="0"/>
    <s v="2025-02"/>
    <n v="17.23"/>
    <n v="17.23"/>
    <n v="17.114398000000001"/>
    <n v="26.43"/>
    <n v="35"/>
    <m/>
    <n v="0"/>
    <n v="166"/>
    <n v="2840.99"/>
    <n v="38"/>
    <n v="128"/>
    <n v="4.18"/>
    <n v="3"/>
    <n v="92"/>
    <n v="2431.56"/>
    <n v="0"/>
    <x v="0"/>
    <s v="OK"/>
  </r>
  <r>
    <s v="IT-10145"/>
    <s v="Relay A-145"/>
    <x v="3"/>
    <x v="3"/>
    <x v="0"/>
    <s v="2025-03"/>
    <n v="18.21"/>
    <n v="18.21"/>
    <n v="17.678239000000001"/>
    <n v="26.43"/>
    <n v="35"/>
    <n v="34"/>
    <n v="176"/>
    <n v="176"/>
    <n v="3111.37"/>
    <n v="42"/>
    <n v="134"/>
    <n v="4.72"/>
    <n v="7"/>
    <n v="166"/>
    <n v="4387.38"/>
    <n v="0"/>
    <x v="0"/>
    <s v="OK"/>
  </r>
  <r>
    <s v="IT-10145"/>
    <s v="Relay A-145"/>
    <x v="3"/>
    <x v="3"/>
    <x v="0"/>
    <s v="2025-04"/>
    <n v="18.100000000000001"/>
    <n v="18.100000000000001"/>
    <n v="17.831053000000001"/>
    <n v="26.43"/>
    <n v="35"/>
    <n v="33"/>
    <n v="100"/>
    <n v="247"/>
    <n v="4404.2700000000004"/>
    <n v="8"/>
    <n v="239"/>
    <n v="10.94"/>
    <n v="0"/>
    <n v="29"/>
    <n v="766.47"/>
    <n v="0"/>
    <x v="0"/>
    <s v="OK"/>
  </r>
  <r>
    <s v="IT-10145"/>
    <s v="Relay A-145"/>
    <x v="3"/>
    <x v="3"/>
    <x v="0"/>
    <s v="2025-05"/>
    <n v="18.34"/>
    <n v="18.34"/>
    <n v="18.081340999999998"/>
    <n v="26.43"/>
    <n v="35"/>
    <n v="34"/>
    <n v="239"/>
    <n v="328"/>
    <n v="5930.68"/>
    <n v="34"/>
    <n v="294"/>
    <n v="12.21"/>
    <n v="2"/>
    <n v="158"/>
    <n v="4175.9399999999996"/>
    <n v="0"/>
    <x v="0"/>
    <s v="OK"/>
  </r>
  <r>
    <s v="IT-10145"/>
    <s v="Relay A-145"/>
    <x v="3"/>
    <x v="3"/>
    <x v="0"/>
    <s v="2025-06"/>
    <n v="17.86"/>
    <n v="17.86"/>
    <n v="18.081344999999999"/>
    <n v="26.43"/>
    <n v="35"/>
    <m/>
    <n v="0"/>
    <n v="223"/>
    <n v="4032.14"/>
    <n v="21"/>
    <n v="202"/>
    <n v="9.93"/>
    <n v="0"/>
    <n v="105"/>
    <n v="2775.15"/>
    <n v="0"/>
    <x v="0"/>
    <s v="OK"/>
  </r>
  <r>
    <s v="IT-10145"/>
    <s v="Relay A-145"/>
    <x v="3"/>
    <x v="3"/>
    <x v="0"/>
    <s v="2025-07"/>
    <n v="18.02"/>
    <n v="18.02"/>
    <n v="18.058544999999999"/>
    <n v="26.43"/>
    <n v="35"/>
    <n v="60"/>
    <n v="132"/>
    <n v="220"/>
    <n v="3972.88"/>
    <n v="21"/>
    <n v="199"/>
    <n v="7.26"/>
    <n v="0"/>
    <n v="135"/>
    <n v="3568.05"/>
    <n v="0"/>
    <x v="0"/>
    <s v="OK"/>
  </r>
  <r>
    <s v="IT-10145"/>
    <s v="Relay A-145"/>
    <x v="3"/>
    <x v="3"/>
    <x v="0"/>
    <s v="2025-08"/>
    <n v="18.420000000000002"/>
    <n v="18.420000000000002"/>
    <n v="18.173055999999999"/>
    <n v="26.43"/>
    <n v="35"/>
    <n v="32"/>
    <n v="102"/>
    <n v="252"/>
    <n v="4579.6099999999997"/>
    <n v="8"/>
    <n v="244"/>
    <n v="10.68"/>
    <n v="15"/>
    <n v="70"/>
    <n v="1850.1"/>
    <n v="0"/>
    <x v="0"/>
    <s v="OK"/>
  </r>
  <r>
    <s v="IT-10145"/>
    <s v="Relay A-145"/>
    <x v="3"/>
    <x v="3"/>
    <x v="0"/>
    <s v="2025-09"/>
    <n v="18.38"/>
    <n v="18.38"/>
    <n v="18.231854999999999"/>
    <n v="26.43"/>
    <n v="35"/>
    <n v="33"/>
    <n v="100"/>
    <n v="275"/>
    <n v="5013.76"/>
    <n v="30"/>
    <n v="245"/>
    <n v="12.82"/>
    <n v="8"/>
    <n v="77"/>
    <n v="2035.11"/>
    <n v="0"/>
    <x v="0"/>
    <s v="OK"/>
  </r>
  <r>
    <s v="IT-10145"/>
    <s v="Relay A-145"/>
    <x v="3"/>
    <x v="3"/>
    <x v="0"/>
    <s v="2025-10"/>
    <n v="18.2"/>
    <n v="18.2"/>
    <n v="18.231764999999999"/>
    <n v="26.43"/>
    <n v="35"/>
    <m/>
    <n v="0"/>
    <n v="51"/>
    <n v="929.82"/>
    <n v="21"/>
    <n v="30"/>
    <n v="1.81"/>
    <n v="0"/>
    <n v="224"/>
    <n v="5920.32"/>
    <n v="0"/>
    <x v="0"/>
    <s v="OK"/>
  </r>
  <r>
    <s v="IT-10145"/>
    <s v="Relay A-145"/>
    <x v="3"/>
    <x v="3"/>
    <x v="0"/>
    <s v="2025-11"/>
    <n v="18.010000000000002"/>
    <n v="18.010000000000002"/>
    <n v="18.045528000000001"/>
    <n v="26.43"/>
    <n v="35"/>
    <n v="32"/>
    <n v="267"/>
    <n v="123"/>
    <n v="2219.6"/>
    <n v="25"/>
    <n v="98"/>
    <n v="3.22"/>
    <n v="1"/>
    <n v="195"/>
    <n v="5153.8500000000004"/>
    <n v="0"/>
    <x v="0"/>
    <s v="OK"/>
  </r>
  <r>
    <s v="IT-10145"/>
    <s v="Relay A-145"/>
    <x v="3"/>
    <x v="3"/>
    <x v="0"/>
    <s v="2025-12"/>
    <n v="18.48"/>
    <n v="18.48"/>
    <n v="18.378779000000002"/>
    <n v="26.43"/>
    <n v="35"/>
    <n v="30"/>
    <n v="405"/>
    <n v="475"/>
    <n v="8729.92"/>
    <n v="42"/>
    <n v="433"/>
    <n v="13.23"/>
    <n v="0"/>
    <n v="53"/>
    <n v="1400.79"/>
    <n v="0"/>
    <x v="0"/>
    <s v="OK"/>
  </r>
  <r>
    <s v="IT-10145"/>
    <s v="Relay A-145"/>
    <x v="3"/>
    <x v="3"/>
    <x v="0"/>
    <s v="2026-01"/>
    <n v="18.23"/>
    <n v="18.23"/>
    <n v="18.378792000000001"/>
    <n v="26.43"/>
    <n v="35"/>
    <m/>
    <n v="0"/>
    <n v="389"/>
    <n v="7149.35"/>
    <n v="38"/>
    <n v="351"/>
    <n v="15.31"/>
    <n v="0"/>
    <n v="86"/>
    <n v="2272.98"/>
    <n v="0"/>
    <x v="0"/>
    <s v="OK"/>
  </r>
  <r>
    <s v="IT-10145"/>
    <s v="Relay A-145"/>
    <x v="3"/>
    <x v="3"/>
    <x v="0"/>
    <s v="2026-02"/>
    <n v="17.920000000000002"/>
    <n v="17.920000000000002"/>
    <n v="18.245668999999999"/>
    <n v="27.93"/>
    <n v="35"/>
    <n v="59"/>
    <n v="159"/>
    <n v="471"/>
    <n v="8593.7099999999991"/>
    <n v="38"/>
    <n v="433"/>
    <n v="28.04"/>
    <n v="1"/>
    <n v="77"/>
    <n v="2150.61"/>
    <n v="0"/>
    <x v="0"/>
    <s v="OK"/>
  </r>
  <r>
    <s v="IT-10145"/>
    <s v="Relay A-145"/>
    <x v="3"/>
    <x v="3"/>
    <x v="0"/>
    <s v="2026-03"/>
    <n v="19.53"/>
    <n v="19.53"/>
    <n v="18.245664000000001"/>
    <n v="27.93"/>
    <n v="35"/>
    <m/>
    <n v="0"/>
    <n v="429"/>
    <n v="7827.39"/>
    <n v="34"/>
    <n v="395"/>
    <n v="26.91"/>
    <n v="0"/>
    <n v="42"/>
    <n v="1173.06"/>
    <n v="0"/>
    <x v="0"/>
    <s v="OK"/>
  </r>
  <r>
    <s v="IT-10145"/>
    <s v="Relay A-145"/>
    <x v="3"/>
    <x v="3"/>
    <x v="0"/>
    <s v="2026-04"/>
    <n v="19.559999999999999"/>
    <n v="19.559999999999999"/>
    <n v="18.245660999999998"/>
    <n v="27.93"/>
    <n v="35"/>
    <m/>
    <n v="0"/>
    <n v="295"/>
    <n v="5382.47"/>
    <n v="42"/>
    <n v="253"/>
    <n v="14.82"/>
    <n v="2"/>
    <n v="134"/>
    <n v="3742.62"/>
    <n v="0"/>
    <x v="0"/>
    <s v="OK"/>
  </r>
  <r>
    <s v="IT-10145"/>
    <s v="Relay A-145"/>
    <x v="3"/>
    <x v="3"/>
    <x v="0"/>
    <s v="2026-05"/>
    <n v="18.899999999999999"/>
    <n v="18.899999999999999"/>
    <n v="18.245673"/>
    <n v="27.93"/>
    <n v="35"/>
    <m/>
    <n v="0"/>
    <n v="208"/>
    <n v="3795.1"/>
    <n v="25"/>
    <n v="183"/>
    <n v="10.39"/>
    <n v="1"/>
    <n v="87"/>
    <n v="2429.91"/>
    <n v="0"/>
    <x v="0"/>
    <s v="OK"/>
  </r>
  <r>
    <s v="IT-10145"/>
    <s v="Relay A-145"/>
    <x v="3"/>
    <x v="3"/>
    <x v="0"/>
    <s v="2026-06"/>
    <n v="19.05"/>
    <n v="19.05"/>
    <n v="18.674029999999998"/>
    <n v="27.93"/>
    <n v="35"/>
    <n v="32"/>
    <n v="237"/>
    <n v="330"/>
    <n v="6162.43"/>
    <n v="13"/>
    <n v="317"/>
    <n v="12.77"/>
    <n v="8"/>
    <n v="115"/>
    <n v="3211.95"/>
    <n v="0"/>
    <x v="0"/>
    <s v="OK"/>
  </r>
  <r>
    <s v="IT-10145"/>
    <s v="Relay A-145"/>
    <x v="3"/>
    <x v="3"/>
    <x v="0"/>
    <s v="2026-07"/>
    <n v="19.600000000000001"/>
    <n v="19.600000000000001"/>
    <n v="18.674053000000001"/>
    <n v="27.93"/>
    <n v="35"/>
    <m/>
    <n v="0"/>
    <n v="190"/>
    <n v="3548.07"/>
    <n v="21"/>
    <n v="169"/>
    <n v="7.3"/>
    <n v="0"/>
    <n v="140"/>
    <n v="3910.2"/>
    <n v="0"/>
    <x v="0"/>
    <s v="OK"/>
  </r>
  <r>
    <s v="IT-10145"/>
    <s v="Relay A-145"/>
    <x v="3"/>
    <x v="3"/>
    <x v="0"/>
    <s v="2026-08"/>
    <n v="19.37"/>
    <n v="19.37"/>
    <n v="18.914000000000001"/>
    <n v="27.93"/>
    <n v="35"/>
    <n v="35"/>
    <n v="100"/>
    <n v="100"/>
    <n v="1891.4"/>
    <n v="13"/>
    <n v="87"/>
    <n v="2.95"/>
    <n v="5"/>
    <n v="190"/>
    <n v="5306.7"/>
    <n v="0"/>
    <x v="0"/>
    <s v="OK"/>
  </r>
  <r>
    <s v="IT-10146"/>
    <s v="Anchor bolt 20-146"/>
    <x v="2"/>
    <x v="2"/>
    <x v="0"/>
    <s v="2024-09"/>
    <n v="1.36"/>
    <n v="1.36"/>
    <n v="1.3520289999999999"/>
    <n v="1.85"/>
    <n v="30"/>
    <n v="29"/>
    <n v="363"/>
    <n v="1715"/>
    <n v="2318.73"/>
    <n v="69"/>
    <n v="1646"/>
    <n v="15.99"/>
    <n v="0"/>
    <n v="359"/>
    <n v="664.15"/>
    <n v="0"/>
    <x v="0"/>
    <s v="OK"/>
  </r>
  <r>
    <s v="IT-10146"/>
    <s v="Anchor bolt 20-146"/>
    <x v="2"/>
    <x v="2"/>
    <x v="0"/>
    <s v="2024-10"/>
    <n v="1.36"/>
    <n v="1.36"/>
    <n v="1.3520289999999999"/>
    <n v="1.85"/>
    <n v="30"/>
    <m/>
    <n v="0"/>
    <n v="951"/>
    <n v="1285.78"/>
    <n v="172"/>
    <n v="779"/>
    <n v="7.77"/>
    <n v="0"/>
    <n v="764"/>
    <n v="1413.4"/>
    <n v="0"/>
    <x v="0"/>
    <s v="OK"/>
  </r>
  <r>
    <s v="IT-10146"/>
    <s v="Anchor bolt 20-146"/>
    <x v="2"/>
    <x v="2"/>
    <x v="0"/>
    <s v="2024-11"/>
    <n v="1.36"/>
    <n v="1.36"/>
    <n v="1.35205"/>
    <n v="1.85"/>
    <n v="30"/>
    <m/>
    <n v="0"/>
    <n v="161"/>
    <n v="217.68"/>
    <n v="161"/>
    <n v="0"/>
    <n v="1.0900000000000001"/>
    <n v="0"/>
    <n v="790"/>
    <n v="1461.5"/>
    <n v="0"/>
    <x v="0"/>
    <s v="OK"/>
  </r>
  <r>
    <s v="IT-10146"/>
    <s v="Anchor bolt 20-146"/>
    <x v="2"/>
    <x v="2"/>
    <x v="0"/>
    <s v="2024-12"/>
    <n v="1.37"/>
    <n v="1.37"/>
    <n v="1.3627199999999999"/>
    <n v="1.85"/>
    <n v="30"/>
    <n v="42"/>
    <n v="236"/>
    <n v="0"/>
    <n v="0"/>
    <n v="0"/>
    <n v="0"/>
    <n v="0"/>
    <n v="4"/>
    <n v="397"/>
    <n v="734.45"/>
    <n v="328"/>
    <x v="1"/>
    <s v="OK"/>
  </r>
  <r>
    <s v="IT-10146"/>
    <s v="Anchor bolt 20-146"/>
    <x v="2"/>
    <x v="2"/>
    <x v="0"/>
    <s v="2025-01"/>
    <n v="1.39"/>
    <n v="1.39"/>
    <n v="1.39"/>
    <n v="1.85"/>
    <n v="30"/>
    <n v="26"/>
    <n v="1467"/>
    <n v="872"/>
    <n v="1212.08"/>
    <n v="155"/>
    <n v="717"/>
    <n v="6.43"/>
    <n v="0"/>
    <n v="595"/>
    <n v="1100.75"/>
    <n v="0"/>
    <x v="0"/>
    <s v="OK"/>
  </r>
  <r>
    <s v="IT-10146"/>
    <s v="Anchor bolt 20-146"/>
    <x v="2"/>
    <x v="2"/>
    <x v="0"/>
    <s v="2025-02"/>
    <n v="1.41"/>
    <n v="1.41"/>
    <n v="1.398239"/>
    <n v="1.91"/>
    <n v="30"/>
    <n v="27"/>
    <n v="611"/>
    <n v="914"/>
    <n v="1277.99"/>
    <n v="69"/>
    <n v="845"/>
    <n v="7.53"/>
    <n v="0"/>
    <n v="569"/>
    <n v="1086.79"/>
    <n v="0"/>
    <x v="0"/>
    <s v="OK"/>
  </r>
  <r>
    <s v="IT-10146"/>
    <s v="Anchor bolt 20-146"/>
    <x v="2"/>
    <x v="2"/>
    <x v="0"/>
    <s v="2025-03"/>
    <n v="1.4"/>
    <n v="1.4"/>
    <n v="1.3992389999999999"/>
    <n v="1.91"/>
    <n v="30"/>
    <n v="26"/>
    <n v="1195"/>
    <n v="1669"/>
    <n v="2335.33"/>
    <n v="155"/>
    <n v="1514"/>
    <n v="13.38"/>
    <n v="0"/>
    <n v="440"/>
    <n v="840.4"/>
    <n v="0"/>
    <x v="0"/>
    <s v="OK"/>
  </r>
  <r>
    <s v="IT-10146"/>
    <s v="Anchor bolt 20-146"/>
    <x v="2"/>
    <x v="2"/>
    <x v="0"/>
    <s v="2025-04"/>
    <n v="1.39"/>
    <n v="1.39"/>
    <n v="1.3992389999999999"/>
    <n v="1.91"/>
    <n v="30"/>
    <m/>
    <n v="0"/>
    <n v="1156"/>
    <n v="1617.52"/>
    <n v="138"/>
    <n v="1018"/>
    <n v="9.66"/>
    <n v="1"/>
    <n v="513"/>
    <n v="979.83"/>
    <n v="0"/>
    <x v="0"/>
    <s v="OK"/>
  </r>
  <r>
    <s v="IT-10146"/>
    <s v="Anchor bolt 20-146"/>
    <x v="2"/>
    <x v="2"/>
    <x v="0"/>
    <s v="2025-05"/>
    <n v="1.4"/>
    <n v="1.4"/>
    <n v="1.399486"/>
    <n v="1.91"/>
    <n v="30"/>
    <n v="29"/>
    <n v="544"/>
    <n v="1071"/>
    <n v="1498.85"/>
    <n v="172"/>
    <n v="899"/>
    <n v="8.9"/>
    <n v="0"/>
    <n v="629"/>
    <n v="1201.3900000000001"/>
    <n v="0"/>
    <x v="0"/>
    <s v="OK"/>
  </r>
  <r>
    <s v="IT-10146"/>
    <s v="Anchor bolt 20-146"/>
    <x v="2"/>
    <x v="2"/>
    <x v="0"/>
    <s v="2025-06"/>
    <n v="1.38"/>
    <n v="1.38"/>
    <n v="1.3986190000000001"/>
    <n v="1.91"/>
    <n v="30"/>
    <n v="28"/>
    <n v="50"/>
    <n v="811"/>
    <n v="1134.28"/>
    <n v="138"/>
    <n v="673"/>
    <n v="7.26"/>
    <n v="0"/>
    <n v="310"/>
    <n v="592.1"/>
    <n v="0"/>
    <x v="0"/>
    <s v="OK"/>
  </r>
  <r>
    <s v="IT-10146"/>
    <s v="Anchor bolt 20-146"/>
    <x v="2"/>
    <x v="2"/>
    <x v="0"/>
    <s v="2025-07"/>
    <n v="1.41"/>
    <n v="1.41"/>
    <n v="1.4054770000000001"/>
    <n v="1.91"/>
    <n v="30"/>
    <n v="26"/>
    <n v="1228"/>
    <n v="1448"/>
    <n v="2035.13"/>
    <n v="172"/>
    <n v="1276"/>
    <n v="12.44"/>
    <n v="1"/>
    <n v="591"/>
    <n v="1128.81"/>
    <n v="0"/>
    <x v="0"/>
    <s v="OK"/>
  </r>
  <r>
    <s v="IT-10146"/>
    <s v="Anchor bolt 20-146"/>
    <x v="2"/>
    <x v="2"/>
    <x v="0"/>
    <s v="2025-08"/>
    <n v="1.4"/>
    <n v="1.4"/>
    <n v="1.4054770000000001"/>
    <n v="1.91"/>
    <n v="30"/>
    <m/>
    <n v="0"/>
    <n v="1143"/>
    <n v="1606.46"/>
    <n v="172"/>
    <n v="971"/>
    <n v="12.46"/>
    <n v="0"/>
    <n v="305"/>
    <n v="582.54999999999995"/>
    <n v="0"/>
    <x v="0"/>
    <s v="OK"/>
  </r>
  <r>
    <s v="IT-10146"/>
    <s v="Anchor bolt 20-146"/>
    <x v="2"/>
    <x v="2"/>
    <x v="0"/>
    <s v="2025-09"/>
    <n v="1.4"/>
    <n v="1.4"/>
    <n v="1.403284"/>
    <n v="1.91"/>
    <n v="30"/>
    <n v="38"/>
    <n v="761"/>
    <n v="1428"/>
    <n v="2003.89"/>
    <n v="172"/>
    <n v="1256"/>
    <n v="13.68"/>
    <n v="1"/>
    <n v="476"/>
    <n v="909.16"/>
    <n v="0"/>
    <x v="0"/>
    <s v="OK"/>
  </r>
  <r>
    <s v="IT-10146"/>
    <s v="Anchor bolt 20-146"/>
    <x v="2"/>
    <x v="2"/>
    <x v="0"/>
    <s v="2025-10"/>
    <n v="1.39"/>
    <n v="1.39"/>
    <n v="1.403287"/>
    <n v="1.91"/>
    <n v="30"/>
    <m/>
    <n v="0"/>
    <n v="1144"/>
    <n v="1605.36"/>
    <n v="34"/>
    <n v="1110"/>
    <n v="14.12"/>
    <n v="1"/>
    <n v="284"/>
    <n v="542.44000000000005"/>
    <n v="0"/>
    <x v="0"/>
    <s v="OK"/>
  </r>
  <r>
    <s v="IT-10146"/>
    <s v="Anchor bolt 20-146"/>
    <x v="2"/>
    <x v="2"/>
    <x v="0"/>
    <s v="2025-11"/>
    <n v="1.4"/>
    <n v="1.4"/>
    <n v="1.4018889999999999"/>
    <n v="1.91"/>
    <n v="30"/>
    <n v="27"/>
    <n v="850"/>
    <n v="1265"/>
    <n v="1773.39"/>
    <n v="172"/>
    <n v="1093"/>
    <n v="11.04"/>
    <n v="1"/>
    <n v="729"/>
    <n v="1392.39"/>
    <n v="0"/>
    <x v="0"/>
    <s v="OK"/>
  </r>
  <r>
    <s v="IT-10146"/>
    <s v="Anchor bolt 20-146"/>
    <x v="2"/>
    <x v="2"/>
    <x v="0"/>
    <s v="2025-12"/>
    <n v="1.42"/>
    <n v="1.42"/>
    <n v="1.4062209999999999"/>
    <n v="1.91"/>
    <n v="30"/>
    <n v="28"/>
    <n v="398"/>
    <n v="950"/>
    <n v="1335.91"/>
    <n v="138"/>
    <n v="812"/>
    <n v="7.23"/>
    <n v="4"/>
    <n v="713"/>
    <n v="1361.83"/>
    <n v="0"/>
    <x v="0"/>
    <s v="OK"/>
  </r>
  <r>
    <s v="IT-10146"/>
    <s v="Anchor bolt 20-146"/>
    <x v="2"/>
    <x v="2"/>
    <x v="0"/>
    <s v="2026-01"/>
    <n v="1.46"/>
    <n v="1.46"/>
    <n v="1.421869"/>
    <n v="1.91"/>
    <n v="30"/>
    <n v="29"/>
    <n v="390"/>
    <n v="915"/>
    <n v="1301.01"/>
    <n v="34"/>
    <n v="881"/>
    <n v="6.44"/>
    <n v="0"/>
    <n v="425"/>
    <n v="811.75"/>
    <n v="0"/>
    <x v="0"/>
    <s v="OK"/>
  </r>
  <r>
    <s v="IT-10146"/>
    <s v="Anchor bolt 20-146"/>
    <x v="2"/>
    <x v="2"/>
    <x v="0"/>
    <s v="2026-02"/>
    <n v="1.45"/>
    <n v="1.45"/>
    <n v="1.4367300000000001"/>
    <n v="1.97"/>
    <n v="30"/>
    <n v="27"/>
    <n v="1025"/>
    <n v="1379"/>
    <n v="1981.25"/>
    <n v="103"/>
    <n v="1276"/>
    <n v="10.44"/>
    <n v="1"/>
    <n v="561"/>
    <n v="1105.17"/>
    <n v="0"/>
    <x v="0"/>
    <s v="OK"/>
  </r>
  <r>
    <s v="IT-10146"/>
    <s v="Anchor bolt 20-146"/>
    <x v="2"/>
    <x v="2"/>
    <x v="0"/>
    <s v="2026-03"/>
    <n v="1.44"/>
    <n v="1.44"/>
    <n v="1.4375579999999999"/>
    <n v="1.97"/>
    <n v="30"/>
    <n v="28"/>
    <n v="470"/>
    <n v="1417"/>
    <n v="2037.02"/>
    <n v="121"/>
    <n v="1296"/>
    <n v="12.85"/>
    <n v="0"/>
    <n v="432"/>
    <n v="851.04"/>
    <n v="0"/>
    <x v="0"/>
    <s v="OK"/>
  </r>
  <r>
    <s v="IT-10146"/>
    <s v="Anchor bolt 20-146"/>
    <x v="2"/>
    <x v="2"/>
    <x v="0"/>
    <s v="2026-04"/>
    <n v="1.42"/>
    <n v="1.42"/>
    <n v="1.4369639999999999"/>
    <n v="1.97"/>
    <n v="30"/>
    <n v="26"/>
    <n v="50"/>
    <n v="1235"/>
    <n v="1774.65"/>
    <n v="86"/>
    <n v="1149"/>
    <n v="12.82"/>
    <n v="0"/>
    <n v="232"/>
    <n v="457.04"/>
    <n v="0"/>
    <x v="0"/>
    <s v="OK"/>
  </r>
  <r>
    <s v="IT-10146"/>
    <s v="Anchor bolt 20-146"/>
    <x v="2"/>
    <x v="2"/>
    <x v="0"/>
    <s v="2026-05"/>
    <n v="1.44"/>
    <n v="1.44"/>
    <n v="1.437543"/>
    <n v="1.97"/>
    <n v="30"/>
    <n v="27"/>
    <n v="294"/>
    <n v="924"/>
    <n v="1328.29"/>
    <n v="86"/>
    <n v="838"/>
    <n v="9.57"/>
    <n v="1"/>
    <n v="605"/>
    <n v="1191.8499999999999"/>
    <n v="0"/>
    <x v="0"/>
    <s v="OK"/>
  </r>
  <r>
    <s v="IT-10146"/>
    <s v="Anchor bolt 20-146"/>
    <x v="2"/>
    <x v="2"/>
    <x v="0"/>
    <s v="2026-06"/>
    <n v="1.46"/>
    <n v="1.46"/>
    <n v="1.437551"/>
    <n v="1.97"/>
    <n v="30"/>
    <m/>
    <n v="0"/>
    <n v="539"/>
    <n v="774.84"/>
    <n v="155"/>
    <n v="384"/>
    <n v="5.73"/>
    <n v="0"/>
    <n v="385"/>
    <n v="758.45"/>
    <n v="0"/>
    <x v="0"/>
    <s v="OK"/>
  </r>
  <r>
    <s v="IT-10146"/>
    <s v="Anchor bolt 20-146"/>
    <x v="2"/>
    <x v="2"/>
    <x v="0"/>
    <s v="2026-07"/>
    <n v="1.42"/>
    <n v="1.42"/>
    <n v="1.42615"/>
    <n v="1.97"/>
    <n v="30"/>
    <n v="50"/>
    <n v="1001"/>
    <n v="709"/>
    <n v="1011.14"/>
    <n v="138"/>
    <n v="571"/>
    <n v="5.12"/>
    <n v="1"/>
    <n v="831"/>
    <n v="1637.07"/>
    <n v="0"/>
    <x v="0"/>
    <s v="OK"/>
  </r>
  <r>
    <s v="IT-10146"/>
    <s v="Anchor bolt 20-146"/>
    <x v="2"/>
    <x v="2"/>
    <x v="0"/>
    <s v="2026-08"/>
    <n v="1.44"/>
    <n v="1.44"/>
    <n v="1.428777"/>
    <n v="1.97"/>
    <n v="30"/>
    <n v="46"/>
    <n v="166"/>
    <n v="638"/>
    <n v="911.56"/>
    <n v="121"/>
    <n v="517"/>
    <n v="5.77"/>
    <n v="0"/>
    <n v="237"/>
    <n v="466.89"/>
    <n v="0"/>
    <x v="0"/>
    <s v="OK"/>
  </r>
  <r>
    <s v="IT-10147"/>
    <s v="Control switch A-147"/>
    <x v="3"/>
    <x v="3"/>
    <x v="1"/>
    <s v="2024-09"/>
    <n v="232.64"/>
    <n v="232.64"/>
    <n v="227.84"/>
    <n v="310.02999999999997"/>
    <n v="57"/>
    <m/>
    <n v="0"/>
    <n v="110"/>
    <n v="25062.400000000001"/>
    <n v="3"/>
    <n v="107"/>
    <n v="20.95"/>
    <n v="5"/>
    <n v="31"/>
    <n v="9610.93"/>
    <n v="0"/>
    <x v="0"/>
    <s v="OK"/>
  </r>
  <r>
    <s v="IT-10147"/>
    <s v="Control switch A-147"/>
    <x v="3"/>
    <x v="3"/>
    <x v="1"/>
    <s v="2024-10"/>
    <n v="234.98"/>
    <n v="234.98"/>
    <n v="230.51747700000001"/>
    <n v="310.02999999999997"/>
    <n v="57"/>
    <n v="49"/>
    <n v="66"/>
    <n v="107"/>
    <n v="24665.37"/>
    <n v="6"/>
    <n v="101"/>
    <n v="10.65"/>
    <n v="0"/>
    <n v="69"/>
    <n v="21392.07"/>
    <n v="0"/>
    <x v="0"/>
    <s v="OK"/>
  </r>
  <r>
    <s v="IT-10147"/>
    <s v="Control switch A-147"/>
    <x v="3"/>
    <x v="3"/>
    <x v="1"/>
    <s v="2024-11"/>
    <n v="228.96"/>
    <n v="228.96"/>
    <n v="230.23214300000001"/>
    <n v="310.02999999999997"/>
    <n v="57"/>
    <n v="54"/>
    <n v="24"/>
    <n v="70"/>
    <n v="16116.25"/>
    <n v="6"/>
    <n v="64"/>
    <n v="5.65"/>
    <n v="2"/>
    <n v="61"/>
    <n v="18911.830000000002"/>
    <n v="0"/>
    <x v="0"/>
    <s v="OK"/>
  </r>
  <r>
    <s v="IT-10147"/>
    <s v="Control switch A-147"/>
    <x v="3"/>
    <x v="3"/>
    <x v="1"/>
    <s v="2024-12"/>
    <n v="228.9"/>
    <n v="228.9"/>
    <n v="229.55210099999999"/>
    <n v="310.02999999999997"/>
    <n v="57"/>
    <n v="51"/>
    <n v="73"/>
    <n v="119"/>
    <n v="27316.7"/>
    <n v="14"/>
    <n v="105"/>
    <n v="10.16"/>
    <n v="0"/>
    <n v="24"/>
    <n v="7440.72"/>
    <n v="0"/>
    <x v="0"/>
    <s v="OK"/>
  </r>
  <r>
    <s v="IT-10147"/>
    <s v="Control switch A-147"/>
    <x v="3"/>
    <x v="3"/>
    <x v="1"/>
    <s v="2025-01"/>
    <n v="235.06"/>
    <n v="235.06"/>
    <n v="229.552065"/>
    <n v="310.02999999999997"/>
    <n v="57"/>
    <m/>
    <n v="0"/>
    <n v="92"/>
    <n v="21118.79"/>
    <n v="11"/>
    <n v="81"/>
    <n v="10.8"/>
    <n v="0"/>
    <n v="27"/>
    <n v="8370.81"/>
    <n v="0"/>
    <x v="0"/>
    <s v="OK"/>
  </r>
  <r>
    <s v="IT-10147"/>
    <s v="Control switch A-147"/>
    <x v="3"/>
    <x v="3"/>
    <x v="1"/>
    <s v="2025-02"/>
    <n v="232.09"/>
    <n v="232.09"/>
    <n v="229.55208300000001"/>
    <n v="325.3"/>
    <n v="57"/>
    <m/>
    <n v="0"/>
    <n v="48"/>
    <n v="11018.5"/>
    <n v="15"/>
    <n v="33"/>
    <n v="6.5"/>
    <n v="1"/>
    <n v="44"/>
    <n v="14313.2"/>
    <n v="0"/>
    <x v="0"/>
    <s v="OK"/>
  </r>
  <r>
    <s v="IT-10147"/>
    <s v="Control switch A-147"/>
    <x v="3"/>
    <x v="3"/>
    <x v="1"/>
    <s v="2025-03"/>
    <n v="246.81"/>
    <n v="246.81"/>
    <n v="239.54346200000001"/>
    <n v="325.3"/>
    <n v="57"/>
    <n v="73"/>
    <n v="66"/>
    <n v="78"/>
    <n v="18684.39"/>
    <n v="3"/>
    <n v="75"/>
    <n v="9.3699999999999992"/>
    <n v="3"/>
    <n v="36"/>
    <n v="11710.8"/>
    <n v="0"/>
    <x v="0"/>
    <s v="OK"/>
  </r>
  <r>
    <s v="IT-10147"/>
    <s v="Control switch A-147"/>
    <x v="3"/>
    <x v="3"/>
    <x v="1"/>
    <s v="2025-04"/>
    <n v="243.4"/>
    <n v="243.4"/>
    <n v="241.808425"/>
    <n v="325.3"/>
    <n v="57"/>
    <n v="56"/>
    <n v="111"/>
    <n v="146"/>
    <n v="35304.03"/>
    <n v="8"/>
    <n v="138"/>
    <n v="15.09"/>
    <n v="5"/>
    <n v="43"/>
    <n v="13987.9"/>
    <n v="0"/>
    <x v="0"/>
    <s v="OK"/>
  </r>
  <r>
    <s v="IT-10147"/>
    <s v="Control switch A-147"/>
    <x v="3"/>
    <x v="3"/>
    <x v="1"/>
    <s v="2025-05"/>
    <n v="240.15"/>
    <n v="240.15"/>
    <n v="241.80846199999999"/>
    <n v="325.3"/>
    <n v="57"/>
    <m/>
    <n v="0"/>
    <n v="78"/>
    <n v="18861.060000000001"/>
    <n v="14"/>
    <n v="64"/>
    <n v="6.97"/>
    <n v="0"/>
    <n v="68"/>
    <n v="22120.400000000001"/>
    <n v="0"/>
    <x v="0"/>
    <s v="OK"/>
  </r>
  <r>
    <s v="IT-10147"/>
    <s v="Control switch A-147"/>
    <x v="3"/>
    <x v="3"/>
    <x v="1"/>
    <s v="2025-06"/>
    <n v="244.09"/>
    <n v="244.09"/>
    <n v="242.81882999999999"/>
    <n v="325.3"/>
    <n v="57"/>
    <n v="52"/>
    <n v="62"/>
    <n v="94"/>
    <n v="22824.97"/>
    <n v="9"/>
    <n v="85"/>
    <n v="7.78"/>
    <n v="0"/>
    <n v="46"/>
    <n v="14963.8"/>
    <n v="0"/>
    <x v="0"/>
    <s v="OK"/>
  </r>
  <r>
    <s v="IT-10147"/>
    <s v="Control switch A-147"/>
    <x v="3"/>
    <x v="3"/>
    <x v="1"/>
    <s v="2025-07"/>
    <n v="245.75"/>
    <n v="245.75"/>
    <n v="242.81888900000001"/>
    <n v="325.3"/>
    <n v="57"/>
    <m/>
    <n v="0"/>
    <n v="45"/>
    <n v="10926.85"/>
    <n v="5"/>
    <n v="40"/>
    <n v="3.63"/>
    <n v="7"/>
    <n v="49"/>
    <n v="15939.7"/>
    <n v="0"/>
    <x v="0"/>
    <s v="OK"/>
  </r>
  <r>
    <s v="IT-10147"/>
    <s v="Control switch A-147"/>
    <x v="3"/>
    <x v="3"/>
    <x v="1"/>
    <s v="2025-08"/>
    <n v="244.42"/>
    <n v="244.42"/>
    <n v="243.79346899999999"/>
    <n v="325.3"/>
    <n v="57"/>
    <n v="52"/>
    <n v="70"/>
    <n v="49"/>
    <n v="11945.88"/>
    <n v="3"/>
    <n v="46"/>
    <n v="4"/>
    <n v="3"/>
    <n v="66"/>
    <n v="21469.8"/>
    <n v="0"/>
    <x v="0"/>
    <s v="OK"/>
  </r>
  <r>
    <s v="IT-10147"/>
    <s v="Control switch A-147"/>
    <x v="3"/>
    <x v="3"/>
    <x v="1"/>
    <s v="2025-09"/>
    <n v="248.08"/>
    <n v="248.08"/>
    <n v="246.079545"/>
    <n v="325.3"/>
    <n v="57"/>
    <n v="49"/>
    <n v="56"/>
    <n v="66"/>
    <n v="16241.25"/>
    <n v="6"/>
    <n v="60"/>
    <n v="5.63"/>
    <n v="8"/>
    <n v="39"/>
    <n v="12686.7"/>
    <n v="0"/>
    <x v="0"/>
    <s v="OK"/>
  </r>
  <r>
    <s v="IT-10147"/>
    <s v="Control switch A-147"/>
    <x v="3"/>
    <x v="3"/>
    <x v="1"/>
    <s v="2025-10"/>
    <n v="239.63"/>
    <n v="239.63"/>
    <n v="244.69733299999999"/>
    <n v="325.3"/>
    <n v="57"/>
    <n v="50"/>
    <n v="18"/>
    <n v="30"/>
    <n v="7340.92"/>
    <n v="8"/>
    <n v="22"/>
    <n v="2.48"/>
    <n v="0"/>
    <n v="54"/>
    <n v="17566.2"/>
    <n v="0"/>
    <x v="0"/>
    <s v="OK"/>
  </r>
  <r>
    <s v="IT-10147"/>
    <s v="Control switch A-147"/>
    <x v="3"/>
    <x v="3"/>
    <x v="1"/>
    <s v="2025-11"/>
    <n v="248.27"/>
    <n v="248.27"/>
    <n v="244.69733299999999"/>
    <n v="325.3"/>
    <n v="57"/>
    <m/>
    <n v="0"/>
    <n v="0"/>
    <n v="0"/>
    <n v="0"/>
    <n v="0"/>
    <n v="0"/>
    <n v="2"/>
    <n v="30"/>
    <n v="9759"/>
    <n v="7"/>
    <x v="1"/>
    <s v="OK"/>
  </r>
  <r>
    <s v="IT-10147"/>
    <s v="Control switch A-147"/>
    <x v="3"/>
    <x v="3"/>
    <x v="1"/>
    <s v="2025-12"/>
    <n v="245.19"/>
    <n v="245.19"/>
    <n v="245.19"/>
    <n v="325.3"/>
    <n v="57"/>
    <n v="49"/>
    <n v="148"/>
    <n v="112"/>
    <n v="27461.279999999999"/>
    <n v="12"/>
    <n v="100"/>
    <n v="12.27"/>
    <n v="6"/>
    <n v="36"/>
    <n v="11710.8"/>
    <n v="0"/>
    <x v="0"/>
    <s v="OK"/>
  </r>
  <r>
    <s v="IT-10147"/>
    <s v="Control switch A-147"/>
    <x v="3"/>
    <x v="3"/>
    <x v="1"/>
    <s v="2026-01"/>
    <n v="243.33"/>
    <n v="243.33"/>
    <n v="245.19"/>
    <n v="325.3"/>
    <n v="57"/>
    <m/>
    <n v="0"/>
    <n v="65"/>
    <n v="15937.35"/>
    <n v="11"/>
    <n v="54"/>
    <n v="7.56"/>
    <n v="1"/>
    <n v="47"/>
    <n v="15289.1"/>
    <n v="0"/>
    <x v="0"/>
    <s v="OK"/>
  </r>
  <r>
    <s v="IT-10147"/>
    <s v="Control switch A-147"/>
    <x v="3"/>
    <x v="3"/>
    <x v="1"/>
    <s v="2026-02"/>
    <n v="246.63"/>
    <n v="246.63"/>
    <n v="245.19"/>
    <n v="341.33"/>
    <n v="57"/>
    <m/>
    <n v="0"/>
    <n v="16"/>
    <n v="3923.04"/>
    <n v="6"/>
    <n v="10"/>
    <n v="1.56"/>
    <n v="1"/>
    <n v="49"/>
    <n v="16725.169999999998"/>
    <n v="0"/>
    <x v="0"/>
    <s v="OK"/>
  </r>
  <r>
    <s v="IT-10147"/>
    <s v="Control switch A-147"/>
    <x v="3"/>
    <x v="3"/>
    <x v="1"/>
    <s v="2026-03"/>
    <n v="262.89999999999998"/>
    <n v="262.89999999999998"/>
    <n v="245.19"/>
    <n v="341.33"/>
    <n v="57"/>
    <m/>
    <n v="0"/>
    <n v="0"/>
    <n v="0"/>
    <n v="0"/>
    <n v="0"/>
    <n v="0"/>
    <n v="10"/>
    <n v="16"/>
    <n v="5461.28"/>
    <n v="12"/>
    <x v="1"/>
    <s v="OK"/>
  </r>
  <r>
    <s v="IT-10147"/>
    <s v="Control switch A-147"/>
    <x v="3"/>
    <x v="3"/>
    <x v="1"/>
    <s v="2026-04"/>
    <n v="254.53"/>
    <n v="254.53"/>
    <n v="254.53"/>
    <n v="341.33"/>
    <n v="57"/>
    <n v="71"/>
    <n v="93"/>
    <n v="43"/>
    <n v="10944.79"/>
    <n v="3"/>
    <n v="40"/>
    <n v="4.75"/>
    <n v="8"/>
    <n v="50"/>
    <n v="17066.5"/>
    <n v="0"/>
    <x v="0"/>
    <s v="OK"/>
  </r>
  <r>
    <s v="IT-10147"/>
    <s v="Control switch A-147"/>
    <x v="3"/>
    <x v="3"/>
    <x v="1"/>
    <s v="2026-05"/>
    <n v="256.45"/>
    <n v="256.45"/>
    <n v="254.53"/>
    <n v="341.33"/>
    <n v="57"/>
    <m/>
    <n v="0"/>
    <n v="0"/>
    <n v="0"/>
    <n v="0"/>
    <n v="0"/>
    <n v="0"/>
    <n v="7"/>
    <n v="43"/>
    <n v="14677.19"/>
    <n v="27"/>
    <x v="1"/>
    <s v="OK"/>
  </r>
  <r>
    <s v="IT-10147"/>
    <s v="Control switch A-147"/>
    <x v="3"/>
    <x v="3"/>
    <x v="1"/>
    <s v="2026-06"/>
    <n v="253.93"/>
    <n v="253.93"/>
    <n v="253.93"/>
    <n v="341.33"/>
    <n v="57"/>
    <n v="50"/>
    <n v="196"/>
    <n v="154"/>
    <n v="39105.22"/>
    <n v="6"/>
    <n v="148"/>
    <n v="14.83"/>
    <n v="1"/>
    <n v="42"/>
    <n v="14335.86"/>
    <n v="0"/>
    <x v="0"/>
    <s v="OK"/>
  </r>
  <r>
    <s v="IT-10147"/>
    <s v="Control switch A-147"/>
    <x v="3"/>
    <x v="3"/>
    <x v="1"/>
    <s v="2026-07"/>
    <n v="255.42"/>
    <n v="255.42"/>
    <n v="253.93"/>
    <n v="341.33"/>
    <n v="57"/>
    <m/>
    <n v="0"/>
    <n v="97"/>
    <n v="24631.21"/>
    <n v="12"/>
    <n v="85"/>
    <n v="8.98"/>
    <n v="3"/>
    <n v="57"/>
    <n v="19455.810000000001"/>
    <n v="0"/>
    <x v="0"/>
    <s v="OK"/>
  </r>
  <r>
    <s v="IT-10147"/>
    <s v="Control switch A-147"/>
    <x v="3"/>
    <x v="3"/>
    <x v="1"/>
    <s v="2026-08"/>
    <n v="260.26"/>
    <n v="260.26"/>
    <n v="253.93"/>
    <n v="341.33"/>
    <n v="57"/>
    <m/>
    <n v="0"/>
    <n v="16"/>
    <n v="4062.88"/>
    <n v="12"/>
    <n v="4"/>
    <n v="1.17"/>
    <n v="0"/>
    <n v="81"/>
    <n v="27647.73"/>
    <n v="0"/>
    <x v="0"/>
    <s v="OK"/>
  </r>
  <r>
    <s v="IT-10148"/>
    <s v="Pillow block A-148"/>
    <x v="0"/>
    <x v="0"/>
    <x v="0"/>
    <s v="2024-09"/>
    <n v="2"/>
    <n v="2"/>
    <n v="2"/>
    <n v="2.74"/>
    <n v="43"/>
    <m/>
    <n v="0"/>
    <n v="159"/>
    <n v="318"/>
    <n v="80"/>
    <n v="79"/>
    <n v="2.99"/>
    <n v="0"/>
    <n v="278"/>
    <n v="761.72"/>
    <n v="0"/>
    <x v="0"/>
    <s v="OK"/>
  </r>
  <r>
    <s v="IT-10148"/>
    <s v="Pillow block A-148"/>
    <x v="0"/>
    <x v="0"/>
    <x v="0"/>
    <s v="2024-10"/>
    <n v="1.96"/>
    <n v="1.96"/>
    <n v="1.971098"/>
    <n v="2.74"/>
    <n v="43"/>
    <n v="47"/>
    <n v="414"/>
    <n v="437"/>
    <n v="861.37"/>
    <n v="30"/>
    <n v="407"/>
    <n v="9.8000000000000007"/>
    <n v="8"/>
    <n v="136"/>
    <n v="372.64"/>
    <n v="0"/>
    <x v="0"/>
    <s v="OK"/>
  </r>
  <r>
    <s v="IT-10148"/>
    <s v="Pillow block A-148"/>
    <x v="0"/>
    <x v="0"/>
    <x v="0"/>
    <s v="2024-11"/>
    <n v="1.95"/>
    <n v="1.95"/>
    <n v="1.9629129999999999"/>
    <n v="2.74"/>
    <n v="43"/>
    <n v="37"/>
    <n v="276"/>
    <n v="230"/>
    <n v="451.47"/>
    <n v="50"/>
    <n v="180"/>
    <n v="3.33"/>
    <n v="3"/>
    <n v="483"/>
    <n v="1323.42"/>
    <n v="0"/>
    <x v="0"/>
    <s v="OK"/>
  </r>
  <r>
    <s v="IT-10148"/>
    <s v="Pillow block A-148"/>
    <x v="0"/>
    <x v="0"/>
    <x v="0"/>
    <s v="2024-12"/>
    <n v="2.0099999999999998"/>
    <n v="2.0099999999999998"/>
    <n v="1.977182"/>
    <n v="2.74"/>
    <n v="43"/>
    <n v="39"/>
    <n v="100"/>
    <n v="0"/>
    <n v="0"/>
    <n v="0"/>
    <n v="0"/>
    <n v="0"/>
    <n v="0"/>
    <n v="330"/>
    <n v="904.2"/>
    <n v="113"/>
    <x v="1"/>
    <s v="OK"/>
  </r>
  <r>
    <s v="IT-10148"/>
    <s v="Pillow block A-148"/>
    <x v="0"/>
    <x v="0"/>
    <x v="0"/>
    <s v="2025-01"/>
    <n v="2"/>
    <n v="2"/>
    <n v="2"/>
    <n v="2.74"/>
    <n v="43"/>
    <n v="38"/>
    <n v="142"/>
    <n v="0"/>
    <n v="0"/>
    <n v="0"/>
    <n v="0"/>
    <n v="0"/>
    <n v="1"/>
    <n v="142"/>
    <n v="389.08"/>
    <n v="123"/>
    <x v="1"/>
    <s v="OK"/>
  </r>
  <r>
    <s v="IT-10148"/>
    <s v="Pillow block A-148"/>
    <x v="0"/>
    <x v="0"/>
    <x v="0"/>
    <s v="2025-02"/>
    <n v="1.95"/>
    <n v="1.95"/>
    <n v="1.95"/>
    <n v="2.88"/>
    <n v="43"/>
    <n v="38"/>
    <n v="432"/>
    <n v="185"/>
    <n v="360.75"/>
    <n v="50"/>
    <n v="135"/>
    <n v="3.31"/>
    <n v="0"/>
    <n v="247"/>
    <n v="711.36"/>
    <n v="0"/>
    <x v="0"/>
    <s v="OK"/>
  </r>
  <r>
    <s v="IT-10148"/>
    <s v="Pillow block A-148"/>
    <x v="0"/>
    <x v="0"/>
    <x v="0"/>
    <s v="2025-03"/>
    <n v="1.96"/>
    <n v="1.96"/>
    <n v="1.95"/>
    <n v="2.88"/>
    <n v="43"/>
    <m/>
    <n v="0"/>
    <n v="0"/>
    <n v="0"/>
    <n v="0"/>
    <n v="0"/>
    <n v="0"/>
    <n v="6"/>
    <n v="185"/>
    <n v="532.79999999999995"/>
    <n v="98"/>
    <x v="1"/>
    <s v="OK"/>
  </r>
  <r>
    <s v="IT-10148"/>
    <s v="Pillow block A-148"/>
    <x v="0"/>
    <x v="0"/>
    <x v="0"/>
    <s v="2025-04"/>
    <n v="2.08"/>
    <n v="2.08"/>
    <n v="2.08"/>
    <n v="2.88"/>
    <n v="43"/>
    <n v="42"/>
    <n v="397"/>
    <n v="282"/>
    <n v="586.55999999999995"/>
    <n v="100"/>
    <n v="182"/>
    <n v="6.55"/>
    <n v="0"/>
    <n v="115"/>
    <n v="331.2"/>
    <n v="0"/>
    <x v="0"/>
    <s v="OK"/>
  </r>
  <r>
    <s v="IT-10148"/>
    <s v="Pillow block A-148"/>
    <x v="0"/>
    <x v="0"/>
    <x v="0"/>
    <s v="2025-05"/>
    <n v="2.0699999999999998"/>
    <n v="2.0699999999999998"/>
    <n v="2.08"/>
    <n v="2.88"/>
    <n v="43"/>
    <m/>
    <n v="0"/>
    <n v="0"/>
    <n v="0"/>
    <n v="0"/>
    <n v="0"/>
    <n v="0"/>
    <n v="4"/>
    <n v="282"/>
    <n v="812.16"/>
    <n v="14"/>
    <x v="1"/>
    <s v="OK"/>
  </r>
  <r>
    <s v="IT-10148"/>
    <s v="Pillow block A-148"/>
    <x v="0"/>
    <x v="0"/>
    <x v="0"/>
    <s v="2025-06"/>
    <n v="2.04"/>
    <n v="2.04"/>
    <n v="2.04"/>
    <n v="2.88"/>
    <n v="43"/>
    <n v="74"/>
    <n v="647"/>
    <n v="228"/>
    <n v="465.12"/>
    <n v="90"/>
    <n v="138"/>
    <n v="3.63"/>
    <n v="1"/>
    <n v="419"/>
    <n v="1206.72"/>
    <n v="0"/>
    <x v="0"/>
    <s v="OK"/>
  </r>
  <r>
    <s v="IT-10148"/>
    <s v="Pillow block A-148"/>
    <x v="0"/>
    <x v="0"/>
    <x v="0"/>
    <s v="2025-07"/>
    <n v="2.06"/>
    <n v="2.06"/>
    <n v="2.0551819999999998"/>
    <n v="2.88"/>
    <n v="43"/>
    <n v="42"/>
    <n v="719"/>
    <n v="741"/>
    <n v="1522.89"/>
    <n v="40"/>
    <n v="701"/>
    <n v="10.74"/>
    <n v="1"/>
    <n v="206"/>
    <n v="593.28"/>
    <n v="0"/>
    <x v="0"/>
    <s v="OK"/>
  </r>
  <r>
    <s v="IT-10148"/>
    <s v="Pillow block A-148"/>
    <x v="0"/>
    <x v="0"/>
    <x v="0"/>
    <s v="2025-08"/>
    <n v="2.02"/>
    <n v="2.02"/>
    <n v="2.05518"/>
    <n v="2.88"/>
    <n v="43"/>
    <m/>
    <n v="0"/>
    <n v="417"/>
    <n v="857.01"/>
    <n v="90"/>
    <n v="327"/>
    <n v="5.78"/>
    <n v="0"/>
    <n v="324"/>
    <n v="933.12"/>
    <n v="0"/>
    <x v="0"/>
    <s v="OK"/>
  </r>
  <r>
    <s v="IT-10148"/>
    <s v="Pillow block A-148"/>
    <x v="0"/>
    <x v="0"/>
    <x v="0"/>
    <s v="2025-09"/>
    <n v="2.02"/>
    <n v="2.02"/>
    <n v="2.0551940000000002"/>
    <n v="2.88"/>
    <n v="43"/>
    <m/>
    <n v="0"/>
    <n v="310"/>
    <n v="637.11"/>
    <n v="40"/>
    <n v="270"/>
    <n v="6.4"/>
    <n v="2"/>
    <n v="107"/>
    <n v="308.16000000000003"/>
    <n v="0"/>
    <x v="0"/>
    <s v="OK"/>
  </r>
  <r>
    <s v="IT-10148"/>
    <s v="Pillow block A-148"/>
    <x v="0"/>
    <x v="0"/>
    <x v="0"/>
    <s v="2025-10"/>
    <n v="2.09"/>
    <n v="2.09"/>
    <n v="2.072273"/>
    <n v="2.88"/>
    <n v="43"/>
    <n v="57"/>
    <n v="297"/>
    <n v="88"/>
    <n v="182.36"/>
    <n v="20"/>
    <n v="68"/>
    <n v="1.22"/>
    <n v="1"/>
    <n v="519"/>
    <n v="1494.72"/>
    <n v="0"/>
    <x v="0"/>
    <s v="OK"/>
  </r>
  <r>
    <s v="IT-10148"/>
    <s v="Pillow block A-148"/>
    <x v="0"/>
    <x v="0"/>
    <x v="0"/>
    <s v="2025-11"/>
    <n v="2.08"/>
    <n v="2.08"/>
    <n v="2.0788890000000002"/>
    <n v="2.88"/>
    <n v="43"/>
    <n v="38"/>
    <n v="532"/>
    <n v="279"/>
    <n v="580.01"/>
    <n v="70"/>
    <n v="209"/>
    <n v="3.75"/>
    <n v="0"/>
    <n v="341"/>
    <n v="982.08"/>
    <n v="0"/>
    <x v="0"/>
    <s v="OK"/>
  </r>
  <r>
    <s v="IT-10148"/>
    <s v="Pillow block A-148"/>
    <x v="0"/>
    <x v="0"/>
    <x v="0"/>
    <s v="2025-12"/>
    <n v="2.0499999999999998"/>
    <n v="2.0499999999999998"/>
    <n v="2.0622180000000001"/>
    <n v="2.88"/>
    <n v="43"/>
    <n v="55"/>
    <n v="381"/>
    <n v="532"/>
    <n v="1097.0999999999999"/>
    <n v="90"/>
    <n v="442"/>
    <n v="7.08"/>
    <n v="0"/>
    <n v="128"/>
    <n v="368.64"/>
    <n v="0"/>
    <x v="0"/>
    <s v="OK"/>
  </r>
  <r>
    <s v="IT-10148"/>
    <s v="Pillow block A-148"/>
    <x v="0"/>
    <x v="0"/>
    <x v="0"/>
    <s v="2026-01"/>
    <n v="2.0099999999999998"/>
    <n v="2.0099999999999998"/>
    <n v="2.0622180000000001"/>
    <n v="2.88"/>
    <n v="43"/>
    <m/>
    <n v="0"/>
    <n v="0"/>
    <n v="0"/>
    <n v="0"/>
    <n v="0"/>
    <n v="0"/>
    <n v="0"/>
    <n v="532"/>
    <n v="1532.16"/>
    <n v="56"/>
    <x v="1"/>
    <s v="OK"/>
  </r>
  <r>
    <s v="IT-10148"/>
    <s v="Pillow block A-148"/>
    <x v="0"/>
    <x v="0"/>
    <x v="0"/>
    <s v="2026-02"/>
    <n v="2.04"/>
    <n v="2.04"/>
    <n v="2.04"/>
    <n v="3.02"/>
    <n v="43"/>
    <n v="77"/>
    <n v="616"/>
    <n v="286"/>
    <n v="583.44000000000005"/>
    <n v="100"/>
    <n v="186"/>
    <n v="3.71"/>
    <n v="0"/>
    <n v="330"/>
    <n v="996.6"/>
    <n v="0"/>
    <x v="0"/>
    <s v="OK"/>
  </r>
  <r>
    <s v="IT-10148"/>
    <s v="Pillow block A-148"/>
    <x v="0"/>
    <x v="0"/>
    <x v="0"/>
    <s v="2026-03"/>
    <n v="2.0699999999999998"/>
    <n v="2.0699999999999998"/>
    <n v="2.056333"/>
    <n v="3.02"/>
    <n v="43"/>
    <n v="42"/>
    <n v="339"/>
    <n v="30"/>
    <n v="61.69"/>
    <n v="30"/>
    <n v="0"/>
    <n v="0.26"/>
    <n v="0"/>
    <n v="595"/>
    <n v="1796.9"/>
    <n v="0"/>
    <x v="0"/>
    <s v="OK"/>
  </r>
  <r>
    <s v="IT-10148"/>
    <s v="Pillow block A-148"/>
    <x v="0"/>
    <x v="0"/>
    <x v="0"/>
    <s v="2026-04"/>
    <n v="2.1"/>
    <n v="2.1"/>
    <n v="2.0952009999999999"/>
    <n v="3.02"/>
    <n v="43"/>
    <n v="38"/>
    <n v="243"/>
    <n v="0"/>
    <n v="0"/>
    <n v="0"/>
    <n v="0"/>
    <n v="0"/>
    <n v="0"/>
    <n v="273"/>
    <n v="824.46"/>
    <n v="203"/>
    <x v="1"/>
    <s v="OK"/>
  </r>
  <r>
    <s v="IT-10148"/>
    <s v="Pillow block A-148"/>
    <x v="0"/>
    <x v="0"/>
    <x v="0"/>
    <s v="2026-05"/>
    <n v="2.09"/>
    <n v="2.09"/>
    <n v="2.09"/>
    <n v="3.02"/>
    <n v="43"/>
    <n v="38"/>
    <n v="767"/>
    <n v="318"/>
    <n v="664.62"/>
    <n v="100"/>
    <n v="218"/>
    <n v="3.17"/>
    <n v="0"/>
    <n v="449"/>
    <n v="1355.98"/>
    <n v="0"/>
    <x v="0"/>
    <s v="OK"/>
  </r>
  <r>
    <s v="IT-10148"/>
    <s v="Pillow block A-148"/>
    <x v="0"/>
    <x v="0"/>
    <x v="0"/>
    <s v="2026-06"/>
    <n v="2.09"/>
    <n v="2.09"/>
    <n v="2.09"/>
    <n v="3.02"/>
    <n v="43"/>
    <n v="37"/>
    <n v="100"/>
    <n v="126"/>
    <n v="263.33999999999997"/>
    <n v="70"/>
    <n v="56"/>
    <n v="1.62"/>
    <n v="2"/>
    <n v="292"/>
    <n v="881.84"/>
    <n v="0"/>
    <x v="0"/>
    <s v="OK"/>
  </r>
  <r>
    <s v="IT-10148"/>
    <s v="Pillow block A-148"/>
    <x v="0"/>
    <x v="0"/>
    <x v="0"/>
    <s v="2026-07"/>
    <n v="2.11"/>
    <n v="2.11"/>
    <n v="2.106779"/>
    <n v="3.02"/>
    <n v="43"/>
    <n v="37"/>
    <n v="655"/>
    <n v="503"/>
    <n v="1059.71"/>
    <n v="40"/>
    <n v="463"/>
    <n v="6.49"/>
    <n v="1"/>
    <n v="278"/>
    <n v="839.56"/>
    <n v="0"/>
    <x v="0"/>
    <s v="OK"/>
  </r>
  <r>
    <s v="IT-10148"/>
    <s v="Pillow block A-148"/>
    <x v="0"/>
    <x v="0"/>
    <x v="0"/>
    <s v="2026-08"/>
    <n v="2.11"/>
    <n v="2.11"/>
    <n v="2.1067550000000002"/>
    <n v="3.02"/>
    <n v="43"/>
    <m/>
    <n v="0"/>
    <n v="151"/>
    <n v="318.12"/>
    <n v="40"/>
    <n v="111"/>
    <n v="2.15"/>
    <n v="0"/>
    <n v="352"/>
    <n v="1063.04"/>
    <n v="0"/>
    <x v="0"/>
    <s v="OK"/>
  </r>
  <r>
    <s v="IT-10149"/>
    <s v="Sensor unit 20-149"/>
    <x v="3"/>
    <x v="3"/>
    <x v="1"/>
    <s v="2024-09"/>
    <n v="3.74"/>
    <n v="3.98"/>
    <n v="3.9442910000000002"/>
    <n v="5.8"/>
    <n v="39"/>
    <m/>
    <n v="0"/>
    <n v="3232"/>
    <n v="12747.95"/>
    <n v="201"/>
    <n v="3031"/>
    <n v="26.3"/>
    <n v="0"/>
    <n v="282"/>
    <n v="1635.6"/>
    <n v="0"/>
    <x v="0"/>
    <s v="OK"/>
  </r>
  <r>
    <s v="IT-10149"/>
    <s v="Sensor unit 20-149"/>
    <x v="3"/>
    <x v="3"/>
    <x v="1"/>
    <s v="2024-10"/>
    <n v="3.78"/>
    <n v="4.0199999999999996"/>
    <n v="3.9589180000000002"/>
    <n v="5.8"/>
    <n v="39"/>
    <n v="36"/>
    <n v="774"/>
    <n v="3042"/>
    <n v="12043.03"/>
    <n v="251"/>
    <n v="2791"/>
    <n v="19.989999999999998"/>
    <n v="1"/>
    <n v="964"/>
    <n v="5591.2"/>
    <n v="0"/>
    <x v="0"/>
    <s v="OK"/>
  </r>
  <r>
    <s v="IT-10149"/>
    <s v="Sensor unit 20-149"/>
    <x v="3"/>
    <x v="3"/>
    <x v="1"/>
    <s v="2024-11"/>
    <n v="3.73"/>
    <n v="3.97"/>
    <n v="3.95892"/>
    <n v="5.8"/>
    <n v="39"/>
    <m/>
    <n v="0"/>
    <n v="2647"/>
    <n v="10479.26"/>
    <n v="100"/>
    <n v="2547"/>
    <n v="20.97"/>
    <n v="3"/>
    <n v="395"/>
    <n v="2291"/>
    <n v="0"/>
    <x v="0"/>
    <s v="OK"/>
  </r>
  <r>
    <s v="IT-10149"/>
    <s v="Sensor unit 20-149"/>
    <x v="3"/>
    <x v="3"/>
    <x v="1"/>
    <s v="2024-12"/>
    <n v="3.77"/>
    <n v="4.01"/>
    <n v="3.9685139999999999"/>
    <n v="5.8"/>
    <n v="39"/>
    <n v="62"/>
    <n v="612"/>
    <n v="2335"/>
    <n v="9266.48"/>
    <n v="126"/>
    <n v="2209"/>
    <n v="13.44"/>
    <n v="0"/>
    <n v="924"/>
    <n v="5359.2"/>
    <n v="0"/>
    <x v="0"/>
    <s v="OK"/>
  </r>
  <r>
    <s v="IT-10149"/>
    <s v="Sensor unit 20-149"/>
    <x v="3"/>
    <x v="3"/>
    <x v="1"/>
    <s v="2025-01"/>
    <n v="3.76"/>
    <n v="4"/>
    <n v="3.977061"/>
    <n v="5.8"/>
    <n v="39"/>
    <n v="47"/>
    <n v="870"/>
    <n v="1977"/>
    <n v="7862.65"/>
    <n v="50"/>
    <n v="1927"/>
    <n v="10.199999999999999"/>
    <n v="0"/>
    <n v="1228"/>
    <n v="7122.4"/>
    <n v="0"/>
    <x v="0"/>
    <s v="OK"/>
  </r>
  <r>
    <s v="IT-10149"/>
    <s v="Sensor unit 20-149"/>
    <x v="3"/>
    <x v="3"/>
    <x v="1"/>
    <s v="2025-02"/>
    <n v="3.75"/>
    <n v="3.99"/>
    <n v="3.977058"/>
    <n v="5.99"/>
    <n v="39"/>
    <m/>
    <n v="0"/>
    <n v="1465"/>
    <n v="5826.39"/>
    <n v="50"/>
    <n v="1415"/>
    <n v="7.07"/>
    <n v="1"/>
    <n v="512"/>
    <n v="3066.88"/>
    <n v="0"/>
    <x v="0"/>
    <s v="OK"/>
  </r>
  <r>
    <s v="IT-10149"/>
    <s v="Sensor unit 20-149"/>
    <x v="3"/>
    <x v="3"/>
    <x v="1"/>
    <s v="2025-03"/>
    <n v="4.01"/>
    <n v="4.2699999999999996"/>
    <n v="3.977058"/>
    <n v="5.99"/>
    <n v="39"/>
    <m/>
    <n v="0"/>
    <n v="554"/>
    <n v="2203.29"/>
    <n v="75"/>
    <n v="479"/>
    <n v="2.69"/>
    <n v="1"/>
    <n v="911"/>
    <n v="5456.89"/>
    <n v="0"/>
    <x v="0"/>
    <s v="OK"/>
  </r>
  <r>
    <s v="IT-10149"/>
    <s v="Sensor unit 20-149"/>
    <x v="3"/>
    <x v="3"/>
    <x v="1"/>
    <s v="2025-04"/>
    <n v="3.9"/>
    <n v="4.1500000000000004"/>
    <n v="4.1135409999999997"/>
    <n v="5.99"/>
    <n v="39"/>
    <n v="70"/>
    <n v="2074"/>
    <n v="2248"/>
    <n v="9247.24"/>
    <n v="201"/>
    <n v="2047"/>
    <n v="15.85"/>
    <n v="2"/>
    <n v="380"/>
    <n v="2276.1999999999998"/>
    <n v="0"/>
    <x v="0"/>
    <s v="OK"/>
  </r>
  <r>
    <s v="IT-10149"/>
    <s v="Sensor unit 20-149"/>
    <x v="3"/>
    <x v="3"/>
    <x v="1"/>
    <s v="2025-05"/>
    <n v="4.03"/>
    <n v="4.29"/>
    <n v="4.1453850000000001"/>
    <n v="5.99"/>
    <n v="39"/>
    <n v="38"/>
    <n v="495"/>
    <n v="2297"/>
    <n v="9521.9500000000007"/>
    <n v="126"/>
    <n v="2171"/>
    <n v="17.38"/>
    <n v="0"/>
    <n v="446"/>
    <n v="2671.54"/>
    <n v="0"/>
    <x v="0"/>
    <s v="OK"/>
  </r>
  <r>
    <s v="IT-10149"/>
    <s v="Sensor unit 20-149"/>
    <x v="3"/>
    <x v="3"/>
    <x v="1"/>
    <s v="2025-06"/>
    <n v="4.01"/>
    <n v="4.2699999999999996"/>
    <n v="4.1632340000000001"/>
    <n v="5.99"/>
    <n v="39"/>
    <n v="35"/>
    <n v="384"/>
    <n v="1914"/>
    <n v="7968.43"/>
    <n v="100"/>
    <n v="1814"/>
    <n v="15.62"/>
    <n v="0"/>
    <n v="767"/>
    <n v="4594.33"/>
    <n v="0"/>
    <x v="0"/>
    <s v="OK"/>
  </r>
  <r>
    <s v="IT-10149"/>
    <s v="Sensor unit 20-149"/>
    <x v="3"/>
    <x v="3"/>
    <x v="1"/>
    <s v="2025-07"/>
    <n v="4.0199999999999996"/>
    <n v="4.28"/>
    <n v="4.2151059999999996"/>
    <n v="5.99"/>
    <n v="39"/>
    <n v="34"/>
    <n v="1530"/>
    <n v="2730"/>
    <n v="11507.24"/>
    <n v="226"/>
    <n v="2504"/>
    <n v="18.62"/>
    <n v="0"/>
    <n v="714"/>
    <n v="4276.8599999999997"/>
    <n v="0"/>
    <x v="0"/>
    <s v="OK"/>
  </r>
  <r>
    <s v="IT-10149"/>
    <s v="Sensor unit 20-149"/>
    <x v="3"/>
    <x v="3"/>
    <x v="1"/>
    <s v="2025-08"/>
    <n v="3.92"/>
    <n v="4.17"/>
    <n v="4.2064659999999998"/>
    <n v="5.99"/>
    <n v="39"/>
    <n v="35"/>
    <n v="647"/>
    <n v="2264"/>
    <n v="9523.44"/>
    <n v="201"/>
    <n v="2063"/>
    <n v="11.47"/>
    <n v="2"/>
    <n v="1113"/>
    <n v="6666.87"/>
    <n v="0"/>
    <x v="0"/>
    <s v="OK"/>
  </r>
  <r>
    <s v="IT-10149"/>
    <s v="Sensor unit 20-149"/>
    <x v="3"/>
    <x v="3"/>
    <x v="1"/>
    <s v="2025-09"/>
    <n v="3.89"/>
    <n v="4.1399999999999997"/>
    <n v="4.2064680000000001"/>
    <n v="5.99"/>
    <n v="39"/>
    <m/>
    <n v="0"/>
    <n v="1860"/>
    <n v="7824.03"/>
    <n v="100"/>
    <n v="1760"/>
    <n v="10.96"/>
    <n v="0"/>
    <n v="404"/>
    <n v="2419.96"/>
    <n v="0"/>
    <x v="0"/>
    <s v="OK"/>
  </r>
  <r>
    <s v="IT-10149"/>
    <s v="Sensor unit 20-149"/>
    <x v="3"/>
    <x v="3"/>
    <x v="1"/>
    <s v="2025-10"/>
    <n v="4.0199999999999996"/>
    <n v="4.28"/>
    <n v="4.2410800000000002"/>
    <n v="5.99"/>
    <n v="39"/>
    <n v="35"/>
    <n v="1654"/>
    <n v="2852"/>
    <n v="12095.56"/>
    <n v="251"/>
    <n v="2601"/>
    <n v="17.2"/>
    <n v="1"/>
    <n v="662"/>
    <n v="3965.38"/>
    <n v="0"/>
    <x v="0"/>
    <s v="OK"/>
  </r>
  <r>
    <s v="IT-10149"/>
    <s v="Sensor unit 20-149"/>
    <x v="3"/>
    <x v="3"/>
    <x v="1"/>
    <s v="2025-11"/>
    <n v="3.94"/>
    <n v="4.1900000000000004"/>
    <n v="4.2410810000000003"/>
    <n v="5.99"/>
    <n v="39"/>
    <m/>
    <n v="0"/>
    <n v="1915"/>
    <n v="8121.67"/>
    <n v="151"/>
    <n v="1764"/>
    <n v="12.43"/>
    <n v="5"/>
    <n v="937"/>
    <n v="5612.63"/>
    <n v="0"/>
    <x v="0"/>
    <s v="OK"/>
  </r>
  <r>
    <s v="IT-10149"/>
    <s v="Sensor unit 20-149"/>
    <x v="3"/>
    <x v="3"/>
    <x v="1"/>
    <s v="2025-12"/>
    <n v="4.01"/>
    <n v="4.2699999999999996"/>
    <n v="4.241079"/>
    <n v="5.99"/>
    <n v="39"/>
    <m/>
    <n v="0"/>
    <n v="1363"/>
    <n v="5780.59"/>
    <n v="75"/>
    <n v="1288"/>
    <n v="8.33"/>
    <n v="0"/>
    <n v="552"/>
    <n v="3306.48"/>
    <n v="0"/>
    <x v="0"/>
    <s v="OK"/>
  </r>
  <r>
    <s v="IT-10149"/>
    <s v="Sensor unit 20-149"/>
    <x v="3"/>
    <x v="3"/>
    <x v="1"/>
    <s v="2026-01"/>
    <n v="4"/>
    <n v="4.26"/>
    <n v="4.2526440000000001"/>
    <n v="5.99"/>
    <n v="39"/>
    <n v="67"/>
    <n v="2143"/>
    <n v="2976"/>
    <n v="12655.87"/>
    <n v="126"/>
    <n v="2850"/>
    <n v="19.37"/>
    <n v="0"/>
    <n v="530"/>
    <n v="3174.7"/>
    <n v="0"/>
    <x v="0"/>
    <s v="OK"/>
  </r>
  <r>
    <s v="IT-10149"/>
    <s v="Sensor unit 20-149"/>
    <x v="3"/>
    <x v="3"/>
    <x v="1"/>
    <s v="2026-02"/>
    <n v="3.97"/>
    <n v="4.22"/>
    <n v="4.244129"/>
    <n v="6.19"/>
    <n v="39"/>
    <n v="58"/>
    <n v="1050"/>
    <n v="3291"/>
    <n v="13967.43"/>
    <n v="75"/>
    <n v="3216"/>
    <n v="23.29"/>
    <n v="0"/>
    <n v="735"/>
    <n v="4549.6499999999996"/>
    <n v="0"/>
    <x v="0"/>
    <s v="OK"/>
  </r>
  <r>
    <s v="IT-10149"/>
    <s v="Sensor unit 20-149"/>
    <x v="3"/>
    <x v="3"/>
    <x v="1"/>
    <s v="2026-03"/>
    <n v="4.2699999999999996"/>
    <n v="4.54"/>
    <n v="4.2441279999999999"/>
    <n v="6.19"/>
    <n v="39"/>
    <m/>
    <n v="0"/>
    <n v="2289"/>
    <n v="9714.81"/>
    <n v="226"/>
    <n v="2063"/>
    <n v="12.98"/>
    <n v="0"/>
    <n v="1002"/>
    <n v="6202.38"/>
    <n v="0"/>
    <x v="0"/>
    <s v="OK"/>
  </r>
  <r>
    <s v="IT-10149"/>
    <s v="Sensor unit 20-149"/>
    <x v="3"/>
    <x v="3"/>
    <x v="1"/>
    <s v="2026-04"/>
    <n v="4.28"/>
    <n v="4.55"/>
    <n v="4.2871839999999999"/>
    <n v="6.19"/>
    <n v="39"/>
    <n v="39"/>
    <n v="375"/>
    <n v="2198"/>
    <n v="9423.23"/>
    <n v="176"/>
    <n v="2022"/>
    <n v="12.69"/>
    <n v="2"/>
    <n v="466"/>
    <n v="2884.54"/>
    <n v="0"/>
    <x v="0"/>
    <s v="OK"/>
  </r>
  <r>
    <s v="IT-10149"/>
    <s v="Sensor unit 20-149"/>
    <x v="3"/>
    <x v="3"/>
    <x v="1"/>
    <s v="2026-05"/>
    <n v="4.2"/>
    <n v="4.47"/>
    <n v="4.3456349999999997"/>
    <n v="6.19"/>
    <n v="39"/>
    <n v="38"/>
    <n v="1033"/>
    <n v="2568"/>
    <n v="11159.59"/>
    <n v="201"/>
    <n v="2367"/>
    <n v="15.84"/>
    <n v="0"/>
    <n v="663"/>
    <n v="4103.97"/>
    <n v="0"/>
    <x v="0"/>
    <s v="OK"/>
  </r>
  <r>
    <s v="IT-10149"/>
    <s v="Sensor unit 20-149"/>
    <x v="3"/>
    <x v="3"/>
    <x v="1"/>
    <s v="2026-06"/>
    <n v="4.1500000000000004"/>
    <n v="4.42"/>
    <n v="4.3550880000000003"/>
    <n v="6.19"/>
    <n v="39"/>
    <n v="35"/>
    <n v="374"/>
    <n v="2333"/>
    <n v="10160.42"/>
    <n v="151"/>
    <n v="2182"/>
    <n v="17.45"/>
    <n v="0"/>
    <n v="609"/>
    <n v="3769.71"/>
    <n v="0"/>
    <x v="0"/>
    <s v="OK"/>
  </r>
  <r>
    <s v="IT-10149"/>
    <s v="Sensor unit 20-149"/>
    <x v="3"/>
    <x v="3"/>
    <x v="1"/>
    <s v="2026-07"/>
    <n v="4.28"/>
    <n v="4.55"/>
    <n v="4.4345869999999996"/>
    <n v="6.19"/>
    <n v="39"/>
    <n v="34"/>
    <n v="1607"/>
    <n v="3560"/>
    <n v="15787.13"/>
    <n v="226"/>
    <n v="3334"/>
    <n v="28.32"/>
    <n v="0"/>
    <n v="380"/>
    <n v="2352.1999999999998"/>
    <n v="0"/>
    <x v="0"/>
    <s v="OK"/>
  </r>
  <r>
    <s v="IT-10149"/>
    <s v="Sensor unit 20-149"/>
    <x v="3"/>
    <x v="3"/>
    <x v="1"/>
    <s v="2026-08"/>
    <n v="4.25"/>
    <n v="4.5199999999999996"/>
    <n v="4.4345869999999996"/>
    <n v="6.19"/>
    <n v="39"/>
    <m/>
    <n v="0"/>
    <n v="2673"/>
    <n v="11853.65"/>
    <n v="100"/>
    <n v="2573"/>
    <n v="18.73"/>
    <n v="1"/>
    <n v="887"/>
    <n v="5490.53"/>
    <n v="0"/>
    <x v="0"/>
    <s v="OK"/>
  </r>
  <r>
    <s v="IT-10150"/>
    <s v="Drive belt 20-150"/>
    <x v="4"/>
    <x v="4"/>
    <x v="1"/>
    <s v="2024-09"/>
    <n v="9.11"/>
    <n v="9.11"/>
    <n v="9.0210830000000009"/>
    <n v="12.1"/>
    <n v="49"/>
    <n v="44"/>
    <n v="39"/>
    <n v="120"/>
    <n v="1082.53"/>
    <n v="14"/>
    <n v="106"/>
    <n v="11.27"/>
    <n v="6"/>
    <n v="42"/>
    <n v="508.2"/>
    <n v="0"/>
    <x v="0"/>
    <s v="OK"/>
  </r>
  <r>
    <s v="IT-10150"/>
    <s v="Drive belt 20-150"/>
    <x v="4"/>
    <x v="4"/>
    <x v="1"/>
    <s v="2024-10"/>
    <n v="9.59"/>
    <n v="9.59"/>
    <n v="9.0210530000000002"/>
    <n v="12.1"/>
    <n v="49"/>
    <m/>
    <n v="0"/>
    <n v="95"/>
    <n v="857"/>
    <n v="7"/>
    <n v="88"/>
    <n v="11.05"/>
    <n v="7"/>
    <n v="25"/>
    <n v="302.5"/>
    <n v="0"/>
    <x v="0"/>
    <s v="OK"/>
  </r>
  <r>
    <s v="IT-10150"/>
    <s v="Drive belt 20-150"/>
    <x v="4"/>
    <x v="4"/>
    <x v="1"/>
    <s v="2024-11"/>
    <n v="9.3800000000000008"/>
    <n v="9.3800000000000008"/>
    <n v="9.1884029999999992"/>
    <n v="12.1"/>
    <n v="49"/>
    <n v="42"/>
    <n v="83"/>
    <n v="144"/>
    <n v="1323.13"/>
    <n v="10"/>
    <n v="134"/>
    <n v="18.53"/>
    <n v="1"/>
    <n v="34"/>
    <n v="411.4"/>
    <n v="0"/>
    <x v="0"/>
    <s v="OK"/>
  </r>
  <r>
    <s v="IT-10150"/>
    <s v="Drive belt 20-150"/>
    <x v="4"/>
    <x v="4"/>
    <x v="1"/>
    <s v="2024-12"/>
    <n v="9.32"/>
    <n v="9.32"/>
    <n v="9.2318599999999993"/>
    <n v="12.1"/>
    <n v="49"/>
    <n v="48"/>
    <n v="71"/>
    <n v="215"/>
    <n v="1984.85"/>
    <n v="3"/>
    <n v="212"/>
    <n v="47.89"/>
    <n v="32"/>
    <n v="0"/>
    <n v="0"/>
    <n v="0"/>
    <x v="0"/>
    <s v="OK"/>
  </r>
  <r>
    <s v="IT-10150"/>
    <s v="Drive belt 20-150"/>
    <x v="4"/>
    <x v="4"/>
    <x v="1"/>
    <s v="2025-01"/>
    <n v="9.36"/>
    <n v="9.36"/>
    <n v="9.2318820000000006"/>
    <n v="12.1"/>
    <n v="49"/>
    <m/>
    <n v="0"/>
    <n v="170"/>
    <n v="1569.42"/>
    <n v="4"/>
    <n v="166"/>
    <n v="28.28"/>
    <n v="1"/>
    <n v="45"/>
    <n v="544.5"/>
    <n v="0"/>
    <x v="0"/>
    <s v="OK"/>
  </r>
  <r>
    <s v="IT-10150"/>
    <s v="Drive belt 20-150"/>
    <x v="4"/>
    <x v="4"/>
    <x v="1"/>
    <s v="2025-02"/>
    <n v="9.57"/>
    <n v="9.57"/>
    <n v="9.3274600000000003"/>
    <n v="12.59"/>
    <n v="49"/>
    <n v="74"/>
    <n v="67"/>
    <n v="189"/>
    <n v="1762.89"/>
    <n v="3"/>
    <n v="186"/>
    <n v="26.13"/>
    <n v="2"/>
    <n v="48"/>
    <n v="604.32000000000005"/>
    <n v="0"/>
    <x v="0"/>
    <s v="OK"/>
  </r>
  <r>
    <s v="IT-10150"/>
    <s v="Drive belt 20-150"/>
    <x v="4"/>
    <x v="4"/>
    <x v="1"/>
    <s v="2025-03"/>
    <n v="9.42"/>
    <n v="9.42"/>
    <n v="9.3274799999999995"/>
    <n v="12.59"/>
    <n v="49"/>
    <m/>
    <n v="0"/>
    <n v="123"/>
    <n v="1147.28"/>
    <n v="8"/>
    <n v="115"/>
    <n v="9.9499999999999993"/>
    <n v="4"/>
    <n v="66"/>
    <n v="830.94"/>
    <n v="0"/>
    <x v="0"/>
    <s v="OK"/>
  </r>
  <r>
    <s v="IT-10150"/>
    <s v="Drive belt 20-150"/>
    <x v="4"/>
    <x v="4"/>
    <x v="1"/>
    <s v="2025-04"/>
    <n v="9.68"/>
    <n v="9.68"/>
    <n v="9.3275319999999997"/>
    <n v="12.59"/>
    <n v="49"/>
    <m/>
    <n v="0"/>
    <n v="77"/>
    <n v="718.22"/>
    <n v="4"/>
    <n v="73"/>
    <n v="6.12"/>
    <n v="2"/>
    <n v="46"/>
    <n v="579.14"/>
    <n v="0"/>
    <x v="0"/>
    <s v="OK"/>
  </r>
  <r>
    <s v="IT-10150"/>
    <s v="Drive belt 20-150"/>
    <x v="4"/>
    <x v="4"/>
    <x v="1"/>
    <s v="2025-05"/>
    <n v="9.34"/>
    <n v="9.34"/>
    <n v="9.3353020000000004"/>
    <n v="12.59"/>
    <n v="49"/>
    <n v="43"/>
    <n v="128"/>
    <n v="149"/>
    <n v="1390.96"/>
    <n v="3"/>
    <n v="146"/>
    <n v="11.66"/>
    <n v="8"/>
    <n v="56"/>
    <n v="705.04"/>
    <n v="0"/>
    <x v="0"/>
    <s v="OK"/>
  </r>
  <r>
    <s v="IT-10150"/>
    <s v="Drive belt 20-150"/>
    <x v="4"/>
    <x v="4"/>
    <x v="1"/>
    <s v="2025-06"/>
    <n v="9.66"/>
    <n v="9.66"/>
    <n v="9.4168830000000003"/>
    <n v="12.59"/>
    <n v="49"/>
    <n v="48"/>
    <n v="50"/>
    <n v="154"/>
    <n v="1450.2"/>
    <n v="10"/>
    <n v="144"/>
    <n v="13.62"/>
    <n v="0"/>
    <n v="45"/>
    <n v="566.54999999999995"/>
    <n v="0"/>
    <x v="0"/>
    <s v="OK"/>
  </r>
  <r>
    <s v="IT-10150"/>
    <s v="Drive belt 20-150"/>
    <x v="4"/>
    <x v="4"/>
    <x v="1"/>
    <s v="2025-07"/>
    <n v="9.44"/>
    <n v="9.44"/>
    <n v="9.4169090000000004"/>
    <n v="12.59"/>
    <n v="49"/>
    <m/>
    <n v="0"/>
    <n v="110"/>
    <n v="1035.8599999999999"/>
    <n v="13"/>
    <n v="97"/>
    <n v="9.9700000000000006"/>
    <n v="0"/>
    <n v="44"/>
    <n v="553.96"/>
    <n v="0"/>
    <x v="0"/>
    <s v="OK"/>
  </r>
  <r>
    <s v="IT-10150"/>
    <s v="Drive belt 20-150"/>
    <x v="4"/>
    <x v="4"/>
    <x v="1"/>
    <s v="2025-08"/>
    <n v="9.67"/>
    <n v="9.67"/>
    <n v="9.5249699999999997"/>
    <n v="12.59"/>
    <n v="49"/>
    <n v="45"/>
    <n v="82"/>
    <n v="169"/>
    <n v="1609.72"/>
    <n v="6"/>
    <n v="163"/>
    <n v="19.829999999999998"/>
    <n v="11"/>
    <n v="23"/>
    <n v="289.57"/>
    <n v="0"/>
    <x v="0"/>
    <s v="OK"/>
  </r>
  <r>
    <s v="IT-10150"/>
    <s v="Drive belt 20-150"/>
    <x v="4"/>
    <x v="4"/>
    <x v="1"/>
    <s v="2025-09"/>
    <n v="9.4499999999999993"/>
    <n v="9.4499999999999993"/>
    <n v="9.5250000000000004"/>
    <n v="12.59"/>
    <n v="49"/>
    <m/>
    <n v="0"/>
    <n v="118"/>
    <n v="1123.95"/>
    <n v="7"/>
    <n v="111"/>
    <n v="13.14"/>
    <n v="5"/>
    <n v="51"/>
    <n v="642.09"/>
    <n v="0"/>
    <x v="0"/>
    <s v="OK"/>
  </r>
  <r>
    <s v="IT-10150"/>
    <s v="Drive belt 20-150"/>
    <x v="4"/>
    <x v="4"/>
    <x v="1"/>
    <s v="2025-10"/>
    <n v="9.9499999999999993"/>
    <n v="9.9499999999999993"/>
    <n v="9.6682439999999996"/>
    <n v="12.59"/>
    <n v="49"/>
    <n v="44"/>
    <n v="60"/>
    <n v="131"/>
    <n v="1266.54"/>
    <n v="10"/>
    <n v="121"/>
    <n v="14.23"/>
    <n v="7"/>
    <n v="47"/>
    <n v="591.73"/>
    <n v="0"/>
    <x v="0"/>
    <s v="OK"/>
  </r>
  <r>
    <s v="IT-10150"/>
    <s v="Drive belt 20-150"/>
    <x v="4"/>
    <x v="4"/>
    <x v="1"/>
    <s v="2025-11"/>
    <n v="10.19"/>
    <n v="10.19"/>
    <n v="9.6681939999999997"/>
    <n v="12.59"/>
    <n v="49"/>
    <m/>
    <n v="0"/>
    <n v="72"/>
    <n v="696.11"/>
    <n v="4"/>
    <n v="68"/>
    <n v="5.96"/>
    <n v="2"/>
    <n v="59"/>
    <n v="742.81"/>
    <n v="0"/>
    <x v="0"/>
    <s v="OK"/>
  </r>
  <r>
    <s v="IT-10150"/>
    <s v="Drive belt 20-150"/>
    <x v="4"/>
    <x v="4"/>
    <x v="1"/>
    <s v="2025-12"/>
    <n v="10.11"/>
    <n v="10.11"/>
    <n v="9.8070830000000004"/>
    <n v="12.59"/>
    <n v="49"/>
    <n v="46"/>
    <n v="33"/>
    <n v="72"/>
    <n v="706.11"/>
    <n v="3"/>
    <n v="69"/>
    <n v="6.81"/>
    <n v="0"/>
    <n v="33"/>
    <n v="415.47"/>
    <n v="0"/>
    <x v="0"/>
    <s v="OK"/>
  </r>
  <r>
    <s v="IT-10150"/>
    <s v="Drive belt 20-150"/>
    <x v="4"/>
    <x v="4"/>
    <x v="1"/>
    <s v="2026-01"/>
    <n v="9.91"/>
    <n v="9.91"/>
    <n v="9.8666669999999996"/>
    <n v="12.59"/>
    <n v="49"/>
    <n v="46"/>
    <n v="99"/>
    <n v="108"/>
    <n v="1065.5999999999999"/>
    <n v="11"/>
    <n v="97"/>
    <n v="9.16"/>
    <n v="3"/>
    <n v="63"/>
    <n v="793.17"/>
    <n v="0"/>
    <x v="0"/>
    <s v="OK"/>
  </r>
  <r>
    <s v="IT-10150"/>
    <s v="Drive belt 20-150"/>
    <x v="4"/>
    <x v="4"/>
    <x v="1"/>
    <s v="2026-02"/>
    <n v="10.24"/>
    <n v="10.24"/>
    <n v="10.033232"/>
    <n v="13.1"/>
    <n v="49"/>
    <n v="46"/>
    <n v="87"/>
    <n v="164"/>
    <n v="1645.45"/>
    <n v="13"/>
    <n v="151"/>
    <n v="16.600000000000001"/>
    <n v="1"/>
    <n v="31"/>
    <n v="406.1"/>
    <n v="0"/>
    <x v="0"/>
    <s v="OK"/>
  </r>
  <r>
    <s v="IT-10150"/>
    <s v="Drive belt 20-150"/>
    <x v="4"/>
    <x v="4"/>
    <x v="1"/>
    <s v="2026-03"/>
    <n v="10.19"/>
    <n v="10.19"/>
    <n v="10.033200000000001"/>
    <n v="13.1"/>
    <n v="49"/>
    <m/>
    <n v="0"/>
    <n v="125"/>
    <n v="1254.1500000000001"/>
    <n v="13"/>
    <n v="112"/>
    <n v="12.08"/>
    <n v="6"/>
    <n v="39"/>
    <n v="510.9"/>
    <n v="0"/>
    <x v="0"/>
    <s v="OK"/>
  </r>
  <r>
    <s v="IT-10150"/>
    <s v="Drive belt 20-150"/>
    <x v="4"/>
    <x v="4"/>
    <x v="1"/>
    <s v="2026-04"/>
    <n v="9.8699999999999992"/>
    <n v="9.8699999999999992"/>
    <n v="10.033204"/>
    <n v="13.1"/>
    <n v="49"/>
    <m/>
    <n v="0"/>
    <n v="103"/>
    <n v="1033.42"/>
    <n v="11"/>
    <n v="92"/>
    <n v="14.23"/>
    <n v="11"/>
    <n v="22"/>
    <n v="288.2"/>
    <n v="0"/>
    <x v="0"/>
    <s v="OK"/>
  </r>
  <r>
    <s v="IT-10150"/>
    <s v="Drive belt 20-150"/>
    <x v="4"/>
    <x v="4"/>
    <x v="1"/>
    <s v="2026-05"/>
    <n v="10.130000000000001"/>
    <n v="10.130000000000001"/>
    <n v="10.048954999999999"/>
    <n v="13.1"/>
    <n v="49"/>
    <n v="62"/>
    <n v="20"/>
    <n v="67"/>
    <n v="673.28"/>
    <n v="4"/>
    <n v="63"/>
    <n v="7.53"/>
    <n v="4"/>
    <n v="56"/>
    <n v="733.6"/>
    <n v="0"/>
    <x v="0"/>
    <s v="OK"/>
  </r>
  <r>
    <s v="IT-10150"/>
    <s v="Drive belt 20-150"/>
    <x v="4"/>
    <x v="4"/>
    <x v="1"/>
    <s v="2026-06"/>
    <n v="10.11"/>
    <n v="10.11"/>
    <n v="10.075062000000001"/>
    <n v="13.1"/>
    <n v="49"/>
    <n v="45"/>
    <n v="50"/>
    <n v="81"/>
    <n v="816.08"/>
    <n v="13"/>
    <n v="68"/>
    <n v="9.24"/>
    <n v="4"/>
    <n v="36"/>
    <n v="471.6"/>
    <n v="0"/>
    <x v="0"/>
    <s v="OK"/>
  </r>
  <r>
    <s v="IT-10150"/>
    <s v="Drive belt 20-150"/>
    <x v="4"/>
    <x v="4"/>
    <x v="1"/>
    <s v="2026-07"/>
    <n v="9.9499999999999993"/>
    <n v="9.9499999999999993"/>
    <n v="10.013332999999999"/>
    <n v="13.1"/>
    <n v="49"/>
    <n v="43"/>
    <n v="79"/>
    <n v="120"/>
    <n v="1201.5999999999999"/>
    <n v="14"/>
    <n v="106"/>
    <n v="11.95"/>
    <n v="0"/>
    <n v="40"/>
    <n v="524"/>
    <n v="0"/>
    <x v="0"/>
    <s v="OK"/>
  </r>
  <r>
    <s v="IT-10150"/>
    <s v="Drive belt 20-150"/>
    <x v="4"/>
    <x v="4"/>
    <x v="1"/>
    <s v="2026-08"/>
    <n v="10.14"/>
    <n v="10.14"/>
    <n v="10.013375"/>
    <n v="13.1"/>
    <n v="49"/>
    <m/>
    <n v="0"/>
    <n v="80"/>
    <n v="801.07"/>
    <n v="11"/>
    <n v="69"/>
    <n v="9.06"/>
    <n v="0"/>
    <n v="40"/>
    <n v="524"/>
    <n v="0"/>
    <x v="0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E0E8A-7AFC-4FE3-A2C1-7F05F7A5545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Stocked out (Y/N)" fld="22" subtotal="count" baseField="0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DAD98-244C-444F-9D91-D08BAEE1FA3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4"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0" baseField="0" baseItem="0" numFmtId="2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2A000-366F-49F8-9BFD-BEF5E12B799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4"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ead time actual days" fld="11" subtotal="average" baseField="3" baseItem="4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CC141-CBD9-4708-87BA-6300150221A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24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tock value" fld="14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FB848-14F9-47E7-97EB-EEFE69E0F46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4"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ost sales units (stockout)" fld="21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4706A-EFFE-4899-A814-51AAD67683F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0" firstHeaderRow="1" firstDataRow="2" firstDataCol="1"/>
  <pivotFields count="24"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Qty on hand" fld="13" baseField="0" baseItem="0" numFmtId="2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0EC7E7-8D07-44C7-833D-752446CE2400}" name="Table2" displayName="Table2" ref="A1:X3601" totalsRowShown="0">
  <autoFilter ref="A1:X3601" xr:uid="{C50EC7E7-8D07-44C7-833D-752446CE2400}"/>
  <tableColumns count="24">
    <tableColumn id="1" xr3:uid="{3418331F-25F0-4B2F-9960-508A3A6CF49A}" name="Item code"/>
    <tableColumn id="2" xr3:uid="{B02C661A-ED98-49C4-B99D-0CC3A756AA57}" name="Description"/>
    <tableColumn id="3" xr3:uid="{B5896C6F-EF32-4C11-916B-2414ECCA71BA}" name="Category"/>
    <tableColumn id="4" xr3:uid="{92AD901A-3045-44BD-9C2E-35E60C599D72}" name="Supplier"/>
    <tableColumn id="5" xr3:uid="{C0202ACE-CEE6-490D-9CC8-4EA7B510E2DA}" name="Warehouse"/>
    <tableColumn id="6" xr3:uid="{9EAAD521-73CC-418A-8B02-1474C008BFC5}" name="Period" dataDxfId="5"/>
    <tableColumn id="7" xr3:uid="{18F93788-D6A6-4FA8-A151-51F9FFEF4F24}" name="Unit cost" dataDxfId="4"/>
    <tableColumn id="8" xr3:uid="{DCC11AE1-8FA0-48C1-933C-02A2C3D8083F}" name="Landed cost (with freight)"/>
    <tableColumn id="9" xr3:uid="{E85F794B-7830-461A-9164-01CC00171AA1}" name="Average cost (stock value / qty)"/>
    <tableColumn id="10" xr3:uid="{9C0E4FFC-FEE3-42EC-AFCE-4C0B7CC94BCA}" name="Selling price"/>
    <tableColumn id="11" xr3:uid="{2F9107F7-E078-42C0-80D2-9F7AF6A6E113}" name="Lead time planned days"/>
    <tableColumn id="12" xr3:uid="{C74E7D0B-623E-431B-881E-50794259E13A}" name="Lead time actual days" dataDxfId="3"/>
    <tableColumn id="13" xr3:uid="{B4A9833C-5147-4028-9F74-8F7A81CEAFCD}" name="Qty received"/>
    <tableColumn id="14" xr3:uid="{131A7F4D-66F5-4D24-9F9F-38A02BA842B2}" name="Qty on hand" dataDxfId="2"/>
    <tableColumn id="15" xr3:uid="{11AF4CB0-BAD3-4E06-88E3-EEF6A3D2E08E}" name="Stock value"/>
    <tableColumn id="16" xr3:uid="{DEE09AC1-0BEB-46FB-B90A-4E4C21CF18B2}" name="Qty allocated to orders"/>
    <tableColumn id="17" xr3:uid="{1C89DD77-B2FE-40B2-8E15-F9E5E1278A55}" name="Qty available"/>
    <tableColumn id="18" xr3:uid="{B3F8C550-B3AE-4C4F-B52A-03374DA82A23}" name="Weeks of cover"/>
    <tableColumn id="19" xr3:uid="{4261E664-EA23-4122-8B37-040C97F0A081}" name="Days since last sale (month end)"/>
    <tableColumn id="20" xr3:uid="{0163BB1D-7ABF-45B4-BA10-BC8D40B3ACC5}" name="Units sold"/>
    <tableColumn id="21" xr3:uid="{E79FE7E2-632D-4651-9219-FD7D05061218}" name="Revenue" dataDxfId="1"/>
    <tableColumn id="22" xr3:uid="{7CB357B9-5BB1-4167-A691-39D2809D021B}" name="Lost sales units (stockout)"/>
    <tableColumn id="23" xr3:uid="{E2CBAED9-7029-493F-B57B-14DE48363125}" name="Stocked out (Y/N)"/>
    <tableColumn id="24" xr3:uid="{9EF97529-A89C-4513-A28F-5D15FA241A32}" name="Availability Check" dataDxfId="0">
      <calculatedColumnFormula>IF(Table2[[#This Row],[Qty available]]&gt;Table2[[#This Row],[Qty on hand]],"Check","OK")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1C6B-F911-40A2-B4E1-464A7BB63333}">
  <dimension ref="A1:M5"/>
  <sheetViews>
    <sheetView zoomScale="83" workbookViewId="0">
      <selection activeCell="C4" sqref="C4"/>
    </sheetView>
  </sheetViews>
  <sheetFormatPr defaultRowHeight="14.4" x14ac:dyDescent="0.3"/>
  <cols>
    <col min="1" max="1" width="26.88671875" customWidth="1"/>
    <col min="2" max="3" width="21.33203125" customWidth="1"/>
    <col min="4" max="4" width="18.88671875" customWidth="1"/>
    <col min="5" max="5" width="18.21875" customWidth="1"/>
    <col min="6" max="6" width="27" customWidth="1"/>
    <col min="8" max="8" width="14" customWidth="1"/>
    <col min="9" max="9" width="16.5546875" customWidth="1"/>
  </cols>
  <sheetData>
    <row r="1" spans="1:13" ht="25.8" x14ac:dyDescent="0.5">
      <c r="A1" s="13" t="s">
        <v>364</v>
      </c>
      <c r="B1" s="13"/>
      <c r="C1" s="13"/>
      <c r="D1" s="13"/>
      <c r="E1" s="13"/>
      <c r="F1" s="13"/>
      <c r="G1" s="13"/>
      <c r="H1" s="13"/>
      <c r="I1" s="13"/>
      <c r="J1" s="11"/>
      <c r="K1" s="11"/>
      <c r="L1" s="12"/>
      <c r="M1" s="12"/>
    </row>
    <row r="3" spans="1:13" ht="15.6" x14ac:dyDescent="0.3">
      <c r="A3" s="3" t="s">
        <v>365</v>
      </c>
      <c r="B3" s="4" t="s">
        <v>366</v>
      </c>
      <c r="C3" s="5" t="s">
        <v>367</v>
      </c>
      <c r="D3" s="4" t="s">
        <v>368</v>
      </c>
      <c r="E3" s="3" t="s">
        <v>369</v>
      </c>
      <c r="F3" s="3" t="s">
        <v>370</v>
      </c>
      <c r="H3" s="8" t="s">
        <v>362</v>
      </c>
      <c r="I3" s="8" t="s">
        <v>363</v>
      </c>
    </row>
    <row r="4" spans="1:13" ht="23.4" x14ac:dyDescent="0.45">
      <c r="A4" s="6">
        <f>SUM(items_and_stock!O2:O3601)</f>
        <v>38110323.459999956</v>
      </c>
      <c r="B4" s="6">
        <f>SUM(items_and_stock!N2:N3601)</f>
        <v>1832833</v>
      </c>
      <c r="C4" s="6">
        <f>SUM(items_and_stock!U2:U3601)</f>
        <v>23766768.409999982</v>
      </c>
      <c r="D4" s="7">
        <f>COUNTIF(items_and_stock!W2:W3601,"Y")</f>
        <v>114</v>
      </c>
      <c r="E4" s="7">
        <f>SUM(items_and_stock!V2:V3601)</f>
        <v>15934</v>
      </c>
      <c r="F4" s="6">
        <f>AVERAGE(items_and_stock!L2:L3601)</f>
        <v>37.138155221454696</v>
      </c>
      <c r="H4" s="8" t="s">
        <v>59</v>
      </c>
      <c r="I4" s="8">
        <f>COUNTIF(items_and_stock!$W:$W,"Y")</f>
        <v>114</v>
      </c>
    </row>
    <row r="5" spans="1:13" x14ac:dyDescent="0.3">
      <c r="H5" s="8" t="s">
        <v>29</v>
      </c>
      <c r="I5" s="8">
        <f>COUNTIF(items_and_stock!$W:$W,"N")</f>
        <v>3486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F23B-2B04-4F71-A825-F0D08871EF28}">
  <dimension ref="A1:X3601"/>
  <sheetViews>
    <sheetView tabSelected="1" topLeftCell="A2" workbookViewId="0">
      <selection activeCell="E13" sqref="E13"/>
    </sheetView>
  </sheetViews>
  <sheetFormatPr defaultRowHeight="14.4" x14ac:dyDescent="0.3"/>
  <cols>
    <col min="1" max="1" width="10.77734375" customWidth="1"/>
    <col min="2" max="2" width="15.5546875" customWidth="1"/>
    <col min="3" max="3" width="10" customWidth="1"/>
    <col min="4" max="4" width="17.6640625" customWidth="1"/>
    <col min="5" max="5" width="14.44140625" customWidth="1"/>
    <col min="6" max="6" width="8.88671875" style="1"/>
    <col min="7" max="7" width="9.88671875" style="2" customWidth="1"/>
    <col min="8" max="8" width="22.77734375" customWidth="1"/>
    <col min="9" max="9" width="27.109375" customWidth="1"/>
    <col min="10" max="10" width="12.5546875" customWidth="1"/>
    <col min="11" max="11" width="21.44140625" customWidth="1"/>
    <col min="12" max="12" width="20" style="2" customWidth="1"/>
    <col min="13" max="13" width="12.77734375" customWidth="1"/>
    <col min="14" max="14" width="12.21875" style="2" customWidth="1"/>
    <col min="15" max="15" width="11.88671875" customWidth="1"/>
    <col min="16" max="16" width="20.77734375" customWidth="1"/>
    <col min="17" max="17" width="13" customWidth="1"/>
    <col min="18" max="18" width="16.44140625" customWidth="1"/>
    <col min="19" max="19" width="28.21875" customWidth="1"/>
    <col min="20" max="20" width="10.88671875" customWidth="1"/>
    <col min="21" max="21" width="10.88671875" style="2" customWidth="1"/>
    <col min="22" max="22" width="23.33203125" customWidth="1"/>
    <col min="23" max="23" width="16.6640625" customWidth="1"/>
    <col min="24" max="24" width="16.2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  <c r="X1" t="s">
        <v>361</v>
      </c>
    </row>
    <row r="2" spans="1:24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 t="s">
        <v>28</v>
      </c>
      <c r="G2" s="2">
        <v>1.1000000000000001</v>
      </c>
      <c r="H2">
        <v>1.1000000000000001</v>
      </c>
      <c r="I2">
        <v>1.084438</v>
      </c>
      <c r="J2">
        <v>1.45</v>
      </c>
      <c r="K2">
        <v>25</v>
      </c>
      <c r="L2" s="2">
        <v>24</v>
      </c>
      <c r="M2">
        <v>168</v>
      </c>
      <c r="N2" s="2">
        <v>489</v>
      </c>
      <c r="O2">
        <v>530.29</v>
      </c>
      <c r="P2">
        <v>13</v>
      </c>
      <c r="Q2">
        <v>476</v>
      </c>
      <c r="R2">
        <v>14.09</v>
      </c>
      <c r="S2">
        <v>2</v>
      </c>
      <c r="T2">
        <v>204</v>
      </c>
      <c r="U2" s="2">
        <v>295.8</v>
      </c>
      <c r="V2">
        <v>0</v>
      </c>
      <c r="W2" t="s">
        <v>29</v>
      </c>
      <c r="X2" t="str">
        <f>IF(Table2[[#This Row],[Qty available]]&gt;Table2[[#This Row],[Qty on hand]],"Check","OK")</f>
        <v>OK</v>
      </c>
    </row>
    <row r="3" spans="1:2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1" t="s">
        <v>30</v>
      </c>
      <c r="G3" s="2">
        <v>1.07</v>
      </c>
      <c r="H3">
        <v>1.07</v>
      </c>
      <c r="I3">
        <v>1.082943</v>
      </c>
      <c r="J3">
        <v>1.45</v>
      </c>
      <c r="K3">
        <v>25</v>
      </c>
      <c r="L3" s="2">
        <v>24</v>
      </c>
      <c r="M3">
        <v>56</v>
      </c>
      <c r="N3" s="2">
        <v>384</v>
      </c>
      <c r="O3">
        <v>415.85</v>
      </c>
      <c r="P3">
        <v>57</v>
      </c>
      <c r="Q3">
        <v>327</v>
      </c>
      <c r="R3">
        <v>9.7200000000000006</v>
      </c>
      <c r="S3">
        <v>1</v>
      </c>
      <c r="T3">
        <v>161</v>
      </c>
      <c r="U3" s="2">
        <v>233.45</v>
      </c>
      <c r="V3">
        <v>0</v>
      </c>
      <c r="W3" t="s">
        <v>29</v>
      </c>
      <c r="X3" t="str">
        <f>IF(Table2[[#This Row],[Qty available]]&gt;Table2[[#This Row],[Qty on hand]],"Check","OK")</f>
        <v>OK</v>
      </c>
    </row>
    <row r="4" spans="1:2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 t="s">
        <v>31</v>
      </c>
      <c r="G4" s="2">
        <v>1.07</v>
      </c>
      <c r="H4">
        <v>1.07</v>
      </c>
      <c r="I4">
        <v>1.0768720000000001</v>
      </c>
      <c r="J4">
        <v>1.45</v>
      </c>
      <c r="K4">
        <v>25</v>
      </c>
      <c r="L4" s="2">
        <v>23</v>
      </c>
      <c r="M4">
        <v>340</v>
      </c>
      <c r="N4" s="2">
        <v>438</v>
      </c>
      <c r="O4">
        <v>471.67</v>
      </c>
      <c r="P4">
        <v>51</v>
      </c>
      <c r="Q4">
        <v>387</v>
      </c>
      <c r="R4">
        <v>8.75</v>
      </c>
      <c r="S4">
        <v>1</v>
      </c>
      <c r="T4">
        <v>286</v>
      </c>
      <c r="U4" s="2">
        <v>414.7</v>
      </c>
      <c r="V4">
        <v>0</v>
      </c>
      <c r="W4" t="s">
        <v>29</v>
      </c>
      <c r="X4" t="str">
        <f>IF(Table2[[#This Row],[Qty available]]&gt;Table2[[#This Row],[Qty on hand]],"Check","OK")</f>
        <v>OK</v>
      </c>
    </row>
    <row r="5" spans="1:24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 t="s">
        <v>32</v>
      </c>
      <c r="G5" s="2">
        <v>1.0900000000000001</v>
      </c>
      <c r="H5">
        <v>1.0900000000000001</v>
      </c>
      <c r="I5">
        <v>1.0823970000000001</v>
      </c>
      <c r="J5">
        <v>1.45</v>
      </c>
      <c r="K5">
        <v>25</v>
      </c>
      <c r="L5" s="2">
        <v>23</v>
      </c>
      <c r="M5">
        <v>318</v>
      </c>
      <c r="N5" s="2">
        <v>655</v>
      </c>
      <c r="O5">
        <v>708.97</v>
      </c>
      <c r="P5">
        <v>57</v>
      </c>
      <c r="Q5">
        <v>598</v>
      </c>
      <c r="R5">
        <v>15.71</v>
      </c>
      <c r="S5">
        <v>0</v>
      </c>
      <c r="T5">
        <v>101</v>
      </c>
      <c r="U5" s="2">
        <v>146.44999999999999</v>
      </c>
      <c r="V5">
        <v>0</v>
      </c>
      <c r="W5" t="s">
        <v>29</v>
      </c>
      <c r="X5" t="str">
        <f>IF(Table2[[#This Row],[Qty available]]&gt;Table2[[#This Row],[Qty on hand]],"Check","OK")</f>
        <v>OK</v>
      </c>
    </row>
    <row r="6" spans="1:24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1" t="s">
        <v>33</v>
      </c>
      <c r="G6" s="2">
        <v>1.07</v>
      </c>
      <c r="H6">
        <v>1.07</v>
      </c>
      <c r="I6">
        <v>1.081253</v>
      </c>
      <c r="J6">
        <v>1.45</v>
      </c>
      <c r="K6">
        <v>25</v>
      </c>
      <c r="L6" s="2">
        <v>23</v>
      </c>
      <c r="M6">
        <v>67</v>
      </c>
      <c r="N6" s="2">
        <v>471</v>
      </c>
      <c r="O6">
        <v>509.27</v>
      </c>
      <c r="P6">
        <v>13</v>
      </c>
      <c r="Q6">
        <v>458</v>
      </c>
      <c r="R6">
        <v>9.6999999999999993</v>
      </c>
      <c r="S6">
        <v>0</v>
      </c>
      <c r="T6">
        <v>251</v>
      </c>
      <c r="U6" s="2">
        <v>363.95</v>
      </c>
      <c r="V6">
        <v>0</v>
      </c>
      <c r="W6" t="s">
        <v>29</v>
      </c>
      <c r="X6" t="str">
        <f>IF(Table2[[#This Row],[Qty available]]&gt;Table2[[#This Row],[Qty on hand]],"Check","OK")</f>
        <v>OK</v>
      </c>
    </row>
    <row r="7" spans="1:24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1" t="s">
        <v>34</v>
      </c>
      <c r="G7" s="2">
        <v>1.0900000000000001</v>
      </c>
      <c r="H7">
        <v>1.0900000000000001</v>
      </c>
      <c r="I7">
        <v>1.081596</v>
      </c>
      <c r="J7">
        <v>1.49</v>
      </c>
      <c r="K7">
        <v>25</v>
      </c>
      <c r="L7" s="2">
        <v>22</v>
      </c>
      <c r="M7">
        <v>19</v>
      </c>
      <c r="N7" s="2">
        <v>307</v>
      </c>
      <c r="O7">
        <v>332.05</v>
      </c>
      <c r="P7">
        <v>64</v>
      </c>
      <c r="Q7">
        <v>243</v>
      </c>
      <c r="R7">
        <v>7.38</v>
      </c>
      <c r="S7">
        <v>0</v>
      </c>
      <c r="T7">
        <v>183</v>
      </c>
      <c r="U7" s="2">
        <v>272.67</v>
      </c>
      <c r="V7">
        <v>0</v>
      </c>
      <c r="W7" t="s">
        <v>29</v>
      </c>
      <c r="X7" t="str">
        <f>IF(Table2[[#This Row],[Qty available]]&gt;Table2[[#This Row],[Qty on hand]],"Check","OK")</f>
        <v>OK</v>
      </c>
    </row>
    <row r="8" spans="1:24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1" t="s">
        <v>35</v>
      </c>
      <c r="G8" s="2">
        <v>1.0900000000000001</v>
      </c>
      <c r="H8">
        <v>1.0900000000000001</v>
      </c>
      <c r="I8">
        <v>1.087405</v>
      </c>
      <c r="J8">
        <v>1.49</v>
      </c>
      <c r="K8">
        <v>25</v>
      </c>
      <c r="L8" s="2">
        <v>25</v>
      </c>
      <c r="M8">
        <v>689</v>
      </c>
      <c r="N8" s="2">
        <v>790</v>
      </c>
      <c r="O8">
        <v>859.05</v>
      </c>
      <c r="P8">
        <v>25</v>
      </c>
      <c r="Q8">
        <v>765</v>
      </c>
      <c r="R8">
        <v>15.87</v>
      </c>
      <c r="S8">
        <v>3</v>
      </c>
      <c r="T8">
        <v>206</v>
      </c>
      <c r="U8" s="2">
        <v>306.94</v>
      </c>
      <c r="V8">
        <v>0</v>
      </c>
      <c r="W8" t="s">
        <v>29</v>
      </c>
      <c r="X8" t="str">
        <f>IF(Table2[[#This Row],[Qty available]]&gt;Table2[[#This Row],[Qty on hand]],"Check","OK")</f>
        <v>OK</v>
      </c>
    </row>
    <row r="9" spans="1:24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1" t="s">
        <v>36</v>
      </c>
      <c r="G9" s="2">
        <v>1.1200000000000001</v>
      </c>
      <c r="H9">
        <v>1.1200000000000001</v>
      </c>
      <c r="I9">
        <v>1.091548</v>
      </c>
      <c r="J9">
        <v>1.49</v>
      </c>
      <c r="K9">
        <v>25</v>
      </c>
      <c r="L9" s="2">
        <v>25</v>
      </c>
      <c r="M9">
        <v>115</v>
      </c>
      <c r="N9" s="2">
        <v>691</v>
      </c>
      <c r="O9">
        <v>754.26</v>
      </c>
      <c r="P9">
        <v>19</v>
      </c>
      <c r="Q9">
        <v>672</v>
      </c>
      <c r="R9">
        <v>14.57</v>
      </c>
      <c r="S9">
        <v>3</v>
      </c>
      <c r="T9">
        <v>214</v>
      </c>
      <c r="U9" s="2">
        <v>318.86</v>
      </c>
      <c r="V9">
        <v>0</v>
      </c>
      <c r="W9" t="s">
        <v>29</v>
      </c>
      <c r="X9" t="str">
        <f>IF(Table2[[#This Row],[Qty available]]&gt;Table2[[#This Row],[Qty on hand]],"Check","OK")</f>
        <v>OK</v>
      </c>
    </row>
    <row r="10" spans="1:24" x14ac:dyDescent="0.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1" t="s">
        <v>37</v>
      </c>
      <c r="G10" s="2">
        <v>1.1100000000000001</v>
      </c>
      <c r="H10">
        <v>1.1100000000000001</v>
      </c>
      <c r="I10">
        <v>1.092201</v>
      </c>
      <c r="J10">
        <v>1.49</v>
      </c>
      <c r="K10">
        <v>25</v>
      </c>
      <c r="L10" s="2">
        <v>22</v>
      </c>
      <c r="M10">
        <v>25</v>
      </c>
      <c r="N10" s="2">
        <v>427</v>
      </c>
      <c r="O10">
        <v>466.37</v>
      </c>
      <c r="P10">
        <v>44</v>
      </c>
      <c r="Q10">
        <v>383</v>
      </c>
      <c r="R10">
        <v>7.92</v>
      </c>
      <c r="S10">
        <v>0</v>
      </c>
      <c r="T10">
        <v>289</v>
      </c>
      <c r="U10" s="2">
        <v>430.61</v>
      </c>
      <c r="V10">
        <v>0</v>
      </c>
      <c r="W10" t="s">
        <v>29</v>
      </c>
      <c r="X10" t="str">
        <f>IF(Table2[[#This Row],[Qty available]]&gt;Table2[[#This Row],[Qty on hand]],"Check","OK")</f>
        <v>OK</v>
      </c>
    </row>
    <row r="11" spans="1:24" x14ac:dyDescent="0.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1" t="s">
        <v>38</v>
      </c>
      <c r="G11" s="2">
        <v>1.1200000000000001</v>
      </c>
      <c r="H11">
        <v>1.1200000000000001</v>
      </c>
      <c r="I11">
        <v>1.096409</v>
      </c>
      <c r="J11">
        <v>1.49</v>
      </c>
      <c r="K11">
        <v>25</v>
      </c>
      <c r="L11" s="2">
        <v>23</v>
      </c>
      <c r="M11">
        <v>76</v>
      </c>
      <c r="N11" s="2">
        <v>337</v>
      </c>
      <c r="O11">
        <v>369.49</v>
      </c>
      <c r="P11">
        <v>19</v>
      </c>
      <c r="Q11">
        <v>318</v>
      </c>
      <c r="R11">
        <v>6.55</v>
      </c>
      <c r="S11">
        <v>1</v>
      </c>
      <c r="T11">
        <v>166</v>
      </c>
      <c r="U11" s="2">
        <v>247.34</v>
      </c>
      <c r="V11">
        <v>0</v>
      </c>
      <c r="W11" t="s">
        <v>29</v>
      </c>
      <c r="X11" t="str">
        <f>IF(Table2[[#This Row],[Qty available]]&gt;Table2[[#This Row],[Qty on hand]],"Check","OK")</f>
        <v>OK</v>
      </c>
    </row>
    <row r="12" spans="1:24" x14ac:dyDescent="0.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1" t="s">
        <v>39</v>
      </c>
      <c r="G12" s="2">
        <v>1.0900000000000001</v>
      </c>
      <c r="H12">
        <v>1.0900000000000001</v>
      </c>
      <c r="I12">
        <v>1.0938650000000001</v>
      </c>
      <c r="J12">
        <v>1.49</v>
      </c>
      <c r="K12">
        <v>25</v>
      </c>
      <c r="L12" s="2">
        <v>23</v>
      </c>
      <c r="M12">
        <v>220</v>
      </c>
      <c r="N12" s="2">
        <v>326</v>
      </c>
      <c r="O12">
        <v>356.6</v>
      </c>
      <c r="P12">
        <v>19</v>
      </c>
      <c r="Q12">
        <v>307</v>
      </c>
      <c r="R12">
        <v>6.25</v>
      </c>
      <c r="S12">
        <v>0</v>
      </c>
      <c r="T12">
        <v>231</v>
      </c>
      <c r="U12" s="2">
        <v>344.19</v>
      </c>
      <c r="V12">
        <v>0</v>
      </c>
      <c r="W12" t="s">
        <v>29</v>
      </c>
      <c r="X12" t="str">
        <f>IF(Table2[[#This Row],[Qty available]]&gt;Table2[[#This Row],[Qty on hand]],"Check","OK")</f>
        <v>OK</v>
      </c>
    </row>
    <row r="13" spans="1:24" x14ac:dyDescent="0.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1" t="s">
        <v>40</v>
      </c>
      <c r="G13" s="2">
        <v>1.0900000000000001</v>
      </c>
      <c r="H13">
        <v>1.0900000000000001</v>
      </c>
      <c r="I13">
        <v>1.0938099999999999</v>
      </c>
      <c r="J13">
        <v>1.49</v>
      </c>
      <c r="K13">
        <v>25</v>
      </c>
      <c r="M13">
        <v>0</v>
      </c>
      <c r="N13" s="2">
        <v>42</v>
      </c>
      <c r="O13">
        <v>45.94</v>
      </c>
      <c r="P13">
        <v>42</v>
      </c>
      <c r="Q13">
        <v>0</v>
      </c>
      <c r="R13">
        <v>0.81</v>
      </c>
      <c r="S13">
        <v>0</v>
      </c>
      <c r="T13">
        <v>284</v>
      </c>
      <c r="U13" s="2">
        <v>423.16</v>
      </c>
      <c r="V13">
        <v>0</v>
      </c>
      <c r="W13" t="s">
        <v>29</v>
      </c>
      <c r="X13" t="str">
        <f>IF(Table2[[#This Row],[Qty available]]&gt;Table2[[#This Row],[Qty on hand]],"Check","OK")</f>
        <v>OK</v>
      </c>
    </row>
    <row r="14" spans="1:24" x14ac:dyDescent="0.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1" t="s">
        <v>41</v>
      </c>
      <c r="G14" s="2">
        <v>1.1200000000000001</v>
      </c>
      <c r="H14">
        <v>1.1200000000000001</v>
      </c>
      <c r="I14">
        <v>1.117529</v>
      </c>
      <c r="J14">
        <v>1.49</v>
      </c>
      <c r="K14">
        <v>25</v>
      </c>
      <c r="L14" s="2">
        <v>38</v>
      </c>
      <c r="M14">
        <v>406</v>
      </c>
      <c r="N14" s="2">
        <v>259</v>
      </c>
      <c r="O14">
        <v>289.44</v>
      </c>
      <c r="P14">
        <v>13</v>
      </c>
      <c r="Q14">
        <v>246</v>
      </c>
      <c r="R14">
        <v>4.84</v>
      </c>
      <c r="S14">
        <v>0</v>
      </c>
      <c r="T14">
        <v>189</v>
      </c>
      <c r="U14" s="2">
        <v>281.61</v>
      </c>
      <c r="V14">
        <v>0</v>
      </c>
      <c r="W14" t="s">
        <v>29</v>
      </c>
      <c r="X14" t="str">
        <f>IF(Table2[[#This Row],[Qty available]]&gt;Table2[[#This Row],[Qty on hand]],"Check","OK")</f>
        <v>OK</v>
      </c>
    </row>
    <row r="15" spans="1:24" x14ac:dyDescent="0.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1" t="s">
        <v>42</v>
      </c>
      <c r="G15" s="2">
        <v>1.1100000000000001</v>
      </c>
      <c r="H15">
        <v>1.1100000000000001</v>
      </c>
      <c r="I15">
        <v>1.1136280000000001</v>
      </c>
      <c r="J15">
        <v>1.49</v>
      </c>
      <c r="K15">
        <v>25</v>
      </c>
      <c r="L15" s="2">
        <v>36</v>
      </c>
      <c r="M15">
        <v>280</v>
      </c>
      <c r="N15" s="2">
        <v>452</v>
      </c>
      <c r="O15">
        <v>503.36</v>
      </c>
      <c r="P15">
        <v>25</v>
      </c>
      <c r="Q15">
        <v>427</v>
      </c>
      <c r="R15">
        <v>10.61</v>
      </c>
      <c r="S15">
        <v>7</v>
      </c>
      <c r="T15">
        <v>87</v>
      </c>
      <c r="U15" s="2">
        <v>129.63</v>
      </c>
      <c r="V15">
        <v>0</v>
      </c>
      <c r="W15" t="s">
        <v>29</v>
      </c>
      <c r="X15" t="str">
        <f>IF(Table2[[#This Row],[Qty available]]&gt;Table2[[#This Row],[Qty on hand]],"Check","OK")</f>
        <v>OK</v>
      </c>
    </row>
    <row r="16" spans="1:24" x14ac:dyDescent="0.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1" t="s">
        <v>43</v>
      </c>
      <c r="G16" s="2">
        <v>1.1000000000000001</v>
      </c>
      <c r="H16">
        <v>1.1000000000000001</v>
      </c>
      <c r="I16">
        <v>1.109823</v>
      </c>
      <c r="J16">
        <v>1.49</v>
      </c>
      <c r="K16">
        <v>25</v>
      </c>
      <c r="L16" s="2">
        <v>39</v>
      </c>
      <c r="M16">
        <v>175</v>
      </c>
      <c r="N16" s="2">
        <v>453</v>
      </c>
      <c r="O16">
        <v>502.75</v>
      </c>
      <c r="P16">
        <v>32</v>
      </c>
      <c r="Q16">
        <v>421</v>
      </c>
      <c r="R16">
        <v>13.09</v>
      </c>
      <c r="S16">
        <v>8</v>
      </c>
      <c r="T16">
        <v>174</v>
      </c>
      <c r="U16" s="2">
        <v>259.26</v>
      </c>
      <c r="V16">
        <v>0</v>
      </c>
      <c r="W16" t="s">
        <v>29</v>
      </c>
      <c r="X16" t="str">
        <f>IF(Table2[[#This Row],[Qty available]]&gt;Table2[[#This Row],[Qty on hand]],"Check","OK")</f>
        <v>OK</v>
      </c>
    </row>
    <row r="17" spans="1:24" x14ac:dyDescent="0.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1" t="s">
        <v>44</v>
      </c>
      <c r="G17" s="2">
        <v>1.0900000000000001</v>
      </c>
      <c r="H17">
        <v>1.0900000000000001</v>
      </c>
      <c r="I17">
        <v>1.1024119999999999</v>
      </c>
      <c r="J17">
        <v>1.49</v>
      </c>
      <c r="K17">
        <v>25</v>
      </c>
      <c r="L17" s="2">
        <v>22</v>
      </c>
      <c r="M17">
        <v>270</v>
      </c>
      <c r="N17" s="2">
        <v>456</v>
      </c>
      <c r="O17">
        <v>502.7</v>
      </c>
      <c r="P17">
        <v>38</v>
      </c>
      <c r="Q17">
        <v>418</v>
      </c>
      <c r="R17">
        <v>11.35</v>
      </c>
      <c r="S17">
        <v>2</v>
      </c>
      <c r="T17">
        <v>267</v>
      </c>
      <c r="U17" s="2">
        <v>397.83</v>
      </c>
      <c r="V17">
        <v>0</v>
      </c>
      <c r="W17" t="s">
        <v>29</v>
      </c>
      <c r="X17" t="str">
        <f>IF(Table2[[#This Row],[Qty available]]&gt;Table2[[#This Row],[Qty on hand]],"Check","OK")</f>
        <v>OK</v>
      </c>
    </row>
    <row r="18" spans="1:24" x14ac:dyDescent="0.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1" t="s">
        <v>45</v>
      </c>
      <c r="G18" s="2">
        <v>1.1100000000000001</v>
      </c>
      <c r="H18">
        <v>1.1100000000000001</v>
      </c>
      <c r="I18">
        <v>1.1059920000000001</v>
      </c>
      <c r="J18">
        <v>1.49</v>
      </c>
      <c r="K18">
        <v>25</v>
      </c>
      <c r="L18" s="2">
        <v>25</v>
      </c>
      <c r="M18">
        <v>406</v>
      </c>
      <c r="N18" s="2">
        <v>781</v>
      </c>
      <c r="O18">
        <v>863.78</v>
      </c>
      <c r="P18">
        <v>64</v>
      </c>
      <c r="Q18">
        <v>717</v>
      </c>
      <c r="R18">
        <v>19.66</v>
      </c>
      <c r="S18">
        <v>2</v>
      </c>
      <c r="T18">
        <v>81</v>
      </c>
      <c r="U18" s="2">
        <v>120.69</v>
      </c>
      <c r="V18">
        <v>0</v>
      </c>
      <c r="W18" t="s">
        <v>29</v>
      </c>
      <c r="X18" t="str">
        <f>IF(Table2[[#This Row],[Qty available]]&gt;Table2[[#This Row],[Qty on hand]],"Check","OK")</f>
        <v>OK</v>
      </c>
    </row>
    <row r="19" spans="1:24" x14ac:dyDescent="0.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1" t="s">
        <v>46</v>
      </c>
      <c r="G19" s="2">
        <v>1.1000000000000001</v>
      </c>
      <c r="H19">
        <v>1.1000000000000001</v>
      </c>
      <c r="I19">
        <v>1.1060000000000001</v>
      </c>
      <c r="J19">
        <v>1.53</v>
      </c>
      <c r="K19">
        <v>25</v>
      </c>
      <c r="M19">
        <v>0</v>
      </c>
      <c r="N19" s="2">
        <v>605</v>
      </c>
      <c r="O19">
        <v>669.13</v>
      </c>
      <c r="P19">
        <v>44</v>
      </c>
      <c r="Q19">
        <v>561</v>
      </c>
      <c r="R19">
        <v>14.84</v>
      </c>
      <c r="S19">
        <v>1</v>
      </c>
      <c r="T19">
        <v>176</v>
      </c>
      <c r="U19" s="2">
        <v>269.27999999999997</v>
      </c>
      <c r="V19">
        <v>0</v>
      </c>
      <c r="W19" t="s">
        <v>29</v>
      </c>
      <c r="X19" t="str">
        <f>IF(Table2[[#This Row],[Qty available]]&gt;Table2[[#This Row],[Qty on hand]],"Check","OK")</f>
        <v>OK</v>
      </c>
    </row>
    <row r="20" spans="1:24" x14ac:dyDescent="0.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1" t="s">
        <v>47</v>
      </c>
      <c r="G20" s="2">
        <v>1.1000000000000001</v>
      </c>
      <c r="H20">
        <v>1.1000000000000001</v>
      </c>
      <c r="I20">
        <v>1.104441</v>
      </c>
      <c r="J20">
        <v>1.53</v>
      </c>
      <c r="K20">
        <v>25</v>
      </c>
      <c r="L20" s="2">
        <v>23</v>
      </c>
      <c r="M20">
        <v>211</v>
      </c>
      <c r="N20" s="2">
        <v>572</v>
      </c>
      <c r="O20">
        <v>631.74</v>
      </c>
      <c r="P20">
        <v>32</v>
      </c>
      <c r="Q20">
        <v>540</v>
      </c>
      <c r="R20">
        <v>14.68</v>
      </c>
      <c r="S20">
        <v>1</v>
      </c>
      <c r="T20">
        <v>244</v>
      </c>
      <c r="U20" s="2">
        <v>373.32</v>
      </c>
      <c r="V20">
        <v>0</v>
      </c>
      <c r="W20" t="s">
        <v>29</v>
      </c>
      <c r="X20" t="str">
        <f>IF(Table2[[#This Row],[Qty available]]&gt;Table2[[#This Row],[Qty on hand]],"Check","OK")</f>
        <v>OK</v>
      </c>
    </row>
    <row r="21" spans="1:24" x14ac:dyDescent="0.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1" t="s">
        <v>48</v>
      </c>
      <c r="G21" s="2">
        <v>1.1399999999999999</v>
      </c>
      <c r="H21">
        <v>1.1399999999999999</v>
      </c>
      <c r="I21">
        <v>1.1076569999999999</v>
      </c>
      <c r="J21">
        <v>1.53</v>
      </c>
      <c r="K21">
        <v>25</v>
      </c>
      <c r="L21" s="2">
        <v>24</v>
      </c>
      <c r="M21">
        <v>57</v>
      </c>
      <c r="N21" s="2">
        <v>606</v>
      </c>
      <c r="O21">
        <v>671.24</v>
      </c>
      <c r="P21">
        <v>57</v>
      </c>
      <c r="Q21">
        <v>549</v>
      </c>
      <c r="R21">
        <v>17.39</v>
      </c>
      <c r="S21">
        <v>15</v>
      </c>
      <c r="T21">
        <v>23</v>
      </c>
      <c r="U21" s="2">
        <v>35.19</v>
      </c>
      <c r="V21">
        <v>0</v>
      </c>
      <c r="W21" t="s">
        <v>29</v>
      </c>
      <c r="X21" t="str">
        <f>IF(Table2[[#This Row],[Qty available]]&gt;Table2[[#This Row],[Qty on hand]],"Check","OK")</f>
        <v>OK</v>
      </c>
    </row>
    <row r="22" spans="1:24" x14ac:dyDescent="0.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1" t="s">
        <v>49</v>
      </c>
      <c r="G22" s="2">
        <v>1.1499999999999999</v>
      </c>
      <c r="H22">
        <v>1.1499999999999999</v>
      </c>
      <c r="I22">
        <v>1.1114120000000001</v>
      </c>
      <c r="J22">
        <v>1.53</v>
      </c>
      <c r="K22">
        <v>25</v>
      </c>
      <c r="L22" s="2">
        <v>22</v>
      </c>
      <c r="M22">
        <v>59</v>
      </c>
      <c r="N22" s="2">
        <v>432</v>
      </c>
      <c r="O22">
        <v>480.13</v>
      </c>
      <c r="P22">
        <v>51</v>
      </c>
      <c r="Q22">
        <v>381</v>
      </c>
      <c r="R22">
        <v>11.36</v>
      </c>
      <c r="S22">
        <v>3</v>
      </c>
      <c r="T22">
        <v>233</v>
      </c>
      <c r="U22" s="2">
        <v>356.49</v>
      </c>
      <c r="V22">
        <v>0</v>
      </c>
      <c r="W22" t="s">
        <v>29</v>
      </c>
      <c r="X22" t="str">
        <f>IF(Table2[[#This Row],[Qty available]]&gt;Table2[[#This Row],[Qty on hand]],"Check","OK")</f>
        <v>OK</v>
      </c>
    </row>
    <row r="23" spans="1:24" x14ac:dyDescent="0.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1" t="s">
        <v>50</v>
      </c>
      <c r="G23" s="2">
        <v>1.1499999999999999</v>
      </c>
      <c r="H23">
        <v>1.1499999999999999</v>
      </c>
      <c r="I23">
        <v>1.124268</v>
      </c>
      <c r="J23">
        <v>1.53</v>
      </c>
      <c r="K23">
        <v>25</v>
      </c>
      <c r="L23" s="2">
        <v>25</v>
      </c>
      <c r="M23">
        <v>216</v>
      </c>
      <c r="N23" s="2">
        <v>478</v>
      </c>
      <c r="O23">
        <v>537.4</v>
      </c>
      <c r="P23">
        <v>25</v>
      </c>
      <c r="Q23">
        <v>453</v>
      </c>
      <c r="R23">
        <v>14.59</v>
      </c>
      <c r="S23">
        <v>2</v>
      </c>
      <c r="T23">
        <v>170</v>
      </c>
      <c r="U23" s="2">
        <v>260.10000000000002</v>
      </c>
      <c r="V23">
        <v>0</v>
      </c>
      <c r="W23" t="s">
        <v>29</v>
      </c>
      <c r="X23" t="str">
        <f>IF(Table2[[#This Row],[Qty available]]&gt;Table2[[#This Row],[Qty on hand]],"Check","OK")</f>
        <v>OK</v>
      </c>
    </row>
    <row r="24" spans="1:24" x14ac:dyDescent="0.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1" t="s">
        <v>51</v>
      </c>
      <c r="G24" s="2">
        <v>1.1299999999999999</v>
      </c>
      <c r="H24">
        <v>1.1299999999999999</v>
      </c>
      <c r="I24">
        <v>1.124258</v>
      </c>
      <c r="J24">
        <v>1.53</v>
      </c>
      <c r="K24">
        <v>25</v>
      </c>
      <c r="M24">
        <v>0</v>
      </c>
      <c r="N24" s="2">
        <v>364</v>
      </c>
      <c r="O24">
        <v>409.23</v>
      </c>
      <c r="P24">
        <v>64</v>
      </c>
      <c r="Q24">
        <v>300</v>
      </c>
      <c r="R24">
        <v>9.25</v>
      </c>
      <c r="S24">
        <v>3</v>
      </c>
      <c r="T24">
        <v>114</v>
      </c>
      <c r="U24" s="2">
        <v>174.42</v>
      </c>
      <c r="V24">
        <v>0</v>
      </c>
      <c r="W24" t="s">
        <v>29</v>
      </c>
      <c r="X24" t="str">
        <f>IF(Table2[[#This Row],[Qty available]]&gt;Table2[[#This Row],[Qty on hand]],"Check","OK")</f>
        <v>OK</v>
      </c>
    </row>
    <row r="25" spans="1:24" x14ac:dyDescent="0.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1" t="s">
        <v>52</v>
      </c>
      <c r="G25" s="2">
        <v>1.1299999999999999</v>
      </c>
      <c r="H25">
        <v>1.1299999999999999</v>
      </c>
      <c r="I25">
        <v>1.12625</v>
      </c>
      <c r="J25">
        <v>1.53</v>
      </c>
      <c r="K25">
        <v>25</v>
      </c>
      <c r="L25" s="2">
        <v>40</v>
      </c>
      <c r="M25">
        <v>192</v>
      </c>
      <c r="N25" s="2">
        <v>280</v>
      </c>
      <c r="O25">
        <v>315.35000000000002</v>
      </c>
      <c r="P25">
        <v>57</v>
      </c>
      <c r="Q25">
        <v>223</v>
      </c>
      <c r="R25">
        <v>6.57</v>
      </c>
      <c r="S25">
        <v>2</v>
      </c>
      <c r="T25">
        <v>276</v>
      </c>
      <c r="U25" s="2">
        <v>422.28</v>
      </c>
      <c r="V25">
        <v>0</v>
      </c>
      <c r="W25" t="s">
        <v>29</v>
      </c>
      <c r="X25" t="str">
        <f>IF(Table2[[#This Row],[Qty available]]&gt;Table2[[#This Row],[Qty on hand]],"Check","OK")</f>
        <v>OK</v>
      </c>
    </row>
    <row r="26" spans="1:24" x14ac:dyDescent="0.3">
      <c r="A26" t="s">
        <v>53</v>
      </c>
      <c r="B26" t="s">
        <v>54</v>
      </c>
      <c r="C26" t="s">
        <v>25</v>
      </c>
      <c r="D26" t="s">
        <v>26</v>
      </c>
      <c r="E26" t="s">
        <v>27</v>
      </c>
      <c r="F26" s="1" t="s">
        <v>28</v>
      </c>
      <c r="G26" s="2">
        <v>3.74</v>
      </c>
      <c r="H26">
        <v>4.05</v>
      </c>
      <c r="I26">
        <v>3.94</v>
      </c>
      <c r="J26">
        <v>5.58</v>
      </c>
      <c r="K26">
        <v>59</v>
      </c>
      <c r="M26">
        <v>0</v>
      </c>
      <c r="N26" s="2">
        <v>0</v>
      </c>
      <c r="O26">
        <v>0</v>
      </c>
      <c r="P26">
        <v>0</v>
      </c>
      <c r="Q26">
        <v>0</v>
      </c>
      <c r="S26">
        <v>230</v>
      </c>
      <c r="T26">
        <v>0</v>
      </c>
      <c r="U26" s="2">
        <v>0</v>
      </c>
      <c r="V26">
        <v>0</v>
      </c>
      <c r="W26" t="s">
        <v>29</v>
      </c>
      <c r="X26" t="str">
        <f>IF(Table2[[#This Row],[Qty available]]&gt;Table2[[#This Row],[Qty on hand]],"Check","OK")</f>
        <v>OK</v>
      </c>
    </row>
    <row r="27" spans="1:24" x14ac:dyDescent="0.3">
      <c r="A27" t="s">
        <v>53</v>
      </c>
      <c r="B27" t="s">
        <v>54</v>
      </c>
      <c r="C27" t="s">
        <v>25</v>
      </c>
      <c r="D27" t="s">
        <v>26</v>
      </c>
      <c r="E27" t="s">
        <v>27</v>
      </c>
      <c r="F27" s="1" t="s">
        <v>30</v>
      </c>
      <c r="G27" s="2">
        <v>3.81</v>
      </c>
      <c r="H27">
        <v>4.12</v>
      </c>
      <c r="I27">
        <v>3.94</v>
      </c>
      <c r="J27">
        <v>5.58</v>
      </c>
      <c r="K27">
        <v>59</v>
      </c>
      <c r="M27">
        <v>0</v>
      </c>
      <c r="N27" s="2">
        <v>0</v>
      </c>
      <c r="O27">
        <v>0</v>
      </c>
      <c r="P27">
        <v>0</v>
      </c>
      <c r="Q27">
        <v>0</v>
      </c>
      <c r="S27">
        <v>261</v>
      </c>
      <c r="T27">
        <v>0</v>
      </c>
      <c r="U27" s="2">
        <v>0</v>
      </c>
      <c r="V27">
        <v>0</v>
      </c>
      <c r="W27" t="s">
        <v>29</v>
      </c>
      <c r="X27" t="str">
        <f>IF(Table2[[#This Row],[Qty available]]&gt;Table2[[#This Row],[Qty on hand]],"Check","OK")</f>
        <v>OK</v>
      </c>
    </row>
    <row r="28" spans="1:24" x14ac:dyDescent="0.3">
      <c r="A28" t="s">
        <v>53</v>
      </c>
      <c r="B28" t="s">
        <v>54</v>
      </c>
      <c r="C28" t="s">
        <v>25</v>
      </c>
      <c r="D28" t="s">
        <v>26</v>
      </c>
      <c r="E28" t="s">
        <v>27</v>
      </c>
      <c r="F28" s="1" t="s">
        <v>31</v>
      </c>
      <c r="G28" s="2">
        <v>3.76</v>
      </c>
      <c r="H28">
        <v>4.07</v>
      </c>
      <c r="I28">
        <v>3.94</v>
      </c>
      <c r="J28">
        <v>5.58</v>
      </c>
      <c r="K28">
        <v>59</v>
      </c>
      <c r="M28">
        <v>0</v>
      </c>
      <c r="N28" s="2">
        <v>0</v>
      </c>
      <c r="O28">
        <v>0</v>
      </c>
      <c r="P28">
        <v>0</v>
      </c>
      <c r="Q28">
        <v>0</v>
      </c>
      <c r="S28">
        <v>291</v>
      </c>
      <c r="T28">
        <v>0</v>
      </c>
      <c r="U28" s="2">
        <v>0</v>
      </c>
      <c r="V28">
        <v>0</v>
      </c>
      <c r="W28" t="s">
        <v>29</v>
      </c>
      <c r="X28" t="str">
        <f>IF(Table2[[#This Row],[Qty available]]&gt;Table2[[#This Row],[Qty on hand]],"Check","OK")</f>
        <v>OK</v>
      </c>
    </row>
    <row r="29" spans="1:24" x14ac:dyDescent="0.3">
      <c r="A29" t="s">
        <v>53</v>
      </c>
      <c r="B29" t="s">
        <v>54</v>
      </c>
      <c r="C29" t="s">
        <v>25</v>
      </c>
      <c r="D29" t="s">
        <v>26</v>
      </c>
      <c r="E29" t="s">
        <v>27</v>
      </c>
      <c r="F29" s="1" t="s">
        <v>32</v>
      </c>
      <c r="G29" s="2">
        <v>3.75</v>
      </c>
      <c r="H29">
        <v>4.0599999999999996</v>
      </c>
      <c r="I29">
        <v>3.94</v>
      </c>
      <c r="J29">
        <v>5.58</v>
      </c>
      <c r="K29">
        <v>59</v>
      </c>
      <c r="M29">
        <v>0</v>
      </c>
      <c r="N29" s="2">
        <v>0</v>
      </c>
      <c r="O29">
        <v>0</v>
      </c>
      <c r="P29">
        <v>0</v>
      </c>
      <c r="Q29">
        <v>0</v>
      </c>
      <c r="S29">
        <v>322</v>
      </c>
      <c r="T29">
        <v>0</v>
      </c>
      <c r="U29" s="2">
        <v>0</v>
      </c>
      <c r="V29">
        <v>0</v>
      </c>
      <c r="W29" t="s">
        <v>29</v>
      </c>
      <c r="X29" t="str">
        <f>IF(Table2[[#This Row],[Qty available]]&gt;Table2[[#This Row],[Qty on hand]],"Check","OK")</f>
        <v>OK</v>
      </c>
    </row>
    <row r="30" spans="1:24" x14ac:dyDescent="0.3">
      <c r="A30" t="s">
        <v>53</v>
      </c>
      <c r="B30" t="s">
        <v>54</v>
      </c>
      <c r="C30" t="s">
        <v>25</v>
      </c>
      <c r="D30" t="s">
        <v>26</v>
      </c>
      <c r="E30" t="s">
        <v>27</v>
      </c>
      <c r="F30" s="1" t="s">
        <v>33</v>
      </c>
      <c r="G30" s="2">
        <v>3.82</v>
      </c>
      <c r="H30">
        <v>4.13</v>
      </c>
      <c r="I30">
        <v>3.94</v>
      </c>
      <c r="J30">
        <v>5.58</v>
      </c>
      <c r="K30">
        <v>59</v>
      </c>
      <c r="M30">
        <v>0</v>
      </c>
      <c r="N30" s="2">
        <v>0</v>
      </c>
      <c r="O30">
        <v>0</v>
      </c>
      <c r="P30">
        <v>0</v>
      </c>
      <c r="Q30">
        <v>0</v>
      </c>
      <c r="S30">
        <v>353</v>
      </c>
      <c r="T30">
        <v>0</v>
      </c>
      <c r="U30" s="2">
        <v>0</v>
      </c>
      <c r="V30">
        <v>0</v>
      </c>
      <c r="W30" t="s">
        <v>29</v>
      </c>
      <c r="X30" t="str">
        <f>IF(Table2[[#This Row],[Qty available]]&gt;Table2[[#This Row],[Qty on hand]],"Check","OK")</f>
        <v>OK</v>
      </c>
    </row>
    <row r="31" spans="1:24" x14ac:dyDescent="0.3">
      <c r="A31" t="s">
        <v>53</v>
      </c>
      <c r="B31" t="s">
        <v>54</v>
      </c>
      <c r="C31" t="s">
        <v>25</v>
      </c>
      <c r="D31" t="s">
        <v>26</v>
      </c>
      <c r="E31" t="s">
        <v>27</v>
      </c>
      <c r="F31" s="1" t="s">
        <v>34</v>
      </c>
      <c r="G31" s="2">
        <v>3.74</v>
      </c>
      <c r="H31">
        <v>4.05</v>
      </c>
      <c r="I31">
        <v>3.94</v>
      </c>
      <c r="J31">
        <v>5.74</v>
      </c>
      <c r="K31">
        <v>59</v>
      </c>
      <c r="M31">
        <v>0</v>
      </c>
      <c r="N31" s="2">
        <v>0</v>
      </c>
      <c r="O31">
        <v>0</v>
      </c>
      <c r="P31">
        <v>0</v>
      </c>
      <c r="Q31">
        <v>0</v>
      </c>
      <c r="S31">
        <v>381</v>
      </c>
      <c r="T31">
        <v>0</v>
      </c>
      <c r="U31" s="2">
        <v>0</v>
      </c>
      <c r="V31">
        <v>0</v>
      </c>
      <c r="W31" t="s">
        <v>29</v>
      </c>
      <c r="X31" t="str">
        <f>IF(Table2[[#This Row],[Qty available]]&gt;Table2[[#This Row],[Qty on hand]],"Check","OK")</f>
        <v>OK</v>
      </c>
    </row>
    <row r="32" spans="1:24" x14ac:dyDescent="0.3">
      <c r="A32" t="s">
        <v>53</v>
      </c>
      <c r="B32" t="s">
        <v>54</v>
      </c>
      <c r="C32" t="s">
        <v>25</v>
      </c>
      <c r="D32" t="s">
        <v>26</v>
      </c>
      <c r="E32" t="s">
        <v>27</v>
      </c>
      <c r="F32" s="1" t="s">
        <v>35</v>
      </c>
      <c r="G32" s="2">
        <v>3.68</v>
      </c>
      <c r="H32">
        <v>3.98</v>
      </c>
      <c r="I32">
        <v>3.98</v>
      </c>
      <c r="J32">
        <v>5.74</v>
      </c>
      <c r="K32">
        <v>59</v>
      </c>
      <c r="L32" s="2">
        <v>53</v>
      </c>
      <c r="M32">
        <v>56</v>
      </c>
      <c r="N32" s="2">
        <v>56</v>
      </c>
      <c r="O32">
        <v>222.88</v>
      </c>
      <c r="P32">
        <v>0</v>
      </c>
      <c r="Q32">
        <v>56</v>
      </c>
      <c r="S32">
        <v>412</v>
      </c>
      <c r="T32">
        <v>0</v>
      </c>
      <c r="U32" s="2">
        <v>0</v>
      </c>
      <c r="V32">
        <v>0</v>
      </c>
      <c r="W32" t="s">
        <v>29</v>
      </c>
      <c r="X32" t="str">
        <f>IF(Table2[[#This Row],[Qty available]]&gt;Table2[[#This Row],[Qty on hand]],"Check","OK")</f>
        <v>OK</v>
      </c>
    </row>
    <row r="33" spans="1:24" x14ac:dyDescent="0.3">
      <c r="A33" t="s">
        <v>53</v>
      </c>
      <c r="B33" t="s">
        <v>54</v>
      </c>
      <c r="C33" t="s">
        <v>25</v>
      </c>
      <c r="D33" t="s">
        <v>26</v>
      </c>
      <c r="E33" t="s">
        <v>27</v>
      </c>
      <c r="F33" s="1" t="s">
        <v>36</v>
      </c>
      <c r="G33" s="2">
        <v>3.89</v>
      </c>
      <c r="H33">
        <v>4.21</v>
      </c>
      <c r="I33">
        <v>4.1403780000000001</v>
      </c>
      <c r="J33">
        <v>5.74</v>
      </c>
      <c r="K33">
        <v>59</v>
      </c>
      <c r="L33" s="2">
        <v>51</v>
      </c>
      <c r="M33">
        <v>129</v>
      </c>
      <c r="N33" s="2">
        <v>185</v>
      </c>
      <c r="O33">
        <v>765.97</v>
      </c>
      <c r="P33">
        <v>0</v>
      </c>
      <c r="Q33">
        <v>185</v>
      </c>
      <c r="S33">
        <v>442</v>
      </c>
      <c r="T33">
        <v>0</v>
      </c>
      <c r="U33" s="2">
        <v>0</v>
      </c>
      <c r="V33">
        <v>0</v>
      </c>
      <c r="W33" t="s">
        <v>29</v>
      </c>
      <c r="X33" t="str">
        <f>IF(Table2[[#This Row],[Qty available]]&gt;Table2[[#This Row],[Qty on hand]],"Check","OK")</f>
        <v>OK</v>
      </c>
    </row>
    <row r="34" spans="1:24" x14ac:dyDescent="0.3">
      <c r="A34" t="s">
        <v>53</v>
      </c>
      <c r="B34" t="s">
        <v>54</v>
      </c>
      <c r="C34" t="s">
        <v>25</v>
      </c>
      <c r="D34" t="s">
        <v>26</v>
      </c>
      <c r="E34" t="s">
        <v>27</v>
      </c>
      <c r="F34" s="1" t="s">
        <v>37</v>
      </c>
      <c r="G34" s="2">
        <v>3.79</v>
      </c>
      <c r="H34">
        <v>4.0999999999999996</v>
      </c>
      <c r="I34">
        <v>4.1100709999999996</v>
      </c>
      <c r="J34">
        <v>5.74</v>
      </c>
      <c r="K34">
        <v>59</v>
      </c>
      <c r="L34" s="2">
        <v>53</v>
      </c>
      <c r="M34">
        <v>557</v>
      </c>
      <c r="N34" s="2">
        <v>567</v>
      </c>
      <c r="O34">
        <v>2330.41</v>
      </c>
      <c r="P34">
        <v>31</v>
      </c>
      <c r="Q34">
        <v>536</v>
      </c>
      <c r="R34">
        <v>42.58</v>
      </c>
      <c r="S34">
        <v>1</v>
      </c>
      <c r="T34">
        <v>175</v>
      </c>
      <c r="U34" s="2">
        <v>1004.5</v>
      </c>
      <c r="V34">
        <v>0</v>
      </c>
      <c r="W34" t="s">
        <v>29</v>
      </c>
      <c r="X34" t="str">
        <f>IF(Table2[[#This Row],[Qty available]]&gt;Table2[[#This Row],[Qty on hand]],"Check","OK")</f>
        <v>OK</v>
      </c>
    </row>
    <row r="35" spans="1:24" x14ac:dyDescent="0.3">
      <c r="A35" t="s">
        <v>53</v>
      </c>
      <c r="B35" t="s">
        <v>54</v>
      </c>
      <c r="C35" t="s">
        <v>25</v>
      </c>
      <c r="D35" t="s">
        <v>26</v>
      </c>
      <c r="E35" t="s">
        <v>27</v>
      </c>
      <c r="F35" s="1" t="s">
        <v>38</v>
      </c>
      <c r="G35" s="2">
        <v>3.89</v>
      </c>
      <c r="H35">
        <v>4.21</v>
      </c>
      <c r="I35">
        <v>4.1671379999999996</v>
      </c>
      <c r="J35">
        <v>5.74</v>
      </c>
      <c r="K35">
        <v>59</v>
      </c>
      <c r="L35" s="2">
        <v>57</v>
      </c>
      <c r="M35">
        <v>755</v>
      </c>
      <c r="N35" s="2">
        <v>1153</v>
      </c>
      <c r="O35">
        <v>4804.71</v>
      </c>
      <c r="P35">
        <v>27</v>
      </c>
      <c r="Q35">
        <v>1126</v>
      </c>
      <c r="R35">
        <v>43.57</v>
      </c>
      <c r="S35">
        <v>8</v>
      </c>
      <c r="T35">
        <v>169</v>
      </c>
      <c r="U35" s="2">
        <v>970.06</v>
      </c>
      <c r="V35">
        <v>0</v>
      </c>
      <c r="W35" t="s">
        <v>29</v>
      </c>
      <c r="X35" t="str">
        <f>IF(Table2[[#This Row],[Qty available]]&gt;Table2[[#This Row],[Qty on hand]],"Check","OK")</f>
        <v>OK</v>
      </c>
    </row>
    <row r="36" spans="1:24" x14ac:dyDescent="0.3">
      <c r="A36" t="s">
        <v>53</v>
      </c>
      <c r="B36" t="s">
        <v>54</v>
      </c>
      <c r="C36" t="s">
        <v>25</v>
      </c>
      <c r="D36" t="s">
        <v>26</v>
      </c>
      <c r="E36" t="s">
        <v>27</v>
      </c>
      <c r="F36" s="1" t="s">
        <v>39</v>
      </c>
      <c r="G36" s="2">
        <v>3.79</v>
      </c>
      <c r="H36">
        <v>4.0999999999999996</v>
      </c>
      <c r="I36">
        <v>4.1486270000000003</v>
      </c>
      <c r="J36">
        <v>5.74</v>
      </c>
      <c r="K36">
        <v>59</v>
      </c>
      <c r="L36" s="2">
        <v>59</v>
      </c>
      <c r="M36">
        <v>439</v>
      </c>
      <c r="N36" s="2">
        <v>1209</v>
      </c>
      <c r="O36">
        <v>5015.6899999999996</v>
      </c>
      <c r="P36">
        <v>94</v>
      </c>
      <c r="Q36">
        <v>1115</v>
      </c>
      <c r="R36">
        <v>21.86</v>
      </c>
      <c r="S36">
        <v>2</v>
      </c>
      <c r="T36">
        <v>383</v>
      </c>
      <c r="U36" s="2">
        <v>2198.42</v>
      </c>
      <c r="V36">
        <v>0</v>
      </c>
      <c r="W36" t="s">
        <v>29</v>
      </c>
      <c r="X36" t="str">
        <f>IF(Table2[[#This Row],[Qty available]]&gt;Table2[[#This Row],[Qty on hand]],"Check","OK")</f>
        <v>OK</v>
      </c>
    </row>
    <row r="37" spans="1:24" x14ac:dyDescent="0.3">
      <c r="A37" t="s">
        <v>53</v>
      </c>
      <c r="B37" t="s">
        <v>54</v>
      </c>
      <c r="C37" t="s">
        <v>25</v>
      </c>
      <c r="D37" t="s">
        <v>26</v>
      </c>
      <c r="E37" t="s">
        <v>27</v>
      </c>
      <c r="F37" s="1" t="s">
        <v>40</v>
      </c>
      <c r="G37" s="2">
        <v>3.87</v>
      </c>
      <c r="H37">
        <v>4.1900000000000004</v>
      </c>
      <c r="I37">
        <v>4.1614339999999999</v>
      </c>
      <c r="J37">
        <v>5.74</v>
      </c>
      <c r="K37">
        <v>59</v>
      </c>
      <c r="L37" s="2">
        <v>59</v>
      </c>
      <c r="M37">
        <v>542</v>
      </c>
      <c r="N37" s="2">
        <v>1283</v>
      </c>
      <c r="O37">
        <v>5339.12</v>
      </c>
      <c r="P37">
        <v>67</v>
      </c>
      <c r="Q37">
        <v>1216</v>
      </c>
      <c r="R37">
        <v>16.53</v>
      </c>
      <c r="S37">
        <v>0</v>
      </c>
      <c r="T37">
        <v>468</v>
      </c>
      <c r="U37" s="2">
        <v>2686.32</v>
      </c>
      <c r="V37">
        <v>0</v>
      </c>
      <c r="W37" t="s">
        <v>29</v>
      </c>
      <c r="X37" t="str">
        <f>IF(Table2[[#This Row],[Qty available]]&gt;Table2[[#This Row],[Qty on hand]],"Check","OK")</f>
        <v>OK</v>
      </c>
    </row>
    <row r="38" spans="1:24" x14ac:dyDescent="0.3">
      <c r="A38" t="s">
        <v>53</v>
      </c>
      <c r="B38" t="s">
        <v>54</v>
      </c>
      <c r="C38" t="s">
        <v>25</v>
      </c>
      <c r="D38" t="s">
        <v>26</v>
      </c>
      <c r="E38" t="s">
        <v>27</v>
      </c>
      <c r="F38" s="1" t="s">
        <v>41</v>
      </c>
      <c r="G38" s="2">
        <v>3.79</v>
      </c>
      <c r="H38">
        <v>4.0999999999999996</v>
      </c>
      <c r="I38">
        <v>4.1502699999999999</v>
      </c>
      <c r="J38">
        <v>5.74</v>
      </c>
      <c r="K38">
        <v>59</v>
      </c>
      <c r="L38" s="2">
        <v>53</v>
      </c>
      <c r="M38">
        <v>285</v>
      </c>
      <c r="N38" s="2">
        <v>1445</v>
      </c>
      <c r="O38">
        <v>5997.14</v>
      </c>
      <c r="P38">
        <v>40</v>
      </c>
      <c r="Q38">
        <v>1405</v>
      </c>
      <c r="R38">
        <v>19.5</v>
      </c>
      <c r="S38">
        <v>4</v>
      </c>
      <c r="T38">
        <v>123</v>
      </c>
      <c r="U38" s="2">
        <v>706.02</v>
      </c>
      <c r="V38">
        <v>0</v>
      </c>
      <c r="W38" t="s">
        <v>29</v>
      </c>
      <c r="X38" t="str">
        <f>IF(Table2[[#This Row],[Qty available]]&gt;Table2[[#This Row],[Qty on hand]],"Check","OK")</f>
        <v>OK</v>
      </c>
    </row>
    <row r="39" spans="1:24" x14ac:dyDescent="0.3">
      <c r="A39" t="s">
        <v>53</v>
      </c>
      <c r="B39" t="s">
        <v>54</v>
      </c>
      <c r="C39" t="s">
        <v>25</v>
      </c>
      <c r="D39" t="s">
        <v>26</v>
      </c>
      <c r="E39" t="s">
        <v>27</v>
      </c>
      <c r="F39" s="1" t="s">
        <v>42</v>
      </c>
      <c r="G39" s="2">
        <v>3.91</v>
      </c>
      <c r="H39">
        <v>4.2300000000000004</v>
      </c>
      <c r="I39">
        <v>4.1502699999999999</v>
      </c>
      <c r="J39">
        <v>5.74</v>
      </c>
      <c r="K39">
        <v>59</v>
      </c>
      <c r="M39">
        <v>0</v>
      </c>
      <c r="N39" s="2">
        <v>999</v>
      </c>
      <c r="O39">
        <v>4146.12</v>
      </c>
      <c r="P39">
        <v>54</v>
      </c>
      <c r="Q39">
        <v>945</v>
      </c>
      <c r="R39">
        <v>12.66</v>
      </c>
      <c r="S39">
        <v>1</v>
      </c>
      <c r="T39">
        <v>446</v>
      </c>
      <c r="U39" s="2">
        <v>2560.04</v>
      </c>
      <c r="V39">
        <v>0</v>
      </c>
      <c r="W39" t="s">
        <v>29</v>
      </c>
      <c r="X39" t="str">
        <f>IF(Table2[[#This Row],[Qty available]]&gt;Table2[[#This Row],[Qty on hand]],"Check","OK")</f>
        <v>OK</v>
      </c>
    </row>
    <row r="40" spans="1:24" x14ac:dyDescent="0.3">
      <c r="A40" t="s">
        <v>53</v>
      </c>
      <c r="B40" t="s">
        <v>54</v>
      </c>
      <c r="C40" t="s">
        <v>25</v>
      </c>
      <c r="D40" t="s">
        <v>26</v>
      </c>
      <c r="E40" t="s">
        <v>27</v>
      </c>
      <c r="F40" s="1" t="s">
        <v>43</v>
      </c>
      <c r="G40" s="2">
        <v>3.84</v>
      </c>
      <c r="H40">
        <v>4.16</v>
      </c>
      <c r="I40">
        <v>4.1502699999999999</v>
      </c>
      <c r="J40">
        <v>5.74</v>
      </c>
      <c r="K40">
        <v>59</v>
      </c>
      <c r="M40">
        <v>0</v>
      </c>
      <c r="N40" s="2">
        <v>666</v>
      </c>
      <c r="O40">
        <v>2764.08</v>
      </c>
      <c r="P40">
        <v>121</v>
      </c>
      <c r="Q40">
        <v>545</v>
      </c>
      <c r="R40">
        <v>9.6</v>
      </c>
      <c r="S40">
        <v>0</v>
      </c>
      <c r="T40">
        <v>333</v>
      </c>
      <c r="U40" s="2">
        <v>1911.42</v>
      </c>
      <c r="V40">
        <v>0</v>
      </c>
      <c r="W40" t="s">
        <v>29</v>
      </c>
      <c r="X40" t="str">
        <f>IF(Table2[[#This Row],[Qty available]]&gt;Table2[[#This Row],[Qty on hand]],"Check","OK")</f>
        <v>OK</v>
      </c>
    </row>
    <row r="41" spans="1:24" x14ac:dyDescent="0.3">
      <c r="A41" t="s">
        <v>53</v>
      </c>
      <c r="B41" t="s">
        <v>54</v>
      </c>
      <c r="C41" t="s">
        <v>25</v>
      </c>
      <c r="D41" t="s">
        <v>26</v>
      </c>
      <c r="E41" t="s">
        <v>27</v>
      </c>
      <c r="F41" s="1" t="s">
        <v>44</v>
      </c>
      <c r="G41" s="2">
        <v>3.87</v>
      </c>
      <c r="H41">
        <v>4.1900000000000004</v>
      </c>
      <c r="I41">
        <v>4.1748729999999998</v>
      </c>
      <c r="J41">
        <v>5.74</v>
      </c>
      <c r="K41">
        <v>59</v>
      </c>
      <c r="L41" s="2">
        <v>52</v>
      </c>
      <c r="M41">
        <v>1083</v>
      </c>
      <c r="N41" s="2">
        <v>1461</v>
      </c>
      <c r="O41">
        <v>6099.49</v>
      </c>
      <c r="P41">
        <v>94</v>
      </c>
      <c r="Q41">
        <v>1367</v>
      </c>
      <c r="R41">
        <v>18</v>
      </c>
      <c r="S41">
        <v>4</v>
      </c>
      <c r="T41">
        <v>288</v>
      </c>
      <c r="U41" s="2">
        <v>1653.12</v>
      </c>
      <c r="V41">
        <v>0</v>
      </c>
      <c r="W41" t="s">
        <v>29</v>
      </c>
      <c r="X41" t="str">
        <f>IF(Table2[[#This Row],[Qty available]]&gt;Table2[[#This Row],[Qty on hand]],"Check","OK")</f>
        <v>OK</v>
      </c>
    </row>
    <row r="42" spans="1:24" x14ac:dyDescent="0.3">
      <c r="A42" t="s">
        <v>53</v>
      </c>
      <c r="B42" t="s">
        <v>54</v>
      </c>
      <c r="C42" t="s">
        <v>25</v>
      </c>
      <c r="D42" t="s">
        <v>26</v>
      </c>
      <c r="E42" t="s">
        <v>27</v>
      </c>
      <c r="F42" s="1" t="s">
        <v>45</v>
      </c>
      <c r="G42" s="2">
        <v>3.88</v>
      </c>
      <c r="H42">
        <v>4.2</v>
      </c>
      <c r="I42">
        <v>4.1748690000000002</v>
      </c>
      <c r="J42">
        <v>5.74</v>
      </c>
      <c r="K42">
        <v>59</v>
      </c>
      <c r="M42">
        <v>0</v>
      </c>
      <c r="N42" s="2">
        <v>1029</v>
      </c>
      <c r="O42">
        <v>4295.9399999999996</v>
      </c>
      <c r="P42">
        <v>27</v>
      </c>
      <c r="Q42">
        <v>1002</v>
      </c>
      <c r="R42">
        <v>12.84</v>
      </c>
      <c r="S42">
        <v>0</v>
      </c>
      <c r="T42">
        <v>432</v>
      </c>
      <c r="U42" s="2">
        <v>2479.6799999999998</v>
      </c>
      <c r="V42">
        <v>0</v>
      </c>
      <c r="W42" t="s">
        <v>29</v>
      </c>
      <c r="X42" t="str">
        <f>IF(Table2[[#This Row],[Qty available]]&gt;Table2[[#This Row],[Qty on hand]],"Check","OK")</f>
        <v>OK</v>
      </c>
    </row>
    <row r="43" spans="1:24" x14ac:dyDescent="0.3">
      <c r="A43" t="s">
        <v>53</v>
      </c>
      <c r="B43" t="s">
        <v>54</v>
      </c>
      <c r="C43" t="s">
        <v>25</v>
      </c>
      <c r="D43" t="s">
        <v>26</v>
      </c>
      <c r="E43" t="s">
        <v>27</v>
      </c>
      <c r="F43" s="1" t="s">
        <v>46</v>
      </c>
      <c r="G43" s="2">
        <v>3.9</v>
      </c>
      <c r="H43">
        <v>4.22</v>
      </c>
      <c r="I43">
        <v>4.1748630000000002</v>
      </c>
      <c r="J43">
        <v>5.91</v>
      </c>
      <c r="K43">
        <v>59</v>
      </c>
      <c r="M43">
        <v>0</v>
      </c>
      <c r="N43" s="2">
        <v>730</v>
      </c>
      <c r="O43">
        <v>3047.65</v>
      </c>
      <c r="P43">
        <v>40</v>
      </c>
      <c r="Q43">
        <v>690</v>
      </c>
      <c r="R43">
        <v>9.2100000000000009</v>
      </c>
      <c r="S43">
        <v>0</v>
      </c>
      <c r="T43">
        <v>299</v>
      </c>
      <c r="U43" s="2">
        <v>1767.09</v>
      </c>
      <c r="V43">
        <v>0</v>
      </c>
      <c r="W43" t="s">
        <v>29</v>
      </c>
      <c r="X43" t="str">
        <f>IF(Table2[[#This Row],[Qty available]]&gt;Table2[[#This Row],[Qty on hand]],"Check","OK")</f>
        <v>OK</v>
      </c>
    </row>
    <row r="44" spans="1:24" x14ac:dyDescent="0.3">
      <c r="A44" t="s">
        <v>53</v>
      </c>
      <c r="B44" t="s">
        <v>54</v>
      </c>
      <c r="C44" t="s">
        <v>25</v>
      </c>
      <c r="D44" t="s">
        <v>26</v>
      </c>
      <c r="E44" t="s">
        <v>27</v>
      </c>
      <c r="F44" s="1" t="s">
        <v>47</v>
      </c>
      <c r="G44" s="2">
        <v>3.82</v>
      </c>
      <c r="H44">
        <v>4.13</v>
      </c>
      <c r="I44">
        <v>4.1748459999999996</v>
      </c>
      <c r="J44">
        <v>5.91</v>
      </c>
      <c r="K44">
        <v>59</v>
      </c>
      <c r="M44">
        <v>0</v>
      </c>
      <c r="N44" s="2">
        <v>260</v>
      </c>
      <c r="O44">
        <v>1085.46</v>
      </c>
      <c r="P44">
        <v>67</v>
      </c>
      <c r="Q44">
        <v>193</v>
      </c>
      <c r="R44">
        <v>2.78</v>
      </c>
      <c r="S44">
        <v>0</v>
      </c>
      <c r="T44">
        <v>470</v>
      </c>
      <c r="U44" s="2">
        <v>2777.7</v>
      </c>
      <c r="V44">
        <v>0</v>
      </c>
      <c r="W44" t="s">
        <v>29</v>
      </c>
      <c r="X44" t="str">
        <f>IF(Table2[[#This Row],[Qty available]]&gt;Table2[[#This Row],[Qty on hand]],"Check","OK")</f>
        <v>OK</v>
      </c>
    </row>
    <row r="45" spans="1:24" x14ac:dyDescent="0.3">
      <c r="A45" t="s">
        <v>53</v>
      </c>
      <c r="B45" t="s">
        <v>54</v>
      </c>
      <c r="C45" t="s">
        <v>25</v>
      </c>
      <c r="D45" t="s">
        <v>26</v>
      </c>
      <c r="E45" t="s">
        <v>27</v>
      </c>
      <c r="F45" s="1" t="s">
        <v>48</v>
      </c>
      <c r="G45" s="2">
        <v>3.94</v>
      </c>
      <c r="H45">
        <v>4.26</v>
      </c>
      <c r="I45">
        <v>4.2380000000000004</v>
      </c>
      <c r="J45">
        <v>5.91</v>
      </c>
      <c r="K45">
        <v>59</v>
      </c>
      <c r="L45" s="2">
        <v>51</v>
      </c>
      <c r="M45">
        <v>746</v>
      </c>
      <c r="N45" s="2">
        <v>625</v>
      </c>
      <c r="O45">
        <v>2648.75</v>
      </c>
      <c r="P45">
        <v>54</v>
      </c>
      <c r="Q45">
        <v>571</v>
      </c>
      <c r="R45">
        <v>6.91</v>
      </c>
      <c r="S45">
        <v>1</v>
      </c>
      <c r="T45">
        <v>381</v>
      </c>
      <c r="U45" s="2">
        <v>2251.71</v>
      </c>
      <c r="V45">
        <v>0</v>
      </c>
      <c r="W45" t="s">
        <v>29</v>
      </c>
      <c r="X45" t="str">
        <f>IF(Table2[[#This Row],[Qty available]]&gt;Table2[[#This Row],[Qty on hand]],"Check","OK")</f>
        <v>OK</v>
      </c>
    </row>
    <row r="46" spans="1:24" x14ac:dyDescent="0.3">
      <c r="A46" t="s">
        <v>53</v>
      </c>
      <c r="B46" t="s">
        <v>54</v>
      </c>
      <c r="C46" t="s">
        <v>25</v>
      </c>
      <c r="D46" t="s">
        <v>26</v>
      </c>
      <c r="E46" t="s">
        <v>27</v>
      </c>
      <c r="F46" s="1" t="s">
        <v>49</v>
      </c>
      <c r="G46" s="2">
        <v>4.0199999999999996</v>
      </c>
      <c r="H46">
        <v>4.3499999999999996</v>
      </c>
      <c r="I46">
        <v>4.3023179999999996</v>
      </c>
      <c r="J46">
        <v>5.91</v>
      </c>
      <c r="K46">
        <v>59</v>
      </c>
      <c r="L46" s="2">
        <v>106</v>
      </c>
      <c r="M46">
        <v>843</v>
      </c>
      <c r="N46" s="2">
        <v>811</v>
      </c>
      <c r="O46">
        <v>3489.18</v>
      </c>
      <c r="P46">
        <v>94</v>
      </c>
      <c r="Q46">
        <v>717</v>
      </c>
      <c r="R46">
        <v>7.07</v>
      </c>
      <c r="S46">
        <v>1</v>
      </c>
      <c r="T46">
        <v>657</v>
      </c>
      <c r="U46" s="2">
        <v>3882.87</v>
      </c>
      <c r="V46">
        <v>0</v>
      </c>
      <c r="W46" t="s">
        <v>29</v>
      </c>
      <c r="X46" t="str">
        <f>IF(Table2[[#This Row],[Qty available]]&gt;Table2[[#This Row],[Qty on hand]],"Check","OK")</f>
        <v>OK</v>
      </c>
    </row>
    <row r="47" spans="1:24" x14ac:dyDescent="0.3">
      <c r="A47" t="s">
        <v>53</v>
      </c>
      <c r="B47" t="s">
        <v>54</v>
      </c>
      <c r="C47" t="s">
        <v>25</v>
      </c>
      <c r="D47" t="s">
        <v>26</v>
      </c>
      <c r="E47" t="s">
        <v>27</v>
      </c>
      <c r="F47" s="1" t="s">
        <v>50</v>
      </c>
      <c r="G47" s="2">
        <v>4.01</v>
      </c>
      <c r="H47">
        <v>4.34</v>
      </c>
      <c r="I47">
        <v>4.3072800000000004</v>
      </c>
      <c r="J47">
        <v>5.91</v>
      </c>
      <c r="K47">
        <v>59</v>
      </c>
      <c r="L47" s="2">
        <v>82</v>
      </c>
      <c r="M47">
        <v>123</v>
      </c>
      <c r="N47" s="2">
        <v>522</v>
      </c>
      <c r="O47">
        <v>2248.4</v>
      </c>
      <c r="P47">
        <v>80</v>
      </c>
      <c r="Q47">
        <v>442</v>
      </c>
      <c r="R47">
        <v>4.68</v>
      </c>
      <c r="S47">
        <v>0</v>
      </c>
      <c r="T47">
        <v>412</v>
      </c>
      <c r="U47" s="2">
        <v>2434.92</v>
      </c>
      <c r="V47">
        <v>0</v>
      </c>
      <c r="W47" t="s">
        <v>29</v>
      </c>
      <c r="X47" t="str">
        <f>IF(Table2[[#This Row],[Qty available]]&gt;Table2[[#This Row],[Qty on hand]],"Check","OK")</f>
        <v>OK</v>
      </c>
    </row>
    <row r="48" spans="1:24" x14ac:dyDescent="0.3">
      <c r="A48" t="s">
        <v>53</v>
      </c>
      <c r="B48" t="s">
        <v>54</v>
      </c>
      <c r="C48" t="s">
        <v>25</v>
      </c>
      <c r="D48" t="s">
        <v>26</v>
      </c>
      <c r="E48" t="s">
        <v>27</v>
      </c>
      <c r="F48" s="1" t="s">
        <v>51</v>
      </c>
      <c r="G48" s="2">
        <v>4.04</v>
      </c>
      <c r="H48">
        <v>4.37</v>
      </c>
      <c r="I48">
        <v>4.3475580000000003</v>
      </c>
      <c r="J48">
        <v>5.91</v>
      </c>
      <c r="K48">
        <v>59</v>
      </c>
      <c r="L48" s="2">
        <v>53</v>
      </c>
      <c r="M48">
        <v>937</v>
      </c>
      <c r="N48" s="2">
        <v>782</v>
      </c>
      <c r="O48">
        <v>3399.79</v>
      </c>
      <c r="P48">
        <v>27</v>
      </c>
      <c r="Q48">
        <v>755</v>
      </c>
      <c r="R48">
        <v>5.89</v>
      </c>
      <c r="S48">
        <v>2</v>
      </c>
      <c r="T48">
        <v>677</v>
      </c>
      <c r="U48" s="2">
        <v>4001.07</v>
      </c>
      <c r="V48">
        <v>0</v>
      </c>
      <c r="W48" t="s">
        <v>29</v>
      </c>
      <c r="X48" t="str">
        <f>IF(Table2[[#This Row],[Qty available]]&gt;Table2[[#This Row],[Qty on hand]],"Check","OK")</f>
        <v>OK</v>
      </c>
    </row>
    <row r="49" spans="1:24" x14ac:dyDescent="0.3">
      <c r="A49" t="s">
        <v>53</v>
      </c>
      <c r="B49" t="s">
        <v>54</v>
      </c>
      <c r="C49" t="s">
        <v>25</v>
      </c>
      <c r="D49" t="s">
        <v>26</v>
      </c>
      <c r="E49" t="s">
        <v>27</v>
      </c>
      <c r="F49" s="1" t="s">
        <v>52</v>
      </c>
      <c r="G49" s="2">
        <v>3.99</v>
      </c>
      <c r="H49">
        <v>4.32</v>
      </c>
      <c r="I49">
        <v>4.3475650000000003</v>
      </c>
      <c r="J49">
        <v>5.91</v>
      </c>
      <c r="K49">
        <v>59</v>
      </c>
      <c r="M49">
        <v>0</v>
      </c>
      <c r="N49" s="2">
        <v>271</v>
      </c>
      <c r="O49">
        <v>1178.19</v>
      </c>
      <c r="P49">
        <v>40</v>
      </c>
      <c r="Q49">
        <v>231</v>
      </c>
      <c r="R49">
        <v>2.23</v>
      </c>
      <c r="S49">
        <v>5</v>
      </c>
      <c r="T49">
        <v>511</v>
      </c>
      <c r="U49" s="2">
        <v>3020.01</v>
      </c>
      <c r="V49">
        <v>0</v>
      </c>
      <c r="W49" t="s">
        <v>29</v>
      </c>
      <c r="X49" t="str">
        <f>IF(Table2[[#This Row],[Qty available]]&gt;Table2[[#This Row],[Qty on hand]],"Check","OK")</f>
        <v>OK</v>
      </c>
    </row>
    <row r="50" spans="1:24" x14ac:dyDescent="0.3">
      <c r="A50" t="s">
        <v>55</v>
      </c>
      <c r="B50" t="s">
        <v>56</v>
      </c>
      <c r="C50" t="s">
        <v>57</v>
      </c>
      <c r="D50" t="s">
        <v>58</v>
      </c>
      <c r="E50" t="s">
        <v>27</v>
      </c>
      <c r="F50" s="1" t="s">
        <v>28</v>
      </c>
      <c r="G50" s="2">
        <v>73.42</v>
      </c>
      <c r="H50">
        <v>79.16</v>
      </c>
      <c r="I50">
        <v>79.082593000000003</v>
      </c>
      <c r="J50">
        <v>109.31</v>
      </c>
      <c r="K50">
        <v>31</v>
      </c>
      <c r="M50">
        <v>0</v>
      </c>
      <c r="N50" s="2">
        <v>27</v>
      </c>
      <c r="O50">
        <v>2135.23</v>
      </c>
      <c r="P50">
        <v>13</v>
      </c>
      <c r="Q50">
        <v>14</v>
      </c>
      <c r="R50">
        <v>2.4300000000000002</v>
      </c>
      <c r="S50">
        <v>4</v>
      </c>
      <c r="T50">
        <v>48</v>
      </c>
      <c r="U50" s="2">
        <v>5246.88</v>
      </c>
      <c r="V50">
        <v>0</v>
      </c>
      <c r="W50" t="s">
        <v>29</v>
      </c>
      <c r="X50" t="str">
        <f>IF(Table2[[#This Row],[Qty available]]&gt;Table2[[#This Row],[Qty on hand]],"Check","OK")</f>
        <v>OK</v>
      </c>
    </row>
    <row r="51" spans="1:24" x14ac:dyDescent="0.3">
      <c r="A51" t="s">
        <v>55</v>
      </c>
      <c r="B51" t="s">
        <v>56</v>
      </c>
      <c r="C51" t="s">
        <v>57</v>
      </c>
      <c r="D51" t="s">
        <v>58</v>
      </c>
      <c r="E51" t="s">
        <v>27</v>
      </c>
      <c r="F51" s="1" t="s">
        <v>30</v>
      </c>
      <c r="G51" s="2">
        <v>72.040000000000006</v>
      </c>
      <c r="H51">
        <v>77.67</v>
      </c>
      <c r="I51">
        <v>78.22</v>
      </c>
      <c r="J51">
        <v>109.31</v>
      </c>
      <c r="K51">
        <v>31</v>
      </c>
      <c r="L51" s="2">
        <v>46</v>
      </c>
      <c r="M51">
        <v>42</v>
      </c>
      <c r="N51" s="2">
        <v>1</v>
      </c>
      <c r="O51">
        <v>78.22</v>
      </c>
      <c r="P51">
        <v>1</v>
      </c>
      <c r="Q51">
        <v>0</v>
      </c>
      <c r="R51">
        <v>7.0000000000000007E-2</v>
      </c>
      <c r="S51">
        <v>1</v>
      </c>
      <c r="T51">
        <v>68</v>
      </c>
      <c r="U51" s="2">
        <v>7433.08</v>
      </c>
      <c r="V51">
        <v>0</v>
      </c>
      <c r="W51" t="s">
        <v>29</v>
      </c>
      <c r="X51" t="str">
        <f>IF(Table2[[#This Row],[Qty available]]&gt;Table2[[#This Row],[Qty on hand]],"Check","OK")</f>
        <v>OK</v>
      </c>
    </row>
    <row r="52" spans="1:24" x14ac:dyDescent="0.3">
      <c r="A52" t="s">
        <v>55</v>
      </c>
      <c r="B52" t="s">
        <v>56</v>
      </c>
      <c r="C52" t="s">
        <v>57</v>
      </c>
      <c r="D52" t="s">
        <v>58</v>
      </c>
      <c r="E52" t="s">
        <v>27</v>
      </c>
      <c r="F52" s="1" t="s">
        <v>31</v>
      </c>
      <c r="G52" s="2">
        <v>72.44</v>
      </c>
      <c r="H52">
        <v>78.099999999999994</v>
      </c>
      <c r="I52">
        <v>78.100846000000004</v>
      </c>
      <c r="J52">
        <v>109.31</v>
      </c>
      <c r="K52">
        <v>31</v>
      </c>
      <c r="L52" s="2">
        <v>29</v>
      </c>
      <c r="M52">
        <v>143</v>
      </c>
      <c r="N52" s="2">
        <v>130</v>
      </c>
      <c r="O52">
        <v>10153.11</v>
      </c>
      <c r="P52">
        <v>8</v>
      </c>
      <c r="Q52">
        <v>122</v>
      </c>
      <c r="R52">
        <v>13</v>
      </c>
      <c r="S52">
        <v>3</v>
      </c>
      <c r="T52">
        <v>14</v>
      </c>
      <c r="U52" s="2">
        <v>1530.34</v>
      </c>
      <c r="V52">
        <v>0</v>
      </c>
      <c r="W52" t="s">
        <v>29</v>
      </c>
      <c r="X52" t="str">
        <f>IF(Table2[[#This Row],[Qty available]]&gt;Table2[[#This Row],[Qty on hand]],"Check","OK")</f>
        <v>OK</v>
      </c>
    </row>
    <row r="53" spans="1:24" x14ac:dyDescent="0.3">
      <c r="A53" t="s">
        <v>55</v>
      </c>
      <c r="B53" t="s">
        <v>56</v>
      </c>
      <c r="C53" t="s">
        <v>57</v>
      </c>
      <c r="D53" t="s">
        <v>58</v>
      </c>
      <c r="E53" t="s">
        <v>27</v>
      </c>
      <c r="F53" s="1" t="s">
        <v>32</v>
      </c>
      <c r="G53" s="2">
        <v>73.39</v>
      </c>
      <c r="H53">
        <v>79.13</v>
      </c>
      <c r="I53">
        <v>78.100800000000007</v>
      </c>
      <c r="J53">
        <v>109.31</v>
      </c>
      <c r="K53">
        <v>31</v>
      </c>
      <c r="M53">
        <v>0</v>
      </c>
      <c r="N53" s="2">
        <v>100</v>
      </c>
      <c r="O53">
        <v>7810.08</v>
      </c>
      <c r="P53">
        <v>14</v>
      </c>
      <c r="Q53">
        <v>86</v>
      </c>
      <c r="R53">
        <v>11.73</v>
      </c>
      <c r="S53">
        <v>3</v>
      </c>
      <c r="T53">
        <v>30</v>
      </c>
      <c r="U53" s="2">
        <v>3279.3</v>
      </c>
      <c r="V53">
        <v>0</v>
      </c>
      <c r="W53" t="s">
        <v>29</v>
      </c>
      <c r="X53" t="str">
        <f>IF(Table2[[#This Row],[Qty available]]&gt;Table2[[#This Row],[Qty on hand]],"Check","OK")</f>
        <v>OK</v>
      </c>
    </row>
    <row r="54" spans="1:24" x14ac:dyDescent="0.3">
      <c r="A54" t="s">
        <v>55</v>
      </c>
      <c r="B54" t="s">
        <v>56</v>
      </c>
      <c r="C54" t="s">
        <v>57</v>
      </c>
      <c r="D54" t="s">
        <v>58</v>
      </c>
      <c r="E54" t="s">
        <v>27</v>
      </c>
      <c r="F54" s="1" t="s">
        <v>33</v>
      </c>
      <c r="G54" s="2">
        <v>75.67</v>
      </c>
      <c r="H54">
        <v>81.59</v>
      </c>
      <c r="I54">
        <v>79.132783000000003</v>
      </c>
      <c r="J54">
        <v>109.31</v>
      </c>
      <c r="K54">
        <v>31</v>
      </c>
      <c r="L54" s="2">
        <v>28</v>
      </c>
      <c r="M54">
        <v>42</v>
      </c>
      <c r="N54" s="2">
        <v>115</v>
      </c>
      <c r="O54">
        <v>9100.27</v>
      </c>
      <c r="P54">
        <v>10</v>
      </c>
      <c r="Q54">
        <v>105</v>
      </c>
      <c r="R54">
        <v>21.29</v>
      </c>
      <c r="S54">
        <v>8</v>
      </c>
      <c r="T54">
        <v>27</v>
      </c>
      <c r="U54" s="2">
        <v>2951.37</v>
      </c>
      <c r="V54">
        <v>0</v>
      </c>
      <c r="W54" t="s">
        <v>29</v>
      </c>
      <c r="X54" t="str">
        <f>IF(Table2[[#This Row],[Qty available]]&gt;Table2[[#This Row],[Qty on hand]],"Check","OK")</f>
        <v>OK</v>
      </c>
    </row>
    <row r="55" spans="1:24" x14ac:dyDescent="0.3">
      <c r="A55" t="s">
        <v>55</v>
      </c>
      <c r="B55" t="s">
        <v>56</v>
      </c>
      <c r="C55" t="s">
        <v>57</v>
      </c>
      <c r="D55" t="s">
        <v>58</v>
      </c>
      <c r="E55" t="s">
        <v>27</v>
      </c>
      <c r="F55" s="1" t="s">
        <v>34</v>
      </c>
      <c r="G55" s="2">
        <v>75.650000000000006</v>
      </c>
      <c r="H55">
        <v>81.56</v>
      </c>
      <c r="I55">
        <v>79.132795999999999</v>
      </c>
      <c r="J55">
        <v>115.5</v>
      </c>
      <c r="K55">
        <v>31</v>
      </c>
      <c r="M55">
        <v>0</v>
      </c>
      <c r="N55" s="2">
        <v>93</v>
      </c>
      <c r="O55">
        <v>7359.35</v>
      </c>
      <c r="P55">
        <v>10</v>
      </c>
      <c r="Q55">
        <v>83</v>
      </c>
      <c r="R55">
        <v>15.14</v>
      </c>
      <c r="S55">
        <v>15</v>
      </c>
      <c r="T55">
        <v>22</v>
      </c>
      <c r="U55" s="2">
        <v>2541</v>
      </c>
      <c r="V55">
        <v>0</v>
      </c>
      <c r="W55" t="s">
        <v>29</v>
      </c>
      <c r="X55" t="str">
        <f>IF(Table2[[#This Row],[Qty available]]&gt;Table2[[#This Row],[Qty on hand]],"Check","OK")</f>
        <v>OK</v>
      </c>
    </row>
    <row r="56" spans="1:24" x14ac:dyDescent="0.3">
      <c r="A56" t="s">
        <v>55</v>
      </c>
      <c r="B56" t="s">
        <v>56</v>
      </c>
      <c r="C56" t="s">
        <v>57</v>
      </c>
      <c r="D56" t="s">
        <v>58</v>
      </c>
      <c r="E56" t="s">
        <v>27</v>
      </c>
      <c r="F56" s="1" t="s">
        <v>35</v>
      </c>
      <c r="G56" s="2">
        <v>73.959999999999994</v>
      </c>
      <c r="H56">
        <v>79.739999999999995</v>
      </c>
      <c r="I56">
        <v>79.321646999999999</v>
      </c>
      <c r="J56">
        <v>115.5</v>
      </c>
      <c r="K56">
        <v>31</v>
      </c>
      <c r="L56" s="2">
        <v>28</v>
      </c>
      <c r="M56">
        <v>42</v>
      </c>
      <c r="N56" s="2">
        <v>85</v>
      </c>
      <c r="O56">
        <v>6742.34</v>
      </c>
      <c r="P56">
        <v>13</v>
      </c>
      <c r="Q56">
        <v>72</v>
      </c>
      <c r="R56">
        <v>11.04</v>
      </c>
      <c r="S56">
        <v>2</v>
      </c>
      <c r="T56">
        <v>50</v>
      </c>
      <c r="U56" s="2">
        <v>5775</v>
      </c>
      <c r="V56">
        <v>0</v>
      </c>
      <c r="W56" t="s">
        <v>29</v>
      </c>
      <c r="X56" t="str">
        <f>IF(Table2[[#This Row],[Qty available]]&gt;Table2[[#This Row],[Qty on hand]],"Check","OK")</f>
        <v>OK</v>
      </c>
    </row>
    <row r="57" spans="1:24" x14ac:dyDescent="0.3">
      <c r="A57" t="s">
        <v>55</v>
      </c>
      <c r="B57" t="s">
        <v>56</v>
      </c>
      <c r="C57" t="s">
        <v>57</v>
      </c>
      <c r="D57" t="s">
        <v>58</v>
      </c>
      <c r="E57" t="s">
        <v>27</v>
      </c>
      <c r="F57" s="1" t="s">
        <v>36</v>
      </c>
      <c r="G57" s="2">
        <v>76.64</v>
      </c>
      <c r="H57">
        <v>82.63</v>
      </c>
      <c r="I57">
        <v>79.321667000000005</v>
      </c>
      <c r="J57">
        <v>115.5</v>
      </c>
      <c r="K57">
        <v>31</v>
      </c>
      <c r="M57">
        <v>0</v>
      </c>
      <c r="N57" s="2">
        <v>72</v>
      </c>
      <c r="O57">
        <v>5711.16</v>
      </c>
      <c r="P57">
        <v>14</v>
      </c>
      <c r="Q57">
        <v>58</v>
      </c>
      <c r="R57">
        <v>10.77</v>
      </c>
      <c r="S57">
        <v>6</v>
      </c>
      <c r="T57">
        <v>13</v>
      </c>
      <c r="U57" s="2">
        <v>1501.5</v>
      </c>
      <c r="V57">
        <v>0</v>
      </c>
      <c r="W57" t="s">
        <v>29</v>
      </c>
      <c r="X57" t="str">
        <f>IF(Table2[[#This Row],[Qty available]]&gt;Table2[[#This Row],[Qty on hand]],"Check","OK")</f>
        <v>OK</v>
      </c>
    </row>
    <row r="58" spans="1:24" x14ac:dyDescent="0.3">
      <c r="A58" t="s">
        <v>55</v>
      </c>
      <c r="B58" t="s">
        <v>56</v>
      </c>
      <c r="C58" t="s">
        <v>57</v>
      </c>
      <c r="D58" t="s">
        <v>58</v>
      </c>
      <c r="E58" t="s">
        <v>27</v>
      </c>
      <c r="F58" s="1" t="s">
        <v>37</v>
      </c>
      <c r="G58" s="2">
        <v>74.17</v>
      </c>
      <c r="H58">
        <v>79.97</v>
      </c>
      <c r="I58">
        <v>79.319999999999993</v>
      </c>
      <c r="J58">
        <v>115.5</v>
      </c>
      <c r="K58">
        <v>31</v>
      </c>
      <c r="M58">
        <v>0</v>
      </c>
      <c r="N58" s="2">
        <v>2</v>
      </c>
      <c r="O58">
        <v>158.63999999999999</v>
      </c>
      <c r="P58">
        <v>2</v>
      </c>
      <c r="Q58">
        <v>0</v>
      </c>
      <c r="R58">
        <v>0.2</v>
      </c>
      <c r="S58">
        <v>3</v>
      </c>
      <c r="T58">
        <v>70</v>
      </c>
      <c r="U58" s="2">
        <v>8085</v>
      </c>
      <c r="V58">
        <v>0</v>
      </c>
      <c r="W58" t="s">
        <v>29</v>
      </c>
      <c r="X58" t="str">
        <f>IF(Table2[[#This Row],[Qty available]]&gt;Table2[[#This Row],[Qty on hand]],"Check","OK")</f>
        <v>OK</v>
      </c>
    </row>
    <row r="59" spans="1:24" x14ac:dyDescent="0.3">
      <c r="A59" t="s">
        <v>55</v>
      </c>
      <c r="B59" t="s">
        <v>56</v>
      </c>
      <c r="C59" t="s">
        <v>57</v>
      </c>
      <c r="D59" t="s">
        <v>58</v>
      </c>
      <c r="E59" t="s">
        <v>27</v>
      </c>
      <c r="F59" s="1" t="s">
        <v>38</v>
      </c>
      <c r="G59" s="2">
        <v>74.209999999999994</v>
      </c>
      <c r="H59">
        <v>80.010000000000005</v>
      </c>
      <c r="I59">
        <v>80.000776999999999</v>
      </c>
      <c r="J59">
        <v>115.5</v>
      </c>
      <c r="K59">
        <v>31</v>
      </c>
      <c r="L59" s="2">
        <v>30</v>
      </c>
      <c r="M59">
        <v>148</v>
      </c>
      <c r="N59" s="2">
        <v>103</v>
      </c>
      <c r="O59">
        <v>8240.08</v>
      </c>
      <c r="P59">
        <v>4</v>
      </c>
      <c r="Q59">
        <v>99</v>
      </c>
      <c r="R59">
        <v>10.3</v>
      </c>
      <c r="S59">
        <v>3</v>
      </c>
      <c r="T59">
        <v>47</v>
      </c>
      <c r="U59" s="2">
        <v>5428.5</v>
      </c>
      <c r="V59">
        <v>0</v>
      </c>
      <c r="W59" t="s">
        <v>29</v>
      </c>
      <c r="X59" t="str">
        <f>IF(Table2[[#This Row],[Qty available]]&gt;Table2[[#This Row],[Qty on hand]],"Check","OK")</f>
        <v>OK</v>
      </c>
    </row>
    <row r="60" spans="1:24" x14ac:dyDescent="0.3">
      <c r="A60" t="s">
        <v>55</v>
      </c>
      <c r="B60" t="s">
        <v>56</v>
      </c>
      <c r="C60" t="s">
        <v>57</v>
      </c>
      <c r="D60" t="s">
        <v>58</v>
      </c>
      <c r="E60" t="s">
        <v>27</v>
      </c>
      <c r="F60" s="1" t="s">
        <v>39</v>
      </c>
      <c r="G60" s="2">
        <v>76.39</v>
      </c>
      <c r="H60">
        <v>82.36</v>
      </c>
      <c r="I60">
        <v>80.938907999999998</v>
      </c>
      <c r="J60">
        <v>115.5</v>
      </c>
      <c r="K60">
        <v>31</v>
      </c>
      <c r="L60" s="2">
        <v>30</v>
      </c>
      <c r="M60">
        <v>68</v>
      </c>
      <c r="N60" s="2">
        <v>119</v>
      </c>
      <c r="O60">
        <v>9631.73</v>
      </c>
      <c r="P60">
        <v>3</v>
      </c>
      <c r="Q60">
        <v>116</v>
      </c>
      <c r="R60">
        <v>9.25</v>
      </c>
      <c r="S60">
        <v>5</v>
      </c>
      <c r="T60">
        <v>52</v>
      </c>
      <c r="U60" s="2">
        <v>6006</v>
      </c>
      <c r="V60">
        <v>0</v>
      </c>
      <c r="W60" t="s">
        <v>29</v>
      </c>
      <c r="X60" t="str">
        <f>IF(Table2[[#This Row],[Qty available]]&gt;Table2[[#This Row],[Qty on hand]],"Check","OK")</f>
        <v>OK</v>
      </c>
    </row>
    <row r="61" spans="1:24" x14ac:dyDescent="0.3">
      <c r="A61" t="s">
        <v>55</v>
      </c>
      <c r="B61" t="s">
        <v>56</v>
      </c>
      <c r="C61" t="s">
        <v>57</v>
      </c>
      <c r="D61" t="s">
        <v>58</v>
      </c>
      <c r="E61" t="s">
        <v>27</v>
      </c>
      <c r="F61" s="1" t="s">
        <v>40</v>
      </c>
      <c r="G61" s="2">
        <v>75.510000000000005</v>
      </c>
      <c r="H61">
        <v>81.41</v>
      </c>
      <c r="I61">
        <v>80.938833000000002</v>
      </c>
      <c r="J61">
        <v>115.5</v>
      </c>
      <c r="K61">
        <v>31</v>
      </c>
      <c r="M61">
        <v>0</v>
      </c>
      <c r="N61" s="2">
        <v>60</v>
      </c>
      <c r="O61">
        <v>4856.33</v>
      </c>
      <c r="P61">
        <v>4</v>
      </c>
      <c r="Q61">
        <v>56</v>
      </c>
      <c r="R61">
        <v>4.99</v>
      </c>
      <c r="S61">
        <v>0</v>
      </c>
      <c r="T61">
        <v>59</v>
      </c>
      <c r="U61" s="2">
        <v>6814.5</v>
      </c>
      <c r="V61">
        <v>0</v>
      </c>
      <c r="W61" t="s">
        <v>29</v>
      </c>
      <c r="X61" t="str">
        <f>IF(Table2[[#This Row],[Qty available]]&gt;Table2[[#This Row],[Qty on hand]],"Check","OK")</f>
        <v>OK</v>
      </c>
    </row>
    <row r="62" spans="1:24" x14ac:dyDescent="0.3">
      <c r="A62" t="s">
        <v>55</v>
      </c>
      <c r="B62" t="s">
        <v>56</v>
      </c>
      <c r="C62" t="s">
        <v>57</v>
      </c>
      <c r="D62" t="s">
        <v>58</v>
      </c>
      <c r="E62" t="s">
        <v>27</v>
      </c>
      <c r="F62" s="1" t="s">
        <v>41</v>
      </c>
      <c r="G62" s="2">
        <v>76.180000000000007</v>
      </c>
      <c r="H62">
        <v>82.14</v>
      </c>
      <c r="I62">
        <v>81.513289</v>
      </c>
      <c r="J62">
        <v>115.5</v>
      </c>
      <c r="K62">
        <v>31</v>
      </c>
      <c r="L62" s="2">
        <v>29</v>
      </c>
      <c r="M62">
        <v>55</v>
      </c>
      <c r="N62" s="2">
        <v>76</v>
      </c>
      <c r="O62">
        <v>6195.01</v>
      </c>
      <c r="P62">
        <v>6</v>
      </c>
      <c r="Q62">
        <v>70</v>
      </c>
      <c r="R62">
        <v>6.66</v>
      </c>
      <c r="S62">
        <v>8</v>
      </c>
      <c r="T62">
        <v>39</v>
      </c>
      <c r="U62" s="2">
        <v>4504.5</v>
      </c>
      <c r="V62">
        <v>0</v>
      </c>
      <c r="W62" t="s">
        <v>29</v>
      </c>
      <c r="X62" t="str">
        <f>IF(Table2[[#This Row],[Qty available]]&gt;Table2[[#This Row],[Qty on hand]],"Check","OK")</f>
        <v>OK</v>
      </c>
    </row>
    <row r="63" spans="1:24" x14ac:dyDescent="0.3">
      <c r="A63" t="s">
        <v>55</v>
      </c>
      <c r="B63" t="s">
        <v>56</v>
      </c>
      <c r="C63" t="s">
        <v>57</v>
      </c>
      <c r="D63" t="s">
        <v>58</v>
      </c>
      <c r="E63" t="s">
        <v>27</v>
      </c>
      <c r="F63" s="1" t="s">
        <v>42</v>
      </c>
      <c r="G63" s="2">
        <v>75.44</v>
      </c>
      <c r="H63">
        <v>81.34</v>
      </c>
      <c r="I63">
        <v>81.433466999999993</v>
      </c>
      <c r="J63">
        <v>115.5</v>
      </c>
      <c r="K63">
        <v>31</v>
      </c>
      <c r="L63" s="2">
        <v>29</v>
      </c>
      <c r="M63">
        <v>65</v>
      </c>
      <c r="N63" s="2">
        <v>75</v>
      </c>
      <c r="O63">
        <v>6107.51</v>
      </c>
      <c r="P63">
        <v>8</v>
      </c>
      <c r="Q63">
        <v>67</v>
      </c>
      <c r="R63">
        <v>6.01</v>
      </c>
      <c r="S63">
        <v>2</v>
      </c>
      <c r="T63">
        <v>66</v>
      </c>
      <c r="U63" s="2">
        <v>7623</v>
      </c>
      <c r="V63">
        <v>0</v>
      </c>
      <c r="W63" t="s">
        <v>29</v>
      </c>
      <c r="X63" t="str">
        <f>IF(Table2[[#This Row],[Qty available]]&gt;Table2[[#This Row],[Qty on hand]],"Check","OK")</f>
        <v>OK</v>
      </c>
    </row>
    <row r="64" spans="1:24" x14ac:dyDescent="0.3">
      <c r="A64" t="s">
        <v>55</v>
      </c>
      <c r="B64" t="s">
        <v>56</v>
      </c>
      <c r="C64" t="s">
        <v>57</v>
      </c>
      <c r="D64" t="s">
        <v>58</v>
      </c>
      <c r="E64" t="s">
        <v>27</v>
      </c>
      <c r="F64" s="1" t="s">
        <v>43</v>
      </c>
      <c r="G64" s="2">
        <v>75.41</v>
      </c>
      <c r="H64">
        <v>81.31</v>
      </c>
      <c r="I64">
        <v>81.381724000000006</v>
      </c>
      <c r="J64">
        <v>115.5</v>
      </c>
      <c r="K64">
        <v>31</v>
      </c>
      <c r="L64" s="2">
        <v>28</v>
      </c>
      <c r="M64">
        <v>54</v>
      </c>
      <c r="N64" s="2">
        <v>58</v>
      </c>
      <c r="O64">
        <v>4720.1400000000003</v>
      </c>
      <c r="P64">
        <v>6</v>
      </c>
      <c r="Q64">
        <v>52</v>
      </c>
      <c r="R64">
        <v>4.28</v>
      </c>
      <c r="S64">
        <v>1</v>
      </c>
      <c r="T64">
        <v>71</v>
      </c>
      <c r="U64" s="2">
        <v>8200.5</v>
      </c>
      <c r="V64">
        <v>0</v>
      </c>
      <c r="W64" t="s">
        <v>29</v>
      </c>
      <c r="X64" t="str">
        <f>IF(Table2[[#This Row],[Qty available]]&gt;Table2[[#This Row],[Qty on hand]],"Check","OK")</f>
        <v>OK</v>
      </c>
    </row>
    <row r="65" spans="1:24" x14ac:dyDescent="0.3">
      <c r="A65" t="s">
        <v>55</v>
      </c>
      <c r="B65" t="s">
        <v>56</v>
      </c>
      <c r="C65" t="s">
        <v>57</v>
      </c>
      <c r="D65" t="s">
        <v>58</v>
      </c>
      <c r="E65" t="s">
        <v>27</v>
      </c>
      <c r="F65" s="1" t="s">
        <v>44</v>
      </c>
      <c r="G65" s="2">
        <v>74.599999999999994</v>
      </c>
      <c r="H65">
        <v>80.430000000000007</v>
      </c>
      <c r="I65">
        <v>81.381724000000006</v>
      </c>
      <c r="J65">
        <v>115.5</v>
      </c>
      <c r="K65">
        <v>31</v>
      </c>
      <c r="M65">
        <v>0</v>
      </c>
      <c r="N65" s="2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58</v>
      </c>
      <c r="U65" s="2">
        <v>6699</v>
      </c>
      <c r="V65">
        <v>10</v>
      </c>
      <c r="W65" t="s">
        <v>59</v>
      </c>
      <c r="X65" t="str">
        <f>IF(Table2[[#This Row],[Qty available]]&gt;Table2[[#This Row],[Qty on hand]],"Check","OK")</f>
        <v>OK</v>
      </c>
    </row>
    <row r="66" spans="1:24" x14ac:dyDescent="0.3">
      <c r="A66" t="s">
        <v>55</v>
      </c>
      <c r="B66" t="s">
        <v>56</v>
      </c>
      <c r="C66" t="s">
        <v>57</v>
      </c>
      <c r="D66" t="s">
        <v>58</v>
      </c>
      <c r="E66" t="s">
        <v>27</v>
      </c>
      <c r="F66" s="1" t="s">
        <v>45</v>
      </c>
      <c r="G66" s="2">
        <v>76.72</v>
      </c>
      <c r="H66">
        <v>82.72</v>
      </c>
      <c r="I66">
        <v>82.72</v>
      </c>
      <c r="J66">
        <v>115.5</v>
      </c>
      <c r="K66">
        <v>31</v>
      </c>
      <c r="L66" s="2">
        <v>31</v>
      </c>
      <c r="M66">
        <v>151</v>
      </c>
      <c r="N66" s="2">
        <v>99</v>
      </c>
      <c r="O66">
        <v>8189.28</v>
      </c>
      <c r="P66">
        <v>7</v>
      </c>
      <c r="Q66">
        <v>92</v>
      </c>
      <c r="R66">
        <v>7.19</v>
      </c>
      <c r="S66">
        <v>11</v>
      </c>
      <c r="T66">
        <v>52</v>
      </c>
      <c r="U66" s="2">
        <v>6006</v>
      </c>
      <c r="V66">
        <v>0</v>
      </c>
      <c r="W66" t="s">
        <v>29</v>
      </c>
      <c r="X66" t="str">
        <f>IF(Table2[[#This Row],[Qty available]]&gt;Table2[[#This Row],[Qty on hand]],"Check","OK")</f>
        <v>OK</v>
      </c>
    </row>
    <row r="67" spans="1:24" x14ac:dyDescent="0.3">
      <c r="A67" t="s">
        <v>55</v>
      </c>
      <c r="B67" t="s">
        <v>56</v>
      </c>
      <c r="C67" t="s">
        <v>57</v>
      </c>
      <c r="D67" t="s">
        <v>58</v>
      </c>
      <c r="E67" t="s">
        <v>27</v>
      </c>
      <c r="F67" s="1" t="s">
        <v>46</v>
      </c>
      <c r="G67" s="2">
        <v>77.010000000000005</v>
      </c>
      <c r="H67">
        <v>83.03</v>
      </c>
      <c r="I67">
        <v>82.812353000000002</v>
      </c>
      <c r="J67">
        <v>122.04</v>
      </c>
      <c r="K67">
        <v>31</v>
      </c>
      <c r="L67" s="2">
        <v>28</v>
      </c>
      <c r="M67">
        <v>42</v>
      </c>
      <c r="N67" s="2">
        <v>119</v>
      </c>
      <c r="O67">
        <v>9854.67</v>
      </c>
      <c r="P67">
        <v>4</v>
      </c>
      <c r="Q67">
        <v>115</v>
      </c>
      <c r="R67">
        <v>11.59</v>
      </c>
      <c r="S67">
        <v>0</v>
      </c>
      <c r="T67">
        <v>22</v>
      </c>
      <c r="U67" s="2">
        <v>2684.88</v>
      </c>
      <c r="V67">
        <v>0</v>
      </c>
      <c r="W67" t="s">
        <v>29</v>
      </c>
      <c r="X67" t="str">
        <f>IF(Table2[[#This Row],[Qty available]]&gt;Table2[[#This Row],[Qty on hand]],"Check","OK")</f>
        <v>OK</v>
      </c>
    </row>
    <row r="68" spans="1:24" x14ac:dyDescent="0.3">
      <c r="A68" t="s">
        <v>55</v>
      </c>
      <c r="B68" t="s">
        <v>56</v>
      </c>
      <c r="C68" t="s">
        <v>57</v>
      </c>
      <c r="D68" t="s">
        <v>58</v>
      </c>
      <c r="E68" t="s">
        <v>27</v>
      </c>
      <c r="F68" s="1" t="s">
        <v>47</v>
      </c>
      <c r="G68" s="2">
        <v>79.27</v>
      </c>
      <c r="H68">
        <v>85.47</v>
      </c>
      <c r="I68">
        <v>82.812308000000002</v>
      </c>
      <c r="J68">
        <v>122.04</v>
      </c>
      <c r="K68">
        <v>31</v>
      </c>
      <c r="M68">
        <v>0</v>
      </c>
      <c r="N68" s="2">
        <v>78</v>
      </c>
      <c r="O68">
        <v>6459.36</v>
      </c>
      <c r="P68">
        <v>6</v>
      </c>
      <c r="Q68">
        <v>72</v>
      </c>
      <c r="R68">
        <v>8.7200000000000006</v>
      </c>
      <c r="S68">
        <v>5</v>
      </c>
      <c r="T68">
        <v>41</v>
      </c>
      <c r="U68" s="2">
        <v>5003.6400000000003</v>
      </c>
      <c r="V68">
        <v>0</v>
      </c>
      <c r="W68" t="s">
        <v>29</v>
      </c>
      <c r="X68" t="str">
        <f>IF(Table2[[#This Row],[Qty available]]&gt;Table2[[#This Row],[Qty on hand]],"Check","OK")</f>
        <v>OK</v>
      </c>
    </row>
    <row r="69" spans="1:24" x14ac:dyDescent="0.3">
      <c r="A69" t="s">
        <v>55</v>
      </c>
      <c r="B69" t="s">
        <v>56</v>
      </c>
      <c r="C69" t="s">
        <v>57</v>
      </c>
      <c r="D69" t="s">
        <v>58</v>
      </c>
      <c r="E69" t="s">
        <v>27</v>
      </c>
      <c r="F69" s="1" t="s">
        <v>48</v>
      </c>
      <c r="G69" s="2">
        <v>76.84</v>
      </c>
      <c r="H69">
        <v>82.85</v>
      </c>
      <c r="I69">
        <v>82.826144999999997</v>
      </c>
      <c r="J69">
        <v>122.04</v>
      </c>
      <c r="K69">
        <v>31</v>
      </c>
      <c r="L69" s="2">
        <v>27</v>
      </c>
      <c r="M69">
        <v>45</v>
      </c>
      <c r="N69" s="2">
        <v>83</v>
      </c>
      <c r="O69">
        <v>6874.57</v>
      </c>
      <c r="P69">
        <v>4</v>
      </c>
      <c r="Q69">
        <v>79</v>
      </c>
      <c r="R69">
        <v>10.25</v>
      </c>
      <c r="S69">
        <v>8</v>
      </c>
      <c r="T69">
        <v>40</v>
      </c>
      <c r="U69" s="2">
        <v>4881.6000000000004</v>
      </c>
      <c r="V69">
        <v>0</v>
      </c>
      <c r="W69" t="s">
        <v>29</v>
      </c>
      <c r="X69" t="str">
        <f>IF(Table2[[#This Row],[Qty available]]&gt;Table2[[#This Row],[Qty on hand]],"Check","OK")</f>
        <v>OK</v>
      </c>
    </row>
    <row r="70" spans="1:24" x14ac:dyDescent="0.3">
      <c r="A70" t="s">
        <v>55</v>
      </c>
      <c r="B70" t="s">
        <v>56</v>
      </c>
      <c r="C70" t="s">
        <v>57</v>
      </c>
      <c r="D70" t="s">
        <v>58</v>
      </c>
      <c r="E70" t="s">
        <v>27</v>
      </c>
      <c r="F70" s="1" t="s">
        <v>49</v>
      </c>
      <c r="G70" s="2">
        <v>78.209999999999994</v>
      </c>
      <c r="H70">
        <v>84.33</v>
      </c>
      <c r="I70">
        <v>82.826053000000002</v>
      </c>
      <c r="J70">
        <v>122.04</v>
      </c>
      <c r="K70">
        <v>31</v>
      </c>
      <c r="M70">
        <v>0</v>
      </c>
      <c r="N70" s="2">
        <v>38</v>
      </c>
      <c r="O70">
        <v>3147.39</v>
      </c>
      <c r="P70">
        <v>13</v>
      </c>
      <c r="Q70">
        <v>25</v>
      </c>
      <c r="R70">
        <v>3.96</v>
      </c>
      <c r="S70">
        <v>2</v>
      </c>
      <c r="T70">
        <v>45</v>
      </c>
      <c r="U70" s="2">
        <v>5491.8</v>
      </c>
      <c r="V70">
        <v>0</v>
      </c>
      <c r="W70" t="s">
        <v>29</v>
      </c>
      <c r="X70" t="str">
        <f>IF(Table2[[#This Row],[Qty available]]&gt;Table2[[#This Row],[Qty on hand]],"Check","OK")</f>
        <v>OK</v>
      </c>
    </row>
    <row r="71" spans="1:24" x14ac:dyDescent="0.3">
      <c r="A71" t="s">
        <v>55</v>
      </c>
      <c r="B71" t="s">
        <v>56</v>
      </c>
      <c r="C71" t="s">
        <v>57</v>
      </c>
      <c r="D71" t="s">
        <v>58</v>
      </c>
      <c r="E71" t="s">
        <v>27</v>
      </c>
      <c r="F71" s="1" t="s">
        <v>50</v>
      </c>
      <c r="G71" s="2">
        <v>78.260000000000005</v>
      </c>
      <c r="H71">
        <v>84.38</v>
      </c>
      <c r="I71">
        <v>83.650908999999999</v>
      </c>
      <c r="J71">
        <v>122.04</v>
      </c>
      <c r="K71">
        <v>31</v>
      </c>
      <c r="L71" s="2">
        <v>27</v>
      </c>
      <c r="M71">
        <v>43</v>
      </c>
      <c r="N71" s="2">
        <v>22</v>
      </c>
      <c r="O71">
        <v>1840.32</v>
      </c>
      <c r="P71">
        <v>11</v>
      </c>
      <c r="Q71">
        <v>11</v>
      </c>
      <c r="R71">
        <v>1.99</v>
      </c>
      <c r="S71">
        <v>2</v>
      </c>
      <c r="T71">
        <v>59</v>
      </c>
      <c r="U71" s="2">
        <v>7200.36</v>
      </c>
      <c r="V71">
        <v>0</v>
      </c>
      <c r="W71" t="s">
        <v>29</v>
      </c>
      <c r="X71" t="str">
        <f>IF(Table2[[#This Row],[Qty available]]&gt;Table2[[#This Row],[Qty on hand]],"Check","OK")</f>
        <v>OK</v>
      </c>
    </row>
    <row r="72" spans="1:24" x14ac:dyDescent="0.3">
      <c r="A72" t="s">
        <v>55</v>
      </c>
      <c r="B72" t="s">
        <v>56</v>
      </c>
      <c r="C72" t="s">
        <v>57</v>
      </c>
      <c r="D72" t="s">
        <v>58</v>
      </c>
      <c r="E72" t="s">
        <v>27</v>
      </c>
      <c r="F72" s="1" t="s">
        <v>51</v>
      </c>
      <c r="G72" s="2">
        <v>77.62</v>
      </c>
      <c r="H72">
        <v>83.69</v>
      </c>
      <c r="I72">
        <v>83.650908999999999</v>
      </c>
      <c r="J72">
        <v>122.04</v>
      </c>
      <c r="K72">
        <v>31</v>
      </c>
      <c r="M72">
        <v>0</v>
      </c>
      <c r="N72" s="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22</v>
      </c>
      <c r="U72" s="2">
        <v>2684.88</v>
      </c>
      <c r="V72">
        <v>53</v>
      </c>
      <c r="W72" t="s">
        <v>59</v>
      </c>
      <c r="X72" t="str">
        <f>IF(Table2[[#This Row],[Qty available]]&gt;Table2[[#This Row],[Qty on hand]],"Check","OK")</f>
        <v>OK</v>
      </c>
    </row>
    <row r="73" spans="1:24" x14ac:dyDescent="0.3">
      <c r="A73" t="s">
        <v>55</v>
      </c>
      <c r="B73" t="s">
        <v>56</v>
      </c>
      <c r="C73" t="s">
        <v>57</v>
      </c>
      <c r="D73" t="s">
        <v>58</v>
      </c>
      <c r="E73" t="s">
        <v>27</v>
      </c>
      <c r="F73" s="1" t="s">
        <v>52</v>
      </c>
      <c r="G73" s="2">
        <v>78.16</v>
      </c>
      <c r="H73">
        <v>84.27</v>
      </c>
      <c r="I73">
        <v>84.27</v>
      </c>
      <c r="J73">
        <v>122.04</v>
      </c>
      <c r="K73">
        <v>31</v>
      </c>
      <c r="L73" s="2">
        <v>44</v>
      </c>
      <c r="M73">
        <v>48</v>
      </c>
      <c r="N73" s="2">
        <v>0</v>
      </c>
      <c r="O73">
        <v>0</v>
      </c>
      <c r="P73">
        <v>0</v>
      </c>
      <c r="Q73">
        <v>0</v>
      </c>
      <c r="R73">
        <v>0</v>
      </c>
      <c r="S73">
        <v>8</v>
      </c>
      <c r="T73">
        <v>48</v>
      </c>
      <c r="U73" s="2">
        <v>5857.92</v>
      </c>
      <c r="V73">
        <v>4</v>
      </c>
      <c r="W73" t="s">
        <v>59</v>
      </c>
      <c r="X73" t="str">
        <f>IF(Table2[[#This Row],[Qty available]]&gt;Table2[[#This Row],[Qty on hand]],"Check","OK")</f>
        <v>OK</v>
      </c>
    </row>
    <row r="74" spans="1:24" x14ac:dyDescent="0.3">
      <c r="A74" t="s">
        <v>60</v>
      </c>
      <c r="B74" t="s">
        <v>61</v>
      </c>
      <c r="C74" t="s">
        <v>57</v>
      </c>
      <c r="D74" t="s">
        <v>58</v>
      </c>
      <c r="E74" t="s">
        <v>27</v>
      </c>
      <c r="F74" s="1" t="s">
        <v>28</v>
      </c>
      <c r="G74" s="2">
        <v>90.37</v>
      </c>
      <c r="H74">
        <v>90.37</v>
      </c>
      <c r="I74">
        <v>89.853333000000006</v>
      </c>
      <c r="J74">
        <v>123.98</v>
      </c>
      <c r="K74">
        <v>39</v>
      </c>
      <c r="M74">
        <v>0</v>
      </c>
      <c r="N74" s="2">
        <v>0</v>
      </c>
      <c r="O74">
        <v>0</v>
      </c>
      <c r="P74">
        <v>0</v>
      </c>
      <c r="Q74">
        <v>0</v>
      </c>
      <c r="R74">
        <v>0</v>
      </c>
      <c r="S74">
        <v>15</v>
      </c>
      <c r="T74">
        <v>21</v>
      </c>
      <c r="U74" s="2">
        <v>2603.58</v>
      </c>
      <c r="V74">
        <v>1</v>
      </c>
      <c r="W74" t="s">
        <v>59</v>
      </c>
      <c r="X74" t="str">
        <f>IF(Table2[[#This Row],[Qty available]]&gt;Table2[[#This Row],[Qty on hand]],"Check","OK")</f>
        <v>OK</v>
      </c>
    </row>
    <row r="75" spans="1:24" x14ac:dyDescent="0.3">
      <c r="A75" t="s">
        <v>60</v>
      </c>
      <c r="B75" t="s">
        <v>61</v>
      </c>
      <c r="C75" t="s">
        <v>57</v>
      </c>
      <c r="D75" t="s">
        <v>58</v>
      </c>
      <c r="E75" t="s">
        <v>27</v>
      </c>
      <c r="F75" s="1" t="s">
        <v>30</v>
      </c>
      <c r="G75" s="2">
        <v>89.14</v>
      </c>
      <c r="H75">
        <v>89.14</v>
      </c>
      <c r="I75">
        <v>89.14</v>
      </c>
      <c r="J75">
        <v>123.98</v>
      </c>
      <c r="K75">
        <v>39</v>
      </c>
      <c r="L75" s="2">
        <v>37</v>
      </c>
      <c r="M75">
        <v>33</v>
      </c>
      <c r="N75" s="2">
        <v>22</v>
      </c>
      <c r="O75">
        <v>1961.08</v>
      </c>
      <c r="P75">
        <v>5</v>
      </c>
      <c r="Q75">
        <v>17</v>
      </c>
      <c r="R75">
        <v>6.43</v>
      </c>
      <c r="S75">
        <v>0</v>
      </c>
      <c r="T75">
        <v>11</v>
      </c>
      <c r="U75" s="2">
        <v>1363.78</v>
      </c>
      <c r="V75">
        <v>0</v>
      </c>
      <c r="W75" t="s">
        <v>29</v>
      </c>
      <c r="X75" t="str">
        <f>IF(Table2[[#This Row],[Qty available]]&gt;Table2[[#This Row],[Qty on hand]],"Check","OK")</f>
        <v>OK</v>
      </c>
    </row>
    <row r="76" spans="1:24" x14ac:dyDescent="0.3">
      <c r="A76" t="s">
        <v>60</v>
      </c>
      <c r="B76" t="s">
        <v>61</v>
      </c>
      <c r="C76" t="s">
        <v>57</v>
      </c>
      <c r="D76" t="s">
        <v>58</v>
      </c>
      <c r="E76" t="s">
        <v>27</v>
      </c>
      <c r="F76" s="1" t="s">
        <v>31</v>
      </c>
      <c r="G76" s="2">
        <v>88.63</v>
      </c>
      <c r="H76">
        <v>88.63</v>
      </c>
      <c r="I76">
        <v>88.933125000000004</v>
      </c>
      <c r="J76">
        <v>123.98</v>
      </c>
      <c r="K76">
        <v>39</v>
      </c>
      <c r="L76" s="2">
        <v>36</v>
      </c>
      <c r="M76">
        <v>15</v>
      </c>
      <c r="N76" s="2">
        <v>16</v>
      </c>
      <c r="O76">
        <v>1422.93</v>
      </c>
      <c r="P76">
        <v>2</v>
      </c>
      <c r="Q76">
        <v>14</v>
      </c>
      <c r="R76">
        <v>3.92</v>
      </c>
      <c r="S76">
        <v>7</v>
      </c>
      <c r="T76">
        <v>21</v>
      </c>
      <c r="U76" s="2">
        <v>2603.58</v>
      </c>
      <c r="V76">
        <v>0</v>
      </c>
      <c r="W76" t="s">
        <v>29</v>
      </c>
      <c r="X76" t="str">
        <f>IF(Table2[[#This Row],[Qty available]]&gt;Table2[[#This Row],[Qty on hand]],"Check","OK")</f>
        <v>OK</v>
      </c>
    </row>
    <row r="77" spans="1:24" x14ac:dyDescent="0.3">
      <c r="A77" t="s">
        <v>60</v>
      </c>
      <c r="B77" t="s">
        <v>61</v>
      </c>
      <c r="C77" t="s">
        <v>57</v>
      </c>
      <c r="D77" t="s">
        <v>58</v>
      </c>
      <c r="E77" t="s">
        <v>27</v>
      </c>
      <c r="F77" s="1" t="s">
        <v>32</v>
      </c>
      <c r="G77" s="2">
        <v>89.59</v>
      </c>
      <c r="H77">
        <v>89.59</v>
      </c>
      <c r="I77">
        <v>89.271332999999998</v>
      </c>
      <c r="J77">
        <v>123.98</v>
      </c>
      <c r="K77">
        <v>39</v>
      </c>
      <c r="L77" s="2">
        <v>37</v>
      </c>
      <c r="M77">
        <v>17</v>
      </c>
      <c r="N77" s="2">
        <v>15</v>
      </c>
      <c r="O77">
        <v>1339.07</v>
      </c>
      <c r="P77">
        <v>1</v>
      </c>
      <c r="Q77">
        <v>14</v>
      </c>
      <c r="R77">
        <v>3.94</v>
      </c>
      <c r="S77">
        <v>0</v>
      </c>
      <c r="T77">
        <v>18</v>
      </c>
      <c r="U77" s="2">
        <v>2231.64</v>
      </c>
      <c r="V77">
        <v>0</v>
      </c>
      <c r="W77" t="s">
        <v>29</v>
      </c>
      <c r="X77" t="str">
        <f>IF(Table2[[#This Row],[Qty available]]&gt;Table2[[#This Row],[Qty on hand]],"Check","OK")</f>
        <v>OK</v>
      </c>
    </row>
    <row r="78" spans="1:24" x14ac:dyDescent="0.3">
      <c r="A78" t="s">
        <v>60</v>
      </c>
      <c r="B78" t="s">
        <v>61</v>
      </c>
      <c r="C78" t="s">
        <v>57</v>
      </c>
      <c r="D78" t="s">
        <v>58</v>
      </c>
      <c r="E78" t="s">
        <v>27</v>
      </c>
      <c r="F78" s="1" t="s">
        <v>33</v>
      </c>
      <c r="G78" s="2">
        <v>94.02</v>
      </c>
      <c r="H78">
        <v>94.02</v>
      </c>
      <c r="I78">
        <v>91.722104999999999</v>
      </c>
      <c r="J78">
        <v>123.98</v>
      </c>
      <c r="K78">
        <v>39</v>
      </c>
      <c r="L78" s="2">
        <v>38</v>
      </c>
      <c r="M78">
        <v>16</v>
      </c>
      <c r="N78" s="2">
        <v>19</v>
      </c>
      <c r="O78">
        <v>1742.72</v>
      </c>
      <c r="P78">
        <v>4</v>
      </c>
      <c r="Q78">
        <v>15</v>
      </c>
      <c r="R78">
        <v>4.9000000000000004</v>
      </c>
      <c r="S78">
        <v>0</v>
      </c>
      <c r="T78">
        <v>12</v>
      </c>
      <c r="U78" s="2">
        <v>1487.76</v>
      </c>
      <c r="V78">
        <v>0</v>
      </c>
      <c r="W78" t="s">
        <v>29</v>
      </c>
      <c r="X78" t="str">
        <f>IF(Table2[[#This Row],[Qty available]]&gt;Table2[[#This Row],[Qty on hand]],"Check","OK")</f>
        <v>OK</v>
      </c>
    </row>
    <row r="79" spans="1:24" x14ac:dyDescent="0.3">
      <c r="A79" t="s">
        <v>60</v>
      </c>
      <c r="B79" t="s">
        <v>61</v>
      </c>
      <c r="C79" t="s">
        <v>57</v>
      </c>
      <c r="D79" t="s">
        <v>58</v>
      </c>
      <c r="E79" t="s">
        <v>27</v>
      </c>
      <c r="F79" s="1" t="s">
        <v>34</v>
      </c>
      <c r="G79" s="2">
        <v>93.27</v>
      </c>
      <c r="H79">
        <v>93.27</v>
      </c>
      <c r="I79">
        <v>92.404814999999999</v>
      </c>
      <c r="J79">
        <v>129.43</v>
      </c>
      <c r="K79">
        <v>39</v>
      </c>
      <c r="L79" s="2">
        <v>38</v>
      </c>
      <c r="M79">
        <v>15</v>
      </c>
      <c r="N79" s="2">
        <v>27</v>
      </c>
      <c r="O79">
        <v>2494.9299999999998</v>
      </c>
      <c r="P79">
        <v>3</v>
      </c>
      <c r="Q79">
        <v>24</v>
      </c>
      <c r="R79">
        <v>9.3800000000000008</v>
      </c>
      <c r="S79">
        <v>1</v>
      </c>
      <c r="T79">
        <v>7</v>
      </c>
      <c r="U79" s="2">
        <v>906.01</v>
      </c>
      <c r="V79">
        <v>0</v>
      </c>
      <c r="W79" t="s">
        <v>29</v>
      </c>
      <c r="X79" t="str">
        <f>IF(Table2[[#This Row],[Qty available]]&gt;Table2[[#This Row],[Qty on hand]],"Check","OK")</f>
        <v>OK</v>
      </c>
    </row>
    <row r="80" spans="1:24" x14ac:dyDescent="0.3">
      <c r="A80" t="s">
        <v>60</v>
      </c>
      <c r="B80" t="s">
        <v>61</v>
      </c>
      <c r="C80" t="s">
        <v>57</v>
      </c>
      <c r="D80" t="s">
        <v>58</v>
      </c>
      <c r="E80" t="s">
        <v>27</v>
      </c>
      <c r="F80" s="1" t="s">
        <v>35</v>
      </c>
      <c r="G80" s="2">
        <v>94.51</v>
      </c>
      <c r="H80">
        <v>94.51</v>
      </c>
      <c r="I80">
        <v>92.404544999999999</v>
      </c>
      <c r="J80">
        <v>129.43</v>
      </c>
      <c r="K80">
        <v>39</v>
      </c>
      <c r="M80">
        <v>0</v>
      </c>
      <c r="N80" s="2">
        <v>11</v>
      </c>
      <c r="O80">
        <v>1016.45</v>
      </c>
      <c r="P80">
        <v>2</v>
      </c>
      <c r="Q80">
        <v>9</v>
      </c>
      <c r="R80">
        <v>4.04</v>
      </c>
      <c r="S80">
        <v>3</v>
      </c>
      <c r="T80">
        <v>16</v>
      </c>
      <c r="U80" s="2">
        <v>2070.88</v>
      </c>
      <c r="V80">
        <v>0</v>
      </c>
      <c r="W80" t="s">
        <v>29</v>
      </c>
      <c r="X80" t="str">
        <f>IF(Table2[[#This Row],[Qty available]]&gt;Table2[[#This Row],[Qty on hand]],"Check","OK")</f>
        <v>OK</v>
      </c>
    </row>
    <row r="81" spans="1:24" x14ac:dyDescent="0.3">
      <c r="A81" t="s">
        <v>60</v>
      </c>
      <c r="B81" t="s">
        <v>61</v>
      </c>
      <c r="C81" t="s">
        <v>57</v>
      </c>
      <c r="D81" t="s">
        <v>58</v>
      </c>
      <c r="E81" t="s">
        <v>27</v>
      </c>
      <c r="F81" s="1" t="s">
        <v>36</v>
      </c>
      <c r="G81" s="2">
        <v>93.05</v>
      </c>
      <c r="H81">
        <v>93.05</v>
      </c>
      <c r="I81">
        <v>92.404544999999999</v>
      </c>
      <c r="J81">
        <v>129.43</v>
      </c>
      <c r="K81">
        <v>39</v>
      </c>
      <c r="M81">
        <v>0</v>
      </c>
      <c r="N81" s="2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11</v>
      </c>
      <c r="U81" s="2">
        <v>1423.73</v>
      </c>
      <c r="V81">
        <v>14</v>
      </c>
      <c r="W81" t="s">
        <v>59</v>
      </c>
      <c r="X81" t="str">
        <f>IF(Table2[[#This Row],[Qty available]]&gt;Table2[[#This Row],[Qty on hand]],"Check","OK")</f>
        <v>OK</v>
      </c>
    </row>
    <row r="82" spans="1:24" x14ac:dyDescent="0.3">
      <c r="A82" t="s">
        <v>60</v>
      </c>
      <c r="B82" t="s">
        <v>61</v>
      </c>
      <c r="C82" t="s">
        <v>57</v>
      </c>
      <c r="D82" t="s">
        <v>58</v>
      </c>
      <c r="E82" t="s">
        <v>27</v>
      </c>
      <c r="F82" s="1" t="s">
        <v>37</v>
      </c>
      <c r="G82" s="2">
        <v>94.58</v>
      </c>
      <c r="H82">
        <v>94.58</v>
      </c>
      <c r="I82">
        <v>94.58</v>
      </c>
      <c r="J82">
        <v>129.43</v>
      </c>
      <c r="K82">
        <v>39</v>
      </c>
      <c r="L82" s="2">
        <v>34</v>
      </c>
      <c r="M82">
        <v>46</v>
      </c>
      <c r="N82" s="2">
        <v>39</v>
      </c>
      <c r="O82">
        <v>3688.62</v>
      </c>
      <c r="P82">
        <v>4</v>
      </c>
      <c r="Q82">
        <v>35</v>
      </c>
      <c r="R82">
        <v>15.08</v>
      </c>
      <c r="S82">
        <v>9</v>
      </c>
      <c r="T82">
        <v>7</v>
      </c>
      <c r="U82" s="2">
        <v>906.01</v>
      </c>
      <c r="V82">
        <v>0</v>
      </c>
      <c r="W82" t="s">
        <v>29</v>
      </c>
      <c r="X82" t="str">
        <f>IF(Table2[[#This Row],[Qty available]]&gt;Table2[[#This Row],[Qty on hand]],"Check","OK")</f>
        <v>OK</v>
      </c>
    </row>
    <row r="83" spans="1:24" x14ac:dyDescent="0.3">
      <c r="A83" t="s">
        <v>60</v>
      </c>
      <c r="B83" t="s">
        <v>61</v>
      </c>
      <c r="C83" t="s">
        <v>57</v>
      </c>
      <c r="D83" t="s">
        <v>58</v>
      </c>
      <c r="E83" t="s">
        <v>27</v>
      </c>
      <c r="F83" s="1" t="s">
        <v>38</v>
      </c>
      <c r="G83" s="2">
        <v>94.06</v>
      </c>
      <c r="H83">
        <v>94.06</v>
      </c>
      <c r="I83">
        <v>94.58</v>
      </c>
      <c r="J83">
        <v>129.43</v>
      </c>
      <c r="K83">
        <v>39</v>
      </c>
      <c r="M83">
        <v>0</v>
      </c>
      <c r="N83" s="2">
        <v>29</v>
      </c>
      <c r="O83">
        <v>2742.82</v>
      </c>
      <c r="P83">
        <v>4</v>
      </c>
      <c r="Q83">
        <v>25</v>
      </c>
      <c r="R83">
        <v>13.46</v>
      </c>
      <c r="S83">
        <v>9</v>
      </c>
      <c r="T83">
        <v>10</v>
      </c>
      <c r="U83" s="2">
        <v>1294.3</v>
      </c>
      <c r="V83">
        <v>0</v>
      </c>
      <c r="W83" t="s">
        <v>29</v>
      </c>
      <c r="X83" t="str">
        <f>IF(Table2[[#This Row],[Qty available]]&gt;Table2[[#This Row],[Qty on hand]],"Check","OK")</f>
        <v>OK</v>
      </c>
    </row>
    <row r="84" spans="1:24" x14ac:dyDescent="0.3">
      <c r="A84" t="s">
        <v>60</v>
      </c>
      <c r="B84" t="s">
        <v>61</v>
      </c>
      <c r="C84" t="s">
        <v>57</v>
      </c>
      <c r="D84" t="s">
        <v>58</v>
      </c>
      <c r="E84" t="s">
        <v>27</v>
      </c>
      <c r="F84" s="1" t="s">
        <v>39</v>
      </c>
      <c r="G84" s="2">
        <v>92.48</v>
      </c>
      <c r="H84">
        <v>92.48</v>
      </c>
      <c r="I84">
        <v>93.864074000000002</v>
      </c>
      <c r="J84">
        <v>129.43</v>
      </c>
      <c r="K84">
        <v>39</v>
      </c>
      <c r="L84" s="2">
        <v>37</v>
      </c>
      <c r="M84">
        <v>15</v>
      </c>
      <c r="N84" s="2">
        <v>27</v>
      </c>
      <c r="O84">
        <v>2534.33</v>
      </c>
      <c r="P84">
        <v>3</v>
      </c>
      <c r="Q84">
        <v>24</v>
      </c>
      <c r="R84">
        <v>10.44</v>
      </c>
      <c r="S84">
        <v>3</v>
      </c>
      <c r="T84">
        <v>17</v>
      </c>
      <c r="U84" s="2">
        <v>2200.31</v>
      </c>
      <c r="V84">
        <v>0</v>
      </c>
      <c r="W84" t="s">
        <v>29</v>
      </c>
      <c r="X84" t="str">
        <f>IF(Table2[[#This Row],[Qty available]]&gt;Table2[[#This Row],[Qty on hand]],"Check","OK")</f>
        <v>OK</v>
      </c>
    </row>
    <row r="85" spans="1:24" x14ac:dyDescent="0.3">
      <c r="A85" t="s">
        <v>60</v>
      </c>
      <c r="B85" t="s">
        <v>61</v>
      </c>
      <c r="C85" t="s">
        <v>57</v>
      </c>
      <c r="D85" t="s">
        <v>58</v>
      </c>
      <c r="E85" t="s">
        <v>27</v>
      </c>
      <c r="F85" s="1" t="s">
        <v>40</v>
      </c>
      <c r="G85" s="2">
        <v>91.79</v>
      </c>
      <c r="H85">
        <v>91.79</v>
      </c>
      <c r="I85">
        <v>93.123333000000002</v>
      </c>
      <c r="J85">
        <v>129.43</v>
      </c>
      <c r="K85">
        <v>39</v>
      </c>
      <c r="L85" s="2">
        <v>37</v>
      </c>
      <c r="M85">
        <v>15</v>
      </c>
      <c r="N85" s="2">
        <v>24</v>
      </c>
      <c r="O85">
        <v>2234.96</v>
      </c>
      <c r="P85">
        <v>4</v>
      </c>
      <c r="Q85">
        <v>20</v>
      </c>
      <c r="R85">
        <v>7.01</v>
      </c>
      <c r="S85">
        <v>6</v>
      </c>
      <c r="T85">
        <v>18</v>
      </c>
      <c r="U85" s="2">
        <v>2329.7399999999998</v>
      </c>
      <c r="V85">
        <v>0</v>
      </c>
      <c r="W85" t="s">
        <v>29</v>
      </c>
      <c r="X85" t="str">
        <f>IF(Table2[[#This Row],[Qty available]]&gt;Table2[[#This Row],[Qty on hand]],"Check","OK")</f>
        <v>OK</v>
      </c>
    </row>
    <row r="86" spans="1:24" x14ac:dyDescent="0.3">
      <c r="A86" t="s">
        <v>60</v>
      </c>
      <c r="B86" t="s">
        <v>61</v>
      </c>
      <c r="C86" t="s">
        <v>57</v>
      </c>
      <c r="D86" t="s">
        <v>58</v>
      </c>
      <c r="E86" t="s">
        <v>27</v>
      </c>
      <c r="F86" s="1" t="s">
        <v>41</v>
      </c>
      <c r="G86" s="2">
        <v>92.99</v>
      </c>
      <c r="H86">
        <v>92.99</v>
      </c>
      <c r="I86">
        <v>93.123529000000005</v>
      </c>
      <c r="J86">
        <v>129.43</v>
      </c>
      <c r="K86">
        <v>39</v>
      </c>
      <c r="M86">
        <v>0</v>
      </c>
      <c r="N86" s="2">
        <v>17</v>
      </c>
      <c r="O86">
        <v>1583.1</v>
      </c>
      <c r="P86">
        <v>3</v>
      </c>
      <c r="Q86">
        <v>14</v>
      </c>
      <c r="R86">
        <v>5.32</v>
      </c>
      <c r="S86">
        <v>0</v>
      </c>
      <c r="T86">
        <v>7</v>
      </c>
      <c r="U86" s="2">
        <v>906.01</v>
      </c>
      <c r="V86">
        <v>0</v>
      </c>
      <c r="W86" t="s">
        <v>29</v>
      </c>
      <c r="X86" t="str">
        <f>IF(Table2[[#This Row],[Qty available]]&gt;Table2[[#This Row],[Qty on hand]],"Check","OK")</f>
        <v>OK</v>
      </c>
    </row>
    <row r="87" spans="1:24" x14ac:dyDescent="0.3">
      <c r="A87" t="s">
        <v>60</v>
      </c>
      <c r="B87" t="s">
        <v>61</v>
      </c>
      <c r="C87" t="s">
        <v>57</v>
      </c>
      <c r="D87" t="s">
        <v>58</v>
      </c>
      <c r="E87" t="s">
        <v>27</v>
      </c>
      <c r="F87" s="1" t="s">
        <v>42</v>
      </c>
      <c r="G87" s="2">
        <v>91.28</v>
      </c>
      <c r="H87">
        <v>91.28</v>
      </c>
      <c r="I87">
        <v>92.259</v>
      </c>
      <c r="J87">
        <v>129.43</v>
      </c>
      <c r="K87">
        <v>39</v>
      </c>
      <c r="L87" s="2">
        <v>36</v>
      </c>
      <c r="M87">
        <v>15</v>
      </c>
      <c r="N87" s="2">
        <v>10</v>
      </c>
      <c r="O87">
        <v>922.59</v>
      </c>
      <c r="P87">
        <v>3</v>
      </c>
      <c r="Q87">
        <v>7</v>
      </c>
      <c r="R87">
        <v>2.8</v>
      </c>
      <c r="S87">
        <v>2</v>
      </c>
      <c r="T87">
        <v>22</v>
      </c>
      <c r="U87" s="2">
        <v>2847.46</v>
      </c>
      <c r="V87">
        <v>0</v>
      </c>
      <c r="W87" t="s">
        <v>29</v>
      </c>
      <c r="X87" t="str">
        <f>IF(Table2[[#This Row],[Qty available]]&gt;Table2[[#This Row],[Qty on hand]],"Check","OK")</f>
        <v>OK</v>
      </c>
    </row>
    <row r="88" spans="1:24" x14ac:dyDescent="0.3">
      <c r="A88" t="s">
        <v>60</v>
      </c>
      <c r="B88" t="s">
        <v>61</v>
      </c>
      <c r="C88" t="s">
        <v>57</v>
      </c>
      <c r="D88" t="s">
        <v>58</v>
      </c>
      <c r="E88" t="s">
        <v>27</v>
      </c>
      <c r="F88" s="1" t="s">
        <v>43</v>
      </c>
      <c r="G88" s="2">
        <v>92.56</v>
      </c>
      <c r="H88">
        <v>92.56</v>
      </c>
      <c r="I88">
        <v>92.44</v>
      </c>
      <c r="J88">
        <v>129.43</v>
      </c>
      <c r="K88">
        <v>39</v>
      </c>
      <c r="L88" s="2">
        <v>54</v>
      </c>
      <c r="M88">
        <v>15</v>
      </c>
      <c r="N88" s="2">
        <v>12</v>
      </c>
      <c r="O88">
        <v>1109.28</v>
      </c>
      <c r="P88">
        <v>3</v>
      </c>
      <c r="Q88">
        <v>9</v>
      </c>
      <c r="R88">
        <v>3.71</v>
      </c>
      <c r="S88">
        <v>1</v>
      </c>
      <c r="T88">
        <v>13</v>
      </c>
      <c r="U88" s="2">
        <v>1682.59</v>
      </c>
      <c r="V88">
        <v>0</v>
      </c>
      <c r="W88" t="s">
        <v>29</v>
      </c>
      <c r="X88" t="str">
        <f>IF(Table2[[#This Row],[Qty available]]&gt;Table2[[#This Row],[Qty on hand]],"Check","OK")</f>
        <v>OK</v>
      </c>
    </row>
    <row r="89" spans="1:24" x14ac:dyDescent="0.3">
      <c r="A89" t="s">
        <v>60</v>
      </c>
      <c r="B89" t="s">
        <v>61</v>
      </c>
      <c r="C89" t="s">
        <v>57</v>
      </c>
      <c r="D89" t="s">
        <v>58</v>
      </c>
      <c r="E89" t="s">
        <v>27</v>
      </c>
      <c r="F89" s="1" t="s">
        <v>44</v>
      </c>
      <c r="G89" s="2">
        <v>92.24</v>
      </c>
      <c r="H89">
        <v>92.24</v>
      </c>
      <c r="I89">
        <v>92.312856999999994</v>
      </c>
      <c r="J89">
        <v>129.43</v>
      </c>
      <c r="K89">
        <v>39</v>
      </c>
      <c r="L89" s="2">
        <v>51</v>
      </c>
      <c r="M89">
        <v>21</v>
      </c>
      <c r="N89" s="2">
        <v>14</v>
      </c>
      <c r="O89">
        <v>1292.3800000000001</v>
      </c>
      <c r="P89">
        <v>4</v>
      </c>
      <c r="Q89">
        <v>10</v>
      </c>
      <c r="R89">
        <v>3.41</v>
      </c>
      <c r="S89">
        <v>4</v>
      </c>
      <c r="T89">
        <v>19</v>
      </c>
      <c r="U89" s="2">
        <v>2459.17</v>
      </c>
      <c r="V89">
        <v>0</v>
      </c>
      <c r="W89" t="s">
        <v>29</v>
      </c>
      <c r="X89" t="str">
        <f>IF(Table2[[#This Row],[Qty available]]&gt;Table2[[#This Row],[Qty on hand]],"Check","OK")</f>
        <v>OK</v>
      </c>
    </row>
    <row r="90" spans="1:24" x14ac:dyDescent="0.3">
      <c r="A90" t="s">
        <v>60</v>
      </c>
      <c r="B90" t="s">
        <v>61</v>
      </c>
      <c r="C90" t="s">
        <v>57</v>
      </c>
      <c r="D90" t="s">
        <v>58</v>
      </c>
      <c r="E90" t="s">
        <v>27</v>
      </c>
      <c r="F90" s="1" t="s">
        <v>45</v>
      </c>
      <c r="G90" s="2">
        <v>97.29</v>
      </c>
      <c r="H90">
        <v>97.29</v>
      </c>
      <c r="I90">
        <v>94.887241000000003</v>
      </c>
      <c r="J90">
        <v>129.43</v>
      </c>
      <c r="K90">
        <v>39</v>
      </c>
      <c r="L90" s="2">
        <v>36</v>
      </c>
      <c r="M90">
        <v>15</v>
      </c>
      <c r="N90" s="2">
        <v>29</v>
      </c>
      <c r="O90">
        <v>2751.73</v>
      </c>
      <c r="P90">
        <v>5</v>
      </c>
      <c r="Q90">
        <v>24</v>
      </c>
      <c r="R90">
        <v>11.91</v>
      </c>
      <c r="S90">
        <v>35</v>
      </c>
      <c r="T90">
        <v>0</v>
      </c>
      <c r="U90" s="2">
        <v>0</v>
      </c>
      <c r="V90">
        <v>0</v>
      </c>
      <c r="W90" t="s">
        <v>29</v>
      </c>
      <c r="X90" t="str">
        <f>IF(Table2[[#This Row],[Qty available]]&gt;Table2[[#This Row],[Qty on hand]],"Check","OK")</f>
        <v>OK</v>
      </c>
    </row>
    <row r="91" spans="1:24" x14ac:dyDescent="0.3">
      <c r="A91" t="s">
        <v>60</v>
      </c>
      <c r="B91" t="s">
        <v>61</v>
      </c>
      <c r="C91" t="s">
        <v>57</v>
      </c>
      <c r="D91" t="s">
        <v>58</v>
      </c>
      <c r="E91" t="s">
        <v>27</v>
      </c>
      <c r="F91" s="1" t="s">
        <v>46</v>
      </c>
      <c r="G91" s="2">
        <v>98.19</v>
      </c>
      <c r="H91">
        <v>98.19</v>
      </c>
      <c r="I91">
        <v>96.013333000000003</v>
      </c>
      <c r="J91">
        <v>135.12</v>
      </c>
      <c r="K91">
        <v>39</v>
      </c>
      <c r="L91" s="2">
        <v>36</v>
      </c>
      <c r="M91">
        <v>15</v>
      </c>
      <c r="N91" s="2">
        <v>24</v>
      </c>
      <c r="O91">
        <v>2304.3200000000002</v>
      </c>
      <c r="P91">
        <v>4</v>
      </c>
      <c r="Q91">
        <v>20</v>
      </c>
      <c r="R91">
        <v>7.91</v>
      </c>
      <c r="S91">
        <v>10</v>
      </c>
      <c r="T91">
        <v>20</v>
      </c>
      <c r="U91" s="2">
        <v>2702.4</v>
      </c>
      <c r="V91">
        <v>0</v>
      </c>
      <c r="W91" t="s">
        <v>29</v>
      </c>
      <c r="X91" t="str">
        <f>IF(Table2[[#This Row],[Qty available]]&gt;Table2[[#This Row],[Qty on hand]],"Check","OK")</f>
        <v>OK</v>
      </c>
    </row>
    <row r="92" spans="1:24" x14ac:dyDescent="0.3">
      <c r="A92" t="s">
        <v>60</v>
      </c>
      <c r="B92" t="s">
        <v>61</v>
      </c>
      <c r="C92" t="s">
        <v>57</v>
      </c>
      <c r="D92" t="s">
        <v>58</v>
      </c>
      <c r="E92" t="s">
        <v>27</v>
      </c>
      <c r="F92" s="1" t="s">
        <v>47</v>
      </c>
      <c r="G92" s="2">
        <v>96.79</v>
      </c>
      <c r="H92">
        <v>96.79</v>
      </c>
      <c r="I92">
        <v>96.013076999999996</v>
      </c>
      <c r="J92">
        <v>135.12</v>
      </c>
      <c r="K92">
        <v>39</v>
      </c>
      <c r="M92">
        <v>0</v>
      </c>
      <c r="N92" s="2">
        <v>13</v>
      </c>
      <c r="O92">
        <v>1248.17</v>
      </c>
      <c r="P92">
        <v>4</v>
      </c>
      <c r="Q92">
        <v>9</v>
      </c>
      <c r="R92">
        <v>5.39</v>
      </c>
      <c r="S92">
        <v>8</v>
      </c>
      <c r="T92">
        <v>11</v>
      </c>
      <c r="U92" s="2">
        <v>1486.32</v>
      </c>
      <c r="V92">
        <v>0</v>
      </c>
      <c r="W92" t="s">
        <v>29</v>
      </c>
      <c r="X92" t="str">
        <f>IF(Table2[[#This Row],[Qty available]]&gt;Table2[[#This Row],[Qty on hand]],"Check","OK")</f>
        <v>OK</v>
      </c>
    </row>
    <row r="93" spans="1:24" x14ac:dyDescent="0.3">
      <c r="A93" t="s">
        <v>60</v>
      </c>
      <c r="B93" t="s">
        <v>61</v>
      </c>
      <c r="C93" t="s">
        <v>57</v>
      </c>
      <c r="D93" t="s">
        <v>58</v>
      </c>
      <c r="E93" t="s">
        <v>27</v>
      </c>
      <c r="F93" s="1" t="s">
        <v>48</v>
      </c>
      <c r="G93" s="2">
        <v>96.98</v>
      </c>
      <c r="H93">
        <v>96.98</v>
      </c>
      <c r="I93">
        <v>96.657857000000007</v>
      </c>
      <c r="J93">
        <v>135.12</v>
      </c>
      <c r="K93">
        <v>39</v>
      </c>
      <c r="L93" s="2">
        <v>35</v>
      </c>
      <c r="M93">
        <v>26</v>
      </c>
      <c r="N93" s="2">
        <v>28</v>
      </c>
      <c r="O93">
        <v>2706.42</v>
      </c>
      <c r="P93">
        <v>3</v>
      </c>
      <c r="Q93">
        <v>25</v>
      </c>
      <c r="R93">
        <v>8.48</v>
      </c>
      <c r="S93">
        <v>0</v>
      </c>
      <c r="T93">
        <v>11</v>
      </c>
      <c r="U93" s="2">
        <v>1486.32</v>
      </c>
      <c r="V93">
        <v>0</v>
      </c>
      <c r="W93" t="s">
        <v>29</v>
      </c>
      <c r="X93" t="str">
        <f>IF(Table2[[#This Row],[Qty available]]&gt;Table2[[#This Row],[Qty on hand]],"Check","OK")</f>
        <v>OK</v>
      </c>
    </row>
    <row r="94" spans="1:24" x14ac:dyDescent="0.3">
      <c r="A94" t="s">
        <v>60</v>
      </c>
      <c r="B94" t="s">
        <v>61</v>
      </c>
      <c r="C94" t="s">
        <v>57</v>
      </c>
      <c r="D94" t="s">
        <v>58</v>
      </c>
      <c r="E94" t="s">
        <v>27</v>
      </c>
      <c r="F94" s="1" t="s">
        <v>49</v>
      </c>
      <c r="G94" s="2">
        <v>96.87</v>
      </c>
      <c r="H94">
        <v>96.87</v>
      </c>
      <c r="I94">
        <v>96.732105000000004</v>
      </c>
      <c r="J94">
        <v>135.12</v>
      </c>
      <c r="K94">
        <v>39</v>
      </c>
      <c r="L94" s="2">
        <v>38</v>
      </c>
      <c r="M94">
        <v>15</v>
      </c>
      <c r="N94" s="2">
        <v>19</v>
      </c>
      <c r="O94">
        <v>1837.91</v>
      </c>
      <c r="P94">
        <v>1</v>
      </c>
      <c r="Q94">
        <v>18</v>
      </c>
      <c r="R94">
        <v>5.43</v>
      </c>
      <c r="S94">
        <v>2</v>
      </c>
      <c r="T94">
        <v>24</v>
      </c>
      <c r="U94" s="2">
        <v>3242.88</v>
      </c>
      <c r="V94">
        <v>0</v>
      </c>
      <c r="W94" t="s">
        <v>29</v>
      </c>
      <c r="X94" t="str">
        <f>IF(Table2[[#This Row],[Qty available]]&gt;Table2[[#This Row],[Qty on hand]],"Check","OK")</f>
        <v>OK</v>
      </c>
    </row>
    <row r="95" spans="1:24" x14ac:dyDescent="0.3">
      <c r="A95" t="s">
        <v>60</v>
      </c>
      <c r="B95" t="s">
        <v>61</v>
      </c>
      <c r="C95" t="s">
        <v>57</v>
      </c>
      <c r="D95" t="s">
        <v>58</v>
      </c>
      <c r="E95" t="s">
        <v>27</v>
      </c>
      <c r="F95" s="1" t="s">
        <v>50</v>
      </c>
      <c r="G95" s="2">
        <v>98.04</v>
      </c>
      <c r="H95">
        <v>98.04</v>
      </c>
      <c r="I95">
        <v>96.731667000000002</v>
      </c>
      <c r="J95">
        <v>135.12</v>
      </c>
      <c r="K95">
        <v>39</v>
      </c>
      <c r="M95">
        <v>0</v>
      </c>
      <c r="N95" s="2">
        <v>6</v>
      </c>
      <c r="O95">
        <v>580.39</v>
      </c>
      <c r="P95">
        <v>5</v>
      </c>
      <c r="Q95">
        <v>1</v>
      </c>
      <c r="R95">
        <v>1.63</v>
      </c>
      <c r="S95">
        <v>0</v>
      </c>
      <c r="T95">
        <v>13</v>
      </c>
      <c r="U95" s="2">
        <v>1756.56</v>
      </c>
      <c r="V95">
        <v>0</v>
      </c>
      <c r="W95" t="s">
        <v>29</v>
      </c>
      <c r="X95" t="str">
        <f>IF(Table2[[#This Row],[Qty available]]&gt;Table2[[#This Row],[Qty on hand]],"Check","OK")</f>
        <v>OK</v>
      </c>
    </row>
    <row r="96" spans="1:24" x14ac:dyDescent="0.3">
      <c r="A96" t="s">
        <v>60</v>
      </c>
      <c r="B96" t="s">
        <v>61</v>
      </c>
      <c r="C96" t="s">
        <v>57</v>
      </c>
      <c r="D96" t="s">
        <v>58</v>
      </c>
      <c r="E96" t="s">
        <v>27</v>
      </c>
      <c r="F96" s="1" t="s">
        <v>51</v>
      </c>
      <c r="G96" s="2">
        <v>98</v>
      </c>
      <c r="H96">
        <v>98</v>
      </c>
      <c r="I96">
        <v>97.695333000000005</v>
      </c>
      <c r="J96">
        <v>135.12</v>
      </c>
      <c r="K96">
        <v>39</v>
      </c>
      <c r="L96" s="2">
        <v>38</v>
      </c>
      <c r="M96">
        <v>19</v>
      </c>
      <c r="N96" s="2">
        <v>15</v>
      </c>
      <c r="O96">
        <v>1465.43</v>
      </c>
      <c r="P96">
        <v>4</v>
      </c>
      <c r="Q96">
        <v>11</v>
      </c>
      <c r="R96">
        <v>4.1900000000000004</v>
      </c>
      <c r="S96">
        <v>13</v>
      </c>
      <c r="T96">
        <v>10</v>
      </c>
      <c r="U96" s="2">
        <v>1351.2</v>
      </c>
      <c r="V96">
        <v>0</v>
      </c>
      <c r="W96" t="s">
        <v>29</v>
      </c>
      <c r="X96" t="str">
        <f>IF(Table2[[#This Row],[Qty available]]&gt;Table2[[#This Row],[Qty on hand]],"Check","OK")</f>
        <v>OK</v>
      </c>
    </row>
    <row r="97" spans="1:24" x14ac:dyDescent="0.3">
      <c r="A97" t="s">
        <v>60</v>
      </c>
      <c r="B97" t="s">
        <v>61</v>
      </c>
      <c r="C97" t="s">
        <v>57</v>
      </c>
      <c r="D97" t="s">
        <v>58</v>
      </c>
      <c r="E97" t="s">
        <v>27</v>
      </c>
      <c r="F97" s="1" t="s">
        <v>52</v>
      </c>
      <c r="G97" s="2">
        <v>96.28</v>
      </c>
      <c r="H97">
        <v>96.28</v>
      </c>
      <c r="I97">
        <v>96.923000000000002</v>
      </c>
      <c r="J97">
        <v>135.12</v>
      </c>
      <c r="K97">
        <v>39</v>
      </c>
      <c r="L97" s="2">
        <v>35</v>
      </c>
      <c r="M97">
        <v>18</v>
      </c>
      <c r="N97" s="2">
        <v>10</v>
      </c>
      <c r="O97">
        <v>969.23</v>
      </c>
      <c r="P97">
        <v>1</v>
      </c>
      <c r="Q97">
        <v>9</v>
      </c>
      <c r="R97">
        <v>2.86</v>
      </c>
      <c r="S97">
        <v>2</v>
      </c>
      <c r="T97">
        <v>23</v>
      </c>
      <c r="U97" s="2">
        <v>3107.76</v>
      </c>
      <c r="V97">
        <v>0</v>
      </c>
      <c r="W97" t="s">
        <v>29</v>
      </c>
      <c r="X97" t="str">
        <f>IF(Table2[[#This Row],[Qty available]]&gt;Table2[[#This Row],[Qty on hand]],"Check","OK")</f>
        <v>OK</v>
      </c>
    </row>
    <row r="98" spans="1:24" x14ac:dyDescent="0.3">
      <c r="A98" t="s">
        <v>62</v>
      </c>
      <c r="B98" t="s">
        <v>63</v>
      </c>
      <c r="C98" t="s">
        <v>57</v>
      </c>
      <c r="D98" t="s">
        <v>58</v>
      </c>
      <c r="E98" t="s">
        <v>27</v>
      </c>
      <c r="F98" s="1" t="s">
        <v>28</v>
      </c>
      <c r="G98" s="2">
        <v>1.04</v>
      </c>
      <c r="H98">
        <v>1.1100000000000001</v>
      </c>
      <c r="I98">
        <v>1.113124</v>
      </c>
      <c r="J98">
        <v>1.5</v>
      </c>
      <c r="K98">
        <v>16</v>
      </c>
      <c r="M98">
        <v>0</v>
      </c>
      <c r="N98" s="2">
        <v>477</v>
      </c>
      <c r="O98">
        <v>530.96</v>
      </c>
      <c r="P98">
        <v>62</v>
      </c>
      <c r="Q98">
        <v>415</v>
      </c>
      <c r="R98">
        <v>13.9</v>
      </c>
      <c r="S98">
        <v>0</v>
      </c>
      <c r="T98">
        <v>87</v>
      </c>
      <c r="U98" s="2">
        <v>130.5</v>
      </c>
      <c r="V98">
        <v>0</v>
      </c>
      <c r="W98" t="s">
        <v>29</v>
      </c>
      <c r="X98" t="str">
        <f>IF(Table2[[#This Row],[Qty available]]&gt;Table2[[#This Row],[Qty on hand]],"Check","OK")</f>
        <v>OK</v>
      </c>
    </row>
    <row r="99" spans="1:24" x14ac:dyDescent="0.3">
      <c r="A99" t="s">
        <v>62</v>
      </c>
      <c r="B99" t="s">
        <v>63</v>
      </c>
      <c r="C99" t="s">
        <v>57</v>
      </c>
      <c r="D99" t="s">
        <v>58</v>
      </c>
      <c r="E99" t="s">
        <v>27</v>
      </c>
      <c r="F99" s="1" t="s">
        <v>30</v>
      </c>
      <c r="G99" s="2">
        <v>1.03</v>
      </c>
      <c r="H99">
        <v>1.1000000000000001</v>
      </c>
      <c r="I99">
        <v>1.108776</v>
      </c>
      <c r="J99">
        <v>1.5</v>
      </c>
      <c r="K99">
        <v>16</v>
      </c>
      <c r="L99" s="2">
        <v>21</v>
      </c>
      <c r="M99">
        <v>236</v>
      </c>
      <c r="N99" s="2">
        <v>441</v>
      </c>
      <c r="O99">
        <v>488.97</v>
      </c>
      <c r="P99">
        <v>62</v>
      </c>
      <c r="Q99">
        <v>379</v>
      </c>
      <c r="R99">
        <v>9.98</v>
      </c>
      <c r="S99">
        <v>2</v>
      </c>
      <c r="T99">
        <v>272</v>
      </c>
      <c r="U99" s="2">
        <v>408</v>
      </c>
      <c r="V99">
        <v>0</v>
      </c>
      <c r="W99" t="s">
        <v>29</v>
      </c>
      <c r="X99" t="str">
        <f>IF(Table2[[#This Row],[Qty available]]&gt;Table2[[#This Row],[Qty on hand]],"Check","OK")</f>
        <v>OK</v>
      </c>
    </row>
    <row r="100" spans="1:24" x14ac:dyDescent="0.3">
      <c r="A100" t="s">
        <v>62</v>
      </c>
      <c r="B100" t="s">
        <v>63</v>
      </c>
      <c r="C100" t="s">
        <v>57</v>
      </c>
      <c r="D100" t="s">
        <v>58</v>
      </c>
      <c r="E100" t="s">
        <v>27</v>
      </c>
      <c r="F100" s="1" t="s">
        <v>31</v>
      </c>
      <c r="G100" s="2">
        <v>1.04</v>
      </c>
      <c r="H100">
        <v>1.1100000000000001</v>
      </c>
      <c r="I100">
        <v>1.1090059999999999</v>
      </c>
      <c r="J100">
        <v>1.5</v>
      </c>
      <c r="K100">
        <v>16</v>
      </c>
      <c r="L100" s="2">
        <v>21</v>
      </c>
      <c r="M100">
        <v>111</v>
      </c>
      <c r="N100" s="2">
        <v>312</v>
      </c>
      <c r="O100">
        <v>346.01</v>
      </c>
      <c r="P100">
        <v>23</v>
      </c>
      <c r="Q100">
        <v>289</v>
      </c>
      <c r="R100">
        <v>6.77</v>
      </c>
      <c r="S100">
        <v>0</v>
      </c>
      <c r="T100">
        <v>240</v>
      </c>
      <c r="U100" s="2">
        <v>360</v>
      </c>
      <c r="V100">
        <v>0</v>
      </c>
      <c r="W100" t="s">
        <v>29</v>
      </c>
      <c r="X100" t="str">
        <f>IF(Table2[[#This Row],[Qty available]]&gt;Table2[[#This Row],[Qty on hand]],"Check","OK")</f>
        <v>OK</v>
      </c>
    </row>
    <row r="101" spans="1:24" x14ac:dyDescent="0.3">
      <c r="A101" t="s">
        <v>62</v>
      </c>
      <c r="B101" t="s">
        <v>63</v>
      </c>
      <c r="C101" t="s">
        <v>57</v>
      </c>
      <c r="D101" t="s">
        <v>58</v>
      </c>
      <c r="E101" t="s">
        <v>27</v>
      </c>
      <c r="F101" s="1" t="s">
        <v>32</v>
      </c>
      <c r="G101" s="2">
        <v>1.05</v>
      </c>
      <c r="H101">
        <v>1.1200000000000001</v>
      </c>
      <c r="I101">
        <v>1.115148</v>
      </c>
      <c r="J101">
        <v>1.5</v>
      </c>
      <c r="K101">
        <v>16</v>
      </c>
      <c r="L101" s="2">
        <v>14</v>
      </c>
      <c r="M101">
        <v>396</v>
      </c>
      <c r="N101" s="2">
        <v>507</v>
      </c>
      <c r="O101">
        <v>565.38</v>
      </c>
      <c r="P101">
        <v>23</v>
      </c>
      <c r="Q101">
        <v>484</v>
      </c>
      <c r="R101">
        <v>9.35</v>
      </c>
      <c r="S101">
        <v>0</v>
      </c>
      <c r="T101">
        <v>201</v>
      </c>
      <c r="U101" s="2">
        <v>301.5</v>
      </c>
      <c r="V101">
        <v>0</v>
      </c>
      <c r="W101" t="s">
        <v>29</v>
      </c>
      <c r="X101" t="str">
        <f>IF(Table2[[#This Row],[Qty available]]&gt;Table2[[#This Row],[Qty on hand]],"Check","OK")</f>
        <v>OK</v>
      </c>
    </row>
    <row r="102" spans="1:24" x14ac:dyDescent="0.3">
      <c r="A102" t="s">
        <v>62</v>
      </c>
      <c r="B102" t="s">
        <v>63</v>
      </c>
      <c r="C102" t="s">
        <v>57</v>
      </c>
      <c r="D102" t="s">
        <v>58</v>
      </c>
      <c r="E102" t="s">
        <v>27</v>
      </c>
      <c r="F102" s="1" t="s">
        <v>33</v>
      </c>
      <c r="G102" s="2">
        <v>1.0900000000000001</v>
      </c>
      <c r="H102">
        <v>1.1599999999999999</v>
      </c>
      <c r="I102">
        <v>1.1289800000000001</v>
      </c>
      <c r="J102">
        <v>1.5</v>
      </c>
      <c r="K102">
        <v>16</v>
      </c>
      <c r="L102" s="2">
        <v>16</v>
      </c>
      <c r="M102">
        <v>226</v>
      </c>
      <c r="N102" s="2">
        <v>539</v>
      </c>
      <c r="O102">
        <v>608.52</v>
      </c>
      <c r="P102">
        <v>70</v>
      </c>
      <c r="Q102">
        <v>469</v>
      </c>
      <c r="R102">
        <v>11.16</v>
      </c>
      <c r="S102">
        <v>0</v>
      </c>
      <c r="T102">
        <v>194</v>
      </c>
      <c r="U102" s="2">
        <v>291</v>
      </c>
      <c r="V102">
        <v>0</v>
      </c>
      <c r="W102" t="s">
        <v>29</v>
      </c>
      <c r="X102" t="str">
        <f>IF(Table2[[#This Row],[Qty available]]&gt;Table2[[#This Row],[Qty on hand]],"Check","OK")</f>
        <v>OK</v>
      </c>
    </row>
    <row r="103" spans="1:24" x14ac:dyDescent="0.3">
      <c r="A103" t="s">
        <v>62</v>
      </c>
      <c r="B103" t="s">
        <v>63</v>
      </c>
      <c r="C103" t="s">
        <v>57</v>
      </c>
      <c r="D103" t="s">
        <v>58</v>
      </c>
      <c r="E103" t="s">
        <v>27</v>
      </c>
      <c r="F103" s="1" t="s">
        <v>34</v>
      </c>
      <c r="G103" s="2">
        <v>1.08</v>
      </c>
      <c r="H103">
        <v>1.1499999999999999</v>
      </c>
      <c r="I103">
        <v>1.1289899999999999</v>
      </c>
      <c r="J103">
        <v>1.58</v>
      </c>
      <c r="K103">
        <v>16</v>
      </c>
      <c r="M103">
        <v>0</v>
      </c>
      <c r="N103" s="2">
        <v>396</v>
      </c>
      <c r="O103">
        <v>447.08</v>
      </c>
      <c r="P103">
        <v>39</v>
      </c>
      <c r="Q103">
        <v>357</v>
      </c>
      <c r="R103">
        <v>9.4600000000000009</v>
      </c>
      <c r="S103">
        <v>0</v>
      </c>
      <c r="T103">
        <v>143</v>
      </c>
      <c r="U103" s="2">
        <v>225.94</v>
      </c>
      <c r="V103">
        <v>0</v>
      </c>
      <c r="W103" t="s">
        <v>29</v>
      </c>
      <c r="X103" t="str">
        <f>IF(Table2[[#This Row],[Qty available]]&gt;Table2[[#This Row],[Qty on hand]],"Check","OK")</f>
        <v>OK</v>
      </c>
    </row>
    <row r="104" spans="1:24" x14ac:dyDescent="0.3">
      <c r="A104" t="s">
        <v>62</v>
      </c>
      <c r="B104" t="s">
        <v>63</v>
      </c>
      <c r="C104" t="s">
        <v>57</v>
      </c>
      <c r="D104" t="s">
        <v>58</v>
      </c>
      <c r="E104" t="s">
        <v>27</v>
      </c>
      <c r="F104" s="1" t="s">
        <v>35</v>
      </c>
      <c r="G104" s="2">
        <v>1.07</v>
      </c>
      <c r="H104">
        <v>1.1399999999999999</v>
      </c>
      <c r="I104">
        <v>1.1327050000000001</v>
      </c>
      <c r="J104">
        <v>1.58</v>
      </c>
      <c r="K104">
        <v>16</v>
      </c>
      <c r="L104" s="2">
        <v>14</v>
      </c>
      <c r="M104">
        <v>202</v>
      </c>
      <c r="N104" s="2">
        <v>440</v>
      </c>
      <c r="O104">
        <v>498.39</v>
      </c>
      <c r="P104">
        <v>47</v>
      </c>
      <c r="Q104">
        <v>393</v>
      </c>
      <c r="R104">
        <v>11.43</v>
      </c>
      <c r="S104">
        <v>1</v>
      </c>
      <c r="T104">
        <v>158</v>
      </c>
      <c r="U104" s="2">
        <v>249.64</v>
      </c>
      <c r="V104">
        <v>0</v>
      </c>
      <c r="W104" t="s">
        <v>29</v>
      </c>
      <c r="X104" t="str">
        <f>IF(Table2[[#This Row],[Qty available]]&gt;Table2[[#This Row],[Qty on hand]],"Check","OK")</f>
        <v>OK</v>
      </c>
    </row>
    <row r="105" spans="1:24" x14ac:dyDescent="0.3">
      <c r="A105" t="s">
        <v>62</v>
      </c>
      <c r="B105" t="s">
        <v>63</v>
      </c>
      <c r="C105" t="s">
        <v>57</v>
      </c>
      <c r="D105" t="s">
        <v>58</v>
      </c>
      <c r="E105" t="s">
        <v>27</v>
      </c>
      <c r="F105" s="1" t="s">
        <v>36</v>
      </c>
      <c r="G105" s="2">
        <v>1.08</v>
      </c>
      <c r="H105">
        <v>1.1499999999999999</v>
      </c>
      <c r="I105">
        <v>1.1367590000000001</v>
      </c>
      <c r="J105">
        <v>1.58</v>
      </c>
      <c r="K105">
        <v>16</v>
      </c>
      <c r="L105" s="2">
        <v>24</v>
      </c>
      <c r="M105">
        <v>135</v>
      </c>
      <c r="N105" s="2">
        <v>361</v>
      </c>
      <c r="O105">
        <v>410.37</v>
      </c>
      <c r="P105">
        <v>23</v>
      </c>
      <c r="Q105">
        <v>338</v>
      </c>
      <c r="R105">
        <v>8.91</v>
      </c>
      <c r="S105">
        <v>4</v>
      </c>
      <c r="T105">
        <v>214</v>
      </c>
      <c r="U105" s="2">
        <v>338.12</v>
      </c>
      <c r="V105">
        <v>0</v>
      </c>
      <c r="W105" t="s">
        <v>29</v>
      </c>
      <c r="X105" t="str">
        <f>IF(Table2[[#This Row],[Qty available]]&gt;Table2[[#This Row],[Qty on hand]],"Check","OK")</f>
        <v>OK</v>
      </c>
    </row>
    <row r="106" spans="1:24" x14ac:dyDescent="0.3">
      <c r="A106" t="s">
        <v>62</v>
      </c>
      <c r="B106" t="s">
        <v>63</v>
      </c>
      <c r="C106" t="s">
        <v>57</v>
      </c>
      <c r="D106" t="s">
        <v>58</v>
      </c>
      <c r="E106" t="s">
        <v>27</v>
      </c>
      <c r="F106" s="1" t="s">
        <v>37</v>
      </c>
      <c r="G106" s="2">
        <v>1.0900000000000001</v>
      </c>
      <c r="H106">
        <v>1.1599999999999999</v>
      </c>
      <c r="I106">
        <v>1.1487289999999999</v>
      </c>
      <c r="J106">
        <v>1.58</v>
      </c>
      <c r="K106">
        <v>16</v>
      </c>
      <c r="L106" s="2">
        <v>29</v>
      </c>
      <c r="M106">
        <v>383</v>
      </c>
      <c r="N106" s="2">
        <v>480</v>
      </c>
      <c r="O106">
        <v>551.39</v>
      </c>
      <c r="P106">
        <v>16</v>
      </c>
      <c r="Q106">
        <v>464</v>
      </c>
      <c r="R106">
        <v>9.92</v>
      </c>
      <c r="S106">
        <v>1</v>
      </c>
      <c r="T106">
        <v>264</v>
      </c>
      <c r="U106" s="2">
        <v>417.12</v>
      </c>
      <c r="V106">
        <v>0</v>
      </c>
      <c r="W106" t="s">
        <v>29</v>
      </c>
      <c r="X106" t="str">
        <f>IF(Table2[[#This Row],[Qty available]]&gt;Table2[[#This Row],[Qty on hand]],"Check","OK")</f>
        <v>OK</v>
      </c>
    </row>
    <row r="107" spans="1:24" x14ac:dyDescent="0.3">
      <c r="A107" t="s">
        <v>62</v>
      </c>
      <c r="B107" t="s">
        <v>63</v>
      </c>
      <c r="C107" t="s">
        <v>57</v>
      </c>
      <c r="D107" t="s">
        <v>58</v>
      </c>
      <c r="E107" t="s">
        <v>27</v>
      </c>
      <c r="F107" s="1" t="s">
        <v>38</v>
      </c>
      <c r="G107" s="2">
        <v>1.08</v>
      </c>
      <c r="H107">
        <v>1.1499999999999999</v>
      </c>
      <c r="I107">
        <v>1.149132</v>
      </c>
      <c r="J107">
        <v>1.58</v>
      </c>
      <c r="K107">
        <v>16</v>
      </c>
      <c r="L107" s="2">
        <v>14</v>
      </c>
      <c r="M107">
        <v>222</v>
      </c>
      <c r="N107" s="2">
        <v>507</v>
      </c>
      <c r="O107">
        <v>582.61</v>
      </c>
      <c r="P107">
        <v>78</v>
      </c>
      <c r="Q107">
        <v>429</v>
      </c>
      <c r="R107">
        <v>9.7899999999999991</v>
      </c>
      <c r="S107">
        <v>1</v>
      </c>
      <c r="T107">
        <v>195</v>
      </c>
      <c r="U107" s="2">
        <v>308.10000000000002</v>
      </c>
      <c r="V107">
        <v>0</v>
      </c>
      <c r="W107" t="s">
        <v>29</v>
      </c>
      <c r="X107" t="str">
        <f>IF(Table2[[#This Row],[Qty available]]&gt;Table2[[#This Row],[Qty on hand]],"Check","OK")</f>
        <v>OK</v>
      </c>
    </row>
    <row r="108" spans="1:24" x14ac:dyDescent="0.3">
      <c r="A108" t="s">
        <v>62</v>
      </c>
      <c r="B108" t="s">
        <v>63</v>
      </c>
      <c r="C108" t="s">
        <v>57</v>
      </c>
      <c r="D108" t="s">
        <v>58</v>
      </c>
      <c r="E108" t="s">
        <v>27</v>
      </c>
      <c r="F108" s="1" t="s">
        <v>39</v>
      </c>
      <c r="G108" s="2">
        <v>1.0900000000000001</v>
      </c>
      <c r="H108">
        <v>1.1599999999999999</v>
      </c>
      <c r="I108">
        <v>1.151294</v>
      </c>
      <c r="J108">
        <v>1.58</v>
      </c>
      <c r="K108">
        <v>16</v>
      </c>
      <c r="L108" s="2">
        <v>15</v>
      </c>
      <c r="M108">
        <v>126</v>
      </c>
      <c r="N108" s="2">
        <v>201</v>
      </c>
      <c r="O108">
        <v>231.41</v>
      </c>
      <c r="P108">
        <v>23</v>
      </c>
      <c r="Q108">
        <v>178</v>
      </c>
      <c r="R108">
        <v>2.96</v>
      </c>
      <c r="S108">
        <v>0</v>
      </c>
      <c r="T108">
        <v>432</v>
      </c>
      <c r="U108" s="2">
        <v>682.56</v>
      </c>
      <c r="V108">
        <v>0</v>
      </c>
      <c r="W108" t="s">
        <v>29</v>
      </c>
      <c r="X108" t="str">
        <f>IF(Table2[[#This Row],[Qty available]]&gt;Table2[[#This Row],[Qty on hand]],"Check","OK")</f>
        <v>OK</v>
      </c>
    </row>
    <row r="109" spans="1:24" x14ac:dyDescent="0.3">
      <c r="A109" t="s">
        <v>62</v>
      </c>
      <c r="B109" t="s">
        <v>63</v>
      </c>
      <c r="C109" t="s">
        <v>57</v>
      </c>
      <c r="D109" t="s">
        <v>58</v>
      </c>
      <c r="E109" t="s">
        <v>27</v>
      </c>
      <c r="F109" s="1" t="s">
        <v>40</v>
      </c>
      <c r="G109" s="2">
        <v>1.07</v>
      </c>
      <c r="H109">
        <v>1.1399999999999999</v>
      </c>
      <c r="I109">
        <v>1.1435390000000001</v>
      </c>
      <c r="J109">
        <v>1.58</v>
      </c>
      <c r="K109">
        <v>16</v>
      </c>
      <c r="L109" s="2">
        <v>14</v>
      </c>
      <c r="M109">
        <v>442</v>
      </c>
      <c r="N109" s="2">
        <v>308</v>
      </c>
      <c r="O109">
        <v>352.21</v>
      </c>
      <c r="P109">
        <v>39</v>
      </c>
      <c r="Q109">
        <v>269</v>
      </c>
      <c r="R109">
        <v>4.21</v>
      </c>
      <c r="S109">
        <v>4</v>
      </c>
      <c r="T109">
        <v>335</v>
      </c>
      <c r="U109" s="2">
        <v>529.29999999999995</v>
      </c>
      <c r="V109">
        <v>0</v>
      </c>
      <c r="W109" t="s">
        <v>29</v>
      </c>
      <c r="X109" t="str">
        <f>IF(Table2[[#This Row],[Qty available]]&gt;Table2[[#This Row],[Qty on hand]],"Check","OK")</f>
        <v>OK</v>
      </c>
    </row>
    <row r="110" spans="1:24" x14ac:dyDescent="0.3">
      <c r="A110" t="s">
        <v>62</v>
      </c>
      <c r="B110" t="s">
        <v>63</v>
      </c>
      <c r="C110" t="s">
        <v>57</v>
      </c>
      <c r="D110" t="s">
        <v>58</v>
      </c>
      <c r="E110" t="s">
        <v>27</v>
      </c>
      <c r="F110" s="1" t="s">
        <v>41</v>
      </c>
      <c r="G110" s="2">
        <v>1.1000000000000001</v>
      </c>
      <c r="H110">
        <v>1.17</v>
      </c>
      <c r="I110">
        <v>1.155152</v>
      </c>
      <c r="J110">
        <v>1.58</v>
      </c>
      <c r="K110">
        <v>16</v>
      </c>
      <c r="L110" s="2">
        <v>14</v>
      </c>
      <c r="M110">
        <v>241</v>
      </c>
      <c r="N110" s="2">
        <v>396</v>
      </c>
      <c r="O110">
        <v>457.44</v>
      </c>
      <c r="P110">
        <v>39</v>
      </c>
      <c r="Q110">
        <v>357</v>
      </c>
      <c r="R110">
        <v>5.66</v>
      </c>
      <c r="S110">
        <v>6</v>
      </c>
      <c r="T110">
        <v>153</v>
      </c>
      <c r="U110" s="2">
        <v>241.74</v>
      </c>
      <c r="V110">
        <v>0</v>
      </c>
      <c r="W110" t="s">
        <v>29</v>
      </c>
      <c r="X110" t="str">
        <f>IF(Table2[[#This Row],[Qty available]]&gt;Table2[[#This Row],[Qty on hand]],"Check","OK")</f>
        <v>OK</v>
      </c>
    </row>
    <row r="111" spans="1:24" x14ac:dyDescent="0.3">
      <c r="A111" t="s">
        <v>62</v>
      </c>
      <c r="B111" t="s">
        <v>63</v>
      </c>
      <c r="C111" t="s">
        <v>57</v>
      </c>
      <c r="D111" t="s">
        <v>58</v>
      </c>
      <c r="E111" t="s">
        <v>27</v>
      </c>
      <c r="F111" s="1" t="s">
        <v>42</v>
      </c>
      <c r="G111" s="2">
        <v>1.1000000000000001</v>
      </c>
      <c r="H111">
        <v>1.17</v>
      </c>
      <c r="I111">
        <v>1.162209</v>
      </c>
      <c r="J111">
        <v>1.58</v>
      </c>
      <c r="K111">
        <v>16</v>
      </c>
      <c r="L111" s="2">
        <v>16</v>
      </c>
      <c r="M111">
        <v>359</v>
      </c>
      <c r="N111" s="2">
        <v>602</v>
      </c>
      <c r="O111">
        <v>699.65</v>
      </c>
      <c r="P111">
        <v>23</v>
      </c>
      <c r="Q111">
        <v>579</v>
      </c>
      <c r="R111">
        <v>12.34</v>
      </c>
      <c r="S111">
        <v>0</v>
      </c>
      <c r="T111">
        <v>153</v>
      </c>
      <c r="U111" s="2">
        <v>241.74</v>
      </c>
      <c r="V111">
        <v>0</v>
      </c>
      <c r="W111" t="s">
        <v>29</v>
      </c>
      <c r="X111" t="str">
        <f>IF(Table2[[#This Row],[Qty available]]&gt;Table2[[#This Row],[Qty on hand]],"Check","OK")</f>
        <v>OK</v>
      </c>
    </row>
    <row r="112" spans="1:24" x14ac:dyDescent="0.3">
      <c r="A112" t="s">
        <v>62</v>
      </c>
      <c r="B112" t="s">
        <v>63</v>
      </c>
      <c r="C112" t="s">
        <v>57</v>
      </c>
      <c r="D112" t="s">
        <v>58</v>
      </c>
      <c r="E112" t="s">
        <v>27</v>
      </c>
      <c r="F112" s="1" t="s">
        <v>43</v>
      </c>
      <c r="G112" s="2">
        <v>1.07</v>
      </c>
      <c r="H112">
        <v>1.1399999999999999</v>
      </c>
      <c r="I112">
        <v>1.1590450000000001</v>
      </c>
      <c r="J112">
        <v>1.58</v>
      </c>
      <c r="K112">
        <v>16</v>
      </c>
      <c r="L112" s="2">
        <v>15</v>
      </c>
      <c r="M112">
        <v>100</v>
      </c>
      <c r="N112" s="2">
        <v>513</v>
      </c>
      <c r="O112">
        <v>594.59</v>
      </c>
      <c r="P112">
        <v>62</v>
      </c>
      <c r="Q112">
        <v>451</v>
      </c>
      <c r="R112">
        <v>13.47</v>
      </c>
      <c r="S112">
        <v>1</v>
      </c>
      <c r="T112">
        <v>189</v>
      </c>
      <c r="U112" s="2">
        <v>298.62</v>
      </c>
      <c r="V112">
        <v>0</v>
      </c>
      <c r="W112" t="s">
        <v>29</v>
      </c>
      <c r="X112" t="str">
        <f>IF(Table2[[#This Row],[Qty available]]&gt;Table2[[#This Row],[Qty on hand]],"Check","OK")</f>
        <v>OK</v>
      </c>
    </row>
    <row r="113" spans="1:24" x14ac:dyDescent="0.3">
      <c r="A113" t="s">
        <v>62</v>
      </c>
      <c r="B113" t="s">
        <v>63</v>
      </c>
      <c r="C113" t="s">
        <v>57</v>
      </c>
      <c r="D113" t="s">
        <v>58</v>
      </c>
      <c r="E113" t="s">
        <v>27</v>
      </c>
      <c r="F113" s="1" t="s">
        <v>44</v>
      </c>
      <c r="G113" s="2">
        <v>1.0900000000000001</v>
      </c>
      <c r="H113">
        <v>1.1599999999999999</v>
      </c>
      <c r="I113">
        <v>1.159265</v>
      </c>
      <c r="J113">
        <v>1.58</v>
      </c>
      <c r="K113">
        <v>16</v>
      </c>
      <c r="L113" s="2">
        <v>14</v>
      </c>
      <c r="M113">
        <v>163</v>
      </c>
      <c r="N113" s="2">
        <v>340</v>
      </c>
      <c r="O113">
        <v>394.15</v>
      </c>
      <c r="P113">
        <v>78</v>
      </c>
      <c r="Q113">
        <v>262</v>
      </c>
      <c r="R113">
        <v>6.59</v>
      </c>
      <c r="S113">
        <v>1</v>
      </c>
      <c r="T113">
        <v>336</v>
      </c>
      <c r="U113" s="2">
        <v>530.88</v>
      </c>
      <c r="V113">
        <v>0</v>
      </c>
      <c r="W113" t="s">
        <v>29</v>
      </c>
      <c r="X113" t="str">
        <f>IF(Table2[[#This Row],[Qty available]]&gt;Table2[[#This Row],[Qty on hand]],"Check","OK")</f>
        <v>OK</v>
      </c>
    </row>
    <row r="114" spans="1:24" x14ac:dyDescent="0.3">
      <c r="A114" t="s">
        <v>62</v>
      </c>
      <c r="B114" t="s">
        <v>63</v>
      </c>
      <c r="C114" t="s">
        <v>57</v>
      </c>
      <c r="D114" t="s">
        <v>58</v>
      </c>
      <c r="E114" t="s">
        <v>27</v>
      </c>
      <c r="F114" s="1" t="s">
        <v>45</v>
      </c>
      <c r="G114" s="2">
        <v>1.1200000000000001</v>
      </c>
      <c r="H114">
        <v>1.19</v>
      </c>
      <c r="I114">
        <v>1.175691</v>
      </c>
      <c r="J114">
        <v>1.58</v>
      </c>
      <c r="K114">
        <v>16</v>
      </c>
      <c r="L114" s="2">
        <v>16</v>
      </c>
      <c r="M114">
        <v>390</v>
      </c>
      <c r="N114" s="2">
        <v>615</v>
      </c>
      <c r="O114">
        <v>723.05</v>
      </c>
      <c r="P114">
        <v>31</v>
      </c>
      <c r="Q114">
        <v>584</v>
      </c>
      <c r="R114">
        <v>12.63</v>
      </c>
      <c r="S114">
        <v>4</v>
      </c>
      <c r="T114">
        <v>115</v>
      </c>
      <c r="U114" s="2">
        <v>181.7</v>
      </c>
      <c r="V114">
        <v>0</v>
      </c>
      <c r="W114" t="s">
        <v>29</v>
      </c>
      <c r="X114" t="str">
        <f>IF(Table2[[#This Row],[Qty available]]&gt;Table2[[#This Row],[Qty on hand]],"Check","OK")</f>
        <v>OK</v>
      </c>
    </row>
    <row r="115" spans="1:24" x14ac:dyDescent="0.3">
      <c r="A115" t="s">
        <v>62</v>
      </c>
      <c r="B115" t="s">
        <v>63</v>
      </c>
      <c r="C115" t="s">
        <v>57</v>
      </c>
      <c r="D115" t="s">
        <v>58</v>
      </c>
      <c r="E115" t="s">
        <v>27</v>
      </c>
      <c r="F115" s="1" t="s">
        <v>46</v>
      </c>
      <c r="G115" s="2">
        <v>1.1200000000000001</v>
      </c>
      <c r="H115">
        <v>1.19</v>
      </c>
      <c r="I115">
        <v>1.175692</v>
      </c>
      <c r="J115">
        <v>1.66</v>
      </c>
      <c r="K115">
        <v>16</v>
      </c>
      <c r="M115">
        <v>0</v>
      </c>
      <c r="N115" s="2">
        <v>448</v>
      </c>
      <c r="O115">
        <v>526.71</v>
      </c>
      <c r="P115">
        <v>16</v>
      </c>
      <c r="Q115">
        <v>432</v>
      </c>
      <c r="R115">
        <v>9.32</v>
      </c>
      <c r="S115">
        <v>0</v>
      </c>
      <c r="T115">
        <v>167</v>
      </c>
      <c r="U115" s="2">
        <v>277.22000000000003</v>
      </c>
      <c r="V115">
        <v>0</v>
      </c>
      <c r="W115" t="s">
        <v>29</v>
      </c>
      <c r="X115" t="str">
        <f>IF(Table2[[#This Row],[Qty available]]&gt;Table2[[#This Row],[Qty on hand]],"Check","OK")</f>
        <v>OK</v>
      </c>
    </row>
    <row r="116" spans="1:24" x14ac:dyDescent="0.3">
      <c r="A116" t="s">
        <v>62</v>
      </c>
      <c r="B116" t="s">
        <v>63</v>
      </c>
      <c r="C116" t="s">
        <v>57</v>
      </c>
      <c r="D116" t="s">
        <v>58</v>
      </c>
      <c r="E116" t="s">
        <v>27</v>
      </c>
      <c r="F116" s="1" t="s">
        <v>47</v>
      </c>
      <c r="G116" s="2">
        <v>1.1299999999999999</v>
      </c>
      <c r="H116">
        <v>1.21</v>
      </c>
      <c r="I116">
        <v>1.190623</v>
      </c>
      <c r="J116">
        <v>1.66</v>
      </c>
      <c r="K116">
        <v>16</v>
      </c>
      <c r="L116" s="2">
        <v>15</v>
      </c>
      <c r="M116">
        <v>345</v>
      </c>
      <c r="N116" s="2">
        <v>610</v>
      </c>
      <c r="O116">
        <v>726.28</v>
      </c>
      <c r="P116">
        <v>16</v>
      </c>
      <c r="Q116">
        <v>594</v>
      </c>
      <c r="R116">
        <v>16.87</v>
      </c>
      <c r="S116">
        <v>1</v>
      </c>
      <c r="T116">
        <v>183</v>
      </c>
      <c r="U116" s="2">
        <v>303.77999999999997</v>
      </c>
      <c r="V116">
        <v>0</v>
      </c>
      <c r="W116" t="s">
        <v>29</v>
      </c>
      <c r="X116" t="str">
        <f>IF(Table2[[#This Row],[Qty available]]&gt;Table2[[#This Row],[Qty on hand]],"Check","OK")</f>
        <v>OK</v>
      </c>
    </row>
    <row r="117" spans="1:24" x14ac:dyDescent="0.3">
      <c r="A117" t="s">
        <v>62</v>
      </c>
      <c r="B117" t="s">
        <v>63</v>
      </c>
      <c r="C117" t="s">
        <v>57</v>
      </c>
      <c r="D117" t="s">
        <v>58</v>
      </c>
      <c r="E117" t="s">
        <v>27</v>
      </c>
      <c r="F117" s="1" t="s">
        <v>48</v>
      </c>
      <c r="G117" s="2">
        <v>1.1499999999999999</v>
      </c>
      <c r="H117">
        <v>1.23</v>
      </c>
      <c r="I117">
        <v>1.196172</v>
      </c>
      <c r="J117">
        <v>1.66</v>
      </c>
      <c r="K117">
        <v>16</v>
      </c>
      <c r="L117" s="2">
        <v>15</v>
      </c>
      <c r="M117">
        <v>100</v>
      </c>
      <c r="N117" s="2">
        <v>606</v>
      </c>
      <c r="O117">
        <v>724.88</v>
      </c>
      <c r="P117">
        <v>47</v>
      </c>
      <c r="Q117">
        <v>559</v>
      </c>
      <c r="R117">
        <v>16.97</v>
      </c>
      <c r="S117">
        <v>3</v>
      </c>
      <c r="T117">
        <v>104</v>
      </c>
      <c r="U117" s="2">
        <v>172.64</v>
      </c>
      <c r="V117">
        <v>0</v>
      </c>
      <c r="W117" t="s">
        <v>29</v>
      </c>
      <c r="X117" t="str">
        <f>IF(Table2[[#This Row],[Qty available]]&gt;Table2[[#This Row],[Qty on hand]],"Check","OK")</f>
        <v>OK</v>
      </c>
    </row>
    <row r="118" spans="1:24" x14ac:dyDescent="0.3">
      <c r="A118" t="s">
        <v>62</v>
      </c>
      <c r="B118" t="s">
        <v>63</v>
      </c>
      <c r="C118" t="s">
        <v>57</v>
      </c>
      <c r="D118" t="s">
        <v>58</v>
      </c>
      <c r="E118" t="s">
        <v>27</v>
      </c>
      <c r="F118" s="1" t="s">
        <v>49</v>
      </c>
      <c r="G118" s="2">
        <v>1.1499999999999999</v>
      </c>
      <c r="H118">
        <v>1.23</v>
      </c>
      <c r="I118">
        <v>1.206019</v>
      </c>
      <c r="J118">
        <v>1.66</v>
      </c>
      <c r="K118">
        <v>16</v>
      </c>
      <c r="L118" s="2">
        <v>14</v>
      </c>
      <c r="M118">
        <v>249</v>
      </c>
      <c r="N118" s="2">
        <v>648</v>
      </c>
      <c r="O118">
        <v>781.5</v>
      </c>
      <c r="P118">
        <v>39</v>
      </c>
      <c r="Q118">
        <v>609</v>
      </c>
      <c r="R118">
        <v>17.239999999999998</v>
      </c>
      <c r="S118">
        <v>0</v>
      </c>
      <c r="T118">
        <v>207</v>
      </c>
      <c r="U118" s="2">
        <v>343.62</v>
      </c>
      <c r="V118">
        <v>0</v>
      </c>
      <c r="W118" t="s">
        <v>29</v>
      </c>
      <c r="X118" t="str">
        <f>IF(Table2[[#This Row],[Qty available]]&gt;Table2[[#This Row],[Qty on hand]],"Check","OK")</f>
        <v>OK</v>
      </c>
    </row>
    <row r="119" spans="1:24" x14ac:dyDescent="0.3">
      <c r="A119" t="s">
        <v>62</v>
      </c>
      <c r="B119" t="s">
        <v>63</v>
      </c>
      <c r="C119" t="s">
        <v>57</v>
      </c>
      <c r="D119" t="s">
        <v>58</v>
      </c>
      <c r="E119" t="s">
        <v>27</v>
      </c>
      <c r="F119" s="1" t="s">
        <v>50</v>
      </c>
      <c r="G119" s="2">
        <v>1.1100000000000001</v>
      </c>
      <c r="H119">
        <v>1.18</v>
      </c>
      <c r="I119">
        <v>1.206024</v>
      </c>
      <c r="J119">
        <v>1.66</v>
      </c>
      <c r="K119">
        <v>16</v>
      </c>
      <c r="M119">
        <v>0</v>
      </c>
      <c r="N119" s="2">
        <v>415</v>
      </c>
      <c r="O119">
        <v>500.5</v>
      </c>
      <c r="P119">
        <v>78</v>
      </c>
      <c r="Q119">
        <v>337</v>
      </c>
      <c r="R119">
        <v>9.92</v>
      </c>
      <c r="S119">
        <v>0</v>
      </c>
      <c r="T119">
        <v>233</v>
      </c>
      <c r="U119" s="2">
        <v>386.78</v>
      </c>
      <c r="V119">
        <v>0</v>
      </c>
      <c r="W119" t="s">
        <v>29</v>
      </c>
      <c r="X119" t="str">
        <f>IF(Table2[[#This Row],[Qty available]]&gt;Table2[[#This Row],[Qty on hand]],"Check","OK")</f>
        <v>OK</v>
      </c>
    </row>
    <row r="120" spans="1:24" x14ac:dyDescent="0.3">
      <c r="A120" t="s">
        <v>62</v>
      </c>
      <c r="B120" t="s">
        <v>63</v>
      </c>
      <c r="C120" t="s">
        <v>57</v>
      </c>
      <c r="D120" t="s">
        <v>58</v>
      </c>
      <c r="E120" t="s">
        <v>27</v>
      </c>
      <c r="F120" s="1" t="s">
        <v>51</v>
      </c>
      <c r="G120" s="2">
        <v>1.1299999999999999</v>
      </c>
      <c r="H120">
        <v>1.21</v>
      </c>
      <c r="I120">
        <v>1.2078960000000001</v>
      </c>
      <c r="J120">
        <v>1.66</v>
      </c>
      <c r="K120">
        <v>16</v>
      </c>
      <c r="L120" s="2">
        <v>15</v>
      </c>
      <c r="M120">
        <v>367</v>
      </c>
      <c r="N120" s="2">
        <v>442</v>
      </c>
      <c r="O120">
        <v>533.89</v>
      </c>
      <c r="P120">
        <v>54</v>
      </c>
      <c r="Q120">
        <v>388</v>
      </c>
      <c r="R120">
        <v>7.45</v>
      </c>
      <c r="S120">
        <v>1</v>
      </c>
      <c r="T120">
        <v>340</v>
      </c>
      <c r="U120" s="2">
        <v>564.4</v>
      </c>
      <c r="V120">
        <v>0</v>
      </c>
      <c r="W120" t="s">
        <v>29</v>
      </c>
      <c r="X120" t="str">
        <f>IF(Table2[[#This Row],[Qty available]]&gt;Table2[[#This Row],[Qty on hand]],"Check","OK")</f>
        <v>OK</v>
      </c>
    </row>
    <row r="121" spans="1:24" x14ac:dyDescent="0.3">
      <c r="A121" t="s">
        <v>62</v>
      </c>
      <c r="B121" t="s">
        <v>63</v>
      </c>
      <c r="C121" t="s">
        <v>57</v>
      </c>
      <c r="D121" t="s">
        <v>58</v>
      </c>
      <c r="E121" t="s">
        <v>27</v>
      </c>
      <c r="F121" s="1" t="s">
        <v>52</v>
      </c>
      <c r="G121" s="2">
        <v>1.1100000000000001</v>
      </c>
      <c r="H121">
        <v>1.18</v>
      </c>
      <c r="I121">
        <v>1.196347</v>
      </c>
      <c r="J121">
        <v>1.66</v>
      </c>
      <c r="K121">
        <v>16</v>
      </c>
      <c r="L121" s="2">
        <v>14</v>
      </c>
      <c r="M121">
        <v>312</v>
      </c>
      <c r="N121" s="2">
        <v>542</v>
      </c>
      <c r="O121">
        <v>648.41999999999996</v>
      </c>
      <c r="P121">
        <v>31</v>
      </c>
      <c r="Q121">
        <v>511</v>
      </c>
      <c r="R121">
        <v>9.07</v>
      </c>
      <c r="S121">
        <v>1</v>
      </c>
      <c r="T121">
        <v>212</v>
      </c>
      <c r="U121" s="2">
        <v>351.92</v>
      </c>
      <c r="V121">
        <v>0</v>
      </c>
      <c r="W121" t="s">
        <v>29</v>
      </c>
      <c r="X121" t="str">
        <f>IF(Table2[[#This Row],[Qty available]]&gt;Table2[[#This Row],[Qty on hand]],"Check","OK")</f>
        <v>OK</v>
      </c>
    </row>
    <row r="122" spans="1:24" x14ac:dyDescent="0.3">
      <c r="A122" t="s">
        <v>64</v>
      </c>
      <c r="B122" t="s">
        <v>65</v>
      </c>
      <c r="C122" t="s">
        <v>57</v>
      </c>
      <c r="D122" t="s">
        <v>58</v>
      </c>
      <c r="E122" t="s">
        <v>66</v>
      </c>
      <c r="F122" s="1" t="s">
        <v>28</v>
      </c>
      <c r="G122" s="2">
        <v>112.31</v>
      </c>
      <c r="H122">
        <v>112.31</v>
      </c>
      <c r="I122">
        <v>113.7984</v>
      </c>
      <c r="J122">
        <v>152.99</v>
      </c>
      <c r="K122">
        <v>34</v>
      </c>
      <c r="L122" s="2">
        <v>33</v>
      </c>
      <c r="M122">
        <v>10</v>
      </c>
      <c r="N122" s="2">
        <v>50</v>
      </c>
      <c r="O122">
        <v>5689.92</v>
      </c>
      <c r="P122">
        <v>7</v>
      </c>
      <c r="Q122">
        <v>43</v>
      </c>
      <c r="R122">
        <v>10.95</v>
      </c>
      <c r="S122">
        <v>16</v>
      </c>
      <c r="T122">
        <v>20</v>
      </c>
      <c r="U122" s="2">
        <v>3059.8</v>
      </c>
      <c r="V122">
        <v>0</v>
      </c>
      <c r="W122" t="s">
        <v>29</v>
      </c>
      <c r="X122" t="str">
        <f>IF(Table2[[#This Row],[Qty available]]&gt;Table2[[#This Row],[Qty on hand]],"Check","OK")</f>
        <v>OK</v>
      </c>
    </row>
    <row r="123" spans="1:24" x14ac:dyDescent="0.3">
      <c r="A123" t="s">
        <v>64</v>
      </c>
      <c r="B123" t="s">
        <v>65</v>
      </c>
      <c r="C123" t="s">
        <v>57</v>
      </c>
      <c r="D123" t="s">
        <v>58</v>
      </c>
      <c r="E123" t="s">
        <v>66</v>
      </c>
      <c r="F123" s="1" t="s">
        <v>30</v>
      </c>
      <c r="G123" s="2">
        <v>112.2</v>
      </c>
      <c r="H123">
        <v>112.2</v>
      </c>
      <c r="I123">
        <v>113.798333</v>
      </c>
      <c r="J123">
        <v>152.99</v>
      </c>
      <c r="K123">
        <v>34</v>
      </c>
      <c r="M123">
        <v>0</v>
      </c>
      <c r="N123" s="2">
        <v>24</v>
      </c>
      <c r="O123">
        <v>2731.16</v>
      </c>
      <c r="P123">
        <v>1</v>
      </c>
      <c r="Q123">
        <v>23</v>
      </c>
      <c r="R123">
        <v>5.35</v>
      </c>
      <c r="S123">
        <v>5</v>
      </c>
      <c r="T123">
        <v>26</v>
      </c>
      <c r="U123" s="2">
        <v>3977.74</v>
      </c>
      <c r="V123">
        <v>0</v>
      </c>
      <c r="W123" t="s">
        <v>29</v>
      </c>
      <c r="X123" t="str">
        <f>IF(Table2[[#This Row],[Qty available]]&gt;Table2[[#This Row],[Qty on hand]],"Check","OK")</f>
        <v>OK</v>
      </c>
    </row>
    <row r="124" spans="1:24" x14ac:dyDescent="0.3">
      <c r="A124" t="s">
        <v>64</v>
      </c>
      <c r="B124" t="s">
        <v>65</v>
      </c>
      <c r="C124" t="s">
        <v>57</v>
      </c>
      <c r="D124" t="s">
        <v>58</v>
      </c>
      <c r="E124" t="s">
        <v>66</v>
      </c>
      <c r="F124" s="1" t="s">
        <v>31</v>
      </c>
      <c r="G124" s="2">
        <v>112.98</v>
      </c>
      <c r="H124">
        <v>112.98</v>
      </c>
      <c r="I124">
        <v>113.407073</v>
      </c>
      <c r="J124">
        <v>152.99</v>
      </c>
      <c r="K124">
        <v>34</v>
      </c>
      <c r="L124" s="2">
        <v>44</v>
      </c>
      <c r="M124">
        <v>22</v>
      </c>
      <c r="N124" s="2">
        <v>41</v>
      </c>
      <c r="O124">
        <v>4649.6899999999996</v>
      </c>
      <c r="P124">
        <v>6</v>
      </c>
      <c r="Q124">
        <v>35</v>
      </c>
      <c r="R124">
        <v>10.45</v>
      </c>
      <c r="S124">
        <v>21</v>
      </c>
      <c r="T124">
        <v>5</v>
      </c>
      <c r="U124" s="2">
        <v>764.95</v>
      </c>
      <c r="V124">
        <v>0</v>
      </c>
      <c r="W124" t="s">
        <v>29</v>
      </c>
      <c r="X124" t="str">
        <f>IF(Table2[[#This Row],[Qty available]]&gt;Table2[[#This Row],[Qty on hand]],"Check","OK")</f>
        <v>OK</v>
      </c>
    </row>
    <row r="125" spans="1:24" x14ac:dyDescent="0.3">
      <c r="A125" t="s">
        <v>64</v>
      </c>
      <c r="B125" t="s">
        <v>65</v>
      </c>
      <c r="C125" t="s">
        <v>57</v>
      </c>
      <c r="D125" t="s">
        <v>58</v>
      </c>
      <c r="E125" t="s">
        <v>66</v>
      </c>
      <c r="F125" s="1" t="s">
        <v>32</v>
      </c>
      <c r="G125" s="2">
        <v>112.97</v>
      </c>
      <c r="H125">
        <v>112.97</v>
      </c>
      <c r="I125">
        <v>113.202766</v>
      </c>
      <c r="J125">
        <v>152.99</v>
      </c>
      <c r="K125">
        <v>34</v>
      </c>
      <c r="L125" s="2">
        <v>31</v>
      </c>
      <c r="M125">
        <v>36</v>
      </c>
      <c r="N125" s="2">
        <v>47</v>
      </c>
      <c r="O125">
        <v>5320.53</v>
      </c>
      <c r="P125">
        <v>5</v>
      </c>
      <c r="Q125">
        <v>42</v>
      </c>
      <c r="R125">
        <v>10.130000000000001</v>
      </c>
      <c r="S125">
        <v>1</v>
      </c>
      <c r="T125">
        <v>30</v>
      </c>
      <c r="U125" s="2">
        <v>4589.7</v>
      </c>
      <c r="V125">
        <v>0</v>
      </c>
      <c r="W125" t="s">
        <v>29</v>
      </c>
      <c r="X125" t="str">
        <f>IF(Table2[[#This Row],[Qty available]]&gt;Table2[[#This Row],[Qty on hand]],"Check","OK")</f>
        <v>OK</v>
      </c>
    </row>
    <row r="126" spans="1:24" x14ac:dyDescent="0.3">
      <c r="A126" t="s">
        <v>64</v>
      </c>
      <c r="B126" t="s">
        <v>65</v>
      </c>
      <c r="C126" t="s">
        <v>57</v>
      </c>
      <c r="D126" t="s">
        <v>58</v>
      </c>
      <c r="E126" t="s">
        <v>66</v>
      </c>
      <c r="F126" s="1" t="s">
        <v>33</v>
      </c>
      <c r="G126" s="2">
        <v>118.09</v>
      </c>
      <c r="H126">
        <v>118.09</v>
      </c>
      <c r="I126">
        <v>114.060323</v>
      </c>
      <c r="J126">
        <v>152.99</v>
      </c>
      <c r="K126">
        <v>34</v>
      </c>
      <c r="L126" s="2">
        <v>52</v>
      </c>
      <c r="M126">
        <v>10</v>
      </c>
      <c r="N126" s="2">
        <v>31</v>
      </c>
      <c r="O126">
        <v>3535.87</v>
      </c>
      <c r="P126">
        <v>4</v>
      </c>
      <c r="Q126">
        <v>27</v>
      </c>
      <c r="R126">
        <v>6.68</v>
      </c>
      <c r="S126">
        <v>2</v>
      </c>
      <c r="T126">
        <v>26</v>
      </c>
      <c r="U126" s="2">
        <v>3977.74</v>
      </c>
      <c r="V126">
        <v>0</v>
      </c>
      <c r="W126" t="s">
        <v>29</v>
      </c>
      <c r="X126" t="str">
        <f>IF(Table2[[#This Row],[Qty available]]&gt;Table2[[#This Row],[Qty on hand]],"Check","OK")</f>
        <v>OK</v>
      </c>
    </row>
    <row r="127" spans="1:24" x14ac:dyDescent="0.3">
      <c r="A127" t="s">
        <v>64</v>
      </c>
      <c r="B127" t="s">
        <v>65</v>
      </c>
      <c r="C127" t="s">
        <v>57</v>
      </c>
      <c r="D127" t="s">
        <v>58</v>
      </c>
      <c r="E127" t="s">
        <v>66</v>
      </c>
      <c r="F127" s="1" t="s">
        <v>34</v>
      </c>
      <c r="G127" s="2">
        <v>117.25</v>
      </c>
      <c r="H127">
        <v>117.25</v>
      </c>
      <c r="I127">
        <v>115.857347</v>
      </c>
      <c r="J127">
        <v>158.84</v>
      </c>
      <c r="K127">
        <v>34</v>
      </c>
      <c r="L127" s="2">
        <v>34</v>
      </c>
      <c r="M127">
        <v>40</v>
      </c>
      <c r="N127" s="2">
        <v>49</v>
      </c>
      <c r="O127">
        <v>5677.01</v>
      </c>
      <c r="P127">
        <v>5</v>
      </c>
      <c r="Q127">
        <v>44</v>
      </c>
      <c r="R127">
        <v>8.08</v>
      </c>
      <c r="S127">
        <v>3</v>
      </c>
      <c r="T127">
        <v>22</v>
      </c>
      <c r="U127" s="2">
        <v>3494.48</v>
      </c>
      <c r="V127">
        <v>0</v>
      </c>
      <c r="W127" t="s">
        <v>29</v>
      </c>
      <c r="X127" t="str">
        <f>IF(Table2[[#This Row],[Qty available]]&gt;Table2[[#This Row],[Qty on hand]],"Check","OK")</f>
        <v>OK</v>
      </c>
    </row>
    <row r="128" spans="1:24" x14ac:dyDescent="0.3">
      <c r="A128" t="s">
        <v>64</v>
      </c>
      <c r="B128" t="s">
        <v>65</v>
      </c>
      <c r="C128" t="s">
        <v>57</v>
      </c>
      <c r="D128" t="s">
        <v>58</v>
      </c>
      <c r="E128" t="s">
        <v>66</v>
      </c>
      <c r="F128" s="1" t="s">
        <v>35</v>
      </c>
      <c r="G128" s="2">
        <v>116.96</v>
      </c>
      <c r="H128">
        <v>116.96</v>
      </c>
      <c r="I128">
        <v>116.059574</v>
      </c>
      <c r="J128">
        <v>158.84</v>
      </c>
      <c r="K128">
        <v>34</v>
      </c>
      <c r="L128" s="2">
        <v>40</v>
      </c>
      <c r="M128">
        <v>11</v>
      </c>
      <c r="N128" s="2">
        <v>47</v>
      </c>
      <c r="O128">
        <v>5454.8</v>
      </c>
      <c r="P128">
        <v>4</v>
      </c>
      <c r="Q128">
        <v>43</v>
      </c>
      <c r="R128">
        <v>9.91</v>
      </c>
      <c r="S128">
        <v>9</v>
      </c>
      <c r="T128">
        <v>13</v>
      </c>
      <c r="U128" s="2">
        <v>2064.92</v>
      </c>
      <c r="V128">
        <v>0</v>
      </c>
      <c r="W128" t="s">
        <v>29</v>
      </c>
      <c r="X128" t="str">
        <f>IF(Table2[[#This Row],[Qty available]]&gt;Table2[[#This Row],[Qty on hand]],"Check","OK")</f>
        <v>OK</v>
      </c>
    </row>
    <row r="129" spans="1:24" x14ac:dyDescent="0.3">
      <c r="A129" t="s">
        <v>64</v>
      </c>
      <c r="B129" t="s">
        <v>65</v>
      </c>
      <c r="C129" t="s">
        <v>57</v>
      </c>
      <c r="D129" t="s">
        <v>58</v>
      </c>
      <c r="E129" t="s">
        <v>66</v>
      </c>
      <c r="F129" s="1" t="s">
        <v>36</v>
      </c>
      <c r="G129" s="2">
        <v>120.87</v>
      </c>
      <c r="H129">
        <v>120.87</v>
      </c>
      <c r="I129">
        <v>116.059667</v>
      </c>
      <c r="J129">
        <v>158.84</v>
      </c>
      <c r="K129">
        <v>34</v>
      </c>
      <c r="M129">
        <v>0</v>
      </c>
      <c r="N129" s="2">
        <v>30</v>
      </c>
      <c r="O129">
        <v>3481.79</v>
      </c>
      <c r="P129">
        <v>6</v>
      </c>
      <c r="Q129">
        <v>24</v>
      </c>
      <c r="R129">
        <v>7.34</v>
      </c>
      <c r="S129">
        <v>0</v>
      </c>
      <c r="T129">
        <v>17</v>
      </c>
      <c r="U129" s="2">
        <v>2700.28</v>
      </c>
      <c r="V129">
        <v>0</v>
      </c>
      <c r="W129" t="s">
        <v>29</v>
      </c>
      <c r="X129" t="str">
        <f>IF(Table2[[#This Row],[Qty available]]&gt;Table2[[#This Row],[Qty on hand]],"Check","OK")</f>
        <v>OK</v>
      </c>
    </row>
    <row r="130" spans="1:24" x14ac:dyDescent="0.3">
      <c r="A130" t="s">
        <v>64</v>
      </c>
      <c r="B130" t="s">
        <v>65</v>
      </c>
      <c r="C130" t="s">
        <v>57</v>
      </c>
      <c r="D130" t="s">
        <v>58</v>
      </c>
      <c r="E130" t="s">
        <v>66</v>
      </c>
      <c r="F130" s="1" t="s">
        <v>37</v>
      </c>
      <c r="G130" s="2">
        <v>119.67</v>
      </c>
      <c r="H130">
        <v>119.67</v>
      </c>
      <c r="I130">
        <v>117.66421099999999</v>
      </c>
      <c r="J130">
        <v>158.84</v>
      </c>
      <c r="K130">
        <v>34</v>
      </c>
      <c r="L130" s="2">
        <v>40</v>
      </c>
      <c r="M130">
        <v>24</v>
      </c>
      <c r="N130" s="2">
        <v>19</v>
      </c>
      <c r="O130">
        <v>2235.62</v>
      </c>
      <c r="P130">
        <v>2</v>
      </c>
      <c r="Q130">
        <v>17</v>
      </c>
      <c r="R130">
        <v>3.84</v>
      </c>
      <c r="S130">
        <v>8</v>
      </c>
      <c r="T130">
        <v>35</v>
      </c>
      <c r="U130" s="2">
        <v>5559.4</v>
      </c>
      <c r="V130">
        <v>0</v>
      </c>
      <c r="W130" t="s">
        <v>29</v>
      </c>
      <c r="X130" t="str">
        <f>IF(Table2[[#This Row],[Qty available]]&gt;Table2[[#This Row],[Qty on hand]],"Check","OK")</f>
        <v>OK</v>
      </c>
    </row>
    <row r="131" spans="1:24" x14ac:dyDescent="0.3">
      <c r="A131" t="s">
        <v>64</v>
      </c>
      <c r="B131" t="s">
        <v>65</v>
      </c>
      <c r="C131" t="s">
        <v>57</v>
      </c>
      <c r="D131" t="s">
        <v>58</v>
      </c>
      <c r="E131" t="s">
        <v>66</v>
      </c>
      <c r="F131" s="1" t="s">
        <v>38</v>
      </c>
      <c r="G131" s="2">
        <v>117.36</v>
      </c>
      <c r="H131">
        <v>117.36</v>
      </c>
      <c r="I131">
        <v>117.48875</v>
      </c>
      <c r="J131">
        <v>158.84</v>
      </c>
      <c r="K131">
        <v>34</v>
      </c>
      <c r="L131" s="2">
        <v>44</v>
      </c>
      <c r="M131">
        <v>26</v>
      </c>
      <c r="N131" s="2">
        <v>16</v>
      </c>
      <c r="O131">
        <v>1879.82</v>
      </c>
      <c r="P131">
        <v>3</v>
      </c>
      <c r="Q131">
        <v>13</v>
      </c>
      <c r="R131">
        <v>2.57</v>
      </c>
      <c r="S131">
        <v>5</v>
      </c>
      <c r="T131">
        <v>29</v>
      </c>
      <c r="U131" s="2">
        <v>4606.3599999999997</v>
      </c>
      <c r="V131">
        <v>0</v>
      </c>
      <c r="W131" t="s">
        <v>29</v>
      </c>
      <c r="X131" t="str">
        <f>IF(Table2[[#This Row],[Qty available]]&gt;Table2[[#This Row],[Qty on hand]],"Check","OK")</f>
        <v>OK</v>
      </c>
    </row>
    <row r="132" spans="1:24" x14ac:dyDescent="0.3">
      <c r="A132" t="s">
        <v>64</v>
      </c>
      <c r="B132" t="s">
        <v>65</v>
      </c>
      <c r="C132" t="s">
        <v>57</v>
      </c>
      <c r="D132" t="s">
        <v>58</v>
      </c>
      <c r="E132" t="s">
        <v>66</v>
      </c>
      <c r="F132" s="1" t="s">
        <v>39</v>
      </c>
      <c r="G132" s="2">
        <v>118.82</v>
      </c>
      <c r="H132">
        <v>118.82</v>
      </c>
      <c r="I132">
        <v>118.376316</v>
      </c>
      <c r="J132">
        <v>158.84</v>
      </c>
      <c r="K132">
        <v>34</v>
      </c>
      <c r="L132" s="2">
        <v>31</v>
      </c>
      <c r="M132">
        <v>32</v>
      </c>
      <c r="N132" s="2">
        <v>38</v>
      </c>
      <c r="O132">
        <v>4498.3</v>
      </c>
      <c r="P132">
        <v>4</v>
      </c>
      <c r="Q132">
        <v>34</v>
      </c>
      <c r="R132">
        <v>6.75</v>
      </c>
      <c r="S132">
        <v>9</v>
      </c>
      <c r="T132">
        <v>10</v>
      </c>
      <c r="U132" s="2">
        <v>1588.4</v>
      </c>
      <c r="V132">
        <v>0</v>
      </c>
      <c r="W132" t="s">
        <v>29</v>
      </c>
      <c r="X132" t="str">
        <f>IF(Table2[[#This Row],[Qty available]]&gt;Table2[[#This Row],[Qty on hand]],"Check","OK")</f>
        <v>OK</v>
      </c>
    </row>
    <row r="133" spans="1:24" x14ac:dyDescent="0.3">
      <c r="A133" t="s">
        <v>64</v>
      </c>
      <c r="B133" t="s">
        <v>65</v>
      </c>
      <c r="C133" t="s">
        <v>57</v>
      </c>
      <c r="D133" t="s">
        <v>58</v>
      </c>
      <c r="E133" t="s">
        <v>66</v>
      </c>
      <c r="F133" s="1" t="s">
        <v>40</v>
      </c>
      <c r="G133" s="2">
        <v>116.66</v>
      </c>
      <c r="H133">
        <v>116.66</v>
      </c>
      <c r="I133">
        <v>117.368961</v>
      </c>
      <c r="J133">
        <v>158.84</v>
      </c>
      <c r="K133">
        <v>34</v>
      </c>
      <c r="L133" s="2">
        <v>31</v>
      </c>
      <c r="M133">
        <v>54</v>
      </c>
      <c r="N133" s="2">
        <v>77</v>
      </c>
      <c r="O133">
        <v>9037.41</v>
      </c>
      <c r="P133">
        <v>4</v>
      </c>
      <c r="Q133">
        <v>73</v>
      </c>
      <c r="R133">
        <v>18.739999999999998</v>
      </c>
      <c r="S133">
        <v>5</v>
      </c>
      <c r="T133">
        <v>15</v>
      </c>
      <c r="U133" s="2">
        <v>2382.6</v>
      </c>
      <c r="V133">
        <v>0</v>
      </c>
      <c r="W133" t="s">
        <v>29</v>
      </c>
      <c r="X133" t="str">
        <f>IF(Table2[[#This Row],[Qty available]]&gt;Table2[[#This Row],[Qty on hand]],"Check","OK")</f>
        <v>OK</v>
      </c>
    </row>
    <row r="134" spans="1:24" x14ac:dyDescent="0.3">
      <c r="A134" t="s">
        <v>64</v>
      </c>
      <c r="B134" t="s">
        <v>65</v>
      </c>
      <c r="C134" t="s">
        <v>57</v>
      </c>
      <c r="D134" t="s">
        <v>58</v>
      </c>
      <c r="E134" t="s">
        <v>66</v>
      </c>
      <c r="F134" s="1" t="s">
        <v>41</v>
      </c>
      <c r="G134" s="2">
        <v>117.38</v>
      </c>
      <c r="H134">
        <v>117.38</v>
      </c>
      <c r="I134">
        <v>117.369016</v>
      </c>
      <c r="J134">
        <v>158.84</v>
      </c>
      <c r="K134">
        <v>34</v>
      </c>
      <c r="M134">
        <v>0</v>
      </c>
      <c r="N134" s="2">
        <v>61</v>
      </c>
      <c r="O134">
        <v>7159.51</v>
      </c>
      <c r="P134">
        <v>2</v>
      </c>
      <c r="Q134">
        <v>59</v>
      </c>
      <c r="R134">
        <v>19.55</v>
      </c>
      <c r="S134">
        <v>3</v>
      </c>
      <c r="T134">
        <v>16</v>
      </c>
      <c r="U134" s="2">
        <v>2541.44</v>
      </c>
      <c r="V134">
        <v>0</v>
      </c>
      <c r="W134" t="s">
        <v>29</v>
      </c>
      <c r="X134" t="str">
        <f>IF(Table2[[#This Row],[Qty available]]&gt;Table2[[#This Row],[Qty on hand]],"Check","OK")</f>
        <v>OK</v>
      </c>
    </row>
    <row r="135" spans="1:24" x14ac:dyDescent="0.3">
      <c r="A135" t="s">
        <v>64</v>
      </c>
      <c r="B135" t="s">
        <v>65</v>
      </c>
      <c r="C135" t="s">
        <v>57</v>
      </c>
      <c r="D135" t="s">
        <v>58</v>
      </c>
      <c r="E135" t="s">
        <v>66</v>
      </c>
      <c r="F135" s="1" t="s">
        <v>42</v>
      </c>
      <c r="G135" s="2">
        <v>120.07</v>
      </c>
      <c r="H135">
        <v>120.07</v>
      </c>
      <c r="I135">
        <v>118.43875</v>
      </c>
      <c r="J135">
        <v>158.84</v>
      </c>
      <c r="K135">
        <v>34</v>
      </c>
      <c r="L135" s="2">
        <v>29</v>
      </c>
      <c r="M135">
        <v>40</v>
      </c>
      <c r="N135" s="2">
        <v>88</v>
      </c>
      <c r="O135">
        <v>10422.61</v>
      </c>
      <c r="P135">
        <v>6</v>
      </c>
      <c r="Q135">
        <v>82</v>
      </c>
      <c r="R135">
        <v>26.29</v>
      </c>
      <c r="S135">
        <v>18</v>
      </c>
      <c r="T135">
        <v>13</v>
      </c>
      <c r="U135" s="2">
        <v>2064.92</v>
      </c>
      <c r="V135">
        <v>0</v>
      </c>
      <c r="W135" t="s">
        <v>29</v>
      </c>
      <c r="X135" t="str">
        <f>IF(Table2[[#This Row],[Qty available]]&gt;Table2[[#This Row],[Qty on hand]],"Check","OK")</f>
        <v>OK</v>
      </c>
    </row>
    <row r="136" spans="1:24" x14ac:dyDescent="0.3">
      <c r="A136" t="s">
        <v>64</v>
      </c>
      <c r="B136" t="s">
        <v>65</v>
      </c>
      <c r="C136" t="s">
        <v>57</v>
      </c>
      <c r="D136" t="s">
        <v>58</v>
      </c>
      <c r="E136" t="s">
        <v>66</v>
      </c>
      <c r="F136" s="1" t="s">
        <v>43</v>
      </c>
      <c r="G136" s="2">
        <v>118.84</v>
      </c>
      <c r="H136">
        <v>118.84</v>
      </c>
      <c r="I136">
        <v>118.438689</v>
      </c>
      <c r="J136">
        <v>158.84</v>
      </c>
      <c r="K136">
        <v>34</v>
      </c>
      <c r="M136">
        <v>0</v>
      </c>
      <c r="N136" s="2">
        <v>61</v>
      </c>
      <c r="O136">
        <v>7224.76</v>
      </c>
      <c r="P136">
        <v>2</v>
      </c>
      <c r="Q136">
        <v>59</v>
      </c>
      <c r="R136">
        <v>14.16</v>
      </c>
      <c r="S136">
        <v>0</v>
      </c>
      <c r="T136">
        <v>27</v>
      </c>
      <c r="U136" s="2">
        <v>4288.68</v>
      </c>
      <c r="V136">
        <v>0</v>
      </c>
      <c r="W136" t="s">
        <v>29</v>
      </c>
      <c r="X136" t="str">
        <f>IF(Table2[[#This Row],[Qty available]]&gt;Table2[[#This Row],[Qty on hand]],"Check","OK")</f>
        <v>OK</v>
      </c>
    </row>
    <row r="137" spans="1:24" x14ac:dyDescent="0.3">
      <c r="A137" t="s">
        <v>64</v>
      </c>
      <c r="B137" t="s">
        <v>65</v>
      </c>
      <c r="C137" t="s">
        <v>57</v>
      </c>
      <c r="D137" t="s">
        <v>58</v>
      </c>
      <c r="E137" t="s">
        <v>66</v>
      </c>
      <c r="F137" s="1" t="s">
        <v>44</v>
      </c>
      <c r="G137" s="2">
        <v>119.96</v>
      </c>
      <c r="H137">
        <v>119.96</v>
      </c>
      <c r="I137">
        <v>118.438605</v>
      </c>
      <c r="J137">
        <v>158.84</v>
      </c>
      <c r="K137">
        <v>34</v>
      </c>
      <c r="M137">
        <v>0</v>
      </c>
      <c r="N137" s="2">
        <v>43</v>
      </c>
      <c r="O137">
        <v>5092.8599999999997</v>
      </c>
      <c r="P137">
        <v>1</v>
      </c>
      <c r="Q137">
        <v>42</v>
      </c>
      <c r="R137">
        <v>9.74</v>
      </c>
      <c r="S137">
        <v>1</v>
      </c>
      <c r="T137">
        <v>18</v>
      </c>
      <c r="U137" s="2">
        <v>2859.12</v>
      </c>
      <c r="V137">
        <v>0</v>
      </c>
      <c r="W137" t="s">
        <v>29</v>
      </c>
      <c r="X137" t="str">
        <f>IF(Table2[[#This Row],[Qty available]]&gt;Table2[[#This Row],[Qty on hand]],"Check","OK")</f>
        <v>OK</v>
      </c>
    </row>
    <row r="138" spans="1:24" x14ac:dyDescent="0.3">
      <c r="A138" t="s">
        <v>64</v>
      </c>
      <c r="B138" t="s">
        <v>65</v>
      </c>
      <c r="C138" t="s">
        <v>57</v>
      </c>
      <c r="D138" t="s">
        <v>58</v>
      </c>
      <c r="E138" t="s">
        <v>66</v>
      </c>
      <c r="F138" s="1" t="s">
        <v>45</v>
      </c>
      <c r="G138" s="2">
        <v>121.12</v>
      </c>
      <c r="H138">
        <v>121.12</v>
      </c>
      <c r="I138">
        <v>119.260233</v>
      </c>
      <c r="J138">
        <v>158.84</v>
      </c>
      <c r="K138">
        <v>34</v>
      </c>
      <c r="L138" s="2">
        <v>47</v>
      </c>
      <c r="M138">
        <v>19</v>
      </c>
      <c r="N138" s="2">
        <v>43</v>
      </c>
      <c r="O138">
        <v>5128.1899999999996</v>
      </c>
      <c r="P138">
        <v>4</v>
      </c>
      <c r="Q138">
        <v>39</v>
      </c>
      <c r="R138">
        <v>8.83</v>
      </c>
      <c r="S138">
        <v>4</v>
      </c>
      <c r="T138">
        <v>19</v>
      </c>
      <c r="U138" s="2">
        <v>3017.96</v>
      </c>
      <c r="V138">
        <v>0</v>
      </c>
      <c r="W138" t="s">
        <v>29</v>
      </c>
      <c r="X138" t="str">
        <f>IF(Table2[[#This Row],[Qty available]]&gt;Table2[[#This Row],[Qty on hand]],"Check","OK")</f>
        <v>OK</v>
      </c>
    </row>
    <row r="139" spans="1:24" x14ac:dyDescent="0.3">
      <c r="A139" t="s">
        <v>64</v>
      </c>
      <c r="B139" t="s">
        <v>65</v>
      </c>
      <c r="C139" t="s">
        <v>57</v>
      </c>
      <c r="D139" t="s">
        <v>58</v>
      </c>
      <c r="E139" t="s">
        <v>66</v>
      </c>
      <c r="F139" s="1" t="s">
        <v>46</v>
      </c>
      <c r="G139" s="2">
        <v>121.73</v>
      </c>
      <c r="H139">
        <v>121.73</v>
      </c>
      <c r="I139">
        <v>120.096136</v>
      </c>
      <c r="J139">
        <v>164.92</v>
      </c>
      <c r="K139">
        <v>34</v>
      </c>
      <c r="L139" s="2">
        <v>34</v>
      </c>
      <c r="M139">
        <v>22</v>
      </c>
      <c r="N139" s="2">
        <v>44</v>
      </c>
      <c r="O139">
        <v>5284.23</v>
      </c>
      <c r="P139">
        <v>1</v>
      </c>
      <c r="Q139">
        <v>43</v>
      </c>
      <c r="R139">
        <v>9.75</v>
      </c>
      <c r="S139">
        <v>0</v>
      </c>
      <c r="T139">
        <v>21</v>
      </c>
      <c r="U139" s="2">
        <v>3463.32</v>
      </c>
      <c r="V139">
        <v>0</v>
      </c>
      <c r="W139" t="s">
        <v>29</v>
      </c>
      <c r="X139" t="str">
        <f>IF(Table2[[#This Row],[Qty available]]&gt;Table2[[#This Row],[Qty on hand]],"Check","OK")</f>
        <v>OK</v>
      </c>
    </row>
    <row r="140" spans="1:24" x14ac:dyDescent="0.3">
      <c r="A140" t="s">
        <v>64</v>
      </c>
      <c r="B140" t="s">
        <v>65</v>
      </c>
      <c r="C140" t="s">
        <v>57</v>
      </c>
      <c r="D140" t="s">
        <v>58</v>
      </c>
      <c r="E140" t="s">
        <v>66</v>
      </c>
      <c r="F140" s="1" t="s">
        <v>47</v>
      </c>
      <c r="G140" s="2">
        <v>125.41</v>
      </c>
      <c r="H140">
        <v>125.41</v>
      </c>
      <c r="I140">
        <v>123.07186799999999</v>
      </c>
      <c r="J140">
        <v>164.92</v>
      </c>
      <c r="K140">
        <v>34</v>
      </c>
      <c r="L140" s="2">
        <v>30</v>
      </c>
      <c r="M140">
        <v>56</v>
      </c>
      <c r="N140" s="2">
        <v>91</v>
      </c>
      <c r="O140">
        <v>11199.54</v>
      </c>
      <c r="P140">
        <v>1</v>
      </c>
      <c r="Q140">
        <v>90</v>
      </c>
      <c r="R140">
        <v>23.88</v>
      </c>
      <c r="S140">
        <v>5</v>
      </c>
      <c r="T140">
        <v>9</v>
      </c>
      <c r="U140" s="2">
        <v>1484.28</v>
      </c>
      <c r="V140">
        <v>0</v>
      </c>
      <c r="W140" t="s">
        <v>29</v>
      </c>
      <c r="X140" t="str">
        <f>IF(Table2[[#This Row],[Qty available]]&gt;Table2[[#This Row],[Qty on hand]],"Check","OK")</f>
        <v>OK</v>
      </c>
    </row>
    <row r="141" spans="1:24" x14ac:dyDescent="0.3">
      <c r="A141" t="s">
        <v>64</v>
      </c>
      <c r="B141" t="s">
        <v>65</v>
      </c>
      <c r="C141" t="s">
        <v>57</v>
      </c>
      <c r="D141" t="s">
        <v>58</v>
      </c>
      <c r="E141" t="s">
        <v>66</v>
      </c>
      <c r="F141" s="1" t="s">
        <v>48</v>
      </c>
      <c r="G141" s="2">
        <v>121.37</v>
      </c>
      <c r="H141">
        <v>121.37</v>
      </c>
      <c r="I141">
        <v>123.071867</v>
      </c>
      <c r="J141">
        <v>164.92</v>
      </c>
      <c r="K141">
        <v>34</v>
      </c>
      <c r="M141">
        <v>0</v>
      </c>
      <c r="N141" s="2">
        <v>75</v>
      </c>
      <c r="O141">
        <v>9230.39</v>
      </c>
      <c r="P141">
        <v>7</v>
      </c>
      <c r="Q141">
        <v>68</v>
      </c>
      <c r="R141">
        <v>20.73</v>
      </c>
      <c r="S141">
        <v>13</v>
      </c>
      <c r="T141">
        <v>16</v>
      </c>
      <c r="U141" s="2">
        <v>2638.72</v>
      </c>
      <c r="V141">
        <v>0</v>
      </c>
      <c r="W141" t="s">
        <v>29</v>
      </c>
      <c r="X141" t="str">
        <f>IF(Table2[[#This Row],[Qty available]]&gt;Table2[[#This Row],[Qty on hand]],"Check","OK")</f>
        <v>OK</v>
      </c>
    </row>
    <row r="142" spans="1:24" x14ac:dyDescent="0.3">
      <c r="A142" t="s">
        <v>64</v>
      </c>
      <c r="B142" t="s">
        <v>65</v>
      </c>
      <c r="C142" t="s">
        <v>57</v>
      </c>
      <c r="D142" t="s">
        <v>58</v>
      </c>
      <c r="E142" t="s">
        <v>66</v>
      </c>
      <c r="F142" s="1" t="s">
        <v>49</v>
      </c>
      <c r="G142" s="2">
        <v>125.11</v>
      </c>
      <c r="H142">
        <v>125.11</v>
      </c>
      <c r="I142">
        <v>123.071961</v>
      </c>
      <c r="J142">
        <v>164.92</v>
      </c>
      <c r="K142">
        <v>34</v>
      </c>
      <c r="M142">
        <v>0</v>
      </c>
      <c r="N142" s="2">
        <v>51</v>
      </c>
      <c r="O142">
        <v>6276.67</v>
      </c>
      <c r="P142">
        <v>1</v>
      </c>
      <c r="Q142">
        <v>50</v>
      </c>
      <c r="R142">
        <v>13.68</v>
      </c>
      <c r="S142">
        <v>11</v>
      </c>
      <c r="T142">
        <v>24</v>
      </c>
      <c r="U142" s="2">
        <v>3958.08</v>
      </c>
      <c r="V142">
        <v>0</v>
      </c>
      <c r="W142" t="s">
        <v>29</v>
      </c>
      <c r="X142" t="str">
        <f>IF(Table2[[#This Row],[Qty available]]&gt;Table2[[#This Row],[Qty on hand]],"Check","OK")</f>
        <v>OK</v>
      </c>
    </row>
    <row r="143" spans="1:24" x14ac:dyDescent="0.3">
      <c r="A143" t="s">
        <v>64</v>
      </c>
      <c r="B143" t="s">
        <v>65</v>
      </c>
      <c r="C143" t="s">
        <v>57</v>
      </c>
      <c r="D143" t="s">
        <v>58</v>
      </c>
      <c r="E143" t="s">
        <v>66</v>
      </c>
      <c r="F143" s="1" t="s">
        <v>50</v>
      </c>
      <c r="G143" s="2">
        <v>121.55</v>
      </c>
      <c r="H143">
        <v>121.55</v>
      </c>
      <c r="I143">
        <v>122.74413</v>
      </c>
      <c r="J143">
        <v>164.92</v>
      </c>
      <c r="K143">
        <v>34</v>
      </c>
      <c r="L143" s="2">
        <v>46</v>
      </c>
      <c r="M143">
        <v>14</v>
      </c>
      <c r="N143" s="2">
        <v>46</v>
      </c>
      <c r="O143">
        <v>5646.23</v>
      </c>
      <c r="P143">
        <v>6</v>
      </c>
      <c r="Q143">
        <v>40</v>
      </c>
      <c r="R143">
        <v>10.14</v>
      </c>
      <c r="S143">
        <v>5</v>
      </c>
      <c r="T143">
        <v>19</v>
      </c>
      <c r="U143" s="2">
        <v>3133.48</v>
      </c>
      <c r="V143">
        <v>0</v>
      </c>
      <c r="W143" t="s">
        <v>29</v>
      </c>
      <c r="X143" t="str">
        <f>IF(Table2[[#This Row],[Qty available]]&gt;Table2[[#This Row],[Qty on hand]],"Check","OK")</f>
        <v>OK</v>
      </c>
    </row>
    <row r="144" spans="1:24" x14ac:dyDescent="0.3">
      <c r="A144" t="s">
        <v>64</v>
      </c>
      <c r="B144" t="s">
        <v>65</v>
      </c>
      <c r="C144" t="s">
        <v>57</v>
      </c>
      <c r="D144" t="s">
        <v>58</v>
      </c>
      <c r="E144" t="s">
        <v>66</v>
      </c>
      <c r="F144" s="1" t="s">
        <v>51</v>
      </c>
      <c r="G144" s="2">
        <v>124.38</v>
      </c>
      <c r="H144">
        <v>124.38</v>
      </c>
      <c r="I144">
        <v>122.744545</v>
      </c>
      <c r="J144">
        <v>164.92</v>
      </c>
      <c r="K144">
        <v>34</v>
      </c>
      <c r="M144">
        <v>0</v>
      </c>
      <c r="N144" s="2">
        <v>11</v>
      </c>
      <c r="O144">
        <v>1350.19</v>
      </c>
      <c r="P144">
        <v>5</v>
      </c>
      <c r="Q144">
        <v>6</v>
      </c>
      <c r="R144">
        <v>1.85</v>
      </c>
      <c r="S144">
        <v>16</v>
      </c>
      <c r="T144">
        <v>35</v>
      </c>
      <c r="U144" s="2">
        <v>5772.2</v>
      </c>
      <c r="V144">
        <v>0</v>
      </c>
      <c r="W144" t="s">
        <v>29</v>
      </c>
      <c r="X144" t="str">
        <f>IF(Table2[[#This Row],[Qty available]]&gt;Table2[[#This Row],[Qty on hand]],"Check","OK")</f>
        <v>OK</v>
      </c>
    </row>
    <row r="145" spans="1:24" x14ac:dyDescent="0.3">
      <c r="A145" t="s">
        <v>64</v>
      </c>
      <c r="B145" t="s">
        <v>65</v>
      </c>
      <c r="C145" t="s">
        <v>57</v>
      </c>
      <c r="D145" t="s">
        <v>58</v>
      </c>
      <c r="E145" t="s">
        <v>66</v>
      </c>
      <c r="F145" s="1" t="s">
        <v>52</v>
      </c>
      <c r="G145" s="2">
        <v>121.4</v>
      </c>
      <c r="H145">
        <v>121.4</v>
      </c>
      <c r="I145">
        <v>121.597174</v>
      </c>
      <c r="J145">
        <v>164.92</v>
      </c>
      <c r="K145">
        <v>34</v>
      </c>
      <c r="L145" s="2">
        <v>31</v>
      </c>
      <c r="M145">
        <v>64</v>
      </c>
      <c r="N145" s="2">
        <v>46</v>
      </c>
      <c r="O145">
        <v>5593.47</v>
      </c>
      <c r="P145">
        <v>4</v>
      </c>
      <c r="Q145">
        <v>42</v>
      </c>
      <c r="R145">
        <v>7.28</v>
      </c>
      <c r="S145">
        <v>2</v>
      </c>
      <c r="T145">
        <v>29</v>
      </c>
      <c r="U145" s="2">
        <v>4782.68</v>
      </c>
      <c r="V145">
        <v>0</v>
      </c>
      <c r="W145" t="s">
        <v>29</v>
      </c>
      <c r="X145" t="str">
        <f>IF(Table2[[#This Row],[Qty available]]&gt;Table2[[#This Row],[Qty on hand]],"Check","OK")</f>
        <v>OK</v>
      </c>
    </row>
    <row r="146" spans="1:24" x14ac:dyDescent="0.3">
      <c r="A146" t="s">
        <v>67</v>
      </c>
      <c r="B146" t="s">
        <v>68</v>
      </c>
      <c r="C146" t="s">
        <v>69</v>
      </c>
      <c r="D146" t="s">
        <v>70</v>
      </c>
      <c r="E146" t="s">
        <v>66</v>
      </c>
      <c r="F146" s="1" t="s">
        <v>28</v>
      </c>
      <c r="G146" s="2">
        <v>65.319999999999993</v>
      </c>
      <c r="H146">
        <v>65.319999999999993</v>
      </c>
      <c r="I146">
        <v>64.806989999999999</v>
      </c>
      <c r="J146">
        <v>88.44</v>
      </c>
      <c r="K146">
        <v>57</v>
      </c>
      <c r="M146">
        <v>0</v>
      </c>
      <c r="N146" s="2">
        <v>505</v>
      </c>
      <c r="O146">
        <v>32727.53</v>
      </c>
      <c r="P146">
        <v>83</v>
      </c>
      <c r="Q146">
        <v>422</v>
      </c>
      <c r="R146">
        <v>6.7</v>
      </c>
      <c r="S146">
        <v>3</v>
      </c>
      <c r="T146">
        <v>344</v>
      </c>
      <c r="U146" s="2">
        <v>30423.360000000001</v>
      </c>
      <c r="V146">
        <v>0</v>
      </c>
      <c r="W146" t="s">
        <v>29</v>
      </c>
      <c r="X146" t="str">
        <f>IF(Table2[[#This Row],[Qty available]]&gt;Table2[[#This Row],[Qty on hand]],"Check","OK")</f>
        <v>OK</v>
      </c>
    </row>
    <row r="147" spans="1:24" x14ac:dyDescent="0.3">
      <c r="A147" t="s">
        <v>67</v>
      </c>
      <c r="B147" t="s">
        <v>68</v>
      </c>
      <c r="C147" t="s">
        <v>69</v>
      </c>
      <c r="D147" t="s">
        <v>70</v>
      </c>
      <c r="E147" t="s">
        <v>66</v>
      </c>
      <c r="F147" s="1" t="s">
        <v>30</v>
      </c>
      <c r="G147" s="2">
        <v>64.42</v>
      </c>
      <c r="H147">
        <v>64.42</v>
      </c>
      <c r="I147">
        <v>64.591132999999999</v>
      </c>
      <c r="J147">
        <v>88.44</v>
      </c>
      <c r="K147">
        <v>57</v>
      </c>
      <c r="L147" s="2">
        <v>52</v>
      </c>
      <c r="M147">
        <v>637</v>
      </c>
      <c r="N147" s="2">
        <v>1006</v>
      </c>
      <c r="O147">
        <v>64978.68</v>
      </c>
      <c r="P147">
        <v>50</v>
      </c>
      <c r="Q147">
        <v>956</v>
      </c>
      <c r="R147">
        <v>14.5</v>
      </c>
      <c r="S147">
        <v>0</v>
      </c>
      <c r="T147">
        <v>136</v>
      </c>
      <c r="U147" s="2">
        <v>12027.84</v>
      </c>
      <c r="V147">
        <v>0</v>
      </c>
      <c r="W147" t="s">
        <v>29</v>
      </c>
      <c r="X147" t="str">
        <f>IF(Table2[[#This Row],[Qty available]]&gt;Table2[[#This Row],[Qty on hand]],"Check","OK")</f>
        <v>OK</v>
      </c>
    </row>
    <row r="148" spans="1:24" x14ac:dyDescent="0.3">
      <c r="A148" t="s">
        <v>67</v>
      </c>
      <c r="B148" t="s">
        <v>68</v>
      </c>
      <c r="C148" t="s">
        <v>69</v>
      </c>
      <c r="D148" t="s">
        <v>70</v>
      </c>
      <c r="E148" t="s">
        <v>66</v>
      </c>
      <c r="F148" s="1" t="s">
        <v>31</v>
      </c>
      <c r="G148" s="2">
        <v>63.29</v>
      </c>
      <c r="H148">
        <v>63.29</v>
      </c>
      <c r="I148">
        <v>64.322287000000003</v>
      </c>
      <c r="J148">
        <v>88.44</v>
      </c>
      <c r="K148">
        <v>57</v>
      </c>
      <c r="L148" s="2">
        <v>54</v>
      </c>
      <c r="M148">
        <v>262</v>
      </c>
      <c r="N148" s="2">
        <v>927</v>
      </c>
      <c r="O148">
        <v>59626.76</v>
      </c>
      <c r="P148">
        <v>25</v>
      </c>
      <c r="Q148">
        <v>902</v>
      </c>
      <c r="R148">
        <v>14.68</v>
      </c>
      <c r="S148">
        <v>0</v>
      </c>
      <c r="T148">
        <v>341</v>
      </c>
      <c r="U148" s="2">
        <v>30158.04</v>
      </c>
      <c r="V148">
        <v>0</v>
      </c>
      <c r="W148" t="s">
        <v>29</v>
      </c>
      <c r="X148" t="str">
        <f>IF(Table2[[#This Row],[Qty available]]&gt;Table2[[#This Row],[Qty on hand]],"Check","OK")</f>
        <v>OK</v>
      </c>
    </row>
    <row r="149" spans="1:24" x14ac:dyDescent="0.3">
      <c r="A149" t="s">
        <v>67</v>
      </c>
      <c r="B149" t="s">
        <v>68</v>
      </c>
      <c r="C149" t="s">
        <v>69</v>
      </c>
      <c r="D149" t="s">
        <v>70</v>
      </c>
      <c r="E149" t="s">
        <v>66</v>
      </c>
      <c r="F149" s="1" t="s">
        <v>32</v>
      </c>
      <c r="G149" s="2">
        <v>66.540000000000006</v>
      </c>
      <c r="H149">
        <v>66.540000000000006</v>
      </c>
      <c r="I149">
        <v>64.82396</v>
      </c>
      <c r="J149">
        <v>88.44</v>
      </c>
      <c r="K149">
        <v>57</v>
      </c>
      <c r="L149" s="2">
        <v>56</v>
      </c>
      <c r="M149">
        <v>271</v>
      </c>
      <c r="N149" s="2">
        <v>957</v>
      </c>
      <c r="O149">
        <v>62036.53</v>
      </c>
      <c r="P149">
        <v>17</v>
      </c>
      <c r="Q149">
        <v>940</v>
      </c>
      <c r="R149">
        <v>17.52</v>
      </c>
      <c r="S149">
        <v>1</v>
      </c>
      <c r="T149">
        <v>241</v>
      </c>
      <c r="U149" s="2">
        <v>21314.04</v>
      </c>
      <c r="V149">
        <v>0</v>
      </c>
      <c r="W149" t="s">
        <v>29</v>
      </c>
      <c r="X149" t="str">
        <f>IF(Table2[[#This Row],[Qty available]]&gt;Table2[[#This Row],[Qty on hand]],"Check","OK")</f>
        <v>OK</v>
      </c>
    </row>
    <row r="150" spans="1:24" x14ac:dyDescent="0.3">
      <c r="A150" t="s">
        <v>67</v>
      </c>
      <c r="B150" t="s">
        <v>68</v>
      </c>
      <c r="C150" t="s">
        <v>69</v>
      </c>
      <c r="D150" t="s">
        <v>70</v>
      </c>
      <c r="E150" t="s">
        <v>66</v>
      </c>
      <c r="F150" s="1" t="s">
        <v>33</v>
      </c>
      <c r="G150" s="2">
        <v>64.81</v>
      </c>
      <c r="H150">
        <v>64.81</v>
      </c>
      <c r="I150">
        <v>64.823956999999993</v>
      </c>
      <c r="J150">
        <v>88.44</v>
      </c>
      <c r="K150">
        <v>57</v>
      </c>
      <c r="M150">
        <v>0</v>
      </c>
      <c r="N150" s="2">
        <v>609</v>
      </c>
      <c r="O150">
        <v>39477.79</v>
      </c>
      <c r="P150">
        <v>50</v>
      </c>
      <c r="Q150">
        <v>559</v>
      </c>
      <c r="R150">
        <v>8.61</v>
      </c>
      <c r="S150">
        <v>1</v>
      </c>
      <c r="T150">
        <v>348</v>
      </c>
      <c r="U150" s="2">
        <v>30777.119999999999</v>
      </c>
      <c r="V150">
        <v>0</v>
      </c>
      <c r="W150" t="s">
        <v>29</v>
      </c>
      <c r="X150" t="str">
        <f>IF(Table2[[#This Row],[Qty available]]&gt;Table2[[#This Row],[Qty on hand]],"Check","OK")</f>
        <v>OK</v>
      </c>
    </row>
    <row r="151" spans="1:24" x14ac:dyDescent="0.3">
      <c r="A151" t="s">
        <v>67</v>
      </c>
      <c r="B151" t="s">
        <v>68</v>
      </c>
      <c r="C151" t="s">
        <v>69</v>
      </c>
      <c r="D151" t="s">
        <v>70</v>
      </c>
      <c r="E151" t="s">
        <v>66</v>
      </c>
      <c r="F151" s="1" t="s">
        <v>34</v>
      </c>
      <c r="G151" s="2">
        <v>66.72</v>
      </c>
      <c r="H151">
        <v>66.72</v>
      </c>
      <c r="I151">
        <v>65.926944000000006</v>
      </c>
      <c r="J151">
        <v>92.96</v>
      </c>
      <c r="K151">
        <v>57</v>
      </c>
      <c r="L151" s="2">
        <v>50</v>
      </c>
      <c r="M151">
        <v>847</v>
      </c>
      <c r="N151" s="2">
        <v>1263</v>
      </c>
      <c r="O151">
        <v>83265.73</v>
      </c>
      <c r="P151">
        <v>25</v>
      </c>
      <c r="Q151">
        <v>1238</v>
      </c>
      <c r="R151">
        <v>20.77</v>
      </c>
      <c r="S151">
        <v>0</v>
      </c>
      <c r="T151">
        <v>193</v>
      </c>
      <c r="U151" s="2">
        <v>17941.28</v>
      </c>
      <c r="V151">
        <v>0</v>
      </c>
      <c r="W151" t="s">
        <v>29</v>
      </c>
      <c r="X151" t="str">
        <f>IF(Table2[[#This Row],[Qty available]]&gt;Table2[[#This Row],[Qty on hand]],"Check","OK")</f>
        <v>OK</v>
      </c>
    </row>
    <row r="152" spans="1:24" x14ac:dyDescent="0.3">
      <c r="A152" t="s">
        <v>67</v>
      </c>
      <c r="B152" t="s">
        <v>68</v>
      </c>
      <c r="C152" t="s">
        <v>69</v>
      </c>
      <c r="D152" t="s">
        <v>70</v>
      </c>
      <c r="E152" t="s">
        <v>66</v>
      </c>
      <c r="F152" s="1" t="s">
        <v>35</v>
      </c>
      <c r="G152" s="2">
        <v>66.64</v>
      </c>
      <c r="H152">
        <v>66.64</v>
      </c>
      <c r="I152">
        <v>65.980226999999999</v>
      </c>
      <c r="J152">
        <v>92.96</v>
      </c>
      <c r="K152">
        <v>57</v>
      </c>
      <c r="L152" s="2">
        <v>96</v>
      </c>
      <c r="M152">
        <v>102</v>
      </c>
      <c r="N152" s="2">
        <v>1147</v>
      </c>
      <c r="O152">
        <v>75679.320000000007</v>
      </c>
      <c r="P152">
        <v>83</v>
      </c>
      <c r="Q152">
        <v>1064</v>
      </c>
      <c r="R152">
        <v>19.43</v>
      </c>
      <c r="S152">
        <v>0</v>
      </c>
      <c r="T152">
        <v>218</v>
      </c>
      <c r="U152" s="2">
        <v>20265.28</v>
      </c>
      <c r="V152">
        <v>0</v>
      </c>
      <c r="W152" t="s">
        <v>29</v>
      </c>
      <c r="X152" t="str">
        <f>IF(Table2[[#This Row],[Qty available]]&gt;Table2[[#This Row],[Qty on hand]],"Check","OK")</f>
        <v>OK</v>
      </c>
    </row>
    <row r="153" spans="1:24" x14ac:dyDescent="0.3">
      <c r="A153" t="s">
        <v>67</v>
      </c>
      <c r="B153" t="s">
        <v>68</v>
      </c>
      <c r="C153" t="s">
        <v>69</v>
      </c>
      <c r="D153" t="s">
        <v>70</v>
      </c>
      <c r="E153" t="s">
        <v>66</v>
      </c>
      <c r="F153" s="1" t="s">
        <v>36</v>
      </c>
      <c r="G153" s="2">
        <v>65.680000000000007</v>
      </c>
      <c r="H153">
        <v>65.680000000000007</v>
      </c>
      <c r="I153">
        <v>65.972573999999994</v>
      </c>
      <c r="J153">
        <v>92.96</v>
      </c>
      <c r="K153">
        <v>57</v>
      </c>
      <c r="L153" s="2">
        <v>54</v>
      </c>
      <c r="M153">
        <v>30</v>
      </c>
      <c r="N153" s="2">
        <v>1041</v>
      </c>
      <c r="O153">
        <v>68677.45</v>
      </c>
      <c r="P153">
        <v>83</v>
      </c>
      <c r="Q153">
        <v>958</v>
      </c>
      <c r="R153">
        <v>24.2</v>
      </c>
      <c r="S153">
        <v>0</v>
      </c>
      <c r="T153">
        <v>136</v>
      </c>
      <c r="U153" s="2">
        <v>12642.56</v>
      </c>
      <c r="V153">
        <v>0</v>
      </c>
      <c r="W153" t="s">
        <v>29</v>
      </c>
      <c r="X153" t="str">
        <f>IF(Table2[[#This Row],[Qty available]]&gt;Table2[[#This Row],[Qty on hand]],"Check","OK")</f>
        <v>OK</v>
      </c>
    </row>
    <row r="154" spans="1:24" x14ac:dyDescent="0.3">
      <c r="A154" t="s">
        <v>67</v>
      </c>
      <c r="B154" t="s">
        <v>68</v>
      </c>
      <c r="C154" t="s">
        <v>69</v>
      </c>
      <c r="D154" t="s">
        <v>70</v>
      </c>
      <c r="E154" t="s">
        <v>66</v>
      </c>
      <c r="F154" s="1" t="s">
        <v>37</v>
      </c>
      <c r="G154" s="2">
        <v>65.069999999999993</v>
      </c>
      <c r="H154">
        <v>65.069999999999993</v>
      </c>
      <c r="I154">
        <v>65.701435000000004</v>
      </c>
      <c r="J154">
        <v>92.96</v>
      </c>
      <c r="K154">
        <v>57</v>
      </c>
      <c r="L154" s="2">
        <v>51</v>
      </c>
      <c r="M154">
        <v>447</v>
      </c>
      <c r="N154" s="2">
        <v>1066</v>
      </c>
      <c r="O154">
        <v>70037.73</v>
      </c>
      <c r="P154">
        <v>66</v>
      </c>
      <c r="Q154">
        <v>1000</v>
      </c>
      <c r="R154">
        <v>18.05</v>
      </c>
      <c r="S154">
        <v>0</v>
      </c>
      <c r="T154">
        <v>422</v>
      </c>
      <c r="U154" s="2">
        <v>39229.120000000003</v>
      </c>
      <c r="V154">
        <v>0</v>
      </c>
      <c r="W154" t="s">
        <v>29</v>
      </c>
      <c r="X154" t="str">
        <f>IF(Table2[[#This Row],[Qty available]]&gt;Table2[[#This Row],[Qty on hand]],"Check","OK")</f>
        <v>OK</v>
      </c>
    </row>
    <row r="155" spans="1:24" x14ac:dyDescent="0.3">
      <c r="A155" t="s">
        <v>67</v>
      </c>
      <c r="B155" t="s">
        <v>68</v>
      </c>
      <c r="C155" t="s">
        <v>69</v>
      </c>
      <c r="D155" t="s">
        <v>70</v>
      </c>
      <c r="E155" t="s">
        <v>66</v>
      </c>
      <c r="F155" s="1" t="s">
        <v>38</v>
      </c>
      <c r="G155" s="2">
        <v>66.37</v>
      </c>
      <c r="H155">
        <v>66.37</v>
      </c>
      <c r="I155">
        <v>65.701430000000002</v>
      </c>
      <c r="J155">
        <v>92.96</v>
      </c>
      <c r="K155">
        <v>57</v>
      </c>
      <c r="M155">
        <v>0</v>
      </c>
      <c r="N155" s="2">
        <v>853</v>
      </c>
      <c r="O155">
        <v>56043.32</v>
      </c>
      <c r="P155">
        <v>66</v>
      </c>
      <c r="Q155">
        <v>787</v>
      </c>
      <c r="R155">
        <v>14.38</v>
      </c>
      <c r="S155">
        <v>0</v>
      </c>
      <c r="T155">
        <v>213</v>
      </c>
      <c r="U155" s="2">
        <v>19800.48</v>
      </c>
      <c r="V155">
        <v>0</v>
      </c>
      <c r="W155" t="s">
        <v>29</v>
      </c>
      <c r="X155" t="str">
        <f>IF(Table2[[#This Row],[Qty available]]&gt;Table2[[#This Row],[Qty on hand]],"Check","OK")</f>
        <v>OK</v>
      </c>
    </row>
    <row r="156" spans="1:24" x14ac:dyDescent="0.3">
      <c r="A156" t="s">
        <v>67</v>
      </c>
      <c r="B156" t="s">
        <v>68</v>
      </c>
      <c r="C156" t="s">
        <v>69</v>
      </c>
      <c r="D156" t="s">
        <v>70</v>
      </c>
      <c r="E156" t="s">
        <v>66</v>
      </c>
      <c r="F156" s="1" t="s">
        <v>39</v>
      </c>
      <c r="G156" s="2">
        <v>66.94</v>
      </c>
      <c r="H156">
        <v>66.94</v>
      </c>
      <c r="I156">
        <v>65.701435000000004</v>
      </c>
      <c r="J156">
        <v>92.96</v>
      </c>
      <c r="K156">
        <v>57</v>
      </c>
      <c r="M156">
        <v>0</v>
      </c>
      <c r="N156" s="2">
        <v>418</v>
      </c>
      <c r="O156">
        <v>27463.200000000001</v>
      </c>
      <c r="P156">
        <v>25</v>
      </c>
      <c r="Q156">
        <v>393</v>
      </c>
      <c r="R156">
        <v>5.13</v>
      </c>
      <c r="S156">
        <v>2</v>
      </c>
      <c r="T156">
        <v>435</v>
      </c>
      <c r="U156" s="2">
        <v>40437.599999999999</v>
      </c>
      <c r="V156">
        <v>0</v>
      </c>
      <c r="W156" t="s">
        <v>29</v>
      </c>
      <c r="X156" t="str">
        <f>IF(Table2[[#This Row],[Qty available]]&gt;Table2[[#This Row],[Qty on hand]],"Check","OK")</f>
        <v>OK</v>
      </c>
    </row>
    <row r="157" spans="1:24" x14ac:dyDescent="0.3">
      <c r="A157" t="s">
        <v>67</v>
      </c>
      <c r="B157" t="s">
        <v>68</v>
      </c>
      <c r="C157" t="s">
        <v>69</v>
      </c>
      <c r="D157" t="s">
        <v>70</v>
      </c>
      <c r="E157" t="s">
        <v>66</v>
      </c>
      <c r="F157" s="1" t="s">
        <v>40</v>
      </c>
      <c r="G157" s="2">
        <v>65.56</v>
      </c>
      <c r="H157">
        <v>65.56</v>
      </c>
      <c r="I157">
        <v>65.598743999999996</v>
      </c>
      <c r="J157">
        <v>92.96</v>
      </c>
      <c r="K157">
        <v>57</v>
      </c>
      <c r="L157" s="2">
        <v>57</v>
      </c>
      <c r="M157">
        <v>1108</v>
      </c>
      <c r="N157" s="2">
        <v>1194</v>
      </c>
      <c r="O157">
        <v>78324.899999999994</v>
      </c>
      <c r="P157">
        <v>17</v>
      </c>
      <c r="Q157">
        <v>1177</v>
      </c>
      <c r="R157">
        <v>16.010000000000002</v>
      </c>
      <c r="S157">
        <v>4</v>
      </c>
      <c r="T157">
        <v>332</v>
      </c>
      <c r="U157" s="2">
        <v>30862.720000000001</v>
      </c>
      <c r="V157">
        <v>0</v>
      </c>
      <c r="W157" t="s">
        <v>29</v>
      </c>
      <c r="X157" t="str">
        <f>IF(Table2[[#This Row],[Qty available]]&gt;Table2[[#This Row],[Qty on hand]],"Check","OK")</f>
        <v>OK</v>
      </c>
    </row>
    <row r="158" spans="1:24" x14ac:dyDescent="0.3">
      <c r="A158" t="s">
        <v>67</v>
      </c>
      <c r="B158" t="s">
        <v>68</v>
      </c>
      <c r="C158" t="s">
        <v>69</v>
      </c>
      <c r="D158" t="s">
        <v>70</v>
      </c>
      <c r="E158" t="s">
        <v>66</v>
      </c>
      <c r="F158" s="1" t="s">
        <v>41</v>
      </c>
      <c r="G158" s="2">
        <v>67.040000000000006</v>
      </c>
      <c r="H158">
        <v>67.040000000000006</v>
      </c>
      <c r="I158">
        <v>65.794807000000006</v>
      </c>
      <c r="J158">
        <v>92.96</v>
      </c>
      <c r="K158">
        <v>57</v>
      </c>
      <c r="L158" s="2">
        <v>50</v>
      </c>
      <c r="M158">
        <v>188</v>
      </c>
      <c r="N158" s="2">
        <v>1242</v>
      </c>
      <c r="O158">
        <v>81717.149999999994</v>
      </c>
      <c r="P158">
        <v>74</v>
      </c>
      <c r="Q158">
        <v>1168</v>
      </c>
      <c r="R158">
        <v>18</v>
      </c>
      <c r="S158">
        <v>0</v>
      </c>
      <c r="T158">
        <v>140</v>
      </c>
      <c r="U158" s="2">
        <v>13014.4</v>
      </c>
      <c r="V158">
        <v>0</v>
      </c>
      <c r="W158" t="s">
        <v>29</v>
      </c>
      <c r="X158" t="str">
        <f>IF(Table2[[#This Row],[Qty available]]&gt;Table2[[#This Row],[Qty on hand]],"Check","OK")</f>
        <v>OK</v>
      </c>
    </row>
    <row r="159" spans="1:24" x14ac:dyDescent="0.3">
      <c r="A159" t="s">
        <v>67</v>
      </c>
      <c r="B159" t="s">
        <v>68</v>
      </c>
      <c r="C159" t="s">
        <v>69</v>
      </c>
      <c r="D159" t="s">
        <v>70</v>
      </c>
      <c r="E159" t="s">
        <v>66</v>
      </c>
      <c r="F159" s="1" t="s">
        <v>42</v>
      </c>
      <c r="G159" s="2">
        <v>67.11</v>
      </c>
      <c r="H159">
        <v>67.11</v>
      </c>
      <c r="I159">
        <v>65.988879999999995</v>
      </c>
      <c r="J159">
        <v>92.96</v>
      </c>
      <c r="K159">
        <v>57</v>
      </c>
      <c r="L159" s="2">
        <v>55</v>
      </c>
      <c r="M159">
        <v>215</v>
      </c>
      <c r="N159" s="2">
        <v>1045</v>
      </c>
      <c r="O159">
        <v>68958.38</v>
      </c>
      <c r="P159">
        <v>50</v>
      </c>
      <c r="Q159">
        <v>995</v>
      </c>
      <c r="R159">
        <v>15.54</v>
      </c>
      <c r="S159">
        <v>1</v>
      </c>
      <c r="T159">
        <v>412</v>
      </c>
      <c r="U159" s="2">
        <v>38299.519999999997</v>
      </c>
      <c r="V159">
        <v>0</v>
      </c>
      <c r="W159" t="s">
        <v>29</v>
      </c>
      <c r="X159" t="str">
        <f>IF(Table2[[#This Row],[Qty available]]&gt;Table2[[#This Row],[Qty on hand]],"Check","OK")</f>
        <v>OK</v>
      </c>
    </row>
    <row r="160" spans="1:24" x14ac:dyDescent="0.3">
      <c r="A160" t="s">
        <v>67</v>
      </c>
      <c r="B160" t="s">
        <v>68</v>
      </c>
      <c r="C160" t="s">
        <v>69</v>
      </c>
      <c r="D160" t="s">
        <v>70</v>
      </c>
      <c r="E160" t="s">
        <v>66</v>
      </c>
      <c r="F160" s="1" t="s">
        <v>43</v>
      </c>
      <c r="G160" s="2">
        <v>65.97</v>
      </c>
      <c r="H160">
        <v>65.97</v>
      </c>
      <c r="I160">
        <v>65.984576000000004</v>
      </c>
      <c r="J160">
        <v>92.96</v>
      </c>
      <c r="K160">
        <v>57</v>
      </c>
      <c r="L160" s="2">
        <v>50</v>
      </c>
      <c r="M160">
        <v>309</v>
      </c>
      <c r="N160" s="2">
        <v>1049</v>
      </c>
      <c r="O160">
        <v>69217.820000000007</v>
      </c>
      <c r="P160">
        <v>17</v>
      </c>
      <c r="Q160">
        <v>1032</v>
      </c>
      <c r="R160">
        <v>15.91</v>
      </c>
      <c r="S160">
        <v>0</v>
      </c>
      <c r="T160">
        <v>305</v>
      </c>
      <c r="U160" s="2">
        <v>28352.799999999999</v>
      </c>
      <c r="V160">
        <v>0</v>
      </c>
      <c r="W160" t="s">
        <v>29</v>
      </c>
      <c r="X160" t="str">
        <f>IF(Table2[[#This Row],[Qty available]]&gt;Table2[[#This Row],[Qty on hand]],"Check","OK")</f>
        <v>OK</v>
      </c>
    </row>
    <row r="161" spans="1:24" x14ac:dyDescent="0.3">
      <c r="A161" t="s">
        <v>67</v>
      </c>
      <c r="B161" t="s">
        <v>68</v>
      </c>
      <c r="C161" t="s">
        <v>69</v>
      </c>
      <c r="D161" t="s">
        <v>70</v>
      </c>
      <c r="E161" t="s">
        <v>66</v>
      </c>
      <c r="F161" s="1" t="s">
        <v>44</v>
      </c>
      <c r="G161" s="2">
        <v>66.95</v>
      </c>
      <c r="H161">
        <v>66.95</v>
      </c>
      <c r="I161">
        <v>66.010552000000004</v>
      </c>
      <c r="J161">
        <v>92.96</v>
      </c>
      <c r="K161">
        <v>57</v>
      </c>
      <c r="L161" s="2">
        <v>54</v>
      </c>
      <c r="M161">
        <v>29</v>
      </c>
      <c r="N161" s="2">
        <v>869</v>
      </c>
      <c r="O161">
        <v>57363.17</v>
      </c>
      <c r="P161">
        <v>25</v>
      </c>
      <c r="Q161">
        <v>844</v>
      </c>
      <c r="R161">
        <v>12.33</v>
      </c>
      <c r="S161">
        <v>0</v>
      </c>
      <c r="T161">
        <v>209</v>
      </c>
      <c r="U161" s="2">
        <v>19428.64</v>
      </c>
      <c r="V161">
        <v>0</v>
      </c>
      <c r="W161" t="s">
        <v>29</v>
      </c>
      <c r="X161" t="str">
        <f>IF(Table2[[#This Row],[Qty available]]&gt;Table2[[#This Row],[Qty on hand]],"Check","OK")</f>
        <v>OK</v>
      </c>
    </row>
    <row r="162" spans="1:24" x14ac:dyDescent="0.3">
      <c r="A162" t="s">
        <v>67</v>
      </c>
      <c r="B162" t="s">
        <v>68</v>
      </c>
      <c r="C162" t="s">
        <v>69</v>
      </c>
      <c r="D162" t="s">
        <v>70</v>
      </c>
      <c r="E162" t="s">
        <v>66</v>
      </c>
      <c r="F162" s="1" t="s">
        <v>45</v>
      </c>
      <c r="G162" s="2">
        <v>68.900000000000006</v>
      </c>
      <c r="H162">
        <v>68.900000000000006</v>
      </c>
      <c r="I162">
        <v>67.090969999999999</v>
      </c>
      <c r="J162">
        <v>92.96</v>
      </c>
      <c r="K162">
        <v>57</v>
      </c>
      <c r="L162" s="2">
        <v>52</v>
      </c>
      <c r="M162">
        <v>519</v>
      </c>
      <c r="N162" s="2">
        <v>1340</v>
      </c>
      <c r="O162">
        <v>89901.9</v>
      </c>
      <c r="P162">
        <v>41</v>
      </c>
      <c r="Q162">
        <v>1299</v>
      </c>
      <c r="R162">
        <v>31.34</v>
      </c>
      <c r="S162">
        <v>1</v>
      </c>
      <c r="T162">
        <v>48</v>
      </c>
      <c r="U162" s="2">
        <v>4462.08</v>
      </c>
      <c r="V162">
        <v>0</v>
      </c>
      <c r="W162" t="s">
        <v>29</v>
      </c>
      <c r="X162" t="str">
        <f>IF(Table2[[#This Row],[Qty available]]&gt;Table2[[#This Row],[Qty on hand]],"Check","OK")</f>
        <v>OK</v>
      </c>
    </row>
    <row r="163" spans="1:24" x14ac:dyDescent="0.3">
      <c r="A163" t="s">
        <v>67</v>
      </c>
      <c r="B163" t="s">
        <v>68</v>
      </c>
      <c r="C163" t="s">
        <v>69</v>
      </c>
      <c r="D163" t="s">
        <v>70</v>
      </c>
      <c r="E163" t="s">
        <v>66</v>
      </c>
      <c r="F163" s="1" t="s">
        <v>46</v>
      </c>
      <c r="G163" s="2">
        <v>67.36</v>
      </c>
      <c r="H163">
        <v>67.36</v>
      </c>
      <c r="I163">
        <v>67.145928999999995</v>
      </c>
      <c r="J163">
        <v>97.71</v>
      </c>
      <c r="K163">
        <v>57</v>
      </c>
      <c r="L163" s="2">
        <v>56</v>
      </c>
      <c r="M163">
        <v>344</v>
      </c>
      <c r="N163" s="2">
        <v>1427</v>
      </c>
      <c r="O163">
        <v>95817.24</v>
      </c>
      <c r="P163">
        <v>25</v>
      </c>
      <c r="Q163">
        <v>1402</v>
      </c>
      <c r="R163">
        <v>35.69</v>
      </c>
      <c r="S163">
        <v>2</v>
      </c>
      <c r="T163">
        <v>257</v>
      </c>
      <c r="U163" s="2">
        <v>25111.47</v>
      </c>
      <c r="V163">
        <v>0</v>
      </c>
      <c r="W163" t="s">
        <v>29</v>
      </c>
      <c r="X163" t="str">
        <f>IF(Table2[[#This Row],[Qty available]]&gt;Table2[[#This Row],[Qty on hand]],"Check","OK")</f>
        <v>OK</v>
      </c>
    </row>
    <row r="164" spans="1:24" x14ac:dyDescent="0.3">
      <c r="A164" t="s">
        <v>67</v>
      </c>
      <c r="B164" t="s">
        <v>68</v>
      </c>
      <c r="C164" t="s">
        <v>69</v>
      </c>
      <c r="D164" t="s">
        <v>70</v>
      </c>
      <c r="E164" t="s">
        <v>66</v>
      </c>
      <c r="F164" s="1" t="s">
        <v>47</v>
      </c>
      <c r="G164" s="2">
        <v>69</v>
      </c>
      <c r="H164">
        <v>69</v>
      </c>
      <c r="I164">
        <v>67.145932000000002</v>
      </c>
      <c r="J164">
        <v>97.71</v>
      </c>
      <c r="K164">
        <v>57</v>
      </c>
      <c r="M164">
        <v>0</v>
      </c>
      <c r="N164" s="2">
        <v>1153</v>
      </c>
      <c r="O164">
        <v>77419.259999999995</v>
      </c>
      <c r="P164">
        <v>74</v>
      </c>
      <c r="Q164">
        <v>1079</v>
      </c>
      <c r="R164">
        <v>25.6</v>
      </c>
      <c r="S164">
        <v>2</v>
      </c>
      <c r="T164">
        <v>274</v>
      </c>
      <c r="U164" s="2">
        <v>26772.54</v>
      </c>
      <c r="V164">
        <v>0</v>
      </c>
      <c r="W164" t="s">
        <v>29</v>
      </c>
      <c r="X164" t="str">
        <f>IF(Table2[[#This Row],[Qty available]]&gt;Table2[[#This Row],[Qty on hand]],"Check","OK")</f>
        <v>OK</v>
      </c>
    </row>
    <row r="165" spans="1:24" x14ac:dyDescent="0.3">
      <c r="A165" t="s">
        <v>67</v>
      </c>
      <c r="B165" t="s">
        <v>68</v>
      </c>
      <c r="C165" t="s">
        <v>69</v>
      </c>
      <c r="D165" t="s">
        <v>70</v>
      </c>
      <c r="E165" t="s">
        <v>66</v>
      </c>
      <c r="F165" s="1" t="s">
        <v>48</v>
      </c>
      <c r="G165" s="2">
        <v>67.040000000000006</v>
      </c>
      <c r="H165">
        <v>67.040000000000006</v>
      </c>
      <c r="I165">
        <v>67.144749000000004</v>
      </c>
      <c r="J165">
        <v>97.71</v>
      </c>
      <c r="K165">
        <v>57</v>
      </c>
      <c r="L165" s="2">
        <v>49</v>
      </c>
      <c r="M165">
        <v>13</v>
      </c>
      <c r="N165" s="2">
        <v>916</v>
      </c>
      <c r="O165">
        <v>61504.59</v>
      </c>
      <c r="P165">
        <v>33</v>
      </c>
      <c r="Q165">
        <v>883</v>
      </c>
      <c r="R165">
        <v>14.91</v>
      </c>
      <c r="S165">
        <v>2</v>
      </c>
      <c r="T165">
        <v>250</v>
      </c>
      <c r="U165" s="2">
        <v>24427.5</v>
      </c>
      <c r="V165">
        <v>0</v>
      </c>
      <c r="W165" t="s">
        <v>29</v>
      </c>
      <c r="X165" t="str">
        <f>IF(Table2[[#This Row],[Qty available]]&gt;Table2[[#This Row],[Qty on hand]],"Check","OK")</f>
        <v>OK</v>
      </c>
    </row>
    <row r="166" spans="1:24" x14ac:dyDescent="0.3">
      <c r="A166" t="s">
        <v>67</v>
      </c>
      <c r="B166" t="s">
        <v>68</v>
      </c>
      <c r="C166" t="s">
        <v>69</v>
      </c>
      <c r="D166" t="s">
        <v>70</v>
      </c>
      <c r="E166" t="s">
        <v>66</v>
      </c>
      <c r="F166" s="1" t="s">
        <v>49</v>
      </c>
      <c r="G166" s="2">
        <v>67.61</v>
      </c>
      <c r="H166">
        <v>67.61</v>
      </c>
      <c r="I166">
        <v>67.252475000000004</v>
      </c>
      <c r="J166">
        <v>97.71</v>
      </c>
      <c r="K166">
        <v>57</v>
      </c>
      <c r="L166" s="2">
        <v>49</v>
      </c>
      <c r="M166">
        <v>276</v>
      </c>
      <c r="N166" s="2">
        <v>1083</v>
      </c>
      <c r="O166">
        <v>72834.429999999993</v>
      </c>
      <c r="P166">
        <v>17</v>
      </c>
      <c r="Q166">
        <v>1066</v>
      </c>
      <c r="R166">
        <v>22.49</v>
      </c>
      <c r="S166">
        <v>3</v>
      </c>
      <c r="T166">
        <v>109</v>
      </c>
      <c r="U166" s="2">
        <v>10650.39</v>
      </c>
      <c r="V166">
        <v>0</v>
      </c>
      <c r="W166" t="s">
        <v>29</v>
      </c>
      <c r="X166" t="str">
        <f>IF(Table2[[#This Row],[Qty available]]&gt;Table2[[#This Row],[Qty on hand]],"Check","OK")</f>
        <v>OK</v>
      </c>
    </row>
    <row r="167" spans="1:24" x14ac:dyDescent="0.3">
      <c r="A167" t="s">
        <v>67</v>
      </c>
      <c r="B167" t="s">
        <v>68</v>
      </c>
      <c r="C167" t="s">
        <v>69</v>
      </c>
      <c r="D167" t="s">
        <v>70</v>
      </c>
      <c r="E167" t="s">
        <v>66</v>
      </c>
      <c r="F167" s="1" t="s">
        <v>50</v>
      </c>
      <c r="G167" s="2">
        <v>68.010000000000005</v>
      </c>
      <c r="H167">
        <v>68.010000000000005</v>
      </c>
      <c r="I167">
        <v>67.499487000000002</v>
      </c>
      <c r="J167">
        <v>97.71</v>
      </c>
      <c r="K167">
        <v>57</v>
      </c>
      <c r="L167" s="2">
        <v>51</v>
      </c>
      <c r="M167">
        <v>524</v>
      </c>
      <c r="N167" s="2">
        <v>1188</v>
      </c>
      <c r="O167">
        <v>80189.39</v>
      </c>
      <c r="P167">
        <v>83</v>
      </c>
      <c r="Q167">
        <v>1105</v>
      </c>
      <c r="R167">
        <v>19.850000000000001</v>
      </c>
      <c r="S167">
        <v>3</v>
      </c>
      <c r="T167">
        <v>419</v>
      </c>
      <c r="U167" s="2">
        <v>40940.49</v>
      </c>
      <c r="V167">
        <v>0</v>
      </c>
      <c r="W167" t="s">
        <v>29</v>
      </c>
      <c r="X167" t="str">
        <f>IF(Table2[[#This Row],[Qty available]]&gt;Table2[[#This Row],[Qty on hand]],"Check","OK")</f>
        <v>OK</v>
      </c>
    </row>
    <row r="168" spans="1:24" x14ac:dyDescent="0.3">
      <c r="A168" t="s">
        <v>67</v>
      </c>
      <c r="B168" t="s">
        <v>68</v>
      </c>
      <c r="C168" t="s">
        <v>69</v>
      </c>
      <c r="D168" t="s">
        <v>70</v>
      </c>
      <c r="E168" t="s">
        <v>66</v>
      </c>
      <c r="F168" s="1" t="s">
        <v>51</v>
      </c>
      <c r="G168" s="2">
        <v>66.97</v>
      </c>
      <c r="H168">
        <v>66.97</v>
      </c>
      <c r="I168">
        <v>67.499487999999999</v>
      </c>
      <c r="J168">
        <v>97.71</v>
      </c>
      <c r="K168">
        <v>57</v>
      </c>
      <c r="M168">
        <v>0</v>
      </c>
      <c r="N168" s="2">
        <v>1075</v>
      </c>
      <c r="O168">
        <v>72561.95</v>
      </c>
      <c r="P168">
        <v>74</v>
      </c>
      <c r="Q168">
        <v>1001</v>
      </c>
      <c r="R168">
        <v>22.04</v>
      </c>
      <c r="S168">
        <v>1</v>
      </c>
      <c r="T168">
        <v>113</v>
      </c>
      <c r="U168" s="2">
        <v>11041.23</v>
      </c>
      <c r="V168">
        <v>0</v>
      </c>
      <c r="W168" t="s">
        <v>29</v>
      </c>
      <c r="X168" t="str">
        <f>IF(Table2[[#This Row],[Qty available]]&gt;Table2[[#This Row],[Qty on hand]],"Check","OK")</f>
        <v>OK</v>
      </c>
    </row>
    <row r="169" spans="1:24" x14ac:dyDescent="0.3">
      <c r="A169" t="s">
        <v>67</v>
      </c>
      <c r="B169" t="s">
        <v>68</v>
      </c>
      <c r="C169" t="s">
        <v>69</v>
      </c>
      <c r="D169" t="s">
        <v>70</v>
      </c>
      <c r="E169" t="s">
        <v>66</v>
      </c>
      <c r="F169" s="1" t="s">
        <v>52</v>
      </c>
      <c r="G169" s="2">
        <v>68.23</v>
      </c>
      <c r="H169">
        <v>68.23</v>
      </c>
      <c r="I169">
        <v>67.635529000000005</v>
      </c>
      <c r="J169">
        <v>97.71</v>
      </c>
      <c r="K169">
        <v>57</v>
      </c>
      <c r="L169" s="2">
        <v>51</v>
      </c>
      <c r="M169">
        <v>246</v>
      </c>
      <c r="N169" s="2">
        <v>1143</v>
      </c>
      <c r="O169">
        <v>77307.41</v>
      </c>
      <c r="P169">
        <v>83</v>
      </c>
      <c r="Q169">
        <v>1060</v>
      </c>
      <c r="R169">
        <v>21.16</v>
      </c>
      <c r="S169">
        <v>1</v>
      </c>
      <c r="T169">
        <v>178</v>
      </c>
      <c r="U169" s="2">
        <v>17392.38</v>
      </c>
      <c r="V169">
        <v>0</v>
      </c>
      <c r="W169" t="s">
        <v>29</v>
      </c>
      <c r="X169" t="str">
        <f>IF(Table2[[#This Row],[Qty available]]&gt;Table2[[#This Row],[Qty on hand]],"Check","OK")</f>
        <v>OK</v>
      </c>
    </row>
    <row r="170" spans="1:24" x14ac:dyDescent="0.3">
      <c r="A170" t="s">
        <v>71</v>
      </c>
      <c r="B170" t="s">
        <v>72</v>
      </c>
      <c r="C170" t="s">
        <v>69</v>
      </c>
      <c r="D170" t="s">
        <v>70</v>
      </c>
      <c r="E170" t="s">
        <v>66</v>
      </c>
      <c r="F170" s="1" t="s">
        <v>28</v>
      </c>
      <c r="G170" s="2">
        <v>2.96</v>
      </c>
      <c r="H170">
        <v>2.96</v>
      </c>
      <c r="I170">
        <v>2.9597600000000002</v>
      </c>
      <c r="J170">
        <v>4.0199999999999996</v>
      </c>
      <c r="K170">
        <v>53</v>
      </c>
      <c r="M170">
        <v>0</v>
      </c>
      <c r="N170" s="2">
        <v>1085</v>
      </c>
      <c r="O170">
        <v>3211.34</v>
      </c>
      <c r="P170">
        <v>94</v>
      </c>
      <c r="Q170">
        <v>991</v>
      </c>
      <c r="R170">
        <v>8.66</v>
      </c>
      <c r="S170">
        <v>1</v>
      </c>
      <c r="T170">
        <v>562</v>
      </c>
      <c r="U170" s="2">
        <v>2259.2399999999998</v>
      </c>
      <c r="V170">
        <v>0</v>
      </c>
      <c r="W170" t="s">
        <v>29</v>
      </c>
      <c r="X170" t="str">
        <f>IF(Table2[[#This Row],[Qty available]]&gt;Table2[[#This Row],[Qty on hand]],"Check","OK")</f>
        <v>OK</v>
      </c>
    </row>
    <row r="171" spans="1:24" x14ac:dyDescent="0.3">
      <c r="A171" t="s">
        <v>71</v>
      </c>
      <c r="B171" t="s">
        <v>72</v>
      </c>
      <c r="C171" t="s">
        <v>69</v>
      </c>
      <c r="D171" t="s">
        <v>70</v>
      </c>
      <c r="E171" t="s">
        <v>66</v>
      </c>
      <c r="F171" s="1" t="s">
        <v>30</v>
      </c>
      <c r="G171" s="2">
        <v>2.95</v>
      </c>
      <c r="H171">
        <v>2.95</v>
      </c>
      <c r="I171">
        <v>2.9597790000000002</v>
      </c>
      <c r="J171">
        <v>4.0199999999999996</v>
      </c>
      <c r="K171">
        <v>53</v>
      </c>
      <c r="M171">
        <v>0</v>
      </c>
      <c r="N171" s="2">
        <v>271</v>
      </c>
      <c r="O171">
        <v>802.1</v>
      </c>
      <c r="P171">
        <v>31</v>
      </c>
      <c r="Q171">
        <v>240</v>
      </c>
      <c r="R171">
        <v>1.8</v>
      </c>
      <c r="S171">
        <v>1</v>
      </c>
      <c r="T171">
        <v>814</v>
      </c>
      <c r="U171" s="2">
        <v>3272.28</v>
      </c>
      <c r="V171">
        <v>0</v>
      </c>
      <c r="W171" t="s">
        <v>29</v>
      </c>
      <c r="X171" t="str">
        <f>IF(Table2[[#This Row],[Qty available]]&gt;Table2[[#This Row],[Qty on hand]],"Check","OK")</f>
        <v>OK</v>
      </c>
    </row>
    <row r="172" spans="1:24" x14ac:dyDescent="0.3">
      <c r="A172" t="s">
        <v>71</v>
      </c>
      <c r="B172" t="s">
        <v>72</v>
      </c>
      <c r="C172" t="s">
        <v>69</v>
      </c>
      <c r="D172" t="s">
        <v>70</v>
      </c>
      <c r="E172" t="s">
        <v>66</v>
      </c>
      <c r="F172" s="1" t="s">
        <v>31</v>
      </c>
      <c r="G172" s="2">
        <v>2.95</v>
      </c>
      <c r="H172">
        <v>2.95</v>
      </c>
      <c r="I172">
        <v>2.951416</v>
      </c>
      <c r="J172">
        <v>4.0199999999999996</v>
      </c>
      <c r="K172">
        <v>53</v>
      </c>
      <c r="L172" s="2">
        <v>72</v>
      </c>
      <c r="M172">
        <v>1601</v>
      </c>
      <c r="N172" s="2">
        <v>1872</v>
      </c>
      <c r="O172">
        <v>5525.05</v>
      </c>
      <c r="P172">
        <v>126</v>
      </c>
      <c r="Q172">
        <v>1746</v>
      </c>
      <c r="R172">
        <v>17.690000000000001</v>
      </c>
      <c r="S172">
        <v>31</v>
      </c>
      <c r="T172">
        <v>0</v>
      </c>
      <c r="U172" s="2">
        <v>0</v>
      </c>
      <c r="V172">
        <v>0</v>
      </c>
      <c r="W172" t="s">
        <v>29</v>
      </c>
      <c r="X172" t="str">
        <f>IF(Table2[[#This Row],[Qty available]]&gt;Table2[[#This Row],[Qty on hand]],"Check","OK")</f>
        <v>OK</v>
      </c>
    </row>
    <row r="173" spans="1:24" x14ac:dyDescent="0.3">
      <c r="A173" t="s">
        <v>71</v>
      </c>
      <c r="B173" t="s">
        <v>72</v>
      </c>
      <c r="C173" t="s">
        <v>69</v>
      </c>
      <c r="D173" t="s">
        <v>70</v>
      </c>
      <c r="E173" t="s">
        <v>66</v>
      </c>
      <c r="F173" s="1" t="s">
        <v>32</v>
      </c>
      <c r="G173" s="2">
        <v>3.02</v>
      </c>
      <c r="H173">
        <v>3.02</v>
      </c>
      <c r="I173">
        <v>2.962809</v>
      </c>
      <c r="J173">
        <v>4.0199999999999996</v>
      </c>
      <c r="K173">
        <v>53</v>
      </c>
      <c r="L173" s="2">
        <v>52</v>
      </c>
      <c r="M173">
        <v>373</v>
      </c>
      <c r="N173" s="2">
        <v>2086</v>
      </c>
      <c r="O173">
        <v>6180.42</v>
      </c>
      <c r="P173">
        <v>47</v>
      </c>
      <c r="Q173">
        <v>2039</v>
      </c>
      <c r="R173">
        <v>28.18</v>
      </c>
      <c r="S173">
        <v>4</v>
      </c>
      <c r="T173">
        <v>159</v>
      </c>
      <c r="U173" s="2">
        <v>639.17999999999995</v>
      </c>
      <c r="V173">
        <v>0</v>
      </c>
      <c r="W173" t="s">
        <v>29</v>
      </c>
      <c r="X173" t="str">
        <f>IF(Table2[[#This Row],[Qty available]]&gt;Table2[[#This Row],[Qty on hand]],"Check","OK")</f>
        <v>OK</v>
      </c>
    </row>
    <row r="174" spans="1:24" x14ac:dyDescent="0.3">
      <c r="A174" t="s">
        <v>71</v>
      </c>
      <c r="B174" t="s">
        <v>72</v>
      </c>
      <c r="C174" t="s">
        <v>69</v>
      </c>
      <c r="D174" t="s">
        <v>70</v>
      </c>
      <c r="E174" t="s">
        <v>66</v>
      </c>
      <c r="F174" s="1" t="s">
        <v>33</v>
      </c>
      <c r="G174" s="2">
        <v>3.05</v>
      </c>
      <c r="H174">
        <v>3.05</v>
      </c>
      <c r="I174">
        <v>2.9628060000000001</v>
      </c>
      <c r="J174">
        <v>4.0199999999999996</v>
      </c>
      <c r="K174">
        <v>53</v>
      </c>
      <c r="M174">
        <v>0</v>
      </c>
      <c r="N174" s="2">
        <v>1276</v>
      </c>
      <c r="O174">
        <v>3780.54</v>
      </c>
      <c r="P174">
        <v>157</v>
      </c>
      <c r="Q174">
        <v>1119</v>
      </c>
      <c r="R174">
        <v>17.309999999999999</v>
      </c>
      <c r="S174">
        <v>1</v>
      </c>
      <c r="T174">
        <v>810</v>
      </c>
      <c r="U174" s="2">
        <v>3256.2</v>
      </c>
      <c r="V174">
        <v>0</v>
      </c>
      <c r="W174" t="s">
        <v>29</v>
      </c>
      <c r="X174" t="str">
        <f>IF(Table2[[#This Row],[Qty available]]&gt;Table2[[#This Row],[Qty on hand]],"Check","OK")</f>
        <v>OK</v>
      </c>
    </row>
    <row r="175" spans="1:24" x14ac:dyDescent="0.3">
      <c r="A175" t="s">
        <v>71</v>
      </c>
      <c r="B175" t="s">
        <v>72</v>
      </c>
      <c r="C175" t="s">
        <v>69</v>
      </c>
      <c r="D175" t="s">
        <v>70</v>
      </c>
      <c r="E175" t="s">
        <v>66</v>
      </c>
      <c r="F175" s="1" t="s">
        <v>34</v>
      </c>
      <c r="G175" s="2">
        <v>3.11</v>
      </c>
      <c r="H175">
        <v>3.11</v>
      </c>
      <c r="I175">
        <v>2.9774500000000002</v>
      </c>
      <c r="J175">
        <v>4.13</v>
      </c>
      <c r="K175">
        <v>53</v>
      </c>
      <c r="L175" s="2">
        <v>82</v>
      </c>
      <c r="M175">
        <v>141</v>
      </c>
      <c r="N175" s="2">
        <v>996</v>
      </c>
      <c r="O175">
        <v>2965.54</v>
      </c>
      <c r="P175">
        <v>79</v>
      </c>
      <c r="Q175">
        <v>917</v>
      </c>
      <c r="R175">
        <v>9.2100000000000009</v>
      </c>
      <c r="S175">
        <v>0</v>
      </c>
      <c r="T175">
        <v>421</v>
      </c>
      <c r="U175" s="2">
        <v>1738.73</v>
      </c>
      <c r="V175">
        <v>0</v>
      </c>
      <c r="W175" t="s">
        <v>29</v>
      </c>
      <c r="X175" t="str">
        <f>IF(Table2[[#This Row],[Qty available]]&gt;Table2[[#This Row],[Qty on hand]],"Check","OK")</f>
        <v>OK</v>
      </c>
    </row>
    <row r="176" spans="1:24" x14ac:dyDescent="0.3">
      <c r="A176" t="s">
        <v>71</v>
      </c>
      <c r="B176" t="s">
        <v>72</v>
      </c>
      <c r="C176" t="s">
        <v>69</v>
      </c>
      <c r="D176" t="s">
        <v>70</v>
      </c>
      <c r="E176" t="s">
        <v>66</v>
      </c>
      <c r="F176" s="1" t="s">
        <v>35</v>
      </c>
      <c r="G176" s="2">
        <v>3.07</v>
      </c>
      <c r="H176">
        <v>3.07</v>
      </c>
      <c r="I176">
        <v>2.977455</v>
      </c>
      <c r="J176">
        <v>4.13</v>
      </c>
      <c r="K176">
        <v>53</v>
      </c>
      <c r="M176">
        <v>0</v>
      </c>
      <c r="N176" s="2">
        <v>786</v>
      </c>
      <c r="O176">
        <v>2340.2800000000002</v>
      </c>
      <c r="P176">
        <v>142</v>
      </c>
      <c r="Q176">
        <v>644</v>
      </c>
      <c r="R176">
        <v>7.01</v>
      </c>
      <c r="S176">
        <v>1</v>
      </c>
      <c r="T176">
        <v>210</v>
      </c>
      <c r="U176" s="2">
        <v>867.3</v>
      </c>
      <c r="V176">
        <v>0</v>
      </c>
      <c r="W176" t="s">
        <v>29</v>
      </c>
      <c r="X176" t="str">
        <f>IF(Table2[[#This Row],[Qty available]]&gt;Table2[[#This Row],[Qty on hand]],"Check","OK")</f>
        <v>OK</v>
      </c>
    </row>
    <row r="177" spans="1:24" x14ac:dyDescent="0.3">
      <c r="A177" t="s">
        <v>71</v>
      </c>
      <c r="B177" t="s">
        <v>72</v>
      </c>
      <c r="C177" t="s">
        <v>69</v>
      </c>
      <c r="D177" t="s">
        <v>70</v>
      </c>
      <c r="E177" t="s">
        <v>66</v>
      </c>
      <c r="F177" s="1" t="s">
        <v>36</v>
      </c>
      <c r="G177" s="2">
        <v>3.09</v>
      </c>
      <c r="H177">
        <v>3.09</v>
      </c>
      <c r="I177">
        <v>3.0518239999999999</v>
      </c>
      <c r="J177">
        <v>4.13</v>
      </c>
      <c r="K177">
        <v>53</v>
      </c>
      <c r="L177" s="2">
        <v>75</v>
      </c>
      <c r="M177">
        <v>1531</v>
      </c>
      <c r="N177" s="2">
        <v>2040</v>
      </c>
      <c r="O177">
        <v>6225.72</v>
      </c>
      <c r="P177">
        <v>63</v>
      </c>
      <c r="Q177">
        <v>1977</v>
      </c>
      <c r="R177">
        <v>28.57</v>
      </c>
      <c r="S177">
        <v>1</v>
      </c>
      <c r="T177">
        <v>277</v>
      </c>
      <c r="U177" s="2">
        <v>1144.01</v>
      </c>
      <c r="V177">
        <v>0</v>
      </c>
      <c r="W177" t="s">
        <v>29</v>
      </c>
      <c r="X177" t="str">
        <f>IF(Table2[[#This Row],[Qty available]]&gt;Table2[[#This Row],[Qty on hand]],"Check","OK")</f>
        <v>OK</v>
      </c>
    </row>
    <row r="178" spans="1:24" x14ac:dyDescent="0.3">
      <c r="A178" t="s">
        <v>71</v>
      </c>
      <c r="B178" t="s">
        <v>72</v>
      </c>
      <c r="C178" t="s">
        <v>69</v>
      </c>
      <c r="D178" t="s">
        <v>70</v>
      </c>
      <c r="E178" t="s">
        <v>66</v>
      </c>
      <c r="F178" s="1" t="s">
        <v>37</v>
      </c>
      <c r="G178" s="2">
        <v>3.02</v>
      </c>
      <c r="H178">
        <v>3.02</v>
      </c>
      <c r="I178">
        <v>3.0518260000000001</v>
      </c>
      <c r="J178">
        <v>4.13</v>
      </c>
      <c r="K178">
        <v>53</v>
      </c>
      <c r="M178">
        <v>0</v>
      </c>
      <c r="N178" s="2">
        <v>1314</v>
      </c>
      <c r="O178">
        <v>4010.1</v>
      </c>
      <c r="P178">
        <v>126</v>
      </c>
      <c r="Q178">
        <v>1188</v>
      </c>
      <c r="R178">
        <v>14.24</v>
      </c>
      <c r="S178">
        <v>0</v>
      </c>
      <c r="T178">
        <v>726</v>
      </c>
      <c r="U178" s="2">
        <v>2998.38</v>
      </c>
      <c r="V178">
        <v>0</v>
      </c>
      <c r="W178" t="s">
        <v>29</v>
      </c>
      <c r="X178" t="str">
        <f>IF(Table2[[#This Row],[Qty available]]&gt;Table2[[#This Row],[Qty on hand]],"Check","OK")</f>
        <v>OK</v>
      </c>
    </row>
    <row r="179" spans="1:24" x14ac:dyDescent="0.3">
      <c r="A179" t="s">
        <v>71</v>
      </c>
      <c r="B179" t="s">
        <v>72</v>
      </c>
      <c r="C179" t="s">
        <v>69</v>
      </c>
      <c r="D179" t="s">
        <v>70</v>
      </c>
      <c r="E179" t="s">
        <v>66</v>
      </c>
      <c r="F179" s="1" t="s">
        <v>38</v>
      </c>
      <c r="G179" s="2">
        <v>3.11</v>
      </c>
      <c r="H179">
        <v>3.11</v>
      </c>
      <c r="I179">
        <v>3.0746799999999999</v>
      </c>
      <c r="J179">
        <v>4.13</v>
      </c>
      <c r="K179">
        <v>53</v>
      </c>
      <c r="L179" s="2">
        <v>47</v>
      </c>
      <c r="M179">
        <v>850</v>
      </c>
      <c r="N179" s="2">
        <v>1607</v>
      </c>
      <c r="O179">
        <v>4941.01</v>
      </c>
      <c r="P179">
        <v>47</v>
      </c>
      <c r="Q179">
        <v>1560</v>
      </c>
      <c r="R179">
        <v>13.39</v>
      </c>
      <c r="S179">
        <v>1</v>
      </c>
      <c r="T179">
        <v>557</v>
      </c>
      <c r="U179" s="2">
        <v>2300.41</v>
      </c>
      <c r="V179">
        <v>0</v>
      </c>
      <c r="W179" t="s">
        <v>29</v>
      </c>
      <c r="X179" t="str">
        <f>IF(Table2[[#This Row],[Qty available]]&gt;Table2[[#This Row],[Qty on hand]],"Check","OK")</f>
        <v>OK</v>
      </c>
    </row>
    <row r="180" spans="1:24" x14ac:dyDescent="0.3">
      <c r="A180" t="s">
        <v>71</v>
      </c>
      <c r="B180" t="s">
        <v>72</v>
      </c>
      <c r="C180" t="s">
        <v>69</v>
      </c>
      <c r="D180" t="s">
        <v>70</v>
      </c>
      <c r="E180" t="s">
        <v>66</v>
      </c>
      <c r="F180" s="1" t="s">
        <v>39</v>
      </c>
      <c r="G180" s="2">
        <v>3.04</v>
      </c>
      <c r="H180">
        <v>3.04</v>
      </c>
      <c r="I180">
        <v>3.0640719999999999</v>
      </c>
      <c r="J180">
        <v>4.13</v>
      </c>
      <c r="K180">
        <v>53</v>
      </c>
      <c r="L180" s="2">
        <v>53</v>
      </c>
      <c r="M180">
        <v>708</v>
      </c>
      <c r="N180" s="2">
        <v>1982</v>
      </c>
      <c r="O180">
        <v>6072.99</v>
      </c>
      <c r="P180">
        <v>142</v>
      </c>
      <c r="Q180">
        <v>1840</v>
      </c>
      <c r="R180">
        <v>16.12</v>
      </c>
      <c r="S180">
        <v>2</v>
      </c>
      <c r="T180">
        <v>333</v>
      </c>
      <c r="U180" s="2">
        <v>1375.29</v>
      </c>
      <c r="V180">
        <v>0</v>
      </c>
      <c r="W180" t="s">
        <v>29</v>
      </c>
      <c r="X180" t="str">
        <f>IF(Table2[[#This Row],[Qty available]]&gt;Table2[[#This Row],[Qty on hand]],"Check","OK")</f>
        <v>OK</v>
      </c>
    </row>
    <row r="181" spans="1:24" x14ac:dyDescent="0.3">
      <c r="A181" t="s">
        <v>71</v>
      </c>
      <c r="B181" t="s">
        <v>72</v>
      </c>
      <c r="C181" t="s">
        <v>69</v>
      </c>
      <c r="D181" t="s">
        <v>70</v>
      </c>
      <c r="E181" t="s">
        <v>66</v>
      </c>
      <c r="F181" s="1" t="s">
        <v>40</v>
      </c>
      <c r="G181" s="2">
        <v>3.05</v>
      </c>
      <c r="H181">
        <v>3.05</v>
      </c>
      <c r="I181">
        <v>3.0640700000000001</v>
      </c>
      <c r="J181">
        <v>4.13</v>
      </c>
      <c r="K181">
        <v>53</v>
      </c>
      <c r="M181">
        <v>0</v>
      </c>
      <c r="N181" s="2">
        <v>1435</v>
      </c>
      <c r="O181">
        <v>4396.9399999999996</v>
      </c>
      <c r="P181">
        <v>110</v>
      </c>
      <c r="Q181">
        <v>1325</v>
      </c>
      <c r="R181">
        <v>13.12</v>
      </c>
      <c r="S181">
        <v>1</v>
      </c>
      <c r="T181">
        <v>547</v>
      </c>
      <c r="U181" s="2">
        <v>2259.11</v>
      </c>
      <c r="V181">
        <v>0</v>
      </c>
      <c r="W181" t="s">
        <v>29</v>
      </c>
      <c r="X181" t="str">
        <f>IF(Table2[[#This Row],[Qty available]]&gt;Table2[[#This Row],[Qty on hand]],"Check","OK")</f>
        <v>OK</v>
      </c>
    </row>
    <row r="182" spans="1:24" x14ac:dyDescent="0.3">
      <c r="A182" t="s">
        <v>71</v>
      </c>
      <c r="B182" t="s">
        <v>72</v>
      </c>
      <c r="C182" t="s">
        <v>69</v>
      </c>
      <c r="D182" t="s">
        <v>70</v>
      </c>
      <c r="E182" t="s">
        <v>66</v>
      </c>
      <c r="F182" s="1" t="s">
        <v>41</v>
      </c>
      <c r="G182" s="2">
        <v>3.01</v>
      </c>
      <c r="H182">
        <v>3.01</v>
      </c>
      <c r="I182">
        <v>3.0498690000000002</v>
      </c>
      <c r="J182">
        <v>4.13</v>
      </c>
      <c r="K182">
        <v>53</v>
      </c>
      <c r="L182" s="2">
        <v>59</v>
      </c>
      <c r="M182">
        <v>511</v>
      </c>
      <c r="N182" s="2">
        <v>1374</v>
      </c>
      <c r="O182">
        <v>4190.5200000000004</v>
      </c>
      <c r="P182">
        <v>110</v>
      </c>
      <c r="Q182">
        <v>1264</v>
      </c>
      <c r="R182">
        <v>12.44</v>
      </c>
      <c r="S182">
        <v>1</v>
      </c>
      <c r="T182">
        <v>572</v>
      </c>
      <c r="U182" s="2">
        <v>2362.36</v>
      </c>
      <c r="V182">
        <v>0</v>
      </c>
      <c r="W182" t="s">
        <v>29</v>
      </c>
      <c r="X182" t="str">
        <f>IF(Table2[[#This Row],[Qty available]]&gt;Table2[[#This Row],[Qty on hand]],"Check","OK")</f>
        <v>OK</v>
      </c>
    </row>
    <row r="183" spans="1:24" x14ac:dyDescent="0.3">
      <c r="A183" t="s">
        <v>71</v>
      </c>
      <c r="B183" t="s">
        <v>72</v>
      </c>
      <c r="C183" t="s">
        <v>69</v>
      </c>
      <c r="D183" t="s">
        <v>70</v>
      </c>
      <c r="E183" t="s">
        <v>66</v>
      </c>
      <c r="F183" s="1" t="s">
        <v>42</v>
      </c>
      <c r="G183" s="2">
        <v>3.12</v>
      </c>
      <c r="H183">
        <v>3.12</v>
      </c>
      <c r="I183">
        <v>3.0498639999999999</v>
      </c>
      <c r="J183">
        <v>4.13</v>
      </c>
      <c r="K183">
        <v>53</v>
      </c>
      <c r="M183">
        <v>0</v>
      </c>
      <c r="N183" s="2">
        <v>810</v>
      </c>
      <c r="O183">
        <v>2470.39</v>
      </c>
      <c r="P183">
        <v>110</v>
      </c>
      <c r="Q183">
        <v>700</v>
      </c>
      <c r="R183">
        <v>6.33</v>
      </c>
      <c r="S183">
        <v>1</v>
      </c>
      <c r="T183">
        <v>564</v>
      </c>
      <c r="U183" s="2">
        <v>2329.3200000000002</v>
      </c>
      <c r="V183">
        <v>0</v>
      </c>
      <c r="W183" t="s">
        <v>29</v>
      </c>
      <c r="X183" t="str">
        <f>IF(Table2[[#This Row],[Qty available]]&gt;Table2[[#This Row],[Qty on hand]],"Check","OK")</f>
        <v>OK</v>
      </c>
    </row>
    <row r="184" spans="1:24" x14ac:dyDescent="0.3">
      <c r="A184" t="s">
        <v>71</v>
      </c>
      <c r="B184" t="s">
        <v>72</v>
      </c>
      <c r="C184" t="s">
        <v>69</v>
      </c>
      <c r="D184" t="s">
        <v>70</v>
      </c>
      <c r="E184" t="s">
        <v>66</v>
      </c>
      <c r="F184" s="1" t="s">
        <v>43</v>
      </c>
      <c r="G184" s="2">
        <v>3.09</v>
      </c>
      <c r="H184">
        <v>3.09</v>
      </c>
      <c r="I184">
        <v>3.049858</v>
      </c>
      <c r="J184">
        <v>4.13</v>
      </c>
      <c r="K184">
        <v>53</v>
      </c>
      <c r="M184">
        <v>0</v>
      </c>
      <c r="N184" s="2">
        <v>351</v>
      </c>
      <c r="O184">
        <v>1070.5</v>
      </c>
      <c r="P184">
        <v>126</v>
      </c>
      <c r="Q184">
        <v>225</v>
      </c>
      <c r="R184">
        <v>2.86</v>
      </c>
      <c r="S184">
        <v>2</v>
      </c>
      <c r="T184">
        <v>459</v>
      </c>
      <c r="U184" s="2">
        <v>1895.67</v>
      </c>
      <c r="V184">
        <v>0</v>
      </c>
      <c r="W184" t="s">
        <v>29</v>
      </c>
      <c r="X184" t="str">
        <f>IF(Table2[[#This Row],[Qty available]]&gt;Table2[[#This Row],[Qty on hand]],"Check","OK")</f>
        <v>OK</v>
      </c>
    </row>
    <row r="185" spans="1:24" x14ac:dyDescent="0.3">
      <c r="A185" t="s">
        <v>71</v>
      </c>
      <c r="B185" t="s">
        <v>72</v>
      </c>
      <c r="C185" t="s">
        <v>69</v>
      </c>
      <c r="D185" t="s">
        <v>70</v>
      </c>
      <c r="E185" t="s">
        <v>66</v>
      </c>
      <c r="F185" s="1" t="s">
        <v>44</v>
      </c>
      <c r="G185" s="2">
        <v>3.16</v>
      </c>
      <c r="H185">
        <v>3.16</v>
      </c>
      <c r="I185">
        <v>3.1400700000000001</v>
      </c>
      <c r="J185">
        <v>4.13</v>
      </c>
      <c r="K185">
        <v>53</v>
      </c>
      <c r="L185" s="2">
        <v>74</v>
      </c>
      <c r="M185">
        <v>1589</v>
      </c>
      <c r="N185" s="2">
        <v>1136</v>
      </c>
      <c r="O185">
        <v>3567.12</v>
      </c>
      <c r="P185">
        <v>31</v>
      </c>
      <c r="Q185">
        <v>1105</v>
      </c>
      <c r="R185">
        <v>8.17</v>
      </c>
      <c r="S185">
        <v>3</v>
      </c>
      <c r="T185">
        <v>804</v>
      </c>
      <c r="U185" s="2">
        <v>3320.52</v>
      </c>
      <c r="V185">
        <v>0</v>
      </c>
      <c r="W185" t="s">
        <v>29</v>
      </c>
      <c r="X185" t="str">
        <f>IF(Table2[[#This Row],[Qty available]]&gt;Table2[[#This Row],[Qty on hand]],"Check","OK")</f>
        <v>OK</v>
      </c>
    </row>
    <row r="186" spans="1:24" x14ac:dyDescent="0.3">
      <c r="A186" t="s">
        <v>71</v>
      </c>
      <c r="B186" t="s">
        <v>72</v>
      </c>
      <c r="C186" t="s">
        <v>69</v>
      </c>
      <c r="D186" t="s">
        <v>70</v>
      </c>
      <c r="E186" t="s">
        <v>66</v>
      </c>
      <c r="F186" s="1" t="s">
        <v>45</v>
      </c>
      <c r="G186" s="2">
        <v>3.08</v>
      </c>
      <c r="H186">
        <v>3.08</v>
      </c>
      <c r="I186">
        <v>3.1314959999999998</v>
      </c>
      <c r="J186">
        <v>4.13</v>
      </c>
      <c r="K186">
        <v>53</v>
      </c>
      <c r="L186" s="2">
        <v>51</v>
      </c>
      <c r="M186">
        <v>189</v>
      </c>
      <c r="N186" s="2">
        <v>782</v>
      </c>
      <c r="O186">
        <v>2448.83</v>
      </c>
      <c r="P186">
        <v>94</v>
      </c>
      <c r="Q186">
        <v>688</v>
      </c>
      <c r="R186">
        <v>5.69</v>
      </c>
      <c r="S186">
        <v>2</v>
      </c>
      <c r="T186">
        <v>543</v>
      </c>
      <c r="U186" s="2">
        <v>2242.59</v>
      </c>
      <c r="V186">
        <v>0</v>
      </c>
      <c r="W186" t="s">
        <v>29</v>
      </c>
      <c r="X186" t="str">
        <f>IF(Table2[[#This Row],[Qty available]]&gt;Table2[[#This Row],[Qty on hand]],"Check","OK")</f>
        <v>OK</v>
      </c>
    </row>
    <row r="187" spans="1:24" x14ac:dyDescent="0.3">
      <c r="A187" t="s">
        <v>71</v>
      </c>
      <c r="B187" t="s">
        <v>72</v>
      </c>
      <c r="C187" t="s">
        <v>69</v>
      </c>
      <c r="D187" t="s">
        <v>70</v>
      </c>
      <c r="E187" t="s">
        <v>66</v>
      </c>
      <c r="F187" s="1" t="s">
        <v>46</v>
      </c>
      <c r="G187" s="2">
        <v>3.08</v>
      </c>
      <c r="H187">
        <v>3.08</v>
      </c>
      <c r="I187">
        <v>3.131507</v>
      </c>
      <c r="J187">
        <v>4.24</v>
      </c>
      <c r="K187">
        <v>53</v>
      </c>
      <c r="M187">
        <v>0</v>
      </c>
      <c r="N187" s="2">
        <v>365</v>
      </c>
      <c r="O187">
        <v>1143</v>
      </c>
      <c r="P187">
        <v>63</v>
      </c>
      <c r="Q187">
        <v>302</v>
      </c>
      <c r="R187">
        <v>2.66</v>
      </c>
      <c r="S187">
        <v>0</v>
      </c>
      <c r="T187">
        <v>417</v>
      </c>
      <c r="U187" s="2">
        <v>1768.08</v>
      </c>
      <c r="V187">
        <v>0</v>
      </c>
      <c r="W187" t="s">
        <v>29</v>
      </c>
      <c r="X187" t="str">
        <f>IF(Table2[[#This Row],[Qty available]]&gt;Table2[[#This Row],[Qty on hand]],"Check","OK")</f>
        <v>OK</v>
      </c>
    </row>
    <row r="188" spans="1:24" x14ac:dyDescent="0.3">
      <c r="A188" t="s">
        <v>71</v>
      </c>
      <c r="B188" t="s">
        <v>72</v>
      </c>
      <c r="C188" t="s">
        <v>69</v>
      </c>
      <c r="D188" t="s">
        <v>70</v>
      </c>
      <c r="E188" t="s">
        <v>66</v>
      </c>
      <c r="F188" s="1" t="s">
        <v>47</v>
      </c>
      <c r="G188" s="2">
        <v>3.09</v>
      </c>
      <c r="H188">
        <v>3.09</v>
      </c>
      <c r="I188">
        <v>3.0985100000000001</v>
      </c>
      <c r="J188">
        <v>4.24</v>
      </c>
      <c r="K188">
        <v>53</v>
      </c>
      <c r="L188" s="2">
        <v>69</v>
      </c>
      <c r="M188">
        <v>1415</v>
      </c>
      <c r="N188" s="2">
        <v>1114</v>
      </c>
      <c r="O188">
        <v>3451.74</v>
      </c>
      <c r="P188">
        <v>63</v>
      </c>
      <c r="Q188">
        <v>1051</v>
      </c>
      <c r="R188">
        <v>8.81</v>
      </c>
      <c r="S188">
        <v>2</v>
      </c>
      <c r="T188">
        <v>666</v>
      </c>
      <c r="U188" s="2">
        <v>2823.84</v>
      </c>
      <c r="V188">
        <v>0</v>
      </c>
      <c r="W188" t="s">
        <v>29</v>
      </c>
      <c r="X188" t="str">
        <f>IF(Table2[[#This Row],[Qty available]]&gt;Table2[[#This Row],[Qty on hand]],"Check","OK")</f>
        <v>OK</v>
      </c>
    </row>
    <row r="189" spans="1:24" x14ac:dyDescent="0.3">
      <c r="A189" t="s">
        <v>71</v>
      </c>
      <c r="B189" t="s">
        <v>72</v>
      </c>
      <c r="C189" t="s">
        <v>69</v>
      </c>
      <c r="D189" t="s">
        <v>70</v>
      </c>
      <c r="E189" t="s">
        <v>66</v>
      </c>
      <c r="F189" s="1" t="s">
        <v>48</v>
      </c>
      <c r="G189" s="2">
        <v>3.16</v>
      </c>
      <c r="H189">
        <v>3.16</v>
      </c>
      <c r="I189">
        <v>3.1223450000000001</v>
      </c>
      <c r="J189">
        <v>4.24</v>
      </c>
      <c r="K189">
        <v>53</v>
      </c>
      <c r="L189" s="2">
        <v>47</v>
      </c>
      <c r="M189">
        <v>705</v>
      </c>
      <c r="N189" s="2">
        <v>1275</v>
      </c>
      <c r="O189">
        <v>3980.99</v>
      </c>
      <c r="P189">
        <v>126</v>
      </c>
      <c r="Q189">
        <v>1149</v>
      </c>
      <c r="R189">
        <v>9.9600000000000009</v>
      </c>
      <c r="S189">
        <v>2</v>
      </c>
      <c r="T189">
        <v>544</v>
      </c>
      <c r="U189" s="2">
        <v>2306.56</v>
      </c>
      <c r="V189">
        <v>0</v>
      </c>
      <c r="W189" t="s">
        <v>29</v>
      </c>
      <c r="X189" t="str">
        <f>IF(Table2[[#This Row],[Qty available]]&gt;Table2[[#This Row],[Qty on hand]],"Check","OK")</f>
        <v>OK</v>
      </c>
    </row>
    <row r="190" spans="1:24" x14ac:dyDescent="0.3">
      <c r="A190" t="s">
        <v>71</v>
      </c>
      <c r="B190" t="s">
        <v>72</v>
      </c>
      <c r="C190" t="s">
        <v>69</v>
      </c>
      <c r="D190" t="s">
        <v>70</v>
      </c>
      <c r="E190" t="s">
        <v>66</v>
      </c>
      <c r="F190" s="1" t="s">
        <v>49</v>
      </c>
      <c r="G190" s="2">
        <v>3.18</v>
      </c>
      <c r="H190">
        <v>3.18</v>
      </c>
      <c r="I190">
        <v>3.1223459999999998</v>
      </c>
      <c r="J190">
        <v>4.24</v>
      </c>
      <c r="K190">
        <v>53</v>
      </c>
      <c r="M190">
        <v>0</v>
      </c>
      <c r="N190" s="2">
        <v>874</v>
      </c>
      <c r="O190">
        <v>2728.93</v>
      </c>
      <c r="P190">
        <v>79</v>
      </c>
      <c r="Q190">
        <v>795</v>
      </c>
      <c r="R190">
        <v>7.13</v>
      </c>
      <c r="S190">
        <v>0</v>
      </c>
      <c r="T190">
        <v>401</v>
      </c>
      <c r="U190" s="2">
        <v>1700.24</v>
      </c>
      <c r="V190">
        <v>0</v>
      </c>
      <c r="W190" t="s">
        <v>29</v>
      </c>
      <c r="X190" t="str">
        <f>IF(Table2[[#This Row],[Qty available]]&gt;Table2[[#This Row],[Qty on hand]],"Check","OK")</f>
        <v>OK</v>
      </c>
    </row>
    <row r="191" spans="1:24" x14ac:dyDescent="0.3">
      <c r="A191" t="s">
        <v>71</v>
      </c>
      <c r="B191" t="s">
        <v>72</v>
      </c>
      <c r="C191" t="s">
        <v>69</v>
      </c>
      <c r="D191" t="s">
        <v>70</v>
      </c>
      <c r="E191" t="s">
        <v>66</v>
      </c>
      <c r="F191" s="1" t="s">
        <v>50</v>
      </c>
      <c r="G191" s="2">
        <v>3.17</v>
      </c>
      <c r="H191">
        <v>3.17</v>
      </c>
      <c r="I191">
        <v>3.1372</v>
      </c>
      <c r="J191">
        <v>4.24</v>
      </c>
      <c r="K191">
        <v>53</v>
      </c>
      <c r="L191" s="2">
        <v>68</v>
      </c>
      <c r="M191">
        <v>396</v>
      </c>
      <c r="N191" s="2">
        <v>775</v>
      </c>
      <c r="O191">
        <v>2431.33</v>
      </c>
      <c r="P191">
        <v>31</v>
      </c>
      <c r="Q191">
        <v>744</v>
      </c>
      <c r="R191">
        <v>7</v>
      </c>
      <c r="S191">
        <v>3</v>
      </c>
      <c r="T191">
        <v>495</v>
      </c>
      <c r="U191" s="2">
        <v>2098.8000000000002</v>
      </c>
      <c r="V191">
        <v>0</v>
      </c>
      <c r="W191" t="s">
        <v>29</v>
      </c>
      <c r="X191" t="str">
        <f>IF(Table2[[#This Row],[Qty available]]&gt;Table2[[#This Row],[Qty on hand]],"Check","OK")</f>
        <v>OK</v>
      </c>
    </row>
    <row r="192" spans="1:24" x14ac:dyDescent="0.3">
      <c r="A192" t="s">
        <v>71</v>
      </c>
      <c r="B192" t="s">
        <v>72</v>
      </c>
      <c r="C192" t="s">
        <v>69</v>
      </c>
      <c r="D192" t="s">
        <v>70</v>
      </c>
      <c r="E192" t="s">
        <v>66</v>
      </c>
      <c r="F192" s="1" t="s">
        <v>51</v>
      </c>
      <c r="G192" s="2">
        <v>3.14</v>
      </c>
      <c r="H192">
        <v>3.14</v>
      </c>
      <c r="I192">
        <v>3.1389939999999998</v>
      </c>
      <c r="J192">
        <v>4.24</v>
      </c>
      <c r="K192">
        <v>53</v>
      </c>
      <c r="L192" s="2">
        <v>88</v>
      </c>
      <c r="M192">
        <v>1385</v>
      </c>
      <c r="N192" s="2">
        <v>1819</v>
      </c>
      <c r="O192">
        <v>5709.83</v>
      </c>
      <c r="P192">
        <v>110</v>
      </c>
      <c r="Q192">
        <v>1709</v>
      </c>
      <c r="R192">
        <v>19.329999999999998</v>
      </c>
      <c r="S192">
        <v>0</v>
      </c>
      <c r="T192">
        <v>341</v>
      </c>
      <c r="U192" s="2">
        <v>1445.84</v>
      </c>
      <c r="V192">
        <v>0</v>
      </c>
      <c r="W192" t="s">
        <v>29</v>
      </c>
      <c r="X192" t="str">
        <f>IF(Table2[[#This Row],[Qty available]]&gt;Table2[[#This Row],[Qty on hand]],"Check","OK")</f>
        <v>OK</v>
      </c>
    </row>
    <row r="193" spans="1:24" x14ac:dyDescent="0.3">
      <c r="A193" t="s">
        <v>71</v>
      </c>
      <c r="B193" t="s">
        <v>72</v>
      </c>
      <c r="C193" t="s">
        <v>69</v>
      </c>
      <c r="D193" t="s">
        <v>70</v>
      </c>
      <c r="E193" t="s">
        <v>66</v>
      </c>
      <c r="F193" s="1" t="s">
        <v>52</v>
      </c>
      <c r="G193" s="2">
        <v>3.13</v>
      </c>
      <c r="H193">
        <v>3.13</v>
      </c>
      <c r="I193">
        <v>3.138992</v>
      </c>
      <c r="J193">
        <v>4.24</v>
      </c>
      <c r="K193">
        <v>53</v>
      </c>
      <c r="M193">
        <v>0</v>
      </c>
      <c r="N193" s="2">
        <v>1349</v>
      </c>
      <c r="O193">
        <v>4234.5</v>
      </c>
      <c r="P193">
        <v>79</v>
      </c>
      <c r="Q193">
        <v>1270</v>
      </c>
      <c r="R193">
        <v>13.58</v>
      </c>
      <c r="S193">
        <v>2</v>
      </c>
      <c r="T193">
        <v>470</v>
      </c>
      <c r="U193" s="2">
        <v>1992.8</v>
      </c>
      <c r="V193">
        <v>0</v>
      </c>
      <c r="W193" t="s">
        <v>29</v>
      </c>
      <c r="X193" t="str">
        <f>IF(Table2[[#This Row],[Qty available]]&gt;Table2[[#This Row],[Qty on hand]],"Check","OK")</f>
        <v>OK</v>
      </c>
    </row>
    <row r="194" spans="1:24" x14ac:dyDescent="0.3">
      <c r="A194" t="s">
        <v>73</v>
      </c>
      <c r="B194" t="s">
        <v>74</v>
      </c>
      <c r="C194" t="s">
        <v>57</v>
      </c>
      <c r="D194" t="s">
        <v>58</v>
      </c>
      <c r="E194" t="s">
        <v>66</v>
      </c>
      <c r="F194" s="1" t="s">
        <v>28</v>
      </c>
      <c r="G194" s="2">
        <v>7.1</v>
      </c>
      <c r="H194">
        <v>7.64</v>
      </c>
      <c r="I194">
        <v>7.545966</v>
      </c>
      <c r="J194">
        <v>10.32</v>
      </c>
      <c r="K194">
        <v>19</v>
      </c>
      <c r="L194" s="2">
        <v>23</v>
      </c>
      <c r="M194">
        <v>195</v>
      </c>
      <c r="N194" s="2">
        <v>471</v>
      </c>
      <c r="O194">
        <v>3554.15</v>
      </c>
      <c r="P194">
        <v>30</v>
      </c>
      <c r="Q194">
        <v>441</v>
      </c>
      <c r="R194">
        <v>9.44</v>
      </c>
      <c r="S194">
        <v>2</v>
      </c>
      <c r="T194">
        <v>241</v>
      </c>
      <c r="U194" s="2">
        <v>2487.12</v>
      </c>
      <c r="V194">
        <v>0</v>
      </c>
      <c r="W194" t="s">
        <v>29</v>
      </c>
      <c r="X194" t="str">
        <f>IF(Table2[[#This Row],[Qty available]]&gt;Table2[[#This Row],[Qty on hand]],"Check","OK")</f>
        <v>OK</v>
      </c>
    </row>
    <row r="195" spans="1:24" x14ac:dyDescent="0.3">
      <c r="A195" t="s">
        <v>73</v>
      </c>
      <c r="B195" t="s">
        <v>74</v>
      </c>
      <c r="C195" t="s">
        <v>57</v>
      </c>
      <c r="D195" t="s">
        <v>58</v>
      </c>
      <c r="E195" t="s">
        <v>66</v>
      </c>
      <c r="F195" s="1" t="s">
        <v>30</v>
      </c>
      <c r="G195" s="2">
        <v>6.91</v>
      </c>
      <c r="H195">
        <v>7.43</v>
      </c>
      <c r="I195">
        <v>7.5002079999999998</v>
      </c>
      <c r="J195">
        <v>10.32</v>
      </c>
      <c r="K195">
        <v>19</v>
      </c>
      <c r="L195" s="2">
        <v>16</v>
      </c>
      <c r="M195">
        <v>307</v>
      </c>
      <c r="N195" s="2">
        <v>673</v>
      </c>
      <c r="O195">
        <v>5047.6400000000003</v>
      </c>
      <c r="P195">
        <v>36</v>
      </c>
      <c r="Q195">
        <v>637</v>
      </c>
      <c r="R195">
        <v>18.350000000000001</v>
      </c>
      <c r="S195">
        <v>1</v>
      </c>
      <c r="T195">
        <v>105</v>
      </c>
      <c r="U195" s="2">
        <v>1083.5999999999999</v>
      </c>
      <c r="V195">
        <v>0</v>
      </c>
      <c r="W195" t="s">
        <v>29</v>
      </c>
      <c r="X195" t="str">
        <f>IF(Table2[[#This Row],[Qty available]]&gt;Table2[[#This Row],[Qty on hand]],"Check","OK")</f>
        <v>OK</v>
      </c>
    </row>
    <row r="196" spans="1:24" x14ac:dyDescent="0.3">
      <c r="A196" t="s">
        <v>73</v>
      </c>
      <c r="B196" t="s">
        <v>74</v>
      </c>
      <c r="C196" t="s">
        <v>57</v>
      </c>
      <c r="D196" t="s">
        <v>58</v>
      </c>
      <c r="E196" t="s">
        <v>66</v>
      </c>
      <c r="F196" s="1" t="s">
        <v>31</v>
      </c>
      <c r="G196" s="2">
        <v>6.95</v>
      </c>
      <c r="H196">
        <v>7.48</v>
      </c>
      <c r="I196">
        <v>7.4959249999999997</v>
      </c>
      <c r="J196">
        <v>10.32</v>
      </c>
      <c r="K196">
        <v>19</v>
      </c>
      <c r="L196" s="2">
        <v>18</v>
      </c>
      <c r="M196">
        <v>181</v>
      </c>
      <c r="N196" s="2">
        <v>665</v>
      </c>
      <c r="O196">
        <v>4984.79</v>
      </c>
      <c r="P196">
        <v>30</v>
      </c>
      <c r="Q196">
        <v>635</v>
      </c>
      <c r="R196">
        <v>16.16</v>
      </c>
      <c r="S196">
        <v>4</v>
      </c>
      <c r="T196">
        <v>189</v>
      </c>
      <c r="U196" s="2">
        <v>1950.48</v>
      </c>
      <c r="V196">
        <v>0</v>
      </c>
      <c r="W196" t="s">
        <v>29</v>
      </c>
      <c r="X196" t="str">
        <f>IF(Table2[[#This Row],[Qty available]]&gt;Table2[[#This Row],[Qty on hand]],"Check","OK")</f>
        <v>OK</v>
      </c>
    </row>
    <row r="197" spans="1:24" x14ac:dyDescent="0.3">
      <c r="A197" t="s">
        <v>73</v>
      </c>
      <c r="B197" t="s">
        <v>74</v>
      </c>
      <c r="C197" t="s">
        <v>57</v>
      </c>
      <c r="D197" t="s">
        <v>58</v>
      </c>
      <c r="E197" t="s">
        <v>66</v>
      </c>
      <c r="F197" s="1" t="s">
        <v>32</v>
      </c>
      <c r="G197" s="2">
        <v>6.94</v>
      </c>
      <c r="H197">
        <v>7.47</v>
      </c>
      <c r="I197">
        <v>7.4959220000000002</v>
      </c>
      <c r="J197">
        <v>10.32</v>
      </c>
      <c r="K197">
        <v>19</v>
      </c>
      <c r="M197">
        <v>0</v>
      </c>
      <c r="N197" s="2">
        <v>515</v>
      </c>
      <c r="O197">
        <v>3860.4</v>
      </c>
      <c r="P197">
        <v>18</v>
      </c>
      <c r="Q197">
        <v>497</v>
      </c>
      <c r="R197">
        <v>15.24</v>
      </c>
      <c r="S197">
        <v>0</v>
      </c>
      <c r="T197">
        <v>150</v>
      </c>
      <c r="U197" s="2">
        <v>1548</v>
      </c>
      <c r="V197">
        <v>0</v>
      </c>
      <c r="W197" t="s">
        <v>29</v>
      </c>
      <c r="X197" t="str">
        <f>IF(Table2[[#This Row],[Qty available]]&gt;Table2[[#This Row],[Qty on hand]],"Check","OK")</f>
        <v>OK</v>
      </c>
    </row>
    <row r="198" spans="1:24" x14ac:dyDescent="0.3">
      <c r="A198" t="s">
        <v>73</v>
      </c>
      <c r="B198" t="s">
        <v>74</v>
      </c>
      <c r="C198" t="s">
        <v>57</v>
      </c>
      <c r="D198" t="s">
        <v>58</v>
      </c>
      <c r="E198" t="s">
        <v>66</v>
      </c>
      <c r="F198" s="1" t="s">
        <v>33</v>
      </c>
      <c r="G198" s="2">
        <v>7.16</v>
      </c>
      <c r="H198">
        <v>7.7</v>
      </c>
      <c r="I198">
        <v>7.4959230000000003</v>
      </c>
      <c r="J198">
        <v>10.32</v>
      </c>
      <c r="K198">
        <v>19</v>
      </c>
      <c r="M198">
        <v>0</v>
      </c>
      <c r="N198" s="2">
        <v>260</v>
      </c>
      <c r="O198">
        <v>1948.94</v>
      </c>
      <c r="P198">
        <v>18</v>
      </c>
      <c r="Q198">
        <v>242</v>
      </c>
      <c r="R198">
        <v>5.75</v>
      </c>
      <c r="S198">
        <v>0</v>
      </c>
      <c r="T198">
        <v>255</v>
      </c>
      <c r="U198" s="2">
        <v>2631.6</v>
      </c>
      <c r="V198">
        <v>0</v>
      </c>
      <c r="W198" t="s">
        <v>29</v>
      </c>
      <c r="X198" t="str">
        <f>IF(Table2[[#This Row],[Qty available]]&gt;Table2[[#This Row],[Qty on hand]],"Check","OK")</f>
        <v>OK</v>
      </c>
    </row>
    <row r="199" spans="1:24" x14ac:dyDescent="0.3">
      <c r="A199" t="s">
        <v>73</v>
      </c>
      <c r="B199" t="s">
        <v>74</v>
      </c>
      <c r="C199" t="s">
        <v>57</v>
      </c>
      <c r="D199" t="s">
        <v>58</v>
      </c>
      <c r="E199" t="s">
        <v>66</v>
      </c>
      <c r="F199" s="1" t="s">
        <v>34</v>
      </c>
      <c r="G199" s="2">
        <v>7.36</v>
      </c>
      <c r="H199">
        <v>7.92</v>
      </c>
      <c r="I199">
        <v>7.5146379999999997</v>
      </c>
      <c r="J199">
        <v>10.88</v>
      </c>
      <c r="K199">
        <v>19</v>
      </c>
      <c r="L199" s="2">
        <v>33</v>
      </c>
      <c r="M199">
        <v>12</v>
      </c>
      <c r="N199" s="2">
        <v>207</v>
      </c>
      <c r="O199">
        <v>1555.53</v>
      </c>
      <c r="P199">
        <v>30</v>
      </c>
      <c r="Q199">
        <v>177</v>
      </c>
      <c r="R199">
        <v>5.66</v>
      </c>
      <c r="S199">
        <v>0</v>
      </c>
      <c r="T199">
        <v>65</v>
      </c>
      <c r="U199" s="2">
        <v>707.2</v>
      </c>
      <c r="V199">
        <v>0</v>
      </c>
      <c r="W199" t="s">
        <v>29</v>
      </c>
      <c r="X199" t="str">
        <f>IF(Table2[[#This Row],[Qty available]]&gt;Table2[[#This Row],[Qty on hand]],"Check","OK")</f>
        <v>OK</v>
      </c>
    </row>
    <row r="200" spans="1:24" x14ac:dyDescent="0.3">
      <c r="A200" t="s">
        <v>73</v>
      </c>
      <c r="B200" t="s">
        <v>74</v>
      </c>
      <c r="C200" t="s">
        <v>57</v>
      </c>
      <c r="D200" t="s">
        <v>58</v>
      </c>
      <c r="E200" t="s">
        <v>66</v>
      </c>
      <c r="F200" s="1" t="s">
        <v>35</v>
      </c>
      <c r="G200" s="2">
        <v>7.2</v>
      </c>
      <c r="H200">
        <v>7.75</v>
      </c>
      <c r="I200">
        <v>7.6849550000000004</v>
      </c>
      <c r="J200">
        <v>10.88</v>
      </c>
      <c r="K200">
        <v>19</v>
      </c>
      <c r="L200" s="2">
        <v>30</v>
      </c>
      <c r="M200">
        <v>542</v>
      </c>
      <c r="N200" s="2">
        <v>559</v>
      </c>
      <c r="O200">
        <v>4295.8900000000003</v>
      </c>
      <c r="P200">
        <v>30</v>
      </c>
      <c r="Q200">
        <v>529</v>
      </c>
      <c r="R200">
        <v>14.09</v>
      </c>
      <c r="S200">
        <v>0</v>
      </c>
      <c r="T200">
        <v>190</v>
      </c>
      <c r="U200" s="2">
        <v>2067.1999999999998</v>
      </c>
      <c r="V200">
        <v>0</v>
      </c>
      <c r="W200" t="s">
        <v>29</v>
      </c>
      <c r="X200" t="str">
        <f>IF(Table2[[#This Row],[Qty available]]&gt;Table2[[#This Row],[Qty on hand]],"Check","OK")</f>
        <v>OK</v>
      </c>
    </row>
    <row r="201" spans="1:24" x14ac:dyDescent="0.3">
      <c r="A201" t="s">
        <v>73</v>
      </c>
      <c r="B201" t="s">
        <v>74</v>
      </c>
      <c r="C201" t="s">
        <v>57</v>
      </c>
      <c r="D201" t="s">
        <v>58</v>
      </c>
      <c r="E201" t="s">
        <v>66</v>
      </c>
      <c r="F201" s="1" t="s">
        <v>36</v>
      </c>
      <c r="G201" s="2">
        <v>7.33</v>
      </c>
      <c r="H201">
        <v>7.88</v>
      </c>
      <c r="I201">
        <v>7.7077650000000002</v>
      </c>
      <c r="J201">
        <v>10.88</v>
      </c>
      <c r="K201">
        <v>19</v>
      </c>
      <c r="L201" s="2">
        <v>17</v>
      </c>
      <c r="M201">
        <v>74</v>
      </c>
      <c r="N201" s="2">
        <v>519</v>
      </c>
      <c r="O201">
        <v>4000.33</v>
      </c>
      <c r="P201">
        <v>24</v>
      </c>
      <c r="Q201">
        <v>495</v>
      </c>
      <c r="R201">
        <v>17.88</v>
      </c>
      <c r="S201">
        <v>0</v>
      </c>
      <c r="T201">
        <v>114</v>
      </c>
      <c r="U201" s="2">
        <v>1240.32</v>
      </c>
      <c r="V201">
        <v>0</v>
      </c>
      <c r="W201" t="s">
        <v>29</v>
      </c>
      <c r="X201" t="str">
        <f>IF(Table2[[#This Row],[Qty available]]&gt;Table2[[#This Row],[Qty on hand]],"Check","OK")</f>
        <v>OK</v>
      </c>
    </row>
    <row r="202" spans="1:24" x14ac:dyDescent="0.3">
      <c r="A202" t="s">
        <v>73</v>
      </c>
      <c r="B202" t="s">
        <v>74</v>
      </c>
      <c r="C202" t="s">
        <v>57</v>
      </c>
      <c r="D202" t="s">
        <v>58</v>
      </c>
      <c r="E202" t="s">
        <v>66</v>
      </c>
      <c r="F202" s="1" t="s">
        <v>37</v>
      </c>
      <c r="G202" s="2">
        <v>7.39</v>
      </c>
      <c r="H202">
        <v>7.95</v>
      </c>
      <c r="I202">
        <v>7.7884089999999997</v>
      </c>
      <c r="J202">
        <v>10.88</v>
      </c>
      <c r="K202">
        <v>19</v>
      </c>
      <c r="L202" s="2">
        <v>18</v>
      </c>
      <c r="M202">
        <v>259</v>
      </c>
      <c r="N202" s="2">
        <v>679</v>
      </c>
      <c r="O202">
        <v>5288.33</v>
      </c>
      <c r="P202">
        <v>42</v>
      </c>
      <c r="Q202">
        <v>637</v>
      </c>
      <c r="R202">
        <v>22.14</v>
      </c>
      <c r="S202">
        <v>2</v>
      </c>
      <c r="T202">
        <v>99</v>
      </c>
      <c r="U202" s="2">
        <v>1077.1199999999999</v>
      </c>
      <c r="V202">
        <v>0</v>
      </c>
      <c r="W202" t="s">
        <v>29</v>
      </c>
      <c r="X202" t="str">
        <f>IF(Table2[[#This Row],[Qty available]]&gt;Table2[[#This Row],[Qty on hand]],"Check","OK")</f>
        <v>OK</v>
      </c>
    </row>
    <row r="203" spans="1:24" x14ac:dyDescent="0.3">
      <c r="A203" t="s">
        <v>73</v>
      </c>
      <c r="B203" t="s">
        <v>74</v>
      </c>
      <c r="C203" t="s">
        <v>57</v>
      </c>
      <c r="D203" t="s">
        <v>58</v>
      </c>
      <c r="E203" t="s">
        <v>66</v>
      </c>
      <c r="F203" s="1" t="s">
        <v>38</v>
      </c>
      <c r="G203" s="2">
        <v>7.28</v>
      </c>
      <c r="H203">
        <v>7.83</v>
      </c>
      <c r="I203">
        <v>7.788405</v>
      </c>
      <c r="J203">
        <v>10.88</v>
      </c>
      <c r="K203">
        <v>19</v>
      </c>
      <c r="M203">
        <v>0</v>
      </c>
      <c r="N203" s="2">
        <v>395</v>
      </c>
      <c r="O203">
        <v>3076.42</v>
      </c>
      <c r="P203">
        <v>42</v>
      </c>
      <c r="Q203">
        <v>353</v>
      </c>
      <c r="R203">
        <v>10.33</v>
      </c>
      <c r="S203">
        <v>0</v>
      </c>
      <c r="T203">
        <v>284</v>
      </c>
      <c r="U203" s="2">
        <v>3089.92</v>
      </c>
      <c r="V203">
        <v>0</v>
      </c>
      <c r="W203" t="s">
        <v>29</v>
      </c>
      <c r="X203" t="str">
        <f>IF(Table2[[#This Row],[Qty available]]&gt;Table2[[#This Row],[Qty on hand]],"Check","OK")</f>
        <v>OK</v>
      </c>
    </row>
    <row r="204" spans="1:24" x14ac:dyDescent="0.3">
      <c r="A204" t="s">
        <v>73</v>
      </c>
      <c r="B204" t="s">
        <v>74</v>
      </c>
      <c r="C204" t="s">
        <v>57</v>
      </c>
      <c r="D204" t="s">
        <v>58</v>
      </c>
      <c r="E204" t="s">
        <v>66</v>
      </c>
      <c r="F204" s="1" t="s">
        <v>39</v>
      </c>
      <c r="G204" s="2">
        <v>7.36</v>
      </c>
      <c r="H204">
        <v>7.92</v>
      </c>
      <c r="I204">
        <v>7.8283379999999996</v>
      </c>
      <c r="J204">
        <v>10.88</v>
      </c>
      <c r="K204">
        <v>19</v>
      </c>
      <c r="L204" s="2">
        <v>16</v>
      </c>
      <c r="M204">
        <v>172</v>
      </c>
      <c r="N204" s="2">
        <v>337</v>
      </c>
      <c r="O204">
        <v>2638.15</v>
      </c>
      <c r="P204">
        <v>54</v>
      </c>
      <c r="Q204">
        <v>283</v>
      </c>
      <c r="R204">
        <v>7.23</v>
      </c>
      <c r="S204">
        <v>0</v>
      </c>
      <c r="T204">
        <v>230</v>
      </c>
      <c r="U204" s="2">
        <v>2502.4</v>
      </c>
      <c r="V204">
        <v>0</v>
      </c>
      <c r="W204" t="s">
        <v>29</v>
      </c>
      <c r="X204" t="str">
        <f>IF(Table2[[#This Row],[Qty available]]&gt;Table2[[#This Row],[Qty on hand]],"Check","OK")</f>
        <v>OK</v>
      </c>
    </row>
    <row r="205" spans="1:24" x14ac:dyDescent="0.3">
      <c r="A205" t="s">
        <v>73</v>
      </c>
      <c r="B205" t="s">
        <v>74</v>
      </c>
      <c r="C205" t="s">
        <v>57</v>
      </c>
      <c r="D205" t="s">
        <v>58</v>
      </c>
      <c r="E205" t="s">
        <v>66</v>
      </c>
      <c r="F205" s="1" t="s">
        <v>40</v>
      </c>
      <c r="G205" s="2">
        <v>7.36</v>
      </c>
      <c r="H205">
        <v>7.92</v>
      </c>
      <c r="I205">
        <v>7.8658210000000004</v>
      </c>
      <c r="J205">
        <v>10.88</v>
      </c>
      <c r="K205">
        <v>19</v>
      </c>
      <c r="L205" s="2">
        <v>16</v>
      </c>
      <c r="M205">
        <v>233</v>
      </c>
      <c r="N205" s="2">
        <v>347</v>
      </c>
      <c r="O205">
        <v>2729.44</v>
      </c>
      <c r="P205">
        <v>54</v>
      </c>
      <c r="Q205">
        <v>293</v>
      </c>
      <c r="R205">
        <v>6.19</v>
      </c>
      <c r="S205">
        <v>5</v>
      </c>
      <c r="T205">
        <v>223</v>
      </c>
      <c r="U205" s="2">
        <v>2426.2399999999998</v>
      </c>
      <c r="V205">
        <v>0</v>
      </c>
      <c r="W205" t="s">
        <v>29</v>
      </c>
      <c r="X205" t="str">
        <f>IF(Table2[[#This Row],[Qty available]]&gt;Table2[[#This Row],[Qty on hand]],"Check","OK")</f>
        <v>OK</v>
      </c>
    </row>
    <row r="206" spans="1:24" x14ac:dyDescent="0.3">
      <c r="A206" t="s">
        <v>73</v>
      </c>
      <c r="B206" t="s">
        <v>74</v>
      </c>
      <c r="C206" t="s">
        <v>57</v>
      </c>
      <c r="D206" t="s">
        <v>58</v>
      </c>
      <c r="E206" t="s">
        <v>66</v>
      </c>
      <c r="F206" s="1" t="s">
        <v>41</v>
      </c>
      <c r="G206" s="2">
        <v>7.22</v>
      </c>
      <c r="H206">
        <v>7.77</v>
      </c>
      <c r="I206">
        <v>7.8140349999999996</v>
      </c>
      <c r="J206">
        <v>10.88</v>
      </c>
      <c r="K206">
        <v>19</v>
      </c>
      <c r="L206" s="2">
        <v>19</v>
      </c>
      <c r="M206">
        <v>408</v>
      </c>
      <c r="N206" s="2">
        <v>518</v>
      </c>
      <c r="O206">
        <v>4047.67</v>
      </c>
      <c r="P206">
        <v>30</v>
      </c>
      <c r="Q206">
        <v>488</v>
      </c>
      <c r="R206">
        <v>9.8699999999999992</v>
      </c>
      <c r="S206">
        <v>0</v>
      </c>
      <c r="T206">
        <v>237</v>
      </c>
      <c r="U206" s="2">
        <v>2578.56</v>
      </c>
      <c r="V206">
        <v>0</v>
      </c>
      <c r="W206" t="s">
        <v>29</v>
      </c>
      <c r="X206" t="str">
        <f>IF(Table2[[#This Row],[Qty available]]&gt;Table2[[#This Row],[Qty on hand]],"Check","OK")</f>
        <v>OK</v>
      </c>
    </row>
    <row r="207" spans="1:24" x14ac:dyDescent="0.3">
      <c r="A207" t="s">
        <v>73</v>
      </c>
      <c r="B207" t="s">
        <v>74</v>
      </c>
      <c r="C207" t="s">
        <v>57</v>
      </c>
      <c r="D207" t="s">
        <v>58</v>
      </c>
      <c r="E207" t="s">
        <v>66</v>
      </c>
      <c r="F207" s="1" t="s">
        <v>42</v>
      </c>
      <c r="G207" s="2">
        <v>7.27</v>
      </c>
      <c r="H207">
        <v>7.82</v>
      </c>
      <c r="I207">
        <v>7.8158779999999997</v>
      </c>
      <c r="J207">
        <v>10.88</v>
      </c>
      <c r="K207">
        <v>19</v>
      </c>
      <c r="L207" s="2">
        <v>17</v>
      </c>
      <c r="M207">
        <v>232</v>
      </c>
      <c r="N207" s="2">
        <v>609</v>
      </c>
      <c r="O207">
        <v>4759.87</v>
      </c>
      <c r="P207">
        <v>18</v>
      </c>
      <c r="Q207">
        <v>591</v>
      </c>
      <c r="R207">
        <v>13.32</v>
      </c>
      <c r="S207">
        <v>0</v>
      </c>
      <c r="T207">
        <v>141</v>
      </c>
      <c r="U207" s="2">
        <v>1534.08</v>
      </c>
      <c r="V207">
        <v>0</v>
      </c>
      <c r="W207" t="s">
        <v>29</v>
      </c>
      <c r="X207" t="str">
        <f>IF(Table2[[#This Row],[Qty available]]&gt;Table2[[#This Row],[Qty on hand]],"Check","OK")</f>
        <v>OK</v>
      </c>
    </row>
    <row r="208" spans="1:24" x14ac:dyDescent="0.3">
      <c r="A208" t="s">
        <v>73</v>
      </c>
      <c r="B208" t="s">
        <v>74</v>
      </c>
      <c r="C208" t="s">
        <v>57</v>
      </c>
      <c r="D208" t="s">
        <v>58</v>
      </c>
      <c r="E208" t="s">
        <v>66</v>
      </c>
      <c r="F208" s="1" t="s">
        <v>43</v>
      </c>
      <c r="G208" s="2">
        <v>7.34</v>
      </c>
      <c r="H208">
        <v>7.9</v>
      </c>
      <c r="I208">
        <v>7.8387950000000002</v>
      </c>
      <c r="J208">
        <v>10.88</v>
      </c>
      <c r="K208">
        <v>19</v>
      </c>
      <c r="L208" s="2">
        <v>17</v>
      </c>
      <c r="M208">
        <v>228</v>
      </c>
      <c r="N208" s="2">
        <v>780</v>
      </c>
      <c r="O208">
        <v>6114.26</v>
      </c>
      <c r="P208">
        <v>18</v>
      </c>
      <c r="Q208">
        <v>762</v>
      </c>
      <c r="R208">
        <v>23.31</v>
      </c>
      <c r="S208">
        <v>0</v>
      </c>
      <c r="T208">
        <v>57</v>
      </c>
      <c r="U208" s="2">
        <v>620.16</v>
      </c>
      <c r="V208">
        <v>0</v>
      </c>
      <c r="W208" t="s">
        <v>29</v>
      </c>
      <c r="X208" t="str">
        <f>IF(Table2[[#This Row],[Qty available]]&gt;Table2[[#This Row],[Qty on hand]],"Check","OK")</f>
        <v>OK</v>
      </c>
    </row>
    <row r="209" spans="1:24" x14ac:dyDescent="0.3">
      <c r="A209" t="s">
        <v>73</v>
      </c>
      <c r="B209" t="s">
        <v>74</v>
      </c>
      <c r="C209" t="s">
        <v>57</v>
      </c>
      <c r="D209" t="s">
        <v>58</v>
      </c>
      <c r="E209" t="s">
        <v>66</v>
      </c>
      <c r="F209" s="1" t="s">
        <v>44</v>
      </c>
      <c r="G209" s="2">
        <v>7.31</v>
      </c>
      <c r="H209">
        <v>7.86</v>
      </c>
      <c r="I209">
        <v>7.8387909999999996</v>
      </c>
      <c r="J209">
        <v>10.88</v>
      </c>
      <c r="K209">
        <v>19</v>
      </c>
      <c r="M209">
        <v>0</v>
      </c>
      <c r="N209" s="2">
        <v>637</v>
      </c>
      <c r="O209">
        <v>4993.3100000000004</v>
      </c>
      <c r="P209">
        <v>24</v>
      </c>
      <c r="Q209">
        <v>613</v>
      </c>
      <c r="R209">
        <v>24.55</v>
      </c>
      <c r="S209">
        <v>1</v>
      </c>
      <c r="T209">
        <v>143</v>
      </c>
      <c r="U209" s="2">
        <v>1555.84</v>
      </c>
      <c r="V209">
        <v>0</v>
      </c>
      <c r="W209" t="s">
        <v>29</v>
      </c>
      <c r="X209" t="str">
        <f>IF(Table2[[#This Row],[Qty available]]&gt;Table2[[#This Row],[Qty on hand]],"Check","OK")</f>
        <v>OK</v>
      </c>
    </row>
    <row r="210" spans="1:24" x14ac:dyDescent="0.3">
      <c r="A210" t="s">
        <v>73</v>
      </c>
      <c r="B210" t="s">
        <v>74</v>
      </c>
      <c r="C210" t="s">
        <v>57</v>
      </c>
      <c r="D210" t="s">
        <v>58</v>
      </c>
      <c r="E210" t="s">
        <v>66</v>
      </c>
      <c r="F210" s="1" t="s">
        <v>45</v>
      </c>
      <c r="G210" s="2">
        <v>7.56</v>
      </c>
      <c r="H210">
        <v>8.1300000000000008</v>
      </c>
      <c r="I210">
        <v>7.8388020000000003</v>
      </c>
      <c r="J210">
        <v>10.88</v>
      </c>
      <c r="K210">
        <v>19</v>
      </c>
      <c r="M210">
        <v>0</v>
      </c>
      <c r="N210" s="2">
        <v>459</v>
      </c>
      <c r="O210">
        <v>3598.01</v>
      </c>
      <c r="P210">
        <v>48</v>
      </c>
      <c r="Q210">
        <v>411</v>
      </c>
      <c r="R210">
        <v>15.96</v>
      </c>
      <c r="S210">
        <v>1</v>
      </c>
      <c r="T210">
        <v>178</v>
      </c>
      <c r="U210" s="2">
        <v>1936.64</v>
      </c>
      <c r="V210">
        <v>0</v>
      </c>
      <c r="W210" t="s">
        <v>29</v>
      </c>
      <c r="X210" t="str">
        <f>IF(Table2[[#This Row],[Qty available]]&gt;Table2[[#This Row],[Qty on hand]],"Check","OK")</f>
        <v>OK</v>
      </c>
    </row>
    <row r="211" spans="1:24" x14ac:dyDescent="0.3">
      <c r="A211" t="s">
        <v>73</v>
      </c>
      <c r="B211" t="s">
        <v>74</v>
      </c>
      <c r="C211" t="s">
        <v>57</v>
      </c>
      <c r="D211" t="s">
        <v>58</v>
      </c>
      <c r="E211" t="s">
        <v>66</v>
      </c>
      <c r="F211" s="1" t="s">
        <v>46</v>
      </c>
      <c r="G211" s="2">
        <v>7.51</v>
      </c>
      <c r="H211">
        <v>8.08</v>
      </c>
      <c r="I211">
        <v>7.8920349999999999</v>
      </c>
      <c r="J211">
        <v>11.47</v>
      </c>
      <c r="K211">
        <v>19</v>
      </c>
      <c r="L211" s="2">
        <v>18</v>
      </c>
      <c r="M211">
        <v>130</v>
      </c>
      <c r="N211" s="2">
        <v>521</v>
      </c>
      <c r="O211">
        <v>4111.75</v>
      </c>
      <c r="P211">
        <v>61</v>
      </c>
      <c r="Q211">
        <v>460</v>
      </c>
      <c r="R211">
        <v>17.22</v>
      </c>
      <c r="S211">
        <v>5</v>
      </c>
      <c r="T211">
        <v>68</v>
      </c>
      <c r="U211" s="2">
        <v>779.96</v>
      </c>
      <c r="V211">
        <v>0</v>
      </c>
      <c r="W211" t="s">
        <v>29</v>
      </c>
      <c r="X211" t="str">
        <f>IF(Table2[[#This Row],[Qty available]]&gt;Table2[[#This Row],[Qty on hand]],"Check","OK")</f>
        <v>OK</v>
      </c>
    </row>
    <row r="212" spans="1:24" x14ac:dyDescent="0.3">
      <c r="A212" t="s">
        <v>73</v>
      </c>
      <c r="B212" t="s">
        <v>74</v>
      </c>
      <c r="C212" t="s">
        <v>57</v>
      </c>
      <c r="D212" t="s">
        <v>58</v>
      </c>
      <c r="E212" t="s">
        <v>66</v>
      </c>
      <c r="F212" s="1" t="s">
        <v>47</v>
      </c>
      <c r="G212" s="2">
        <v>7.56</v>
      </c>
      <c r="H212">
        <v>8.1300000000000008</v>
      </c>
      <c r="I212">
        <v>7.9424409999999996</v>
      </c>
      <c r="J212">
        <v>11.47</v>
      </c>
      <c r="K212">
        <v>19</v>
      </c>
      <c r="L212" s="2">
        <v>19</v>
      </c>
      <c r="M212">
        <v>140</v>
      </c>
      <c r="N212" s="2">
        <v>512</v>
      </c>
      <c r="O212">
        <v>4066.53</v>
      </c>
      <c r="P212">
        <v>42</v>
      </c>
      <c r="Q212">
        <v>470</v>
      </c>
      <c r="R212">
        <v>16.670000000000002</v>
      </c>
      <c r="S212">
        <v>4</v>
      </c>
      <c r="T212">
        <v>149</v>
      </c>
      <c r="U212" s="2">
        <v>1709.03</v>
      </c>
      <c r="V212">
        <v>0</v>
      </c>
      <c r="W212" t="s">
        <v>29</v>
      </c>
      <c r="X212" t="str">
        <f>IF(Table2[[#This Row],[Qty available]]&gt;Table2[[#This Row],[Qty on hand]],"Check","OK")</f>
        <v>OK</v>
      </c>
    </row>
    <row r="213" spans="1:24" x14ac:dyDescent="0.3">
      <c r="A213" t="s">
        <v>73</v>
      </c>
      <c r="B213" t="s">
        <v>74</v>
      </c>
      <c r="C213" t="s">
        <v>57</v>
      </c>
      <c r="D213" t="s">
        <v>58</v>
      </c>
      <c r="E213" t="s">
        <v>66</v>
      </c>
      <c r="F213" s="1" t="s">
        <v>48</v>
      </c>
      <c r="G213" s="2">
        <v>7.45</v>
      </c>
      <c r="H213">
        <v>8.01</v>
      </c>
      <c r="I213">
        <v>7.9453529999999999</v>
      </c>
      <c r="J213">
        <v>11.47</v>
      </c>
      <c r="K213">
        <v>19</v>
      </c>
      <c r="L213" s="2">
        <v>19</v>
      </c>
      <c r="M213">
        <v>23</v>
      </c>
      <c r="N213" s="2">
        <v>340</v>
      </c>
      <c r="O213">
        <v>2701.42</v>
      </c>
      <c r="P213">
        <v>48</v>
      </c>
      <c r="Q213">
        <v>292</v>
      </c>
      <c r="R213">
        <v>10.49</v>
      </c>
      <c r="S213">
        <v>1</v>
      </c>
      <c r="T213">
        <v>195</v>
      </c>
      <c r="U213" s="2">
        <v>2236.65</v>
      </c>
      <c r="V213">
        <v>0</v>
      </c>
      <c r="W213" t="s">
        <v>29</v>
      </c>
      <c r="X213" t="str">
        <f>IF(Table2[[#This Row],[Qty available]]&gt;Table2[[#This Row],[Qty on hand]],"Check","OK")</f>
        <v>OK</v>
      </c>
    </row>
    <row r="214" spans="1:24" x14ac:dyDescent="0.3">
      <c r="A214" t="s">
        <v>73</v>
      </c>
      <c r="B214" t="s">
        <v>74</v>
      </c>
      <c r="C214" t="s">
        <v>57</v>
      </c>
      <c r="D214" t="s">
        <v>58</v>
      </c>
      <c r="E214" t="s">
        <v>66</v>
      </c>
      <c r="F214" s="1" t="s">
        <v>49</v>
      </c>
      <c r="G214" s="2">
        <v>7.45</v>
      </c>
      <c r="H214">
        <v>8.01</v>
      </c>
      <c r="I214">
        <v>7.9800899999999997</v>
      </c>
      <c r="J214">
        <v>11.47</v>
      </c>
      <c r="K214">
        <v>19</v>
      </c>
      <c r="L214" s="2">
        <v>31</v>
      </c>
      <c r="M214">
        <v>395</v>
      </c>
      <c r="N214" s="2">
        <v>663</v>
      </c>
      <c r="O214">
        <v>5290.8</v>
      </c>
      <c r="P214">
        <v>42</v>
      </c>
      <c r="Q214">
        <v>621</v>
      </c>
      <c r="R214">
        <v>20.95</v>
      </c>
      <c r="S214">
        <v>1</v>
      </c>
      <c r="T214">
        <v>72</v>
      </c>
      <c r="U214" s="2">
        <v>825.84</v>
      </c>
      <c r="V214">
        <v>0</v>
      </c>
      <c r="W214" t="s">
        <v>29</v>
      </c>
      <c r="X214" t="str">
        <f>IF(Table2[[#This Row],[Qty available]]&gt;Table2[[#This Row],[Qty on hand]],"Check","OK")</f>
        <v>OK</v>
      </c>
    </row>
    <row r="215" spans="1:24" x14ac:dyDescent="0.3">
      <c r="A215" t="s">
        <v>73</v>
      </c>
      <c r="B215" t="s">
        <v>74</v>
      </c>
      <c r="C215" t="s">
        <v>57</v>
      </c>
      <c r="D215" t="s">
        <v>58</v>
      </c>
      <c r="E215" t="s">
        <v>66</v>
      </c>
      <c r="F215" s="1" t="s">
        <v>50</v>
      </c>
      <c r="G215" s="2">
        <v>7.64</v>
      </c>
      <c r="H215">
        <v>8.2200000000000006</v>
      </c>
      <c r="I215">
        <v>7.9860850000000001</v>
      </c>
      <c r="J215">
        <v>11.47</v>
      </c>
      <c r="K215">
        <v>19</v>
      </c>
      <c r="L215" s="2">
        <v>17</v>
      </c>
      <c r="M215">
        <v>17</v>
      </c>
      <c r="N215" s="2">
        <v>567</v>
      </c>
      <c r="O215">
        <v>4528.1099999999997</v>
      </c>
      <c r="P215">
        <v>18</v>
      </c>
      <c r="Q215">
        <v>549</v>
      </c>
      <c r="R215">
        <v>19.399999999999999</v>
      </c>
      <c r="S215">
        <v>3</v>
      </c>
      <c r="T215">
        <v>113</v>
      </c>
      <c r="U215" s="2">
        <v>1296.1099999999999</v>
      </c>
      <c r="V215">
        <v>0</v>
      </c>
      <c r="W215" t="s">
        <v>29</v>
      </c>
      <c r="X215" t="str">
        <f>IF(Table2[[#This Row],[Qty available]]&gt;Table2[[#This Row],[Qty on hand]],"Check","OK")</f>
        <v>OK</v>
      </c>
    </row>
    <row r="216" spans="1:24" x14ac:dyDescent="0.3">
      <c r="A216" t="s">
        <v>73</v>
      </c>
      <c r="B216" t="s">
        <v>74</v>
      </c>
      <c r="C216" t="s">
        <v>57</v>
      </c>
      <c r="D216" t="s">
        <v>58</v>
      </c>
      <c r="E216" t="s">
        <v>66</v>
      </c>
      <c r="F216" s="1" t="s">
        <v>51</v>
      </c>
      <c r="G216" s="2">
        <v>7.41</v>
      </c>
      <c r="H216">
        <v>7.97</v>
      </c>
      <c r="I216">
        <v>7.9846079999999997</v>
      </c>
      <c r="J216">
        <v>11.47</v>
      </c>
      <c r="K216">
        <v>19</v>
      </c>
      <c r="L216" s="2">
        <v>18</v>
      </c>
      <c r="M216">
        <v>57</v>
      </c>
      <c r="N216" s="2">
        <v>408</v>
      </c>
      <c r="O216">
        <v>3257.72</v>
      </c>
      <c r="P216">
        <v>24</v>
      </c>
      <c r="Q216">
        <v>384</v>
      </c>
      <c r="R216">
        <v>13.37</v>
      </c>
      <c r="S216">
        <v>0</v>
      </c>
      <c r="T216">
        <v>216</v>
      </c>
      <c r="U216" s="2">
        <v>2477.52</v>
      </c>
      <c r="V216">
        <v>0</v>
      </c>
      <c r="W216" t="s">
        <v>29</v>
      </c>
      <c r="X216" t="str">
        <f>IF(Table2[[#This Row],[Qty available]]&gt;Table2[[#This Row],[Qty on hand]],"Check","OK")</f>
        <v>OK</v>
      </c>
    </row>
    <row r="217" spans="1:24" x14ac:dyDescent="0.3">
      <c r="A217" t="s">
        <v>73</v>
      </c>
      <c r="B217" t="s">
        <v>74</v>
      </c>
      <c r="C217" t="s">
        <v>57</v>
      </c>
      <c r="D217" t="s">
        <v>58</v>
      </c>
      <c r="E217" t="s">
        <v>66</v>
      </c>
      <c r="F217" s="1" t="s">
        <v>52</v>
      </c>
      <c r="G217" s="2">
        <v>7.66</v>
      </c>
      <c r="H217">
        <v>8.24</v>
      </c>
      <c r="I217">
        <v>8.1055530000000005</v>
      </c>
      <c r="J217">
        <v>11.47</v>
      </c>
      <c r="K217">
        <v>19</v>
      </c>
      <c r="L217" s="2">
        <v>18</v>
      </c>
      <c r="M217">
        <v>367</v>
      </c>
      <c r="N217" s="2">
        <v>497</v>
      </c>
      <c r="O217">
        <v>4028.46</v>
      </c>
      <c r="P217">
        <v>48</v>
      </c>
      <c r="Q217">
        <v>449</v>
      </c>
      <c r="R217">
        <v>10.76</v>
      </c>
      <c r="S217">
        <v>0</v>
      </c>
      <c r="T217">
        <v>278</v>
      </c>
      <c r="U217" s="2">
        <v>3188.66</v>
      </c>
      <c r="V217">
        <v>0</v>
      </c>
      <c r="W217" t="s">
        <v>29</v>
      </c>
      <c r="X217" t="str">
        <f>IF(Table2[[#This Row],[Qty available]]&gt;Table2[[#This Row],[Qty on hand]],"Check","OK")</f>
        <v>OK</v>
      </c>
    </row>
    <row r="218" spans="1:24" x14ac:dyDescent="0.3">
      <c r="A218" t="s">
        <v>75</v>
      </c>
      <c r="B218" t="s">
        <v>76</v>
      </c>
      <c r="C218" t="s">
        <v>77</v>
      </c>
      <c r="D218" t="s">
        <v>78</v>
      </c>
      <c r="E218" t="s">
        <v>27</v>
      </c>
      <c r="F218" s="1" t="s">
        <v>28</v>
      </c>
      <c r="G218" s="2">
        <v>1.89</v>
      </c>
      <c r="H218">
        <v>2.09</v>
      </c>
      <c r="I218">
        <v>2.09</v>
      </c>
      <c r="J218">
        <v>3.01</v>
      </c>
      <c r="K218">
        <v>32</v>
      </c>
      <c r="L218" s="2">
        <v>44</v>
      </c>
      <c r="M218">
        <v>1332</v>
      </c>
      <c r="N218" s="2">
        <v>608</v>
      </c>
      <c r="O218">
        <v>1270.72</v>
      </c>
      <c r="P218">
        <v>226</v>
      </c>
      <c r="Q218">
        <v>382</v>
      </c>
      <c r="R218">
        <v>3.81</v>
      </c>
      <c r="S218">
        <v>0</v>
      </c>
      <c r="T218">
        <v>724</v>
      </c>
      <c r="U218" s="2">
        <v>2179.2399999999998</v>
      </c>
      <c r="V218">
        <v>0</v>
      </c>
      <c r="W218" t="s">
        <v>29</v>
      </c>
      <c r="X218" t="str">
        <f>IF(Table2[[#This Row],[Qty available]]&gt;Table2[[#This Row],[Qty on hand]],"Check","OK")</f>
        <v>OK</v>
      </c>
    </row>
    <row r="219" spans="1:24" x14ac:dyDescent="0.3">
      <c r="A219" t="s">
        <v>75</v>
      </c>
      <c r="B219" t="s">
        <v>76</v>
      </c>
      <c r="C219" t="s">
        <v>77</v>
      </c>
      <c r="D219" t="s">
        <v>78</v>
      </c>
      <c r="E219" t="s">
        <v>27</v>
      </c>
      <c r="F219" s="1" t="s">
        <v>30</v>
      </c>
      <c r="G219" s="2">
        <v>1.91</v>
      </c>
      <c r="H219">
        <v>2.11</v>
      </c>
      <c r="I219">
        <v>2.1024530000000001</v>
      </c>
      <c r="J219">
        <v>3.01</v>
      </c>
      <c r="K219">
        <v>32</v>
      </c>
      <c r="L219" s="2">
        <v>31</v>
      </c>
      <c r="M219">
        <v>1003</v>
      </c>
      <c r="N219" s="2">
        <v>860</v>
      </c>
      <c r="O219">
        <v>1808.11</v>
      </c>
      <c r="P219">
        <v>68</v>
      </c>
      <c r="Q219">
        <v>792</v>
      </c>
      <c r="R219">
        <v>4.95</v>
      </c>
      <c r="S219">
        <v>0</v>
      </c>
      <c r="T219">
        <v>751</v>
      </c>
      <c r="U219" s="2">
        <v>2260.5100000000002</v>
      </c>
      <c r="V219">
        <v>0</v>
      </c>
      <c r="W219" t="s">
        <v>29</v>
      </c>
      <c r="X219" t="str">
        <f>IF(Table2[[#This Row],[Qty available]]&gt;Table2[[#This Row],[Qty on hand]],"Check","OK")</f>
        <v>OK</v>
      </c>
    </row>
    <row r="220" spans="1:24" x14ac:dyDescent="0.3">
      <c r="A220" t="s">
        <v>75</v>
      </c>
      <c r="B220" t="s">
        <v>76</v>
      </c>
      <c r="C220" t="s">
        <v>77</v>
      </c>
      <c r="D220" t="s">
        <v>78</v>
      </c>
      <c r="E220" t="s">
        <v>27</v>
      </c>
      <c r="F220" s="1" t="s">
        <v>31</v>
      </c>
      <c r="G220" s="2">
        <v>1.94</v>
      </c>
      <c r="H220">
        <v>2.14</v>
      </c>
      <c r="I220">
        <v>2.1178240000000002</v>
      </c>
      <c r="J220">
        <v>3.01</v>
      </c>
      <c r="K220">
        <v>32</v>
      </c>
      <c r="L220" s="2">
        <v>29</v>
      </c>
      <c r="M220">
        <v>596</v>
      </c>
      <c r="N220" s="2">
        <v>547</v>
      </c>
      <c r="O220">
        <v>1158.45</v>
      </c>
      <c r="P220">
        <v>113</v>
      </c>
      <c r="Q220">
        <v>434</v>
      </c>
      <c r="R220">
        <v>2.98</v>
      </c>
      <c r="S220">
        <v>0</v>
      </c>
      <c r="T220">
        <v>909</v>
      </c>
      <c r="U220" s="2">
        <v>2736.09</v>
      </c>
      <c r="V220">
        <v>0</v>
      </c>
      <c r="W220" t="s">
        <v>29</v>
      </c>
      <c r="X220" t="str">
        <f>IF(Table2[[#This Row],[Qty available]]&gt;Table2[[#This Row],[Qty on hand]],"Check","OK")</f>
        <v>OK</v>
      </c>
    </row>
    <row r="221" spans="1:24" x14ac:dyDescent="0.3">
      <c r="A221" t="s">
        <v>75</v>
      </c>
      <c r="B221" t="s">
        <v>76</v>
      </c>
      <c r="C221" t="s">
        <v>77</v>
      </c>
      <c r="D221" t="s">
        <v>78</v>
      </c>
      <c r="E221" t="s">
        <v>27</v>
      </c>
      <c r="F221" s="1" t="s">
        <v>32</v>
      </c>
      <c r="G221" s="2">
        <v>1.93</v>
      </c>
      <c r="H221">
        <v>2.13</v>
      </c>
      <c r="I221">
        <v>2.1178240000000002</v>
      </c>
      <c r="J221">
        <v>3.01</v>
      </c>
      <c r="K221">
        <v>32</v>
      </c>
      <c r="M221">
        <v>0</v>
      </c>
      <c r="N221" s="2">
        <v>0</v>
      </c>
      <c r="O221">
        <v>0</v>
      </c>
      <c r="P221">
        <v>0</v>
      </c>
      <c r="Q221">
        <v>0</v>
      </c>
      <c r="R221">
        <v>0</v>
      </c>
      <c r="S221">
        <v>3</v>
      </c>
      <c r="T221">
        <v>547</v>
      </c>
      <c r="U221" s="2">
        <v>1646.47</v>
      </c>
      <c r="V221">
        <v>440</v>
      </c>
      <c r="W221" t="s">
        <v>59</v>
      </c>
      <c r="X221" t="str">
        <f>IF(Table2[[#This Row],[Qty available]]&gt;Table2[[#This Row],[Qty on hand]],"Check","OK")</f>
        <v>OK</v>
      </c>
    </row>
    <row r="222" spans="1:24" x14ac:dyDescent="0.3">
      <c r="A222" t="s">
        <v>75</v>
      </c>
      <c r="B222" t="s">
        <v>76</v>
      </c>
      <c r="C222" t="s">
        <v>77</v>
      </c>
      <c r="D222" t="s">
        <v>78</v>
      </c>
      <c r="E222" t="s">
        <v>27</v>
      </c>
      <c r="F222" s="1" t="s">
        <v>33</v>
      </c>
      <c r="G222" s="2">
        <v>1.95</v>
      </c>
      <c r="H222">
        <v>2.15</v>
      </c>
      <c r="I222">
        <v>2.15</v>
      </c>
      <c r="J222">
        <v>3.01</v>
      </c>
      <c r="K222">
        <v>32</v>
      </c>
      <c r="L222" s="2">
        <v>30</v>
      </c>
      <c r="M222">
        <v>1535</v>
      </c>
      <c r="N222" s="2">
        <v>774</v>
      </c>
      <c r="O222">
        <v>1664.1</v>
      </c>
      <c r="P222">
        <v>203</v>
      </c>
      <c r="Q222">
        <v>571</v>
      </c>
      <c r="R222">
        <v>4.59</v>
      </c>
      <c r="S222">
        <v>0</v>
      </c>
      <c r="T222">
        <v>761</v>
      </c>
      <c r="U222" s="2">
        <v>2290.61</v>
      </c>
      <c r="V222">
        <v>0</v>
      </c>
      <c r="W222" t="s">
        <v>29</v>
      </c>
      <c r="X222" t="str">
        <f>IF(Table2[[#This Row],[Qty available]]&gt;Table2[[#This Row],[Qty on hand]],"Check","OK")</f>
        <v>OK</v>
      </c>
    </row>
    <row r="223" spans="1:24" x14ac:dyDescent="0.3">
      <c r="A223" t="s">
        <v>75</v>
      </c>
      <c r="B223" t="s">
        <v>76</v>
      </c>
      <c r="C223" t="s">
        <v>77</v>
      </c>
      <c r="D223" t="s">
        <v>78</v>
      </c>
      <c r="E223" t="s">
        <v>27</v>
      </c>
      <c r="F223" s="1" t="s">
        <v>34</v>
      </c>
      <c r="G223" s="2">
        <v>1.94</v>
      </c>
      <c r="H223">
        <v>2.14</v>
      </c>
      <c r="I223">
        <v>2.1454780000000002</v>
      </c>
      <c r="J223">
        <v>3.18</v>
      </c>
      <c r="K223">
        <v>32</v>
      </c>
      <c r="L223" s="2">
        <v>28</v>
      </c>
      <c r="M223">
        <v>639</v>
      </c>
      <c r="N223" s="2">
        <v>763</v>
      </c>
      <c r="O223">
        <v>1637</v>
      </c>
      <c r="P223">
        <v>226</v>
      </c>
      <c r="Q223">
        <v>537</v>
      </c>
      <c r="R223">
        <v>5.01</v>
      </c>
      <c r="S223">
        <v>0</v>
      </c>
      <c r="T223">
        <v>650</v>
      </c>
      <c r="U223" s="2">
        <v>2067</v>
      </c>
      <c r="V223">
        <v>0</v>
      </c>
      <c r="W223" t="s">
        <v>29</v>
      </c>
      <c r="X223" t="str">
        <f>IF(Table2[[#This Row],[Qty available]]&gt;Table2[[#This Row],[Qty on hand]],"Check","OK")</f>
        <v>OK</v>
      </c>
    </row>
    <row r="224" spans="1:24" x14ac:dyDescent="0.3">
      <c r="A224" t="s">
        <v>75</v>
      </c>
      <c r="B224" t="s">
        <v>76</v>
      </c>
      <c r="C224" t="s">
        <v>77</v>
      </c>
      <c r="D224" t="s">
        <v>78</v>
      </c>
      <c r="E224" t="s">
        <v>27</v>
      </c>
      <c r="F224" s="1" t="s">
        <v>35</v>
      </c>
      <c r="G224" s="2">
        <v>2.02</v>
      </c>
      <c r="H224">
        <v>2.23</v>
      </c>
      <c r="I224">
        <v>2.1935039999999999</v>
      </c>
      <c r="J224">
        <v>3.18</v>
      </c>
      <c r="K224">
        <v>32</v>
      </c>
      <c r="L224" s="2">
        <v>31</v>
      </c>
      <c r="M224">
        <v>1004</v>
      </c>
      <c r="N224" s="2">
        <v>705</v>
      </c>
      <c r="O224">
        <v>1546.42</v>
      </c>
      <c r="P224">
        <v>45</v>
      </c>
      <c r="Q224">
        <v>660</v>
      </c>
      <c r="R224">
        <v>3.67</v>
      </c>
      <c r="S224">
        <v>1</v>
      </c>
      <c r="T224">
        <v>1062</v>
      </c>
      <c r="U224" s="2">
        <v>3377.16</v>
      </c>
      <c r="V224">
        <v>0</v>
      </c>
      <c r="W224" t="s">
        <v>29</v>
      </c>
      <c r="X224" t="str">
        <f>IF(Table2[[#This Row],[Qty available]]&gt;Table2[[#This Row],[Qty on hand]],"Check","OK")</f>
        <v>OK</v>
      </c>
    </row>
    <row r="225" spans="1:24" x14ac:dyDescent="0.3">
      <c r="A225" t="s">
        <v>75</v>
      </c>
      <c r="B225" t="s">
        <v>76</v>
      </c>
      <c r="C225" t="s">
        <v>77</v>
      </c>
      <c r="D225" t="s">
        <v>78</v>
      </c>
      <c r="E225" t="s">
        <v>27</v>
      </c>
      <c r="F225" s="1" t="s">
        <v>36</v>
      </c>
      <c r="G225" s="2">
        <v>2.0299999999999998</v>
      </c>
      <c r="H225">
        <v>2.2400000000000002</v>
      </c>
      <c r="I225">
        <v>2.1935039999999999</v>
      </c>
      <c r="J225">
        <v>3.18</v>
      </c>
      <c r="K225">
        <v>32</v>
      </c>
      <c r="M225">
        <v>0</v>
      </c>
      <c r="N225" s="2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705</v>
      </c>
      <c r="U225" s="2">
        <v>2241.9</v>
      </c>
      <c r="V225">
        <v>134</v>
      </c>
      <c r="W225" t="s">
        <v>59</v>
      </c>
      <c r="X225" t="str">
        <f>IF(Table2[[#This Row],[Qty available]]&gt;Table2[[#This Row],[Qty on hand]],"Check","OK")</f>
        <v>OK</v>
      </c>
    </row>
    <row r="226" spans="1:24" x14ac:dyDescent="0.3">
      <c r="A226" t="s">
        <v>75</v>
      </c>
      <c r="B226" t="s">
        <v>76</v>
      </c>
      <c r="C226" t="s">
        <v>77</v>
      </c>
      <c r="D226" t="s">
        <v>78</v>
      </c>
      <c r="E226" t="s">
        <v>27</v>
      </c>
      <c r="F226" s="1" t="s">
        <v>37</v>
      </c>
      <c r="G226" s="2">
        <v>2.06</v>
      </c>
      <c r="H226">
        <v>2.27</v>
      </c>
      <c r="I226">
        <v>2.27</v>
      </c>
      <c r="J226">
        <v>3.18</v>
      </c>
      <c r="K226">
        <v>32</v>
      </c>
      <c r="L226" s="2">
        <v>29</v>
      </c>
      <c r="M226">
        <v>1628</v>
      </c>
      <c r="N226" s="2">
        <v>1275</v>
      </c>
      <c r="O226">
        <v>2894.25</v>
      </c>
      <c r="P226">
        <v>226</v>
      </c>
      <c r="Q226">
        <v>1049</v>
      </c>
      <c r="R226">
        <v>7.9</v>
      </c>
      <c r="S226">
        <v>2</v>
      </c>
      <c r="T226">
        <v>353</v>
      </c>
      <c r="U226" s="2">
        <v>1122.54</v>
      </c>
      <c r="V226">
        <v>0</v>
      </c>
      <c r="W226" t="s">
        <v>29</v>
      </c>
      <c r="X226" t="str">
        <f>IF(Table2[[#This Row],[Qty available]]&gt;Table2[[#This Row],[Qty on hand]],"Check","OK")</f>
        <v>OK</v>
      </c>
    </row>
    <row r="227" spans="1:24" x14ac:dyDescent="0.3">
      <c r="A227" t="s">
        <v>75</v>
      </c>
      <c r="B227" t="s">
        <v>76</v>
      </c>
      <c r="C227" t="s">
        <v>77</v>
      </c>
      <c r="D227" t="s">
        <v>78</v>
      </c>
      <c r="E227" t="s">
        <v>27</v>
      </c>
      <c r="F227" s="1" t="s">
        <v>38</v>
      </c>
      <c r="G227" s="2">
        <v>1.99</v>
      </c>
      <c r="H227">
        <v>2.2000000000000002</v>
      </c>
      <c r="I227">
        <v>2.27</v>
      </c>
      <c r="J227">
        <v>3.18</v>
      </c>
      <c r="K227">
        <v>32</v>
      </c>
      <c r="M227">
        <v>0</v>
      </c>
      <c r="N227" s="2">
        <v>473</v>
      </c>
      <c r="O227">
        <v>1073.71</v>
      </c>
      <c r="P227">
        <v>68</v>
      </c>
      <c r="Q227">
        <v>405</v>
      </c>
      <c r="R227">
        <v>3.31</v>
      </c>
      <c r="S227">
        <v>1</v>
      </c>
      <c r="T227">
        <v>802</v>
      </c>
      <c r="U227" s="2">
        <v>2550.36</v>
      </c>
      <c r="V227">
        <v>0</v>
      </c>
      <c r="W227" t="s">
        <v>29</v>
      </c>
      <c r="X227" t="str">
        <f>IF(Table2[[#This Row],[Qty available]]&gt;Table2[[#This Row],[Qty on hand]],"Check","OK")</f>
        <v>OK</v>
      </c>
    </row>
    <row r="228" spans="1:24" x14ac:dyDescent="0.3">
      <c r="A228" t="s">
        <v>75</v>
      </c>
      <c r="B228" t="s">
        <v>76</v>
      </c>
      <c r="C228" t="s">
        <v>77</v>
      </c>
      <c r="D228" t="s">
        <v>78</v>
      </c>
      <c r="E228" t="s">
        <v>27</v>
      </c>
      <c r="F228" s="1" t="s">
        <v>39</v>
      </c>
      <c r="G228" s="2">
        <v>2.04</v>
      </c>
      <c r="H228">
        <v>2.25</v>
      </c>
      <c r="I228">
        <v>2.2625929999999999</v>
      </c>
      <c r="J228">
        <v>3.18</v>
      </c>
      <c r="K228">
        <v>32</v>
      </c>
      <c r="L228" s="2">
        <v>32</v>
      </c>
      <c r="M228">
        <v>279</v>
      </c>
      <c r="N228" s="2">
        <v>351</v>
      </c>
      <c r="O228">
        <v>794.17</v>
      </c>
      <c r="P228">
        <v>45</v>
      </c>
      <c r="Q228">
        <v>306</v>
      </c>
      <c r="R228">
        <v>2.96</v>
      </c>
      <c r="S228">
        <v>0</v>
      </c>
      <c r="T228">
        <v>401</v>
      </c>
      <c r="U228" s="2">
        <v>1275.18</v>
      </c>
      <c r="V228">
        <v>0</v>
      </c>
      <c r="W228" t="s">
        <v>29</v>
      </c>
      <c r="X228" t="str">
        <f>IF(Table2[[#This Row],[Qty available]]&gt;Table2[[#This Row],[Qty on hand]],"Check","OK")</f>
        <v>OK</v>
      </c>
    </row>
    <row r="229" spans="1:24" x14ac:dyDescent="0.3">
      <c r="A229" t="s">
        <v>75</v>
      </c>
      <c r="B229" t="s">
        <v>76</v>
      </c>
      <c r="C229" t="s">
        <v>77</v>
      </c>
      <c r="D229" t="s">
        <v>78</v>
      </c>
      <c r="E229" t="s">
        <v>27</v>
      </c>
      <c r="F229" s="1" t="s">
        <v>40</v>
      </c>
      <c r="G229" s="2">
        <v>2.0099999999999998</v>
      </c>
      <c r="H229">
        <v>2.2200000000000002</v>
      </c>
      <c r="I229">
        <v>2.227033</v>
      </c>
      <c r="J229">
        <v>3.18</v>
      </c>
      <c r="K229">
        <v>32</v>
      </c>
      <c r="L229" s="2">
        <v>30</v>
      </c>
      <c r="M229">
        <v>1774</v>
      </c>
      <c r="N229" s="2">
        <v>1321</v>
      </c>
      <c r="O229">
        <v>2941.91</v>
      </c>
      <c r="P229">
        <v>203</v>
      </c>
      <c r="Q229">
        <v>1118</v>
      </c>
      <c r="R229">
        <v>8.65</v>
      </c>
      <c r="S229">
        <v>0</v>
      </c>
      <c r="T229">
        <v>804</v>
      </c>
      <c r="U229" s="2">
        <v>2556.7199999999998</v>
      </c>
      <c r="V229">
        <v>0</v>
      </c>
      <c r="W229" t="s">
        <v>29</v>
      </c>
      <c r="X229" t="str">
        <f>IF(Table2[[#This Row],[Qty available]]&gt;Table2[[#This Row],[Qty on hand]],"Check","OK")</f>
        <v>OK</v>
      </c>
    </row>
    <row r="230" spans="1:24" x14ac:dyDescent="0.3">
      <c r="A230" t="s">
        <v>75</v>
      </c>
      <c r="B230" t="s">
        <v>76</v>
      </c>
      <c r="C230" t="s">
        <v>77</v>
      </c>
      <c r="D230" t="s">
        <v>78</v>
      </c>
      <c r="E230" t="s">
        <v>27</v>
      </c>
      <c r="F230" s="1" t="s">
        <v>41</v>
      </c>
      <c r="G230" s="2">
        <v>2</v>
      </c>
      <c r="H230">
        <v>2.21</v>
      </c>
      <c r="I230">
        <v>2.2270340000000002</v>
      </c>
      <c r="J230">
        <v>3.18</v>
      </c>
      <c r="K230">
        <v>32</v>
      </c>
      <c r="M230">
        <v>0</v>
      </c>
      <c r="N230" s="2">
        <v>826</v>
      </c>
      <c r="O230">
        <v>1839.53</v>
      </c>
      <c r="P230">
        <v>45</v>
      </c>
      <c r="Q230">
        <v>781</v>
      </c>
      <c r="R230">
        <v>6.39</v>
      </c>
      <c r="S230">
        <v>1</v>
      </c>
      <c r="T230">
        <v>495</v>
      </c>
      <c r="U230" s="2">
        <v>1574.1</v>
      </c>
      <c r="V230">
        <v>0</v>
      </c>
      <c r="W230" t="s">
        <v>29</v>
      </c>
      <c r="X230" t="str">
        <f>IF(Table2[[#This Row],[Qty available]]&gt;Table2[[#This Row],[Qty on hand]],"Check","OK")</f>
        <v>OK</v>
      </c>
    </row>
    <row r="231" spans="1:24" x14ac:dyDescent="0.3">
      <c r="A231" t="s">
        <v>75</v>
      </c>
      <c r="B231" t="s">
        <v>76</v>
      </c>
      <c r="C231" t="s">
        <v>77</v>
      </c>
      <c r="D231" t="s">
        <v>78</v>
      </c>
      <c r="E231" t="s">
        <v>27</v>
      </c>
      <c r="F231" s="1" t="s">
        <v>42</v>
      </c>
      <c r="G231" s="2">
        <v>2.0299999999999998</v>
      </c>
      <c r="H231">
        <v>2.2400000000000002</v>
      </c>
      <c r="I231">
        <v>2.234334</v>
      </c>
      <c r="J231">
        <v>3.18</v>
      </c>
      <c r="K231">
        <v>32</v>
      </c>
      <c r="L231" s="2">
        <v>31</v>
      </c>
      <c r="M231">
        <v>1063</v>
      </c>
      <c r="N231" s="2">
        <v>1193</v>
      </c>
      <c r="O231">
        <v>2665.56</v>
      </c>
      <c r="P231">
        <v>226</v>
      </c>
      <c r="Q231">
        <v>967</v>
      </c>
      <c r="R231">
        <v>7.86</v>
      </c>
      <c r="S231">
        <v>0</v>
      </c>
      <c r="T231">
        <v>696</v>
      </c>
      <c r="U231" s="2">
        <v>2213.2800000000002</v>
      </c>
      <c r="V231">
        <v>0</v>
      </c>
      <c r="W231" t="s">
        <v>29</v>
      </c>
      <c r="X231" t="str">
        <f>IF(Table2[[#This Row],[Qty available]]&gt;Table2[[#This Row],[Qty on hand]],"Check","OK")</f>
        <v>OK</v>
      </c>
    </row>
    <row r="232" spans="1:24" x14ac:dyDescent="0.3">
      <c r="A232" t="s">
        <v>75</v>
      </c>
      <c r="B232" t="s">
        <v>76</v>
      </c>
      <c r="C232" t="s">
        <v>77</v>
      </c>
      <c r="D232" t="s">
        <v>78</v>
      </c>
      <c r="E232" t="s">
        <v>27</v>
      </c>
      <c r="F232" s="1" t="s">
        <v>43</v>
      </c>
      <c r="G232" s="2">
        <v>2.0499999999999998</v>
      </c>
      <c r="H232">
        <v>2.2599999999999998</v>
      </c>
      <c r="I232">
        <v>2.2343310000000001</v>
      </c>
      <c r="J232">
        <v>3.18</v>
      </c>
      <c r="K232">
        <v>32</v>
      </c>
      <c r="M232">
        <v>0</v>
      </c>
      <c r="N232" s="2">
        <v>381</v>
      </c>
      <c r="O232">
        <v>851.28</v>
      </c>
      <c r="P232">
        <v>181</v>
      </c>
      <c r="Q232">
        <v>200</v>
      </c>
      <c r="R232">
        <v>2.4700000000000002</v>
      </c>
      <c r="S232">
        <v>0</v>
      </c>
      <c r="T232">
        <v>812</v>
      </c>
      <c r="U232" s="2">
        <v>2582.16</v>
      </c>
      <c r="V232">
        <v>0</v>
      </c>
      <c r="W232" t="s">
        <v>29</v>
      </c>
      <c r="X232" t="str">
        <f>IF(Table2[[#This Row],[Qty available]]&gt;Table2[[#This Row],[Qty on hand]],"Check","OK")</f>
        <v>OK</v>
      </c>
    </row>
    <row r="233" spans="1:24" x14ac:dyDescent="0.3">
      <c r="A233" t="s">
        <v>75</v>
      </c>
      <c r="B233" t="s">
        <v>76</v>
      </c>
      <c r="C233" t="s">
        <v>77</v>
      </c>
      <c r="D233" t="s">
        <v>78</v>
      </c>
      <c r="E233" t="s">
        <v>27</v>
      </c>
      <c r="F233" s="1" t="s">
        <v>44</v>
      </c>
      <c r="G233" s="2">
        <v>2.0099999999999998</v>
      </c>
      <c r="H233">
        <v>2.2200000000000002</v>
      </c>
      <c r="I233">
        <v>2.2238120000000001</v>
      </c>
      <c r="J233">
        <v>3.18</v>
      </c>
      <c r="K233">
        <v>32</v>
      </c>
      <c r="L233" s="2">
        <v>31</v>
      </c>
      <c r="M233">
        <v>1052</v>
      </c>
      <c r="N233" s="2">
        <v>522</v>
      </c>
      <c r="O233">
        <v>1160.83</v>
      </c>
      <c r="P233">
        <v>113</v>
      </c>
      <c r="Q233">
        <v>409</v>
      </c>
      <c r="R233">
        <v>2.84</v>
      </c>
      <c r="S233">
        <v>0</v>
      </c>
      <c r="T233">
        <v>911</v>
      </c>
      <c r="U233" s="2">
        <v>2896.98</v>
      </c>
      <c r="V233">
        <v>0</v>
      </c>
      <c r="W233" t="s">
        <v>29</v>
      </c>
      <c r="X233" t="str">
        <f>IF(Table2[[#This Row],[Qty available]]&gt;Table2[[#This Row],[Qty on hand]],"Check","OK")</f>
        <v>OK</v>
      </c>
    </row>
    <row r="234" spans="1:24" x14ac:dyDescent="0.3">
      <c r="A234" t="s">
        <v>75</v>
      </c>
      <c r="B234" t="s">
        <v>76</v>
      </c>
      <c r="C234" t="s">
        <v>77</v>
      </c>
      <c r="D234" t="s">
        <v>78</v>
      </c>
      <c r="E234" t="s">
        <v>27</v>
      </c>
      <c r="F234" s="1" t="s">
        <v>45</v>
      </c>
      <c r="G234" s="2">
        <v>2.0499999999999998</v>
      </c>
      <c r="H234">
        <v>2.2599999999999998</v>
      </c>
      <c r="I234">
        <v>2.2238120000000001</v>
      </c>
      <c r="J234">
        <v>3.18</v>
      </c>
      <c r="K234">
        <v>32</v>
      </c>
      <c r="M234">
        <v>0</v>
      </c>
      <c r="N234" s="2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522</v>
      </c>
      <c r="U234" s="2">
        <v>1659.96</v>
      </c>
      <c r="V234">
        <v>121</v>
      </c>
      <c r="W234" t="s">
        <v>59</v>
      </c>
      <c r="X234" t="str">
        <f>IF(Table2[[#This Row],[Qty available]]&gt;Table2[[#This Row],[Qty on hand]],"Check","OK")</f>
        <v>OK</v>
      </c>
    </row>
    <row r="235" spans="1:24" x14ac:dyDescent="0.3">
      <c r="A235" t="s">
        <v>75</v>
      </c>
      <c r="B235" t="s">
        <v>76</v>
      </c>
      <c r="C235" t="s">
        <v>77</v>
      </c>
      <c r="D235" t="s">
        <v>78</v>
      </c>
      <c r="E235" t="s">
        <v>27</v>
      </c>
      <c r="F235" s="1" t="s">
        <v>46</v>
      </c>
      <c r="G235" s="2">
        <v>2.06</v>
      </c>
      <c r="H235">
        <v>2.27</v>
      </c>
      <c r="I235">
        <v>2.27</v>
      </c>
      <c r="J235">
        <v>3.36</v>
      </c>
      <c r="K235">
        <v>32</v>
      </c>
      <c r="L235" s="2">
        <v>41</v>
      </c>
      <c r="M235">
        <v>1791</v>
      </c>
      <c r="N235" s="2">
        <v>798</v>
      </c>
      <c r="O235">
        <v>1811.46</v>
      </c>
      <c r="P235">
        <v>136</v>
      </c>
      <c r="Q235">
        <v>662</v>
      </c>
      <c r="R235">
        <v>4.2300000000000004</v>
      </c>
      <c r="S235">
        <v>0</v>
      </c>
      <c r="T235">
        <v>993</v>
      </c>
      <c r="U235" s="2">
        <v>3336.48</v>
      </c>
      <c r="V235">
        <v>0</v>
      </c>
      <c r="W235" t="s">
        <v>29</v>
      </c>
      <c r="X235" t="str">
        <f>IF(Table2[[#This Row],[Qty available]]&gt;Table2[[#This Row],[Qty on hand]],"Check","OK")</f>
        <v>OK</v>
      </c>
    </row>
    <row r="236" spans="1:24" x14ac:dyDescent="0.3">
      <c r="A236" t="s">
        <v>75</v>
      </c>
      <c r="B236" t="s">
        <v>76</v>
      </c>
      <c r="C236" t="s">
        <v>77</v>
      </c>
      <c r="D236" t="s">
        <v>78</v>
      </c>
      <c r="E236" t="s">
        <v>27</v>
      </c>
      <c r="F236" s="1" t="s">
        <v>47</v>
      </c>
      <c r="G236" s="2">
        <v>2.11</v>
      </c>
      <c r="H236">
        <v>2.33</v>
      </c>
      <c r="I236">
        <v>2.2928899999999999</v>
      </c>
      <c r="J236">
        <v>3.36</v>
      </c>
      <c r="K236">
        <v>32</v>
      </c>
      <c r="L236" s="2">
        <v>28</v>
      </c>
      <c r="M236">
        <v>492</v>
      </c>
      <c r="N236" s="2">
        <v>782</v>
      </c>
      <c r="O236">
        <v>1793.04</v>
      </c>
      <c r="P236">
        <v>45</v>
      </c>
      <c r="Q236">
        <v>737</v>
      </c>
      <c r="R236">
        <v>4.97</v>
      </c>
      <c r="S236">
        <v>0</v>
      </c>
      <c r="T236">
        <v>508</v>
      </c>
      <c r="U236" s="2">
        <v>1706.88</v>
      </c>
      <c r="V236">
        <v>0</v>
      </c>
      <c r="W236" t="s">
        <v>29</v>
      </c>
      <c r="X236" t="str">
        <f>IF(Table2[[#This Row],[Qty available]]&gt;Table2[[#This Row],[Qty on hand]],"Check","OK")</f>
        <v>OK</v>
      </c>
    </row>
    <row r="237" spans="1:24" x14ac:dyDescent="0.3">
      <c r="A237" t="s">
        <v>75</v>
      </c>
      <c r="B237" t="s">
        <v>76</v>
      </c>
      <c r="C237" t="s">
        <v>77</v>
      </c>
      <c r="D237" t="s">
        <v>78</v>
      </c>
      <c r="E237" t="s">
        <v>27</v>
      </c>
      <c r="F237" s="1" t="s">
        <v>48</v>
      </c>
      <c r="G237" s="2">
        <v>2.12</v>
      </c>
      <c r="H237">
        <v>2.34</v>
      </c>
      <c r="I237">
        <v>2.3052079999999999</v>
      </c>
      <c r="J237">
        <v>3.36</v>
      </c>
      <c r="K237">
        <v>32</v>
      </c>
      <c r="L237" s="2">
        <v>30</v>
      </c>
      <c r="M237">
        <v>277</v>
      </c>
      <c r="N237" s="2">
        <v>745</v>
      </c>
      <c r="O237">
        <v>1717.38</v>
      </c>
      <c r="P237">
        <v>203</v>
      </c>
      <c r="Q237">
        <v>542</v>
      </c>
      <c r="R237">
        <v>5.22</v>
      </c>
      <c r="S237">
        <v>0</v>
      </c>
      <c r="T237">
        <v>314</v>
      </c>
      <c r="U237" s="2">
        <v>1055.04</v>
      </c>
      <c r="V237">
        <v>0</v>
      </c>
      <c r="W237" t="s">
        <v>29</v>
      </c>
      <c r="X237" t="str">
        <f>IF(Table2[[#This Row],[Qty available]]&gt;Table2[[#This Row],[Qty on hand]],"Check","OK")</f>
        <v>OK</v>
      </c>
    </row>
    <row r="238" spans="1:24" x14ac:dyDescent="0.3">
      <c r="A238" t="s">
        <v>75</v>
      </c>
      <c r="B238" t="s">
        <v>76</v>
      </c>
      <c r="C238" t="s">
        <v>77</v>
      </c>
      <c r="D238" t="s">
        <v>78</v>
      </c>
      <c r="E238" t="s">
        <v>27</v>
      </c>
      <c r="F238" s="1" t="s">
        <v>49</v>
      </c>
      <c r="G238" s="2">
        <v>2.14</v>
      </c>
      <c r="H238">
        <v>2.36</v>
      </c>
      <c r="I238">
        <v>2.3442729999999998</v>
      </c>
      <c r="J238">
        <v>3.36</v>
      </c>
      <c r="K238">
        <v>32</v>
      </c>
      <c r="L238" s="2">
        <v>30</v>
      </c>
      <c r="M238">
        <v>1851</v>
      </c>
      <c r="N238" s="2">
        <v>2092</v>
      </c>
      <c r="O238">
        <v>4904.22</v>
      </c>
      <c r="P238">
        <v>158</v>
      </c>
      <c r="Q238">
        <v>1934</v>
      </c>
      <c r="R238">
        <v>20.74</v>
      </c>
      <c r="S238">
        <v>2</v>
      </c>
      <c r="T238">
        <v>504</v>
      </c>
      <c r="U238" s="2">
        <v>1693.44</v>
      </c>
      <c r="V238">
        <v>0</v>
      </c>
      <c r="W238" t="s">
        <v>29</v>
      </c>
      <c r="X238" t="str">
        <f>IF(Table2[[#This Row],[Qty available]]&gt;Table2[[#This Row],[Qty on hand]],"Check","OK")</f>
        <v>OK</v>
      </c>
    </row>
    <row r="239" spans="1:24" x14ac:dyDescent="0.3">
      <c r="A239" t="s">
        <v>75</v>
      </c>
      <c r="B239" t="s">
        <v>76</v>
      </c>
      <c r="C239" t="s">
        <v>77</v>
      </c>
      <c r="D239" t="s">
        <v>78</v>
      </c>
      <c r="E239" t="s">
        <v>27</v>
      </c>
      <c r="F239" s="1" t="s">
        <v>50</v>
      </c>
      <c r="G239" s="2">
        <v>2.1800000000000002</v>
      </c>
      <c r="H239">
        <v>2.41</v>
      </c>
      <c r="I239">
        <v>2.344274</v>
      </c>
      <c r="J239">
        <v>3.36</v>
      </c>
      <c r="K239">
        <v>32</v>
      </c>
      <c r="M239">
        <v>0</v>
      </c>
      <c r="N239" s="2">
        <v>1453</v>
      </c>
      <c r="O239">
        <v>3406.23</v>
      </c>
      <c r="P239">
        <v>158</v>
      </c>
      <c r="Q239">
        <v>1295</v>
      </c>
      <c r="R239">
        <v>12.96</v>
      </c>
      <c r="S239">
        <v>1</v>
      </c>
      <c r="T239">
        <v>639</v>
      </c>
      <c r="U239" s="2">
        <v>2147.04</v>
      </c>
      <c r="V239">
        <v>0</v>
      </c>
      <c r="W239" t="s">
        <v>29</v>
      </c>
      <c r="X239" t="str">
        <f>IF(Table2[[#This Row],[Qty available]]&gt;Table2[[#This Row],[Qty on hand]],"Check","OK")</f>
        <v>OK</v>
      </c>
    </row>
    <row r="240" spans="1:24" x14ac:dyDescent="0.3">
      <c r="A240" t="s">
        <v>75</v>
      </c>
      <c r="B240" t="s">
        <v>76</v>
      </c>
      <c r="C240" t="s">
        <v>77</v>
      </c>
      <c r="D240" t="s">
        <v>78</v>
      </c>
      <c r="E240" t="s">
        <v>27</v>
      </c>
      <c r="F240" s="1" t="s">
        <v>51</v>
      </c>
      <c r="G240" s="2">
        <v>2.15</v>
      </c>
      <c r="H240">
        <v>2.37</v>
      </c>
      <c r="I240">
        <v>2.3500350000000001</v>
      </c>
      <c r="J240">
        <v>3.36</v>
      </c>
      <c r="K240">
        <v>32</v>
      </c>
      <c r="L240" s="2">
        <v>29</v>
      </c>
      <c r="M240">
        <v>419</v>
      </c>
      <c r="N240" s="2">
        <v>1151</v>
      </c>
      <c r="O240">
        <v>2704.89</v>
      </c>
      <c r="P240">
        <v>45</v>
      </c>
      <c r="Q240">
        <v>1106</v>
      </c>
      <c r="R240">
        <v>8.1199999999999992</v>
      </c>
      <c r="S240">
        <v>0</v>
      </c>
      <c r="T240">
        <v>721</v>
      </c>
      <c r="U240" s="2">
        <v>2422.56</v>
      </c>
      <c r="V240">
        <v>0</v>
      </c>
      <c r="W240" t="s">
        <v>29</v>
      </c>
      <c r="X240" t="str">
        <f>IF(Table2[[#This Row],[Qty available]]&gt;Table2[[#This Row],[Qty on hand]],"Check","OK")</f>
        <v>OK</v>
      </c>
    </row>
    <row r="241" spans="1:24" x14ac:dyDescent="0.3">
      <c r="A241" t="s">
        <v>75</v>
      </c>
      <c r="B241" t="s">
        <v>76</v>
      </c>
      <c r="C241" t="s">
        <v>77</v>
      </c>
      <c r="D241" t="s">
        <v>78</v>
      </c>
      <c r="E241" t="s">
        <v>27</v>
      </c>
      <c r="F241" s="1" t="s">
        <v>52</v>
      </c>
      <c r="G241" s="2">
        <v>2.11</v>
      </c>
      <c r="H241">
        <v>2.33</v>
      </c>
      <c r="I241">
        <v>2.3432309999999998</v>
      </c>
      <c r="J241">
        <v>3.36</v>
      </c>
      <c r="K241">
        <v>32</v>
      </c>
      <c r="L241" s="2">
        <v>28</v>
      </c>
      <c r="M241">
        <v>592</v>
      </c>
      <c r="N241" s="2">
        <v>1272</v>
      </c>
      <c r="O241">
        <v>2980.59</v>
      </c>
      <c r="P241">
        <v>181</v>
      </c>
      <c r="Q241">
        <v>1091</v>
      </c>
      <c r="R241">
        <v>9.1300000000000008</v>
      </c>
      <c r="S241">
        <v>2</v>
      </c>
      <c r="T241">
        <v>471</v>
      </c>
      <c r="U241" s="2">
        <v>1582.56</v>
      </c>
      <c r="V241">
        <v>0</v>
      </c>
      <c r="W241" t="s">
        <v>29</v>
      </c>
      <c r="X241" t="str">
        <f>IF(Table2[[#This Row],[Qty available]]&gt;Table2[[#This Row],[Qty on hand]],"Check","OK")</f>
        <v>OK</v>
      </c>
    </row>
    <row r="242" spans="1:24" x14ac:dyDescent="0.3">
      <c r="A242" t="s">
        <v>79</v>
      </c>
      <c r="B242" t="s">
        <v>80</v>
      </c>
      <c r="C242" t="s">
        <v>69</v>
      </c>
      <c r="D242" t="s">
        <v>70</v>
      </c>
      <c r="E242" t="s">
        <v>66</v>
      </c>
      <c r="F242" s="1" t="s">
        <v>28</v>
      </c>
      <c r="G242" s="2">
        <v>1.52</v>
      </c>
      <c r="H242">
        <v>1.52</v>
      </c>
      <c r="I242">
        <v>1.52</v>
      </c>
      <c r="J242">
        <v>2.21</v>
      </c>
      <c r="K242">
        <v>38</v>
      </c>
      <c r="M242">
        <v>0</v>
      </c>
      <c r="N242" s="2">
        <v>0</v>
      </c>
      <c r="O242">
        <v>0</v>
      </c>
      <c r="P242">
        <v>0</v>
      </c>
      <c r="Q242">
        <v>0</v>
      </c>
      <c r="S242">
        <v>230</v>
      </c>
      <c r="T242">
        <v>0</v>
      </c>
      <c r="U242" s="2">
        <v>0</v>
      </c>
      <c r="V242">
        <v>0</v>
      </c>
      <c r="W242" t="s">
        <v>29</v>
      </c>
      <c r="X242" t="str">
        <f>IF(Table2[[#This Row],[Qty available]]&gt;Table2[[#This Row],[Qty on hand]],"Check","OK")</f>
        <v>OK</v>
      </c>
    </row>
    <row r="243" spans="1:24" x14ac:dyDescent="0.3">
      <c r="A243" t="s">
        <v>79</v>
      </c>
      <c r="B243" t="s">
        <v>80</v>
      </c>
      <c r="C243" t="s">
        <v>69</v>
      </c>
      <c r="D243" t="s">
        <v>70</v>
      </c>
      <c r="E243" t="s">
        <v>66</v>
      </c>
      <c r="F243" s="1" t="s">
        <v>30</v>
      </c>
      <c r="G243" s="2">
        <v>1.5</v>
      </c>
      <c r="H243">
        <v>1.5</v>
      </c>
      <c r="I243">
        <v>1.52</v>
      </c>
      <c r="J243">
        <v>2.21</v>
      </c>
      <c r="K243">
        <v>38</v>
      </c>
      <c r="M243">
        <v>0</v>
      </c>
      <c r="N243" s="2">
        <v>0</v>
      </c>
      <c r="O243">
        <v>0</v>
      </c>
      <c r="P243">
        <v>0</v>
      </c>
      <c r="Q243">
        <v>0</v>
      </c>
      <c r="S243">
        <v>261</v>
      </c>
      <c r="T243">
        <v>0</v>
      </c>
      <c r="U243" s="2">
        <v>0</v>
      </c>
      <c r="V243">
        <v>0</v>
      </c>
      <c r="W243" t="s">
        <v>29</v>
      </c>
      <c r="X243" t="str">
        <f>IF(Table2[[#This Row],[Qty available]]&gt;Table2[[#This Row],[Qty on hand]],"Check","OK")</f>
        <v>OK</v>
      </c>
    </row>
    <row r="244" spans="1:24" x14ac:dyDescent="0.3">
      <c r="A244" t="s">
        <v>79</v>
      </c>
      <c r="B244" t="s">
        <v>80</v>
      </c>
      <c r="C244" t="s">
        <v>69</v>
      </c>
      <c r="D244" t="s">
        <v>70</v>
      </c>
      <c r="E244" t="s">
        <v>66</v>
      </c>
      <c r="F244" s="1" t="s">
        <v>31</v>
      </c>
      <c r="G244" s="2">
        <v>1.53</v>
      </c>
      <c r="H244">
        <v>1.53</v>
      </c>
      <c r="I244">
        <v>1.52</v>
      </c>
      <c r="J244">
        <v>2.21</v>
      </c>
      <c r="K244">
        <v>38</v>
      </c>
      <c r="M244">
        <v>0</v>
      </c>
      <c r="N244" s="2">
        <v>0</v>
      </c>
      <c r="O244">
        <v>0</v>
      </c>
      <c r="P244">
        <v>0</v>
      </c>
      <c r="Q244">
        <v>0</v>
      </c>
      <c r="S244">
        <v>291</v>
      </c>
      <c r="T244">
        <v>0</v>
      </c>
      <c r="U244" s="2">
        <v>0</v>
      </c>
      <c r="V244">
        <v>0</v>
      </c>
      <c r="W244" t="s">
        <v>29</v>
      </c>
      <c r="X244" t="str">
        <f>IF(Table2[[#This Row],[Qty available]]&gt;Table2[[#This Row],[Qty on hand]],"Check","OK")</f>
        <v>OK</v>
      </c>
    </row>
    <row r="245" spans="1:24" x14ac:dyDescent="0.3">
      <c r="A245" t="s">
        <v>79</v>
      </c>
      <c r="B245" t="s">
        <v>80</v>
      </c>
      <c r="C245" t="s">
        <v>69</v>
      </c>
      <c r="D245" t="s">
        <v>70</v>
      </c>
      <c r="E245" t="s">
        <v>66</v>
      </c>
      <c r="F245" s="1" t="s">
        <v>32</v>
      </c>
      <c r="G245" s="2">
        <v>1.56</v>
      </c>
      <c r="H245">
        <v>1.56</v>
      </c>
      <c r="I245">
        <v>1.52</v>
      </c>
      <c r="J245">
        <v>2.21</v>
      </c>
      <c r="K245">
        <v>38</v>
      </c>
      <c r="M245">
        <v>0</v>
      </c>
      <c r="N245" s="2">
        <v>0</v>
      </c>
      <c r="O245">
        <v>0</v>
      </c>
      <c r="P245">
        <v>0</v>
      </c>
      <c r="Q245">
        <v>0</v>
      </c>
      <c r="S245">
        <v>322</v>
      </c>
      <c r="T245">
        <v>0</v>
      </c>
      <c r="U245" s="2">
        <v>0</v>
      </c>
      <c r="V245">
        <v>0</v>
      </c>
      <c r="W245" t="s">
        <v>29</v>
      </c>
      <c r="X245" t="str">
        <f>IF(Table2[[#This Row],[Qty available]]&gt;Table2[[#This Row],[Qty on hand]],"Check","OK")</f>
        <v>OK</v>
      </c>
    </row>
    <row r="246" spans="1:24" x14ac:dyDescent="0.3">
      <c r="A246" t="s">
        <v>79</v>
      </c>
      <c r="B246" t="s">
        <v>80</v>
      </c>
      <c r="C246" t="s">
        <v>69</v>
      </c>
      <c r="D246" t="s">
        <v>70</v>
      </c>
      <c r="E246" t="s">
        <v>66</v>
      </c>
      <c r="F246" s="1" t="s">
        <v>33</v>
      </c>
      <c r="G246" s="2">
        <v>1.54</v>
      </c>
      <c r="H246">
        <v>1.54</v>
      </c>
      <c r="I246">
        <v>1.54</v>
      </c>
      <c r="J246">
        <v>2.21</v>
      </c>
      <c r="K246">
        <v>38</v>
      </c>
      <c r="L246" s="2">
        <v>36</v>
      </c>
      <c r="M246">
        <v>544</v>
      </c>
      <c r="N246" s="2">
        <v>544</v>
      </c>
      <c r="O246">
        <v>837.76</v>
      </c>
      <c r="P246">
        <v>0</v>
      </c>
      <c r="Q246">
        <v>544</v>
      </c>
      <c r="S246">
        <v>353</v>
      </c>
      <c r="T246">
        <v>0</v>
      </c>
      <c r="U246" s="2">
        <v>0</v>
      </c>
      <c r="V246">
        <v>0</v>
      </c>
      <c r="W246" t="s">
        <v>29</v>
      </c>
      <c r="X246" t="str">
        <f>IF(Table2[[#This Row],[Qty available]]&gt;Table2[[#This Row],[Qty on hand]],"Check","OK")</f>
        <v>OK</v>
      </c>
    </row>
    <row r="247" spans="1:24" x14ac:dyDescent="0.3">
      <c r="A247" t="s">
        <v>79</v>
      </c>
      <c r="B247" t="s">
        <v>80</v>
      </c>
      <c r="C247" t="s">
        <v>69</v>
      </c>
      <c r="D247" t="s">
        <v>70</v>
      </c>
      <c r="E247" t="s">
        <v>66</v>
      </c>
      <c r="F247" s="1" t="s">
        <v>34</v>
      </c>
      <c r="G247" s="2">
        <v>1.56</v>
      </c>
      <c r="H247">
        <v>1.56</v>
      </c>
      <c r="I247">
        <v>1.553552</v>
      </c>
      <c r="J247">
        <v>2.2799999999999998</v>
      </c>
      <c r="K247">
        <v>38</v>
      </c>
      <c r="L247" s="2">
        <v>43</v>
      </c>
      <c r="M247">
        <v>1144</v>
      </c>
      <c r="N247" s="2">
        <v>1371</v>
      </c>
      <c r="O247">
        <v>2129.92</v>
      </c>
      <c r="P247">
        <v>119</v>
      </c>
      <c r="Q247">
        <v>1252</v>
      </c>
      <c r="R247">
        <v>55.61</v>
      </c>
      <c r="S247">
        <v>3</v>
      </c>
      <c r="T247">
        <v>317</v>
      </c>
      <c r="U247" s="2">
        <v>722.76</v>
      </c>
      <c r="V247">
        <v>0</v>
      </c>
      <c r="W247" t="s">
        <v>29</v>
      </c>
      <c r="X247" t="str">
        <f>IF(Table2[[#This Row],[Qty available]]&gt;Table2[[#This Row],[Qty on hand]],"Check","OK")</f>
        <v>OK</v>
      </c>
    </row>
    <row r="248" spans="1:24" x14ac:dyDescent="0.3">
      <c r="A248" t="s">
        <v>79</v>
      </c>
      <c r="B248" t="s">
        <v>80</v>
      </c>
      <c r="C248" t="s">
        <v>69</v>
      </c>
      <c r="D248" t="s">
        <v>70</v>
      </c>
      <c r="E248" t="s">
        <v>66</v>
      </c>
      <c r="F248" s="1" t="s">
        <v>35</v>
      </c>
      <c r="G248" s="2">
        <v>1.59</v>
      </c>
      <c r="H248">
        <v>1.59</v>
      </c>
      <c r="I248">
        <v>1.578902</v>
      </c>
      <c r="J248">
        <v>2.2799999999999998</v>
      </c>
      <c r="K248">
        <v>38</v>
      </c>
      <c r="L248" s="2">
        <v>58</v>
      </c>
      <c r="M248">
        <v>3132</v>
      </c>
      <c r="N248" s="2">
        <v>3452</v>
      </c>
      <c r="O248">
        <v>5450.37</v>
      </c>
      <c r="P248">
        <v>185</v>
      </c>
      <c r="Q248">
        <v>3267</v>
      </c>
      <c r="R248">
        <v>32.44</v>
      </c>
      <c r="S248">
        <v>0</v>
      </c>
      <c r="T248">
        <v>1051</v>
      </c>
      <c r="U248" s="2">
        <v>2396.2800000000002</v>
      </c>
      <c r="V248">
        <v>0</v>
      </c>
      <c r="W248" t="s">
        <v>29</v>
      </c>
      <c r="X248" t="str">
        <f>IF(Table2[[#This Row],[Qty available]]&gt;Table2[[#This Row],[Qty on hand]],"Check","OK")</f>
        <v>OK</v>
      </c>
    </row>
    <row r="249" spans="1:24" x14ac:dyDescent="0.3">
      <c r="A249" t="s">
        <v>79</v>
      </c>
      <c r="B249" t="s">
        <v>80</v>
      </c>
      <c r="C249" t="s">
        <v>69</v>
      </c>
      <c r="D249" t="s">
        <v>70</v>
      </c>
      <c r="E249" t="s">
        <v>66</v>
      </c>
      <c r="F249" s="1" t="s">
        <v>36</v>
      </c>
      <c r="G249" s="2">
        <v>1.54</v>
      </c>
      <c r="H249">
        <v>1.54</v>
      </c>
      <c r="I249">
        <v>1.577356</v>
      </c>
      <c r="J249">
        <v>2.2799999999999998</v>
      </c>
      <c r="K249">
        <v>38</v>
      </c>
      <c r="L249" s="2">
        <v>37</v>
      </c>
      <c r="M249">
        <v>143</v>
      </c>
      <c r="N249" s="2">
        <v>2927</v>
      </c>
      <c r="O249">
        <v>4616.92</v>
      </c>
      <c r="P249">
        <v>358</v>
      </c>
      <c r="Q249">
        <v>2569</v>
      </c>
      <c r="R249">
        <v>18.28</v>
      </c>
      <c r="S249">
        <v>0</v>
      </c>
      <c r="T249">
        <v>668</v>
      </c>
      <c r="U249" s="2">
        <v>1523.04</v>
      </c>
      <c r="V249">
        <v>0</v>
      </c>
      <c r="W249" t="s">
        <v>29</v>
      </c>
      <c r="X249" t="str">
        <f>IF(Table2[[#This Row],[Qty available]]&gt;Table2[[#This Row],[Qty on hand]],"Check","OK")</f>
        <v>OK</v>
      </c>
    </row>
    <row r="250" spans="1:24" x14ac:dyDescent="0.3">
      <c r="A250" t="s">
        <v>79</v>
      </c>
      <c r="B250" t="s">
        <v>80</v>
      </c>
      <c r="C250" t="s">
        <v>69</v>
      </c>
      <c r="D250" t="s">
        <v>70</v>
      </c>
      <c r="E250" t="s">
        <v>66</v>
      </c>
      <c r="F250" s="1" t="s">
        <v>37</v>
      </c>
      <c r="G250" s="2">
        <v>1.54</v>
      </c>
      <c r="H250">
        <v>1.54</v>
      </c>
      <c r="I250">
        <v>1.5573619999999999</v>
      </c>
      <c r="J250">
        <v>2.2799999999999998</v>
      </c>
      <c r="K250">
        <v>38</v>
      </c>
      <c r="L250" s="2">
        <v>35</v>
      </c>
      <c r="M250">
        <v>3371</v>
      </c>
      <c r="N250" s="2">
        <v>6004</v>
      </c>
      <c r="O250">
        <v>9350.4</v>
      </c>
      <c r="P250">
        <v>358</v>
      </c>
      <c r="Q250">
        <v>5646</v>
      </c>
      <c r="R250">
        <v>39.200000000000003</v>
      </c>
      <c r="S250">
        <v>4</v>
      </c>
      <c r="T250">
        <v>294</v>
      </c>
      <c r="U250" s="2">
        <v>670.32</v>
      </c>
      <c r="V250">
        <v>0</v>
      </c>
      <c r="W250" t="s">
        <v>29</v>
      </c>
      <c r="X250" t="str">
        <f>IF(Table2[[#This Row],[Qty available]]&gt;Table2[[#This Row],[Qty on hand]],"Check","OK")</f>
        <v>OK</v>
      </c>
    </row>
    <row r="251" spans="1:24" x14ac:dyDescent="0.3">
      <c r="A251" t="s">
        <v>79</v>
      </c>
      <c r="B251" t="s">
        <v>80</v>
      </c>
      <c r="C251" t="s">
        <v>69</v>
      </c>
      <c r="D251" t="s">
        <v>70</v>
      </c>
      <c r="E251" t="s">
        <v>66</v>
      </c>
      <c r="F251" s="1" t="s">
        <v>38</v>
      </c>
      <c r="G251" s="2">
        <v>1.58</v>
      </c>
      <c r="H251">
        <v>1.58</v>
      </c>
      <c r="I251">
        <v>1.5573619999999999</v>
      </c>
      <c r="J251">
        <v>2.2799999999999998</v>
      </c>
      <c r="K251">
        <v>38</v>
      </c>
      <c r="M251">
        <v>0</v>
      </c>
      <c r="N251" s="2">
        <v>5250</v>
      </c>
      <c r="O251">
        <v>8176.15</v>
      </c>
      <c r="P251">
        <v>238</v>
      </c>
      <c r="Q251">
        <v>5012</v>
      </c>
      <c r="R251">
        <v>39.770000000000003</v>
      </c>
      <c r="S251">
        <v>0</v>
      </c>
      <c r="T251">
        <v>754</v>
      </c>
      <c r="U251" s="2">
        <v>1719.12</v>
      </c>
      <c r="V251">
        <v>0</v>
      </c>
      <c r="W251" t="s">
        <v>29</v>
      </c>
      <c r="X251" t="str">
        <f>IF(Table2[[#This Row],[Qty available]]&gt;Table2[[#This Row],[Qty on hand]],"Check","OK")</f>
        <v>OK</v>
      </c>
    </row>
    <row r="252" spans="1:24" x14ac:dyDescent="0.3">
      <c r="A252" t="s">
        <v>79</v>
      </c>
      <c r="B252" t="s">
        <v>80</v>
      </c>
      <c r="C252" t="s">
        <v>69</v>
      </c>
      <c r="D252" t="s">
        <v>70</v>
      </c>
      <c r="E252" t="s">
        <v>66</v>
      </c>
      <c r="F252" s="1" t="s">
        <v>39</v>
      </c>
      <c r="G252" s="2">
        <v>1.54</v>
      </c>
      <c r="H252">
        <v>1.54</v>
      </c>
      <c r="I252">
        <v>1.5573630000000001</v>
      </c>
      <c r="J252">
        <v>2.2799999999999998</v>
      </c>
      <c r="K252">
        <v>38</v>
      </c>
      <c r="M252">
        <v>0</v>
      </c>
      <c r="N252" s="2">
        <v>3655</v>
      </c>
      <c r="O252">
        <v>5692.16</v>
      </c>
      <c r="P252">
        <v>238</v>
      </c>
      <c r="Q252">
        <v>3417</v>
      </c>
      <c r="R252">
        <v>18.18</v>
      </c>
      <c r="S252">
        <v>0</v>
      </c>
      <c r="T252">
        <v>1595</v>
      </c>
      <c r="U252" s="2">
        <v>3636.6</v>
      </c>
      <c r="V252">
        <v>0</v>
      </c>
      <c r="W252" t="s">
        <v>29</v>
      </c>
      <c r="X252" t="str">
        <f>IF(Table2[[#This Row],[Qty available]]&gt;Table2[[#This Row],[Qty on hand]],"Check","OK")</f>
        <v>OK</v>
      </c>
    </row>
    <row r="253" spans="1:24" x14ac:dyDescent="0.3">
      <c r="A253" t="s">
        <v>79</v>
      </c>
      <c r="B253" t="s">
        <v>80</v>
      </c>
      <c r="C253" t="s">
        <v>69</v>
      </c>
      <c r="D253" t="s">
        <v>70</v>
      </c>
      <c r="E253" t="s">
        <v>66</v>
      </c>
      <c r="F253" s="1" t="s">
        <v>40</v>
      </c>
      <c r="G253" s="2">
        <v>1.55</v>
      </c>
      <c r="H253">
        <v>1.55</v>
      </c>
      <c r="I253">
        <v>1.556408</v>
      </c>
      <c r="J253">
        <v>2.2799999999999998</v>
      </c>
      <c r="K253">
        <v>38</v>
      </c>
      <c r="L253" s="2">
        <v>35</v>
      </c>
      <c r="M253">
        <v>545</v>
      </c>
      <c r="N253" s="2">
        <v>3647</v>
      </c>
      <c r="O253">
        <v>5676.22</v>
      </c>
      <c r="P253">
        <v>79</v>
      </c>
      <c r="Q253">
        <v>3568</v>
      </c>
      <c r="R253">
        <v>16.52</v>
      </c>
      <c r="S253">
        <v>0</v>
      </c>
      <c r="T253">
        <v>553</v>
      </c>
      <c r="U253" s="2">
        <v>1260.8399999999999</v>
      </c>
      <c r="V253">
        <v>0</v>
      </c>
      <c r="W253" t="s">
        <v>29</v>
      </c>
      <c r="X253" t="str">
        <f>IF(Table2[[#This Row],[Qty available]]&gt;Table2[[#This Row],[Qty on hand]],"Check","OK")</f>
        <v>OK</v>
      </c>
    </row>
    <row r="254" spans="1:24" x14ac:dyDescent="0.3">
      <c r="A254" t="s">
        <v>79</v>
      </c>
      <c r="B254" t="s">
        <v>80</v>
      </c>
      <c r="C254" t="s">
        <v>69</v>
      </c>
      <c r="D254" t="s">
        <v>70</v>
      </c>
      <c r="E254" t="s">
        <v>66</v>
      </c>
      <c r="F254" s="1" t="s">
        <v>41</v>
      </c>
      <c r="G254" s="2">
        <v>1.55</v>
      </c>
      <c r="H254">
        <v>1.55</v>
      </c>
      <c r="I254">
        <v>1.554028</v>
      </c>
      <c r="J254">
        <v>2.2799999999999998</v>
      </c>
      <c r="K254">
        <v>38</v>
      </c>
      <c r="L254" s="2">
        <v>33</v>
      </c>
      <c r="M254">
        <v>2154</v>
      </c>
      <c r="N254" s="2">
        <v>5323</v>
      </c>
      <c r="O254">
        <v>8272.09</v>
      </c>
      <c r="P254">
        <v>159</v>
      </c>
      <c r="Q254">
        <v>5164</v>
      </c>
      <c r="R254">
        <v>26.64</v>
      </c>
      <c r="S254">
        <v>1</v>
      </c>
      <c r="T254">
        <v>478</v>
      </c>
      <c r="U254" s="2">
        <v>1089.8399999999999</v>
      </c>
      <c r="V254">
        <v>0</v>
      </c>
      <c r="W254" t="s">
        <v>29</v>
      </c>
      <c r="X254" t="str">
        <f>IF(Table2[[#This Row],[Qty available]]&gt;Table2[[#This Row],[Qty on hand]],"Check","OK")</f>
        <v>OK</v>
      </c>
    </row>
    <row r="255" spans="1:24" x14ac:dyDescent="0.3">
      <c r="A255" t="s">
        <v>79</v>
      </c>
      <c r="B255" t="s">
        <v>80</v>
      </c>
      <c r="C255" t="s">
        <v>69</v>
      </c>
      <c r="D255" t="s">
        <v>70</v>
      </c>
      <c r="E255" t="s">
        <v>66</v>
      </c>
      <c r="F255" s="1" t="s">
        <v>42</v>
      </c>
      <c r="G255" s="2">
        <v>1.57</v>
      </c>
      <c r="H255">
        <v>1.57</v>
      </c>
      <c r="I255">
        <v>1.554027</v>
      </c>
      <c r="J255">
        <v>2.2799999999999998</v>
      </c>
      <c r="K255">
        <v>38</v>
      </c>
      <c r="M255">
        <v>0</v>
      </c>
      <c r="N255" s="2">
        <v>3568</v>
      </c>
      <c r="O255">
        <v>5544.77</v>
      </c>
      <c r="P255">
        <v>119</v>
      </c>
      <c r="Q255">
        <v>3449</v>
      </c>
      <c r="R255">
        <v>16.829999999999998</v>
      </c>
      <c r="S255">
        <v>0</v>
      </c>
      <c r="T255">
        <v>1755</v>
      </c>
      <c r="U255" s="2">
        <v>4001.4</v>
      </c>
      <c r="V255">
        <v>0</v>
      </c>
      <c r="W255" t="s">
        <v>29</v>
      </c>
      <c r="X255" t="str">
        <f>IF(Table2[[#This Row],[Qty available]]&gt;Table2[[#This Row],[Qty on hand]],"Check","OK")</f>
        <v>OK</v>
      </c>
    </row>
    <row r="256" spans="1:24" x14ac:dyDescent="0.3">
      <c r="A256" t="s">
        <v>79</v>
      </c>
      <c r="B256" t="s">
        <v>80</v>
      </c>
      <c r="C256" t="s">
        <v>69</v>
      </c>
      <c r="D256" t="s">
        <v>70</v>
      </c>
      <c r="E256" t="s">
        <v>66</v>
      </c>
      <c r="F256" s="1" t="s">
        <v>43</v>
      </c>
      <c r="G256" s="2">
        <v>1.59</v>
      </c>
      <c r="H256">
        <v>1.59</v>
      </c>
      <c r="I256">
        <v>1.5595650000000001</v>
      </c>
      <c r="J256">
        <v>2.2799999999999998</v>
      </c>
      <c r="K256">
        <v>38</v>
      </c>
      <c r="L256" s="2">
        <v>38</v>
      </c>
      <c r="M256">
        <v>649</v>
      </c>
      <c r="N256" s="2">
        <v>3082</v>
      </c>
      <c r="O256">
        <v>4806.58</v>
      </c>
      <c r="P256">
        <v>397</v>
      </c>
      <c r="Q256">
        <v>2685</v>
      </c>
      <c r="R256">
        <v>11.9</v>
      </c>
      <c r="S256">
        <v>2</v>
      </c>
      <c r="T256">
        <v>1135</v>
      </c>
      <c r="U256" s="2">
        <v>2587.8000000000002</v>
      </c>
      <c r="V256">
        <v>0</v>
      </c>
      <c r="W256" t="s">
        <v>29</v>
      </c>
      <c r="X256" t="str">
        <f>IF(Table2[[#This Row],[Qty available]]&gt;Table2[[#This Row],[Qty on hand]],"Check","OK")</f>
        <v>OK</v>
      </c>
    </row>
    <row r="257" spans="1:24" x14ac:dyDescent="0.3">
      <c r="A257" t="s">
        <v>79</v>
      </c>
      <c r="B257" t="s">
        <v>80</v>
      </c>
      <c r="C257" t="s">
        <v>69</v>
      </c>
      <c r="D257" t="s">
        <v>70</v>
      </c>
      <c r="E257" t="s">
        <v>66</v>
      </c>
      <c r="F257" s="1" t="s">
        <v>44</v>
      </c>
      <c r="G257" s="2">
        <v>1.59</v>
      </c>
      <c r="H257">
        <v>1.59</v>
      </c>
      <c r="I257">
        <v>1.565823</v>
      </c>
      <c r="J257">
        <v>2.2799999999999998</v>
      </c>
      <c r="K257">
        <v>38</v>
      </c>
      <c r="L257" s="2">
        <v>59</v>
      </c>
      <c r="M257">
        <v>798</v>
      </c>
      <c r="N257" s="2">
        <v>2552</v>
      </c>
      <c r="O257">
        <v>3995.98</v>
      </c>
      <c r="P257">
        <v>318</v>
      </c>
      <c r="Q257">
        <v>2234</v>
      </c>
      <c r="R257">
        <v>7.95</v>
      </c>
      <c r="S257">
        <v>0</v>
      </c>
      <c r="T257">
        <v>1328</v>
      </c>
      <c r="U257" s="2">
        <v>3027.84</v>
      </c>
      <c r="V257">
        <v>0</v>
      </c>
      <c r="W257" t="s">
        <v>29</v>
      </c>
      <c r="X257" t="str">
        <f>IF(Table2[[#This Row],[Qty available]]&gt;Table2[[#This Row],[Qty on hand]],"Check","OK")</f>
        <v>OK</v>
      </c>
    </row>
    <row r="258" spans="1:24" x14ac:dyDescent="0.3">
      <c r="A258" t="s">
        <v>79</v>
      </c>
      <c r="B258" t="s">
        <v>80</v>
      </c>
      <c r="C258" t="s">
        <v>69</v>
      </c>
      <c r="D258" t="s">
        <v>70</v>
      </c>
      <c r="E258" t="s">
        <v>66</v>
      </c>
      <c r="F258" s="1" t="s">
        <v>45</v>
      </c>
      <c r="G258" s="2">
        <v>1.58</v>
      </c>
      <c r="H258">
        <v>1.58</v>
      </c>
      <c r="I258">
        <v>1.570154</v>
      </c>
      <c r="J258">
        <v>2.2799999999999998</v>
      </c>
      <c r="K258">
        <v>38</v>
      </c>
      <c r="L258" s="2">
        <v>36</v>
      </c>
      <c r="M258">
        <v>1123</v>
      </c>
      <c r="N258" s="2">
        <v>3314</v>
      </c>
      <c r="O258">
        <v>5203.49</v>
      </c>
      <c r="P258">
        <v>79</v>
      </c>
      <c r="Q258">
        <v>3235</v>
      </c>
      <c r="R258">
        <v>15.42</v>
      </c>
      <c r="S258">
        <v>0</v>
      </c>
      <c r="T258">
        <v>361</v>
      </c>
      <c r="U258" s="2">
        <v>823.08</v>
      </c>
      <c r="V258">
        <v>0</v>
      </c>
      <c r="W258" t="s">
        <v>29</v>
      </c>
      <c r="X258" t="str">
        <f>IF(Table2[[#This Row],[Qty available]]&gt;Table2[[#This Row],[Qty on hand]],"Check","OK")</f>
        <v>OK</v>
      </c>
    </row>
    <row r="259" spans="1:24" x14ac:dyDescent="0.3">
      <c r="A259" t="s">
        <v>79</v>
      </c>
      <c r="B259" t="s">
        <v>80</v>
      </c>
      <c r="C259" t="s">
        <v>69</v>
      </c>
      <c r="D259" t="s">
        <v>70</v>
      </c>
      <c r="E259" t="s">
        <v>66</v>
      </c>
      <c r="F259" s="1" t="s">
        <v>46</v>
      </c>
      <c r="G259" s="2">
        <v>1.59</v>
      </c>
      <c r="H259">
        <v>1.59</v>
      </c>
      <c r="I259">
        <v>1.573097</v>
      </c>
      <c r="J259">
        <v>2.35</v>
      </c>
      <c r="K259">
        <v>38</v>
      </c>
      <c r="L259" s="2">
        <v>33</v>
      </c>
      <c r="M259">
        <v>577</v>
      </c>
      <c r="N259" s="2">
        <v>2635</v>
      </c>
      <c r="O259">
        <v>4145.1099999999997</v>
      </c>
      <c r="P259">
        <v>397</v>
      </c>
      <c r="Q259">
        <v>2238</v>
      </c>
      <c r="R259">
        <v>11.5</v>
      </c>
      <c r="S259">
        <v>0</v>
      </c>
      <c r="T259">
        <v>1256</v>
      </c>
      <c r="U259" s="2">
        <v>2951.6</v>
      </c>
      <c r="V259">
        <v>0</v>
      </c>
      <c r="W259" t="s">
        <v>29</v>
      </c>
      <c r="X259" t="str">
        <f>IF(Table2[[#This Row],[Qty available]]&gt;Table2[[#This Row],[Qty on hand]],"Check","OK")</f>
        <v>OK</v>
      </c>
    </row>
    <row r="260" spans="1:24" x14ac:dyDescent="0.3">
      <c r="A260" t="s">
        <v>79</v>
      </c>
      <c r="B260" t="s">
        <v>80</v>
      </c>
      <c r="C260" t="s">
        <v>69</v>
      </c>
      <c r="D260" t="s">
        <v>70</v>
      </c>
      <c r="E260" t="s">
        <v>66</v>
      </c>
      <c r="F260" s="1" t="s">
        <v>47</v>
      </c>
      <c r="G260" s="2">
        <v>1.6</v>
      </c>
      <c r="H260">
        <v>1.6</v>
      </c>
      <c r="I260">
        <v>1.5823780000000001</v>
      </c>
      <c r="J260">
        <v>2.35</v>
      </c>
      <c r="K260">
        <v>38</v>
      </c>
      <c r="L260" s="2">
        <v>35</v>
      </c>
      <c r="M260">
        <v>1388</v>
      </c>
      <c r="N260" s="2">
        <v>3486</v>
      </c>
      <c r="O260">
        <v>5516.17</v>
      </c>
      <c r="P260">
        <v>79</v>
      </c>
      <c r="Q260">
        <v>3407</v>
      </c>
      <c r="R260">
        <v>20.81</v>
      </c>
      <c r="S260">
        <v>2</v>
      </c>
      <c r="T260">
        <v>537</v>
      </c>
      <c r="U260" s="2">
        <v>1261.95</v>
      </c>
      <c r="V260">
        <v>0</v>
      </c>
      <c r="W260" t="s">
        <v>29</v>
      </c>
      <c r="X260" t="str">
        <f>IF(Table2[[#This Row],[Qty available]]&gt;Table2[[#This Row],[Qty on hand]],"Check","OK")</f>
        <v>OK</v>
      </c>
    </row>
    <row r="261" spans="1:24" x14ac:dyDescent="0.3">
      <c r="A261" t="s">
        <v>79</v>
      </c>
      <c r="B261" t="s">
        <v>80</v>
      </c>
      <c r="C261" t="s">
        <v>69</v>
      </c>
      <c r="D261" t="s">
        <v>70</v>
      </c>
      <c r="E261" t="s">
        <v>66</v>
      </c>
      <c r="F261" s="1" t="s">
        <v>48</v>
      </c>
      <c r="G261" s="2">
        <v>1.6</v>
      </c>
      <c r="H261">
        <v>1.6</v>
      </c>
      <c r="I261">
        <v>1.590192</v>
      </c>
      <c r="J261">
        <v>2.35</v>
      </c>
      <c r="K261">
        <v>38</v>
      </c>
      <c r="L261" s="2">
        <v>56</v>
      </c>
      <c r="M261">
        <v>2777</v>
      </c>
      <c r="N261" s="2">
        <v>4436</v>
      </c>
      <c r="O261">
        <v>7054.09</v>
      </c>
      <c r="P261">
        <v>318</v>
      </c>
      <c r="Q261">
        <v>4118</v>
      </c>
      <c r="R261">
        <v>15.58</v>
      </c>
      <c r="S261">
        <v>0</v>
      </c>
      <c r="T261">
        <v>1827</v>
      </c>
      <c r="U261" s="2">
        <v>4293.45</v>
      </c>
      <c r="V261">
        <v>0</v>
      </c>
      <c r="W261" t="s">
        <v>29</v>
      </c>
      <c r="X261" t="str">
        <f>IF(Table2[[#This Row],[Qty available]]&gt;Table2[[#This Row],[Qty on hand]],"Check","OK")</f>
        <v>OK</v>
      </c>
    </row>
    <row r="262" spans="1:24" x14ac:dyDescent="0.3">
      <c r="A262" t="s">
        <v>79</v>
      </c>
      <c r="B262" t="s">
        <v>80</v>
      </c>
      <c r="C262" t="s">
        <v>69</v>
      </c>
      <c r="D262" t="s">
        <v>70</v>
      </c>
      <c r="E262" t="s">
        <v>66</v>
      </c>
      <c r="F262" s="1" t="s">
        <v>49</v>
      </c>
      <c r="G262" s="2">
        <v>1.62</v>
      </c>
      <c r="H262">
        <v>1.62</v>
      </c>
      <c r="I262">
        <v>1.5901909999999999</v>
      </c>
      <c r="J262">
        <v>2.35</v>
      </c>
      <c r="K262">
        <v>38</v>
      </c>
      <c r="M262">
        <v>0</v>
      </c>
      <c r="N262" s="2">
        <v>4034</v>
      </c>
      <c r="O262">
        <v>6414.83</v>
      </c>
      <c r="P262">
        <v>199</v>
      </c>
      <c r="Q262">
        <v>3835</v>
      </c>
      <c r="R262">
        <v>19.170000000000002</v>
      </c>
      <c r="S262">
        <v>0</v>
      </c>
      <c r="T262">
        <v>402</v>
      </c>
      <c r="U262" s="2">
        <v>944.7</v>
      </c>
      <c r="V262">
        <v>0</v>
      </c>
      <c r="W262" t="s">
        <v>29</v>
      </c>
      <c r="X262" t="str">
        <f>IF(Table2[[#This Row],[Qty available]]&gt;Table2[[#This Row],[Qty on hand]],"Check","OK")</f>
        <v>OK</v>
      </c>
    </row>
    <row r="263" spans="1:24" x14ac:dyDescent="0.3">
      <c r="A263" t="s">
        <v>79</v>
      </c>
      <c r="B263" t="s">
        <v>80</v>
      </c>
      <c r="C263" t="s">
        <v>69</v>
      </c>
      <c r="D263" t="s">
        <v>70</v>
      </c>
      <c r="E263" t="s">
        <v>66</v>
      </c>
      <c r="F263" s="1" t="s">
        <v>50</v>
      </c>
      <c r="G263" s="2">
        <v>1.61</v>
      </c>
      <c r="H263">
        <v>1.61</v>
      </c>
      <c r="I263">
        <v>1.5901909999999999</v>
      </c>
      <c r="J263">
        <v>2.35</v>
      </c>
      <c r="K263">
        <v>38</v>
      </c>
      <c r="M263">
        <v>0</v>
      </c>
      <c r="N263" s="2">
        <v>2989</v>
      </c>
      <c r="O263">
        <v>4753.08</v>
      </c>
      <c r="P263">
        <v>119</v>
      </c>
      <c r="Q263">
        <v>2870</v>
      </c>
      <c r="R263">
        <v>11.87</v>
      </c>
      <c r="S263">
        <v>1</v>
      </c>
      <c r="T263">
        <v>1045</v>
      </c>
      <c r="U263" s="2">
        <v>2455.75</v>
      </c>
      <c r="V263">
        <v>0</v>
      </c>
      <c r="W263" t="s">
        <v>29</v>
      </c>
      <c r="X263" t="str">
        <f>IF(Table2[[#This Row],[Qty available]]&gt;Table2[[#This Row],[Qty on hand]],"Check","OK")</f>
        <v>OK</v>
      </c>
    </row>
    <row r="264" spans="1:24" x14ac:dyDescent="0.3">
      <c r="A264" t="s">
        <v>79</v>
      </c>
      <c r="B264" t="s">
        <v>80</v>
      </c>
      <c r="C264" t="s">
        <v>69</v>
      </c>
      <c r="D264" t="s">
        <v>70</v>
      </c>
      <c r="E264" t="s">
        <v>66</v>
      </c>
      <c r="F264" s="1" t="s">
        <v>51</v>
      </c>
      <c r="G264" s="2">
        <v>1.59</v>
      </c>
      <c r="H264">
        <v>1.59</v>
      </c>
      <c r="I264">
        <v>1.590093</v>
      </c>
      <c r="J264">
        <v>2.35</v>
      </c>
      <c r="K264">
        <v>38</v>
      </c>
      <c r="L264" s="2">
        <v>35</v>
      </c>
      <c r="M264">
        <v>3069</v>
      </c>
      <c r="N264" s="2">
        <v>4835</v>
      </c>
      <c r="O264">
        <v>7688.1</v>
      </c>
      <c r="P264">
        <v>119</v>
      </c>
      <c r="Q264">
        <v>4716</v>
      </c>
      <c r="R264">
        <v>23.8</v>
      </c>
      <c r="S264">
        <v>0</v>
      </c>
      <c r="T264">
        <v>1223</v>
      </c>
      <c r="U264" s="2">
        <v>2874.05</v>
      </c>
      <c r="V264">
        <v>0</v>
      </c>
      <c r="W264" t="s">
        <v>29</v>
      </c>
      <c r="X264" t="str">
        <f>IF(Table2[[#This Row],[Qty available]]&gt;Table2[[#This Row],[Qty on hand]],"Check","OK")</f>
        <v>OK</v>
      </c>
    </row>
    <row r="265" spans="1:24" x14ac:dyDescent="0.3">
      <c r="A265" t="s">
        <v>79</v>
      </c>
      <c r="B265" t="s">
        <v>80</v>
      </c>
      <c r="C265" t="s">
        <v>69</v>
      </c>
      <c r="D265" t="s">
        <v>70</v>
      </c>
      <c r="E265" t="s">
        <v>66</v>
      </c>
      <c r="F265" s="1" t="s">
        <v>52</v>
      </c>
      <c r="G265" s="2">
        <v>1.61</v>
      </c>
      <c r="H265">
        <v>1.61</v>
      </c>
      <c r="I265">
        <v>1.590093</v>
      </c>
      <c r="J265">
        <v>2.35</v>
      </c>
      <c r="K265">
        <v>38</v>
      </c>
      <c r="M265">
        <v>0</v>
      </c>
      <c r="N265" s="2">
        <v>3442</v>
      </c>
      <c r="O265">
        <v>5473.1</v>
      </c>
      <c r="P265">
        <v>238</v>
      </c>
      <c r="Q265">
        <v>3204</v>
      </c>
      <c r="R265">
        <v>12.36</v>
      </c>
      <c r="S265">
        <v>0</v>
      </c>
      <c r="T265">
        <v>1393</v>
      </c>
      <c r="U265" s="2">
        <v>3273.55</v>
      </c>
      <c r="V265">
        <v>0</v>
      </c>
      <c r="W265" t="s">
        <v>29</v>
      </c>
      <c r="X265" t="str">
        <f>IF(Table2[[#This Row],[Qty available]]&gt;Table2[[#This Row],[Qty on hand]],"Check","OK")</f>
        <v>OK</v>
      </c>
    </row>
    <row r="266" spans="1:24" x14ac:dyDescent="0.3">
      <c r="A266" t="s">
        <v>81</v>
      </c>
      <c r="B266" t="s">
        <v>82</v>
      </c>
      <c r="C266" t="s">
        <v>69</v>
      </c>
      <c r="D266" t="s">
        <v>70</v>
      </c>
      <c r="E266" t="s">
        <v>66</v>
      </c>
      <c r="F266" s="1" t="s">
        <v>28</v>
      </c>
      <c r="G266" s="2">
        <v>33.06</v>
      </c>
      <c r="H266">
        <v>33.06</v>
      </c>
      <c r="I266">
        <v>33.601033999999999</v>
      </c>
      <c r="J266">
        <v>47.65</v>
      </c>
      <c r="K266">
        <v>49</v>
      </c>
      <c r="L266" s="2">
        <v>86</v>
      </c>
      <c r="M266">
        <v>311</v>
      </c>
      <c r="N266" s="2">
        <v>1054</v>
      </c>
      <c r="O266">
        <v>35415.49</v>
      </c>
      <c r="P266">
        <v>64</v>
      </c>
      <c r="Q266">
        <v>990</v>
      </c>
      <c r="R266">
        <v>42.23</v>
      </c>
      <c r="S266">
        <v>3</v>
      </c>
      <c r="T266">
        <v>109</v>
      </c>
      <c r="U266" s="2">
        <v>5193.8500000000004</v>
      </c>
      <c r="V266">
        <v>0</v>
      </c>
      <c r="W266" t="s">
        <v>29</v>
      </c>
      <c r="X266" t="str">
        <f>IF(Table2[[#This Row],[Qty available]]&gt;Table2[[#This Row],[Qty on hand]],"Check","OK")</f>
        <v>OK</v>
      </c>
    </row>
    <row r="267" spans="1:24" x14ac:dyDescent="0.3">
      <c r="A267" t="s">
        <v>81</v>
      </c>
      <c r="B267" t="s">
        <v>82</v>
      </c>
      <c r="C267" t="s">
        <v>69</v>
      </c>
      <c r="D267" t="s">
        <v>70</v>
      </c>
      <c r="E267" t="s">
        <v>66</v>
      </c>
      <c r="F267" s="1" t="s">
        <v>30</v>
      </c>
      <c r="G267" s="2">
        <v>33.979999999999997</v>
      </c>
      <c r="H267">
        <v>33.979999999999997</v>
      </c>
      <c r="I267">
        <v>33.601039</v>
      </c>
      <c r="J267">
        <v>47.65</v>
      </c>
      <c r="K267">
        <v>49</v>
      </c>
      <c r="M267">
        <v>0</v>
      </c>
      <c r="N267" s="2">
        <v>760</v>
      </c>
      <c r="O267">
        <v>25536.79</v>
      </c>
      <c r="P267">
        <v>36</v>
      </c>
      <c r="Q267">
        <v>724</v>
      </c>
      <c r="R267">
        <v>18.5</v>
      </c>
      <c r="S267">
        <v>0</v>
      </c>
      <c r="T267">
        <v>294</v>
      </c>
      <c r="U267" s="2">
        <v>14009.1</v>
      </c>
      <c r="V267">
        <v>0</v>
      </c>
      <c r="W267" t="s">
        <v>29</v>
      </c>
      <c r="X267" t="str">
        <f>IF(Table2[[#This Row],[Qty available]]&gt;Table2[[#This Row],[Qty on hand]],"Check","OK")</f>
        <v>OK</v>
      </c>
    </row>
    <row r="268" spans="1:24" x14ac:dyDescent="0.3">
      <c r="A268" t="s">
        <v>81</v>
      </c>
      <c r="B268" t="s">
        <v>82</v>
      </c>
      <c r="C268" t="s">
        <v>69</v>
      </c>
      <c r="D268" t="s">
        <v>70</v>
      </c>
      <c r="E268" t="s">
        <v>66</v>
      </c>
      <c r="F268" s="1" t="s">
        <v>31</v>
      </c>
      <c r="G268" s="2">
        <v>33.11</v>
      </c>
      <c r="H268">
        <v>33.11</v>
      </c>
      <c r="I268">
        <v>33.588456000000001</v>
      </c>
      <c r="J268">
        <v>47.65</v>
      </c>
      <c r="K268">
        <v>49</v>
      </c>
      <c r="L268" s="2">
        <v>45</v>
      </c>
      <c r="M268">
        <v>20</v>
      </c>
      <c r="N268" s="2">
        <v>531</v>
      </c>
      <c r="O268">
        <v>17835.47</v>
      </c>
      <c r="P268">
        <v>21</v>
      </c>
      <c r="Q268">
        <v>510</v>
      </c>
      <c r="R268">
        <v>10.59</v>
      </c>
      <c r="S268">
        <v>5</v>
      </c>
      <c r="T268">
        <v>249</v>
      </c>
      <c r="U268" s="2">
        <v>11864.85</v>
      </c>
      <c r="V268">
        <v>0</v>
      </c>
      <c r="W268" t="s">
        <v>29</v>
      </c>
      <c r="X268" t="str">
        <f>IF(Table2[[#This Row],[Qty available]]&gt;Table2[[#This Row],[Qty on hand]],"Check","OK")</f>
        <v>OK</v>
      </c>
    </row>
    <row r="269" spans="1:24" x14ac:dyDescent="0.3">
      <c r="A269" t="s">
        <v>81</v>
      </c>
      <c r="B269" t="s">
        <v>82</v>
      </c>
      <c r="C269" t="s">
        <v>69</v>
      </c>
      <c r="D269" t="s">
        <v>70</v>
      </c>
      <c r="E269" t="s">
        <v>66</v>
      </c>
      <c r="F269" s="1" t="s">
        <v>32</v>
      </c>
      <c r="G269" s="2">
        <v>34.369999999999997</v>
      </c>
      <c r="H269">
        <v>34.369999999999997</v>
      </c>
      <c r="I269">
        <v>33.908886000000003</v>
      </c>
      <c r="J269">
        <v>47.65</v>
      </c>
      <c r="K269">
        <v>49</v>
      </c>
      <c r="L269" s="2">
        <v>48</v>
      </c>
      <c r="M269">
        <v>369</v>
      </c>
      <c r="N269" s="2">
        <v>700</v>
      </c>
      <c r="O269">
        <v>23736.22</v>
      </c>
      <c r="P269">
        <v>14</v>
      </c>
      <c r="Q269">
        <v>686</v>
      </c>
      <c r="R269">
        <v>12.38</v>
      </c>
      <c r="S269">
        <v>0</v>
      </c>
      <c r="T269">
        <v>200</v>
      </c>
      <c r="U269" s="2">
        <v>9530</v>
      </c>
      <c r="V269">
        <v>0</v>
      </c>
      <c r="W269" t="s">
        <v>29</v>
      </c>
      <c r="X269" t="str">
        <f>IF(Table2[[#This Row],[Qty available]]&gt;Table2[[#This Row],[Qty on hand]],"Check","OK")</f>
        <v>OK</v>
      </c>
    </row>
    <row r="270" spans="1:24" x14ac:dyDescent="0.3">
      <c r="A270" t="s">
        <v>81</v>
      </c>
      <c r="B270" t="s">
        <v>82</v>
      </c>
      <c r="C270" t="s">
        <v>69</v>
      </c>
      <c r="D270" t="s">
        <v>70</v>
      </c>
      <c r="E270" t="s">
        <v>66</v>
      </c>
      <c r="F270" s="1" t="s">
        <v>33</v>
      </c>
      <c r="G270" s="2">
        <v>34.979999999999997</v>
      </c>
      <c r="H270">
        <v>34.979999999999997</v>
      </c>
      <c r="I270">
        <v>34.287041000000002</v>
      </c>
      <c r="J270">
        <v>47.65</v>
      </c>
      <c r="K270">
        <v>49</v>
      </c>
      <c r="L270" s="2">
        <v>42</v>
      </c>
      <c r="M270">
        <v>382</v>
      </c>
      <c r="N270" s="2">
        <v>943</v>
      </c>
      <c r="O270">
        <v>32332.68</v>
      </c>
      <c r="P270">
        <v>21</v>
      </c>
      <c r="Q270">
        <v>922</v>
      </c>
      <c r="R270">
        <v>21.08</v>
      </c>
      <c r="S270">
        <v>7</v>
      </c>
      <c r="T270">
        <v>139</v>
      </c>
      <c r="U270" s="2">
        <v>6623.35</v>
      </c>
      <c r="V270">
        <v>0</v>
      </c>
      <c r="W270" t="s">
        <v>29</v>
      </c>
      <c r="X270" t="str">
        <f>IF(Table2[[#This Row],[Qty available]]&gt;Table2[[#This Row],[Qty on hand]],"Check","OK")</f>
        <v>OK</v>
      </c>
    </row>
    <row r="271" spans="1:24" x14ac:dyDescent="0.3">
      <c r="A271" t="s">
        <v>81</v>
      </c>
      <c r="B271" t="s">
        <v>82</v>
      </c>
      <c r="C271" t="s">
        <v>69</v>
      </c>
      <c r="D271" t="s">
        <v>70</v>
      </c>
      <c r="E271" t="s">
        <v>66</v>
      </c>
      <c r="F271" s="1" t="s">
        <v>34</v>
      </c>
      <c r="G271" s="2">
        <v>34.51</v>
      </c>
      <c r="H271">
        <v>34.51</v>
      </c>
      <c r="I271">
        <v>34.308031</v>
      </c>
      <c r="J271">
        <v>50.37</v>
      </c>
      <c r="K271">
        <v>49</v>
      </c>
      <c r="L271" s="2">
        <v>46</v>
      </c>
      <c r="M271">
        <v>98</v>
      </c>
      <c r="N271" s="2">
        <v>1036</v>
      </c>
      <c r="O271">
        <v>35543.120000000003</v>
      </c>
      <c r="P271">
        <v>14</v>
      </c>
      <c r="Q271">
        <v>1022</v>
      </c>
      <c r="R271">
        <v>38.72</v>
      </c>
      <c r="S271">
        <v>11</v>
      </c>
      <c r="T271">
        <v>5</v>
      </c>
      <c r="U271" s="2">
        <v>251.85</v>
      </c>
      <c r="V271">
        <v>0</v>
      </c>
      <c r="W271" t="s">
        <v>29</v>
      </c>
      <c r="X271" t="str">
        <f>IF(Table2[[#This Row],[Qty available]]&gt;Table2[[#This Row],[Qty on hand]],"Check","OK")</f>
        <v>OK</v>
      </c>
    </row>
    <row r="272" spans="1:24" x14ac:dyDescent="0.3">
      <c r="A272" t="s">
        <v>81</v>
      </c>
      <c r="B272" t="s">
        <v>82</v>
      </c>
      <c r="C272" t="s">
        <v>69</v>
      </c>
      <c r="D272" t="s">
        <v>70</v>
      </c>
      <c r="E272" t="s">
        <v>66</v>
      </c>
      <c r="F272" s="1" t="s">
        <v>35</v>
      </c>
      <c r="G272" s="2">
        <v>34.49</v>
      </c>
      <c r="H272">
        <v>34.49</v>
      </c>
      <c r="I272">
        <v>34.309601000000001</v>
      </c>
      <c r="J272">
        <v>50.37</v>
      </c>
      <c r="K272">
        <v>49</v>
      </c>
      <c r="L272" s="2">
        <v>46</v>
      </c>
      <c r="M272">
        <v>9</v>
      </c>
      <c r="N272" s="2">
        <v>752</v>
      </c>
      <c r="O272">
        <v>25800.82</v>
      </c>
      <c r="P272">
        <v>57</v>
      </c>
      <c r="Q272">
        <v>695</v>
      </c>
      <c r="R272">
        <v>22.12</v>
      </c>
      <c r="S272">
        <v>1</v>
      </c>
      <c r="T272">
        <v>293</v>
      </c>
      <c r="U272" s="2">
        <v>14758.41</v>
      </c>
      <c r="V272">
        <v>0</v>
      </c>
      <c r="W272" t="s">
        <v>29</v>
      </c>
      <c r="X272" t="str">
        <f>IF(Table2[[#This Row],[Qty available]]&gt;Table2[[#This Row],[Qty on hand]],"Check","OK")</f>
        <v>OK</v>
      </c>
    </row>
    <row r="273" spans="1:24" x14ac:dyDescent="0.3">
      <c r="A273" t="s">
        <v>81</v>
      </c>
      <c r="B273" t="s">
        <v>82</v>
      </c>
      <c r="C273" t="s">
        <v>69</v>
      </c>
      <c r="D273" t="s">
        <v>70</v>
      </c>
      <c r="E273" t="s">
        <v>66</v>
      </c>
      <c r="F273" s="1" t="s">
        <v>36</v>
      </c>
      <c r="G273" s="2">
        <v>34.840000000000003</v>
      </c>
      <c r="H273">
        <v>34.840000000000003</v>
      </c>
      <c r="I273">
        <v>34.477733000000001</v>
      </c>
      <c r="J273">
        <v>50.37</v>
      </c>
      <c r="K273">
        <v>49</v>
      </c>
      <c r="L273" s="2">
        <v>45</v>
      </c>
      <c r="M273">
        <v>349</v>
      </c>
      <c r="N273" s="2">
        <v>953</v>
      </c>
      <c r="O273">
        <v>32857.279999999999</v>
      </c>
      <c r="P273">
        <v>64</v>
      </c>
      <c r="Q273">
        <v>889</v>
      </c>
      <c r="R273">
        <v>27.17</v>
      </c>
      <c r="S273">
        <v>5</v>
      </c>
      <c r="T273">
        <v>148</v>
      </c>
      <c r="U273" s="2">
        <v>7454.76</v>
      </c>
      <c r="V273">
        <v>0</v>
      </c>
      <c r="W273" t="s">
        <v>29</v>
      </c>
      <c r="X273" t="str">
        <f>IF(Table2[[#This Row],[Qty available]]&gt;Table2[[#This Row],[Qty on hand]],"Check","OK")</f>
        <v>OK</v>
      </c>
    </row>
    <row r="274" spans="1:24" x14ac:dyDescent="0.3">
      <c r="A274" t="s">
        <v>81</v>
      </c>
      <c r="B274" t="s">
        <v>82</v>
      </c>
      <c r="C274" t="s">
        <v>69</v>
      </c>
      <c r="D274" t="s">
        <v>70</v>
      </c>
      <c r="E274" t="s">
        <v>66</v>
      </c>
      <c r="F274" s="1" t="s">
        <v>37</v>
      </c>
      <c r="G274" s="2">
        <v>35.04</v>
      </c>
      <c r="H274">
        <v>35.04</v>
      </c>
      <c r="I274">
        <v>34.477738000000002</v>
      </c>
      <c r="J274">
        <v>50.37</v>
      </c>
      <c r="K274">
        <v>49</v>
      </c>
      <c r="M274">
        <v>0</v>
      </c>
      <c r="N274" s="2">
        <v>809</v>
      </c>
      <c r="O274">
        <v>27892.49</v>
      </c>
      <c r="P274">
        <v>50</v>
      </c>
      <c r="Q274">
        <v>759</v>
      </c>
      <c r="R274">
        <v>18.18</v>
      </c>
      <c r="S274">
        <v>0</v>
      </c>
      <c r="T274">
        <v>144</v>
      </c>
      <c r="U274" s="2">
        <v>7253.28</v>
      </c>
      <c r="V274">
        <v>0</v>
      </c>
      <c r="W274" t="s">
        <v>29</v>
      </c>
      <c r="X274" t="str">
        <f>IF(Table2[[#This Row],[Qty available]]&gt;Table2[[#This Row],[Qty on hand]],"Check","OK")</f>
        <v>OK</v>
      </c>
    </row>
    <row r="275" spans="1:24" x14ac:dyDescent="0.3">
      <c r="A275" t="s">
        <v>81</v>
      </c>
      <c r="B275" t="s">
        <v>82</v>
      </c>
      <c r="C275" t="s">
        <v>69</v>
      </c>
      <c r="D275" t="s">
        <v>70</v>
      </c>
      <c r="E275" t="s">
        <v>66</v>
      </c>
      <c r="F275" s="1" t="s">
        <v>38</v>
      </c>
      <c r="G275" s="2">
        <v>34.409999999999997</v>
      </c>
      <c r="H275">
        <v>34.409999999999997</v>
      </c>
      <c r="I275">
        <v>34.477735000000003</v>
      </c>
      <c r="J275">
        <v>50.37</v>
      </c>
      <c r="K275">
        <v>49</v>
      </c>
      <c r="M275">
        <v>0</v>
      </c>
      <c r="N275" s="2">
        <v>565</v>
      </c>
      <c r="O275">
        <v>19479.919999999998</v>
      </c>
      <c r="P275">
        <v>29</v>
      </c>
      <c r="Q275">
        <v>536</v>
      </c>
      <c r="R275">
        <v>13.7</v>
      </c>
      <c r="S275">
        <v>3</v>
      </c>
      <c r="T275">
        <v>244</v>
      </c>
      <c r="U275" s="2">
        <v>12290.28</v>
      </c>
      <c r="V275">
        <v>0</v>
      </c>
      <c r="W275" t="s">
        <v>29</v>
      </c>
      <c r="X275" t="str">
        <f>IF(Table2[[#This Row],[Qty available]]&gt;Table2[[#This Row],[Qty on hand]],"Check","OK")</f>
        <v>OK</v>
      </c>
    </row>
    <row r="276" spans="1:24" x14ac:dyDescent="0.3">
      <c r="A276" t="s">
        <v>81</v>
      </c>
      <c r="B276" t="s">
        <v>82</v>
      </c>
      <c r="C276" t="s">
        <v>69</v>
      </c>
      <c r="D276" t="s">
        <v>70</v>
      </c>
      <c r="E276" t="s">
        <v>66</v>
      </c>
      <c r="F276" s="1" t="s">
        <v>39</v>
      </c>
      <c r="G276" s="2">
        <v>35.090000000000003</v>
      </c>
      <c r="H276">
        <v>35.090000000000003</v>
      </c>
      <c r="I276">
        <v>34.691471</v>
      </c>
      <c r="J276">
        <v>50.37</v>
      </c>
      <c r="K276">
        <v>49</v>
      </c>
      <c r="L276" s="2">
        <v>88</v>
      </c>
      <c r="M276">
        <v>303</v>
      </c>
      <c r="N276" s="2">
        <v>544</v>
      </c>
      <c r="O276">
        <v>18872.16</v>
      </c>
      <c r="P276">
        <v>21</v>
      </c>
      <c r="Q276">
        <v>523</v>
      </c>
      <c r="R276">
        <v>10.039999999999999</v>
      </c>
      <c r="S276">
        <v>1</v>
      </c>
      <c r="T276">
        <v>324</v>
      </c>
      <c r="U276" s="2">
        <v>16319.88</v>
      </c>
      <c r="V276">
        <v>0</v>
      </c>
      <c r="W276" t="s">
        <v>29</v>
      </c>
      <c r="X276" t="str">
        <f>IF(Table2[[#This Row],[Qty available]]&gt;Table2[[#This Row],[Qty on hand]],"Check","OK")</f>
        <v>OK</v>
      </c>
    </row>
    <row r="277" spans="1:24" x14ac:dyDescent="0.3">
      <c r="A277" t="s">
        <v>81</v>
      </c>
      <c r="B277" t="s">
        <v>82</v>
      </c>
      <c r="C277" t="s">
        <v>69</v>
      </c>
      <c r="D277" t="s">
        <v>70</v>
      </c>
      <c r="E277" t="s">
        <v>66</v>
      </c>
      <c r="F277" s="1" t="s">
        <v>40</v>
      </c>
      <c r="G277" s="2">
        <v>34.01</v>
      </c>
      <c r="H277">
        <v>34.01</v>
      </c>
      <c r="I277">
        <v>34.481648</v>
      </c>
      <c r="J277">
        <v>50.37</v>
      </c>
      <c r="K277">
        <v>49</v>
      </c>
      <c r="L277" s="2">
        <v>81</v>
      </c>
      <c r="M277">
        <v>242</v>
      </c>
      <c r="N277" s="2">
        <v>443</v>
      </c>
      <c r="O277">
        <v>15275.37</v>
      </c>
      <c r="P277">
        <v>64</v>
      </c>
      <c r="Q277">
        <v>379</v>
      </c>
      <c r="R277">
        <v>6.39</v>
      </c>
      <c r="S277">
        <v>0</v>
      </c>
      <c r="T277">
        <v>343</v>
      </c>
      <c r="U277" s="2">
        <v>17276.91</v>
      </c>
      <c r="V277">
        <v>0</v>
      </c>
      <c r="W277" t="s">
        <v>29</v>
      </c>
      <c r="X277" t="str">
        <f>IF(Table2[[#This Row],[Qty available]]&gt;Table2[[#This Row],[Qty on hand]],"Check","OK")</f>
        <v>OK</v>
      </c>
    </row>
    <row r="278" spans="1:24" x14ac:dyDescent="0.3">
      <c r="A278" t="s">
        <v>81</v>
      </c>
      <c r="B278" t="s">
        <v>82</v>
      </c>
      <c r="C278" t="s">
        <v>69</v>
      </c>
      <c r="D278" t="s">
        <v>70</v>
      </c>
      <c r="E278" t="s">
        <v>66</v>
      </c>
      <c r="F278" s="1" t="s">
        <v>41</v>
      </c>
      <c r="G278" s="2">
        <v>34.24</v>
      </c>
      <c r="H278">
        <v>34.24</v>
      </c>
      <c r="I278">
        <v>34.355234000000003</v>
      </c>
      <c r="J278">
        <v>50.37</v>
      </c>
      <c r="K278">
        <v>49</v>
      </c>
      <c r="L278" s="2">
        <v>47</v>
      </c>
      <c r="M278">
        <v>486</v>
      </c>
      <c r="N278" s="2">
        <v>768</v>
      </c>
      <c r="O278">
        <v>26384.82</v>
      </c>
      <c r="P278">
        <v>14</v>
      </c>
      <c r="Q278">
        <v>754</v>
      </c>
      <c r="R278">
        <v>12.19</v>
      </c>
      <c r="S278">
        <v>0</v>
      </c>
      <c r="T278">
        <v>161</v>
      </c>
      <c r="U278" s="2">
        <v>8109.57</v>
      </c>
      <c r="V278">
        <v>0</v>
      </c>
      <c r="W278" t="s">
        <v>29</v>
      </c>
      <c r="X278" t="str">
        <f>IF(Table2[[#This Row],[Qty available]]&gt;Table2[[#This Row],[Qty on hand]],"Check","OK")</f>
        <v>OK</v>
      </c>
    </row>
    <row r="279" spans="1:24" x14ac:dyDescent="0.3">
      <c r="A279" t="s">
        <v>81</v>
      </c>
      <c r="B279" t="s">
        <v>82</v>
      </c>
      <c r="C279" t="s">
        <v>69</v>
      </c>
      <c r="D279" t="s">
        <v>70</v>
      </c>
      <c r="E279" t="s">
        <v>66</v>
      </c>
      <c r="F279" s="1" t="s">
        <v>42</v>
      </c>
      <c r="G279" s="2">
        <v>34.15</v>
      </c>
      <c r="H279">
        <v>34.15</v>
      </c>
      <c r="I279">
        <v>34.310513</v>
      </c>
      <c r="J279">
        <v>50.37</v>
      </c>
      <c r="K279">
        <v>49</v>
      </c>
      <c r="L279" s="2">
        <v>46</v>
      </c>
      <c r="M279">
        <v>214</v>
      </c>
      <c r="N279" s="2">
        <v>663</v>
      </c>
      <c r="O279">
        <v>22747.87</v>
      </c>
      <c r="P279">
        <v>36</v>
      </c>
      <c r="Q279">
        <v>627</v>
      </c>
      <c r="R279">
        <v>10.59</v>
      </c>
      <c r="S279">
        <v>1</v>
      </c>
      <c r="T279">
        <v>319</v>
      </c>
      <c r="U279" s="2">
        <v>16068.03</v>
      </c>
      <c r="V279">
        <v>0</v>
      </c>
      <c r="W279" t="s">
        <v>29</v>
      </c>
      <c r="X279" t="str">
        <f>IF(Table2[[#This Row],[Qty available]]&gt;Table2[[#This Row],[Qty on hand]],"Check","OK")</f>
        <v>OK</v>
      </c>
    </row>
    <row r="280" spans="1:24" x14ac:dyDescent="0.3">
      <c r="A280" t="s">
        <v>81</v>
      </c>
      <c r="B280" t="s">
        <v>82</v>
      </c>
      <c r="C280" t="s">
        <v>69</v>
      </c>
      <c r="D280" t="s">
        <v>70</v>
      </c>
      <c r="E280" t="s">
        <v>66</v>
      </c>
      <c r="F280" s="1" t="s">
        <v>43</v>
      </c>
      <c r="G280" s="2">
        <v>34.75</v>
      </c>
      <c r="H280">
        <v>34.75</v>
      </c>
      <c r="I280">
        <v>34.390712000000001</v>
      </c>
      <c r="J280">
        <v>50.37</v>
      </c>
      <c r="K280">
        <v>49</v>
      </c>
      <c r="L280" s="2">
        <v>46</v>
      </c>
      <c r="M280">
        <v>148</v>
      </c>
      <c r="N280" s="2">
        <v>590</v>
      </c>
      <c r="O280">
        <v>20290.52</v>
      </c>
      <c r="P280">
        <v>72</v>
      </c>
      <c r="Q280">
        <v>518</v>
      </c>
      <c r="R280">
        <v>10.94</v>
      </c>
      <c r="S280">
        <v>3</v>
      </c>
      <c r="T280">
        <v>221</v>
      </c>
      <c r="U280" s="2">
        <v>11131.77</v>
      </c>
      <c r="V280">
        <v>0</v>
      </c>
      <c r="W280" t="s">
        <v>29</v>
      </c>
      <c r="X280" t="str">
        <f>IF(Table2[[#This Row],[Qty available]]&gt;Table2[[#This Row],[Qty on hand]],"Check","OK")</f>
        <v>OK</v>
      </c>
    </row>
    <row r="281" spans="1:24" x14ac:dyDescent="0.3">
      <c r="A281" t="s">
        <v>81</v>
      </c>
      <c r="B281" t="s">
        <v>82</v>
      </c>
      <c r="C281" t="s">
        <v>69</v>
      </c>
      <c r="D281" t="s">
        <v>70</v>
      </c>
      <c r="E281" t="s">
        <v>66</v>
      </c>
      <c r="F281" s="1" t="s">
        <v>44</v>
      </c>
      <c r="G281" s="2">
        <v>36.03</v>
      </c>
      <c r="H281">
        <v>36.03</v>
      </c>
      <c r="I281">
        <v>35.261180000000003</v>
      </c>
      <c r="J281">
        <v>50.37</v>
      </c>
      <c r="K281">
        <v>49</v>
      </c>
      <c r="L281" s="2">
        <v>45</v>
      </c>
      <c r="M281">
        <v>668</v>
      </c>
      <c r="N281" s="2">
        <v>1186</v>
      </c>
      <c r="O281">
        <v>41819.760000000002</v>
      </c>
      <c r="P281">
        <v>50</v>
      </c>
      <c r="Q281">
        <v>1136</v>
      </c>
      <c r="R281">
        <v>25.47</v>
      </c>
      <c r="S281">
        <v>0</v>
      </c>
      <c r="T281">
        <v>72</v>
      </c>
      <c r="U281" s="2">
        <v>3626.64</v>
      </c>
      <c r="V281">
        <v>0</v>
      </c>
      <c r="W281" t="s">
        <v>29</v>
      </c>
      <c r="X281" t="str">
        <f>IF(Table2[[#This Row],[Qty available]]&gt;Table2[[#This Row],[Qty on hand]],"Check","OK")</f>
        <v>OK</v>
      </c>
    </row>
    <row r="282" spans="1:24" x14ac:dyDescent="0.3">
      <c r="A282" t="s">
        <v>81</v>
      </c>
      <c r="B282" t="s">
        <v>82</v>
      </c>
      <c r="C282" t="s">
        <v>69</v>
      </c>
      <c r="D282" t="s">
        <v>70</v>
      </c>
      <c r="E282" t="s">
        <v>66</v>
      </c>
      <c r="F282" s="1" t="s">
        <v>45</v>
      </c>
      <c r="G282" s="2">
        <v>35.31</v>
      </c>
      <c r="H282">
        <v>35.31</v>
      </c>
      <c r="I282">
        <v>35.261175999999999</v>
      </c>
      <c r="J282">
        <v>50.37</v>
      </c>
      <c r="K282">
        <v>49</v>
      </c>
      <c r="M282">
        <v>0</v>
      </c>
      <c r="N282" s="2">
        <v>1088</v>
      </c>
      <c r="O282">
        <v>38364.160000000003</v>
      </c>
      <c r="P282">
        <v>50</v>
      </c>
      <c r="Q282">
        <v>1038</v>
      </c>
      <c r="R282">
        <v>36.57</v>
      </c>
      <c r="S282">
        <v>2</v>
      </c>
      <c r="T282">
        <v>98</v>
      </c>
      <c r="U282" s="2">
        <v>4936.26</v>
      </c>
      <c r="V282">
        <v>0</v>
      </c>
      <c r="W282" t="s">
        <v>29</v>
      </c>
      <c r="X282" t="str">
        <f>IF(Table2[[#This Row],[Qty available]]&gt;Table2[[#This Row],[Qty on hand]],"Check","OK")</f>
        <v>OK</v>
      </c>
    </row>
    <row r="283" spans="1:24" x14ac:dyDescent="0.3">
      <c r="A283" t="s">
        <v>81</v>
      </c>
      <c r="B283" t="s">
        <v>82</v>
      </c>
      <c r="C283" t="s">
        <v>69</v>
      </c>
      <c r="D283" t="s">
        <v>70</v>
      </c>
      <c r="E283" t="s">
        <v>66</v>
      </c>
      <c r="F283" s="1" t="s">
        <v>46</v>
      </c>
      <c r="G283" s="2">
        <v>35.729999999999997</v>
      </c>
      <c r="H283">
        <v>35.729999999999997</v>
      </c>
      <c r="I283">
        <v>35.292910999999997</v>
      </c>
      <c r="J283">
        <v>53.24</v>
      </c>
      <c r="K283">
        <v>49</v>
      </c>
      <c r="L283" s="2">
        <v>87</v>
      </c>
      <c r="M283">
        <v>79</v>
      </c>
      <c r="N283" s="2">
        <v>907</v>
      </c>
      <c r="O283">
        <v>32010.67</v>
      </c>
      <c r="P283">
        <v>29</v>
      </c>
      <c r="Q283">
        <v>878</v>
      </c>
      <c r="R283">
        <v>27.12</v>
      </c>
      <c r="S283">
        <v>1</v>
      </c>
      <c r="T283">
        <v>260</v>
      </c>
      <c r="U283" s="2">
        <v>13842.4</v>
      </c>
      <c r="V283">
        <v>0</v>
      </c>
      <c r="W283" t="s">
        <v>29</v>
      </c>
      <c r="X283" t="str">
        <f>IF(Table2[[#This Row],[Qty available]]&gt;Table2[[#This Row],[Qty on hand]],"Check","OK")</f>
        <v>OK</v>
      </c>
    </row>
    <row r="284" spans="1:24" x14ac:dyDescent="0.3">
      <c r="A284" t="s">
        <v>81</v>
      </c>
      <c r="B284" t="s">
        <v>82</v>
      </c>
      <c r="C284" t="s">
        <v>69</v>
      </c>
      <c r="D284" t="s">
        <v>70</v>
      </c>
      <c r="E284" t="s">
        <v>66</v>
      </c>
      <c r="F284" s="1" t="s">
        <v>47</v>
      </c>
      <c r="G284" s="2">
        <v>35.520000000000003</v>
      </c>
      <c r="H284">
        <v>35.520000000000003</v>
      </c>
      <c r="I284">
        <v>35.304780999999998</v>
      </c>
      <c r="J284">
        <v>53.24</v>
      </c>
      <c r="K284">
        <v>49</v>
      </c>
      <c r="L284" s="2">
        <v>48</v>
      </c>
      <c r="M284">
        <v>50</v>
      </c>
      <c r="N284" s="2">
        <v>571</v>
      </c>
      <c r="O284">
        <v>20159.03</v>
      </c>
      <c r="P284">
        <v>43</v>
      </c>
      <c r="Q284">
        <v>528</v>
      </c>
      <c r="R284">
        <v>9.8699999999999992</v>
      </c>
      <c r="S284">
        <v>0</v>
      </c>
      <c r="T284">
        <v>386</v>
      </c>
      <c r="U284" s="2">
        <v>20550.64</v>
      </c>
      <c r="V284">
        <v>0</v>
      </c>
      <c r="W284" t="s">
        <v>29</v>
      </c>
      <c r="X284" t="str">
        <f>IF(Table2[[#This Row],[Qty available]]&gt;Table2[[#This Row],[Qty on hand]],"Check","OK")</f>
        <v>OK</v>
      </c>
    </row>
    <row r="285" spans="1:24" x14ac:dyDescent="0.3">
      <c r="A285" t="s">
        <v>81</v>
      </c>
      <c r="B285" t="s">
        <v>82</v>
      </c>
      <c r="C285" t="s">
        <v>69</v>
      </c>
      <c r="D285" t="s">
        <v>70</v>
      </c>
      <c r="E285" t="s">
        <v>66</v>
      </c>
      <c r="F285" s="1" t="s">
        <v>48</v>
      </c>
      <c r="G285" s="2">
        <v>35.21</v>
      </c>
      <c r="H285">
        <v>35.21</v>
      </c>
      <c r="I285">
        <v>35.283234</v>
      </c>
      <c r="J285">
        <v>53.24</v>
      </c>
      <c r="K285">
        <v>49</v>
      </c>
      <c r="L285" s="2">
        <v>47</v>
      </c>
      <c r="M285">
        <v>168</v>
      </c>
      <c r="N285" s="2">
        <v>739</v>
      </c>
      <c r="O285">
        <v>26074.31</v>
      </c>
      <c r="P285">
        <v>50</v>
      </c>
      <c r="Q285">
        <v>689</v>
      </c>
      <c r="R285">
        <v>14.54</v>
      </c>
      <c r="S285">
        <v>30</v>
      </c>
      <c r="T285">
        <v>0</v>
      </c>
      <c r="U285" s="2">
        <v>0</v>
      </c>
      <c r="V285">
        <v>0</v>
      </c>
      <c r="W285" t="s">
        <v>29</v>
      </c>
      <c r="X285" t="str">
        <f>IF(Table2[[#This Row],[Qty available]]&gt;Table2[[#This Row],[Qty on hand]],"Check","OK")</f>
        <v>OK</v>
      </c>
    </row>
    <row r="286" spans="1:24" x14ac:dyDescent="0.3">
      <c r="A286" t="s">
        <v>81</v>
      </c>
      <c r="B286" t="s">
        <v>82</v>
      </c>
      <c r="C286" t="s">
        <v>69</v>
      </c>
      <c r="D286" t="s">
        <v>70</v>
      </c>
      <c r="E286" t="s">
        <v>66</v>
      </c>
      <c r="F286" s="1" t="s">
        <v>49</v>
      </c>
      <c r="G286" s="2">
        <v>35.659999999999997</v>
      </c>
      <c r="H286">
        <v>35.659999999999997</v>
      </c>
      <c r="I286">
        <v>35.420183999999999</v>
      </c>
      <c r="J286">
        <v>53.24</v>
      </c>
      <c r="K286">
        <v>49</v>
      </c>
      <c r="L286" s="2">
        <v>45</v>
      </c>
      <c r="M286">
        <v>422</v>
      </c>
      <c r="N286" s="2">
        <v>926</v>
      </c>
      <c r="O286">
        <v>32799.089999999997</v>
      </c>
      <c r="P286">
        <v>36</v>
      </c>
      <c r="Q286">
        <v>890</v>
      </c>
      <c r="R286">
        <v>19.600000000000001</v>
      </c>
      <c r="S286">
        <v>3</v>
      </c>
      <c r="T286">
        <v>235</v>
      </c>
      <c r="U286" s="2">
        <v>12511.4</v>
      </c>
      <c r="V286">
        <v>0</v>
      </c>
      <c r="W286" t="s">
        <v>29</v>
      </c>
      <c r="X286" t="str">
        <f>IF(Table2[[#This Row],[Qty available]]&gt;Table2[[#This Row],[Qty on hand]],"Check","OK")</f>
        <v>OK</v>
      </c>
    </row>
    <row r="287" spans="1:24" x14ac:dyDescent="0.3">
      <c r="A287" t="s">
        <v>81</v>
      </c>
      <c r="B287" t="s">
        <v>82</v>
      </c>
      <c r="C287" t="s">
        <v>69</v>
      </c>
      <c r="D287" t="s">
        <v>70</v>
      </c>
      <c r="E287" t="s">
        <v>66</v>
      </c>
      <c r="F287" s="1" t="s">
        <v>50</v>
      </c>
      <c r="G287" s="2">
        <v>35.25</v>
      </c>
      <c r="H287">
        <v>35.25</v>
      </c>
      <c r="I287">
        <v>35.420184999999996</v>
      </c>
      <c r="J287">
        <v>53.24</v>
      </c>
      <c r="K287">
        <v>49</v>
      </c>
      <c r="M287">
        <v>0</v>
      </c>
      <c r="N287" s="2">
        <v>701</v>
      </c>
      <c r="O287">
        <v>24829.55</v>
      </c>
      <c r="P287">
        <v>29</v>
      </c>
      <c r="Q287">
        <v>672</v>
      </c>
      <c r="R287">
        <v>19.809999999999999</v>
      </c>
      <c r="S287">
        <v>3</v>
      </c>
      <c r="T287">
        <v>225</v>
      </c>
      <c r="U287" s="2">
        <v>11979</v>
      </c>
      <c r="V287">
        <v>0</v>
      </c>
      <c r="W287" t="s">
        <v>29</v>
      </c>
      <c r="X287" t="str">
        <f>IF(Table2[[#This Row],[Qty available]]&gt;Table2[[#This Row],[Qty on hand]],"Check","OK")</f>
        <v>OK</v>
      </c>
    </row>
    <row r="288" spans="1:24" x14ac:dyDescent="0.3">
      <c r="A288" t="s">
        <v>81</v>
      </c>
      <c r="B288" t="s">
        <v>82</v>
      </c>
      <c r="C288" t="s">
        <v>69</v>
      </c>
      <c r="D288" t="s">
        <v>70</v>
      </c>
      <c r="E288" t="s">
        <v>66</v>
      </c>
      <c r="F288" s="1" t="s">
        <v>51</v>
      </c>
      <c r="G288" s="2">
        <v>35.28</v>
      </c>
      <c r="H288">
        <v>35.28</v>
      </c>
      <c r="I288">
        <v>35.387511000000003</v>
      </c>
      <c r="J288">
        <v>53.24</v>
      </c>
      <c r="K288">
        <v>49</v>
      </c>
      <c r="L288" s="2">
        <v>47</v>
      </c>
      <c r="M288">
        <v>213</v>
      </c>
      <c r="N288" s="2">
        <v>904</v>
      </c>
      <c r="O288">
        <v>31990.31</v>
      </c>
      <c r="P288">
        <v>43</v>
      </c>
      <c r="Q288">
        <v>861</v>
      </c>
      <c r="R288">
        <v>25.28</v>
      </c>
      <c r="S288">
        <v>2</v>
      </c>
      <c r="T288">
        <v>10</v>
      </c>
      <c r="U288" s="2">
        <v>532.4</v>
      </c>
      <c r="V288">
        <v>0</v>
      </c>
      <c r="W288" t="s">
        <v>29</v>
      </c>
      <c r="X288" t="str">
        <f>IF(Table2[[#This Row],[Qty available]]&gt;Table2[[#This Row],[Qty on hand]],"Check","OK")</f>
        <v>OK</v>
      </c>
    </row>
    <row r="289" spans="1:24" x14ac:dyDescent="0.3">
      <c r="A289" t="s">
        <v>81</v>
      </c>
      <c r="B289" t="s">
        <v>82</v>
      </c>
      <c r="C289" t="s">
        <v>69</v>
      </c>
      <c r="D289" t="s">
        <v>70</v>
      </c>
      <c r="E289" t="s">
        <v>66</v>
      </c>
      <c r="F289" s="1" t="s">
        <v>52</v>
      </c>
      <c r="G289" s="2">
        <v>35.21</v>
      </c>
      <c r="H289">
        <v>35.21</v>
      </c>
      <c r="I289">
        <v>35.387515999999998</v>
      </c>
      <c r="J289">
        <v>53.24</v>
      </c>
      <c r="K289">
        <v>49</v>
      </c>
      <c r="M289">
        <v>0</v>
      </c>
      <c r="N289" s="2">
        <v>781</v>
      </c>
      <c r="O289">
        <v>27637.65</v>
      </c>
      <c r="P289">
        <v>21</v>
      </c>
      <c r="Q289">
        <v>760</v>
      </c>
      <c r="R289">
        <v>28.67</v>
      </c>
      <c r="S289">
        <v>1</v>
      </c>
      <c r="T289">
        <v>123</v>
      </c>
      <c r="U289" s="2">
        <v>6548.52</v>
      </c>
      <c r="V289">
        <v>0</v>
      </c>
      <c r="W289" t="s">
        <v>29</v>
      </c>
      <c r="X289" t="str">
        <f>IF(Table2[[#This Row],[Qty available]]&gt;Table2[[#This Row],[Qty on hand]],"Check","OK")</f>
        <v>OK</v>
      </c>
    </row>
    <row r="290" spans="1:24" x14ac:dyDescent="0.3">
      <c r="A290" t="s">
        <v>83</v>
      </c>
      <c r="B290" t="s">
        <v>84</v>
      </c>
      <c r="C290" t="s">
        <v>77</v>
      </c>
      <c r="D290" t="s">
        <v>78</v>
      </c>
      <c r="E290" t="s">
        <v>27</v>
      </c>
      <c r="F290" s="1" t="s">
        <v>28</v>
      </c>
      <c r="G290" s="2">
        <v>67.7</v>
      </c>
      <c r="H290">
        <v>72.81</v>
      </c>
      <c r="I290">
        <v>71.712897999999996</v>
      </c>
      <c r="J290">
        <v>100.56</v>
      </c>
      <c r="K290">
        <v>20</v>
      </c>
      <c r="L290" s="2">
        <v>25</v>
      </c>
      <c r="M290">
        <v>234</v>
      </c>
      <c r="N290" s="2">
        <v>383</v>
      </c>
      <c r="O290">
        <v>27466.04</v>
      </c>
      <c r="P290">
        <v>50</v>
      </c>
      <c r="Q290">
        <v>333</v>
      </c>
      <c r="R290">
        <v>8.56</v>
      </c>
      <c r="S290">
        <v>0</v>
      </c>
      <c r="T290">
        <v>317</v>
      </c>
      <c r="U290" s="2">
        <v>31877.52</v>
      </c>
      <c r="V290">
        <v>0</v>
      </c>
      <c r="W290" t="s">
        <v>29</v>
      </c>
      <c r="X290" t="str">
        <f>IF(Table2[[#This Row],[Qty available]]&gt;Table2[[#This Row],[Qty on hand]],"Check","OK")</f>
        <v>OK</v>
      </c>
    </row>
    <row r="291" spans="1:24" x14ac:dyDescent="0.3">
      <c r="A291" t="s">
        <v>83</v>
      </c>
      <c r="B291" t="s">
        <v>84</v>
      </c>
      <c r="C291" t="s">
        <v>77</v>
      </c>
      <c r="D291" t="s">
        <v>78</v>
      </c>
      <c r="E291" t="s">
        <v>27</v>
      </c>
      <c r="F291" s="1" t="s">
        <v>30</v>
      </c>
      <c r="G291" s="2">
        <v>66.52</v>
      </c>
      <c r="H291">
        <v>71.540000000000006</v>
      </c>
      <c r="I291">
        <v>71.658451999999997</v>
      </c>
      <c r="J291">
        <v>100.56</v>
      </c>
      <c r="K291">
        <v>20</v>
      </c>
      <c r="L291" s="2">
        <v>20</v>
      </c>
      <c r="M291">
        <v>176</v>
      </c>
      <c r="N291" s="2">
        <v>310</v>
      </c>
      <c r="O291">
        <v>22214.12</v>
      </c>
      <c r="P291">
        <v>57</v>
      </c>
      <c r="Q291">
        <v>253</v>
      </c>
      <c r="R291">
        <v>7.16</v>
      </c>
      <c r="S291">
        <v>1</v>
      </c>
      <c r="T291">
        <v>249</v>
      </c>
      <c r="U291" s="2">
        <v>25039.439999999999</v>
      </c>
      <c r="V291">
        <v>0</v>
      </c>
      <c r="W291" t="s">
        <v>29</v>
      </c>
      <c r="X291" t="str">
        <f>IF(Table2[[#This Row],[Qty available]]&gt;Table2[[#This Row],[Qty on hand]],"Check","OK")</f>
        <v>OK</v>
      </c>
    </row>
    <row r="292" spans="1:24" x14ac:dyDescent="0.3">
      <c r="A292" t="s">
        <v>83</v>
      </c>
      <c r="B292" t="s">
        <v>84</v>
      </c>
      <c r="C292" t="s">
        <v>77</v>
      </c>
      <c r="D292" t="s">
        <v>78</v>
      </c>
      <c r="E292" t="s">
        <v>27</v>
      </c>
      <c r="F292" s="1" t="s">
        <v>31</v>
      </c>
      <c r="G292" s="2">
        <v>65.680000000000007</v>
      </c>
      <c r="H292">
        <v>70.64</v>
      </c>
      <c r="I292">
        <v>71.101575999999994</v>
      </c>
      <c r="J292">
        <v>100.56</v>
      </c>
      <c r="K292">
        <v>20</v>
      </c>
      <c r="L292" s="2">
        <v>19</v>
      </c>
      <c r="M292">
        <v>374</v>
      </c>
      <c r="N292" s="2">
        <v>552</v>
      </c>
      <c r="O292">
        <v>39248.07</v>
      </c>
      <c r="P292">
        <v>50</v>
      </c>
      <c r="Q292">
        <v>502</v>
      </c>
      <c r="R292">
        <v>10.28</v>
      </c>
      <c r="S292">
        <v>0</v>
      </c>
      <c r="T292">
        <v>132</v>
      </c>
      <c r="U292" s="2">
        <v>13273.92</v>
      </c>
      <c r="V292">
        <v>0</v>
      </c>
      <c r="W292" t="s">
        <v>29</v>
      </c>
      <c r="X292" t="str">
        <f>IF(Table2[[#This Row],[Qty available]]&gt;Table2[[#This Row],[Qty on hand]],"Check","OK")</f>
        <v>OK</v>
      </c>
    </row>
    <row r="293" spans="1:24" x14ac:dyDescent="0.3">
      <c r="A293" t="s">
        <v>83</v>
      </c>
      <c r="B293" t="s">
        <v>84</v>
      </c>
      <c r="C293" t="s">
        <v>77</v>
      </c>
      <c r="D293" t="s">
        <v>78</v>
      </c>
      <c r="E293" t="s">
        <v>27</v>
      </c>
      <c r="F293" s="1" t="s">
        <v>32</v>
      </c>
      <c r="G293" s="2">
        <v>67.22</v>
      </c>
      <c r="H293">
        <v>72.290000000000006</v>
      </c>
      <c r="I293">
        <v>71.283860000000004</v>
      </c>
      <c r="J293">
        <v>100.56</v>
      </c>
      <c r="K293">
        <v>20</v>
      </c>
      <c r="L293" s="2">
        <v>19</v>
      </c>
      <c r="M293">
        <v>100</v>
      </c>
      <c r="N293" s="2">
        <v>399</v>
      </c>
      <c r="O293">
        <v>28442.26</v>
      </c>
      <c r="P293">
        <v>72</v>
      </c>
      <c r="Q293">
        <v>327</v>
      </c>
      <c r="R293">
        <v>8.27</v>
      </c>
      <c r="S293">
        <v>0</v>
      </c>
      <c r="T293">
        <v>253</v>
      </c>
      <c r="U293" s="2">
        <v>25441.68</v>
      </c>
      <c r="V293">
        <v>0</v>
      </c>
      <c r="W293" t="s">
        <v>29</v>
      </c>
      <c r="X293" t="str">
        <f>IF(Table2[[#This Row],[Qty available]]&gt;Table2[[#This Row],[Qty on hand]],"Check","OK")</f>
        <v>OK</v>
      </c>
    </row>
    <row r="294" spans="1:24" x14ac:dyDescent="0.3">
      <c r="A294" t="s">
        <v>83</v>
      </c>
      <c r="B294" t="s">
        <v>84</v>
      </c>
      <c r="C294" t="s">
        <v>77</v>
      </c>
      <c r="D294" t="s">
        <v>78</v>
      </c>
      <c r="E294" t="s">
        <v>27</v>
      </c>
      <c r="F294" s="1" t="s">
        <v>33</v>
      </c>
      <c r="G294" s="2">
        <v>67.28</v>
      </c>
      <c r="H294">
        <v>72.36</v>
      </c>
      <c r="I294">
        <v>71.594598000000005</v>
      </c>
      <c r="J294">
        <v>100.56</v>
      </c>
      <c r="K294">
        <v>20</v>
      </c>
      <c r="L294" s="2">
        <v>19</v>
      </c>
      <c r="M294">
        <v>162</v>
      </c>
      <c r="N294" s="2">
        <v>261</v>
      </c>
      <c r="O294">
        <v>18686.189999999999</v>
      </c>
      <c r="P294">
        <v>36</v>
      </c>
      <c r="Q294">
        <v>225</v>
      </c>
      <c r="R294">
        <v>5.01</v>
      </c>
      <c r="S294">
        <v>1</v>
      </c>
      <c r="T294">
        <v>300</v>
      </c>
      <c r="U294" s="2">
        <v>30168</v>
      </c>
      <c r="V294">
        <v>0</v>
      </c>
      <c r="W294" t="s">
        <v>29</v>
      </c>
      <c r="X294" t="str">
        <f>IF(Table2[[#This Row],[Qty available]]&gt;Table2[[#This Row],[Qty on hand]],"Check","OK")</f>
        <v>OK</v>
      </c>
    </row>
    <row r="295" spans="1:24" x14ac:dyDescent="0.3">
      <c r="A295" t="s">
        <v>83</v>
      </c>
      <c r="B295" t="s">
        <v>84</v>
      </c>
      <c r="C295" t="s">
        <v>77</v>
      </c>
      <c r="D295" t="s">
        <v>78</v>
      </c>
      <c r="E295" t="s">
        <v>27</v>
      </c>
      <c r="F295" s="1" t="s">
        <v>34</v>
      </c>
      <c r="G295" s="2">
        <v>65.73</v>
      </c>
      <c r="H295">
        <v>70.69</v>
      </c>
      <c r="I295">
        <v>70.961695000000006</v>
      </c>
      <c r="J295">
        <v>103.43</v>
      </c>
      <c r="K295">
        <v>20</v>
      </c>
      <c r="L295" s="2">
        <v>19</v>
      </c>
      <c r="M295">
        <v>608</v>
      </c>
      <c r="N295" s="2">
        <v>596</v>
      </c>
      <c r="O295">
        <v>42293.17</v>
      </c>
      <c r="P295">
        <v>57</v>
      </c>
      <c r="Q295">
        <v>539</v>
      </c>
      <c r="R295">
        <v>9.2799999999999994</v>
      </c>
      <c r="S295">
        <v>0</v>
      </c>
      <c r="T295">
        <v>273</v>
      </c>
      <c r="U295" s="2">
        <v>28236.39</v>
      </c>
      <c r="V295">
        <v>0</v>
      </c>
      <c r="W295" t="s">
        <v>29</v>
      </c>
      <c r="X295" t="str">
        <f>IF(Table2[[#This Row],[Qty available]]&gt;Table2[[#This Row],[Qty on hand]],"Check","OK")</f>
        <v>OK</v>
      </c>
    </row>
    <row r="296" spans="1:24" x14ac:dyDescent="0.3">
      <c r="A296" t="s">
        <v>83</v>
      </c>
      <c r="B296" t="s">
        <v>84</v>
      </c>
      <c r="C296" t="s">
        <v>77</v>
      </c>
      <c r="D296" t="s">
        <v>78</v>
      </c>
      <c r="E296" t="s">
        <v>27</v>
      </c>
      <c r="F296" s="1" t="s">
        <v>35</v>
      </c>
      <c r="G296" s="2">
        <v>69.400000000000006</v>
      </c>
      <c r="H296">
        <v>74.64</v>
      </c>
      <c r="I296">
        <v>70.961691999999999</v>
      </c>
      <c r="J296">
        <v>103.43</v>
      </c>
      <c r="K296">
        <v>20</v>
      </c>
      <c r="M296">
        <v>0</v>
      </c>
      <c r="N296" s="2">
        <v>455</v>
      </c>
      <c r="O296">
        <v>32287.57</v>
      </c>
      <c r="P296">
        <v>14</v>
      </c>
      <c r="Q296">
        <v>441</v>
      </c>
      <c r="R296">
        <v>8.19</v>
      </c>
      <c r="S296">
        <v>0</v>
      </c>
      <c r="T296">
        <v>141</v>
      </c>
      <c r="U296" s="2">
        <v>14583.63</v>
      </c>
      <c r="V296">
        <v>0</v>
      </c>
      <c r="W296" t="s">
        <v>29</v>
      </c>
      <c r="X296" t="str">
        <f>IF(Table2[[#This Row],[Qty available]]&gt;Table2[[#This Row],[Qty on hand]],"Check","OK")</f>
        <v>OK</v>
      </c>
    </row>
    <row r="297" spans="1:24" x14ac:dyDescent="0.3">
      <c r="A297" t="s">
        <v>83</v>
      </c>
      <c r="B297" t="s">
        <v>84</v>
      </c>
      <c r="C297" t="s">
        <v>77</v>
      </c>
      <c r="D297" t="s">
        <v>78</v>
      </c>
      <c r="E297" t="s">
        <v>27</v>
      </c>
      <c r="F297" s="1" t="s">
        <v>36</v>
      </c>
      <c r="G297" s="2">
        <v>71.3</v>
      </c>
      <c r="H297">
        <v>76.680000000000007</v>
      </c>
      <c r="I297">
        <v>73.792288999999997</v>
      </c>
      <c r="J297">
        <v>103.43</v>
      </c>
      <c r="K297">
        <v>20</v>
      </c>
      <c r="L297" s="2">
        <v>19</v>
      </c>
      <c r="M297">
        <v>446</v>
      </c>
      <c r="N297" s="2">
        <v>712</v>
      </c>
      <c r="O297">
        <v>52540.11</v>
      </c>
      <c r="P297">
        <v>36</v>
      </c>
      <c r="Q297">
        <v>676</v>
      </c>
      <c r="R297">
        <v>15.01</v>
      </c>
      <c r="S297">
        <v>0</v>
      </c>
      <c r="T297">
        <v>189</v>
      </c>
      <c r="U297" s="2">
        <v>19548.27</v>
      </c>
      <c r="V297">
        <v>0</v>
      </c>
      <c r="W297" t="s">
        <v>29</v>
      </c>
      <c r="X297" t="str">
        <f>IF(Table2[[#This Row],[Qty available]]&gt;Table2[[#This Row],[Qty on hand]],"Check","OK")</f>
        <v>OK</v>
      </c>
    </row>
    <row r="298" spans="1:24" x14ac:dyDescent="0.3">
      <c r="A298" t="s">
        <v>83</v>
      </c>
      <c r="B298" t="s">
        <v>84</v>
      </c>
      <c r="C298" t="s">
        <v>77</v>
      </c>
      <c r="D298" t="s">
        <v>78</v>
      </c>
      <c r="E298" t="s">
        <v>27</v>
      </c>
      <c r="F298" s="1" t="s">
        <v>37</v>
      </c>
      <c r="G298" s="2">
        <v>70.849999999999994</v>
      </c>
      <c r="H298">
        <v>76.2</v>
      </c>
      <c r="I298">
        <v>73.792285000000007</v>
      </c>
      <c r="J298">
        <v>103.43</v>
      </c>
      <c r="K298">
        <v>20</v>
      </c>
      <c r="M298">
        <v>0</v>
      </c>
      <c r="N298" s="2">
        <v>499</v>
      </c>
      <c r="O298">
        <v>36822.35</v>
      </c>
      <c r="P298">
        <v>14</v>
      </c>
      <c r="Q298">
        <v>485</v>
      </c>
      <c r="R298">
        <v>12.08</v>
      </c>
      <c r="S298">
        <v>0</v>
      </c>
      <c r="T298">
        <v>213</v>
      </c>
      <c r="U298" s="2">
        <v>22030.59</v>
      </c>
      <c r="V298">
        <v>0</v>
      </c>
      <c r="W298" t="s">
        <v>29</v>
      </c>
      <c r="X298" t="str">
        <f>IF(Table2[[#This Row],[Qty available]]&gt;Table2[[#This Row],[Qty on hand]],"Check","OK")</f>
        <v>OK</v>
      </c>
    </row>
    <row r="299" spans="1:24" x14ac:dyDescent="0.3">
      <c r="A299" t="s">
        <v>83</v>
      </c>
      <c r="B299" t="s">
        <v>84</v>
      </c>
      <c r="C299" t="s">
        <v>77</v>
      </c>
      <c r="D299" t="s">
        <v>78</v>
      </c>
      <c r="E299" t="s">
        <v>27</v>
      </c>
      <c r="F299" s="1" t="s">
        <v>38</v>
      </c>
      <c r="G299" s="2">
        <v>69.959999999999994</v>
      </c>
      <c r="H299">
        <v>75.239999999999995</v>
      </c>
      <c r="I299">
        <v>73.792277999999996</v>
      </c>
      <c r="J299">
        <v>103.43</v>
      </c>
      <c r="K299">
        <v>20</v>
      </c>
      <c r="M299">
        <v>0</v>
      </c>
      <c r="N299" s="2">
        <v>281</v>
      </c>
      <c r="O299">
        <v>20735.63</v>
      </c>
      <c r="P299">
        <v>21</v>
      </c>
      <c r="Q299">
        <v>260</v>
      </c>
      <c r="R299">
        <v>5.89</v>
      </c>
      <c r="S299">
        <v>1</v>
      </c>
      <c r="T299">
        <v>218</v>
      </c>
      <c r="U299" s="2">
        <v>22547.74</v>
      </c>
      <c r="V299">
        <v>0</v>
      </c>
      <c r="W299" t="s">
        <v>29</v>
      </c>
      <c r="X299" t="str">
        <f>IF(Table2[[#This Row],[Qty available]]&gt;Table2[[#This Row],[Qty on hand]],"Check","OK")</f>
        <v>OK</v>
      </c>
    </row>
    <row r="300" spans="1:24" x14ac:dyDescent="0.3">
      <c r="A300" t="s">
        <v>83</v>
      </c>
      <c r="B300" t="s">
        <v>84</v>
      </c>
      <c r="C300" t="s">
        <v>77</v>
      </c>
      <c r="D300" t="s">
        <v>78</v>
      </c>
      <c r="E300" t="s">
        <v>27</v>
      </c>
      <c r="F300" s="1" t="s">
        <v>39</v>
      </c>
      <c r="G300" s="2">
        <v>70.61</v>
      </c>
      <c r="H300">
        <v>75.94</v>
      </c>
      <c r="I300">
        <v>74.723232999999993</v>
      </c>
      <c r="J300">
        <v>103.43</v>
      </c>
      <c r="K300">
        <v>20</v>
      </c>
      <c r="L300" s="2">
        <v>17</v>
      </c>
      <c r="M300">
        <v>215</v>
      </c>
      <c r="N300" s="2">
        <v>232</v>
      </c>
      <c r="O300">
        <v>17335.79</v>
      </c>
      <c r="P300">
        <v>29</v>
      </c>
      <c r="Q300">
        <v>203</v>
      </c>
      <c r="R300">
        <v>4.3899999999999997</v>
      </c>
      <c r="S300">
        <v>0</v>
      </c>
      <c r="T300">
        <v>264</v>
      </c>
      <c r="U300" s="2">
        <v>27305.52</v>
      </c>
      <c r="V300">
        <v>0</v>
      </c>
      <c r="W300" t="s">
        <v>29</v>
      </c>
      <c r="X300" t="str">
        <f>IF(Table2[[#This Row],[Qty available]]&gt;Table2[[#This Row],[Qty on hand]],"Check","OK")</f>
        <v>OK</v>
      </c>
    </row>
    <row r="301" spans="1:24" x14ac:dyDescent="0.3">
      <c r="A301" t="s">
        <v>83</v>
      </c>
      <c r="B301" t="s">
        <v>84</v>
      </c>
      <c r="C301" t="s">
        <v>77</v>
      </c>
      <c r="D301" t="s">
        <v>78</v>
      </c>
      <c r="E301" t="s">
        <v>27</v>
      </c>
      <c r="F301" s="1" t="s">
        <v>40</v>
      </c>
      <c r="G301" s="2">
        <v>71.5</v>
      </c>
      <c r="H301">
        <v>76.900000000000006</v>
      </c>
      <c r="I301">
        <v>76.250884999999997</v>
      </c>
      <c r="J301">
        <v>103.43</v>
      </c>
      <c r="K301">
        <v>20</v>
      </c>
      <c r="L301" s="2">
        <v>18</v>
      </c>
      <c r="M301">
        <v>546</v>
      </c>
      <c r="N301" s="2">
        <v>644</v>
      </c>
      <c r="O301">
        <v>49105.57</v>
      </c>
      <c r="P301">
        <v>21</v>
      </c>
      <c r="Q301">
        <v>623</v>
      </c>
      <c r="R301">
        <v>13.74</v>
      </c>
      <c r="S301">
        <v>2</v>
      </c>
      <c r="T301">
        <v>134</v>
      </c>
      <c r="U301" s="2">
        <v>13859.62</v>
      </c>
      <c r="V301">
        <v>0</v>
      </c>
      <c r="W301" t="s">
        <v>29</v>
      </c>
      <c r="X301" t="str">
        <f>IF(Table2[[#This Row],[Qty available]]&gt;Table2[[#This Row],[Qty on hand]],"Check","OK")</f>
        <v>OK</v>
      </c>
    </row>
    <row r="302" spans="1:24" x14ac:dyDescent="0.3">
      <c r="A302" t="s">
        <v>83</v>
      </c>
      <c r="B302" t="s">
        <v>84</v>
      </c>
      <c r="C302" t="s">
        <v>77</v>
      </c>
      <c r="D302" t="s">
        <v>78</v>
      </c>
      <c r="E302" t="s">
        <v>27</v>
      </c>
      <c r="F302" s="1" t="s">
        <v>41</v>
      </c>
      <c r="G302" s="2">
        <v>71.42</v>
      </c>
      <c r="H302">
        <v>76.81</v>
      </c>
      <c r="I302">
        <v>76.250877000000003</v>
      </c>
      <c r="J302">
        <v>103.43</v>
      </c>
      <c r="K302">
        <v>20</v>
      </c>
      <c r="M302">
        <v>0</v>
      </c>
      <c r="N302" s="2">
        <v>570</v>
      </c>
      <c r="O302">
        <v>43463</v>
      </c>
      <c r="P302">
        <v>43</v>
      </c>
      <c r="Q302">
        <v>527</v>
      </c>
      <c r="R302">
        <v>15.87</v>
      </c>
      <c r="S302">
        <v>0</v>
      </c>
      <c r="T302">
        <v>74</v>
      </c>
      <c r="U302" s="2">
        <v>7653.82</v>
      </c>
      <c r="V302">
        <v>0</v>
      </c>
      <c r="W302" t="s">
        <v>29</v>
      </c>
      <c r="X302" t="str">
        <f>IF(Table2[[#This Row],[Qty available]]&gt;Table2[[#This Row],[Qty on hand]],"Check","OK")</f>
        <v>OK</v>
      </c>
    </row>
    <row r="303" spans="1:24" x14ac:dyDescent="0.3">
      <c r="A303" t="s">
        <v>83</v>
      </c>
      <c r="B303" t="s">
        <v>84</v>
      </c>
      <c r="C303" t="s">
        <v>77</v>
      </c>
      <c r="D303" t="s">
        <v>78</v>
      </c>
      <c r="E303" t="s">
        <v>27</v>
      </c>
      <c r="F303" s="1" t="s">
        <v>42</v>
      </c>
      <c r="G303" s="2">
        <v>71.87</v>
      </c>
      <c r="H303">
        <v>77.3</v>
      </c>
      <c r="I303">
        <v>76.250870000000006</v>
      </c>
      <c r="J303">
        <v>103.43</v>
      </c>
      <c r="K303">
        <v>20</v>
      </c>
      <c r="M303">
        <v>0</v>
      </c>
      <c r="N303" s="2">
        <v>391</v>
      </c>
      <c r="O303">
        <v>29814.09</v>
      </c>
      <c r="P303">
        <v>29</v>
      </c>
      <c r="Q303">
        <v>362</v>
      </c>
      <c r="R303">
        <v>13.28</v>
      </c>
      <c r="S303">
        <v>4</v>
      </c>
      <c r="T303">
        <v>179</v>
      </c>
      <c r="U303" s="2">
        <v>18513.97</v>
      </c>
      <c r="V303">
        <v>0</v>
      </c>
      <c r="W303" t="s">
        <v>29</v>
      </c>
      <c r="X303" t="str">
        <f>IF(Table2[[#This Row],[Qty available]]&gt;Table2[[#This Row],[Qty on hand]],"Check","OK")</f>
        <v>OK</v>
      </c>
    </row>
    <row r="304" spans="1:24" x14ac:dyDescent="0.3">
      <c r="A304" t="s">
        <v>83</v>
      </c>
      <c r="B304" t="s">
        <v>84</v>
      </c>
      <c r="C304" t="s">
        <v>77</v>
      </c>
      <c r="D304" t="s">
        <v>78</v>
      </c>
      <c r="E304" t="s">
        <v>27</v>
      </c>
      <c r="F304" s="1" t="s">
        <v>43</v>
      </c>
      <c r="G304" s="2">
        <v>71.13</v>
      </c>
      <c r="H304">
        <v>76.5</v>
      </c>
      <c r="I304">
        <v>76.343397999999993</v>
      </c>
      <c r="J304">
        <v>103.43</v>
      </c>
      <c r="K304">
        <v>20</v>
      </c>
      <c r="L304" s="2">
        <v>34</v>
      </c>
      <c r="M304">
        <v>231</v>
      </c>
      <c r="N304" s="2">
        <v>362</v>
      </c>
      <c r="O304">
        <v>27636.31</v>
      </c>
      <c r="P304">
        <v>36</v>
      </c>
      <c r="Q304">
        <v>326</v>
      </c>
      <c r="R304">
        <v>9.17</v>
      </c>
      <c r="S304">
        <v>0</v>
      </c>
      <c r="T304">
        <v>260</v>
      </c>
      <c r="U304" s="2">
        <v>26891.8</v>
      </c>
      <c r="V304">
        <v>0</v>
      </c>
      <c r="W304" t="s">
        <v>29</v>
      </c>
      <c r="X304" t="str">
        <f>IF(Table2[[#This Row],[Qty available]]&gt;Table2[[#This Row],[Qty on hand]],"Check","OK")</f>
        <v>OK</v>
      </c>
    </row>
    <row r="305" spans="1:24" x14ac:dyDescent="0.3">
      <c r="A305" t="s">
        <v>83</v>
      </c>
      <c r="B305" t="s">
        <v>84</v>
      </c>
      <c r="C305" t="s">
        <v>77</v>
      </c>
      <c r="D305" t="s">
        <v>78</v>
      </c>
      <c r="E305" t="s">
        <v>27</v>
      </c>
      <c r="F305" s="1" t="s">
        <v>44</v>
      </c>
      <c r="G305" s="2">
        <v>70.989999999999995</v>
      </c>
      <c r="H305">
        <v>76.349999999999994</v>
      </c>
      <c r="I305">
        <v>76.346417000000002</v>
      </c>
      <c r="J305">
        <v>103.43</v>
      </c>
      <c r="K305">
        <v>20</v>
      </c>
      <c r="L305" s="2">
        <v>25</v>
      </c>
      <c r="M305">
        <v>305</v>
      </c>
      <c r="N305" s="2">
        <v>533</v>
      </c>
      <c r="O305">
        <v>40692.639999999999</v>
      </c>
      <c r="P305">
        <v>50</v>
      </c>
      <c r="Q305">
        <v>483</v>
      </c>
      <c r="R305">
        <v>12.23</v>
      </c>
      <c r="S305">
        <v>0</v>
      </c>
      <c r="T305">
        <v>134</v>
      </c>
      <c r="U305" s="2">
        <v>13859.62</v>
      </c>
      <c r="V305">
        <v>0</v>
      </c>
      <c r="W305" t="s">
        <v>29</v>
      </c>
      <c r="X305" t="str">
        <f>IF(Table2[[#This Row],[Qty available]]&gt;Table2[[#This Row],[Qty on hand]],"Check","OK")</f>
        <v>OK</v>
      </c>
    </row>
    <row r="306" spans="1:24" x14ac:dyDescent="0.3">
      <c r="A306" t="s">
        <v>83</v>
      </c>
      <c r="B306" t="s">
        <v>84</v>
      </c>
      <c r="C306" t="s">
        <v>77</v>
      </c>
      <c r="D306" t="s">
        <v>78</v>
      </c>
      <c r="E306" t="s">
        <v>27</v>
      </c>
      <c r="F306" s="1" t="s">
        <v>45</v>
      </c>
      <c r="G306" s="2">
        <v>69.44</v>
      </c>
      <c r="H306">
        <v>74.680000000000007</v>
      </c>
      <c r="I306">
        <v>76.346430999999995</v>
      </c>
      <c r="J306">
        <v>103.43</v>
      </c>
      <c r="K306">
        <v>20</v>
      </c>
      <c r="M306">
        <v>0</v>
      </c>
      <c r="N306" s="2">
        <v>269</v>
      </c>
      <c r="O306">
        <v>20537.189999999999</v>
      </c>
      <c r="P306">
        <v>72</v>
      </c>
      <c r="Q306">
        <v>197</v>
      </c>
      <c r="R306">
        <v>5.37</v>
      </c>
      <c r="S306">
        <v>1</v>
      </c>
      <c r="T306">
        <v>264</v>
      </c>
      <c r="U306" s="2">
        <v>27305.52</v>
      </c>
      <c r="V306">
        <v>0</v>
      </c>
      <c r="W306" t="s">
        <v>29</v>
      </c>
      <c r="X306" t="str">
        <f>IF(Table2[[#This Row],[Qty available]]&gt;Table2[[#This Row],[Qty on hand]],"Check","OK")</f>
        <v>OK</v>
      </c>
    </row>
    <row r="307" spans="1:24" x14ac:dyDescent="0.3">
      <c r="A307" t="s">
        <v>83</v>
      </c>
      <c r="B307" t="s">
        <v>84</v>
      </c>
      <c r="C307" t="s">
        <v>77</v>
      </c>
      <c r="D307" t="s">
        <v>78</v>
      </c>
      <c r="E307" t="s">
        <v>27</v>
      </c>
      <c r="F307" s="1" t="s">
        <v>46</v>
      </c>
      <c r="G307" s="2">
        <v>70.12</v>
      </c>
      <c r="H307">
        <v>75.41</v>
      </c>
      <c r="I307">
        <v>75.716447000000002</v>
      </c>
      <c r="J307">
        <v>106.38</v>
      </c>
      <c r="K307">
        <v>20</v>
      </c>
      <c r="L307" s="2">
        <v>19</v>
      </c>
      <c r="M307">
        <v>553</v>
      </c>
      <c r="N307" s="2">
        <v>636</v>
      </c>
      <c r="O307">
        <v>48155.66</v>
      </c>
      <c r="P307">
        <v>72</v>
      </c>
      <c r="Q307">
        <v>564</v>
      </c>
      <c r="R307">
        <v>14</v>
      </c>
      <c r="S307">
        <v>0</v>
      </c>
      <c r="T307">
        <v>186</v>
      </c>
      <c r="U307" s="2">
        <v>19786.68</v>
      </c>
      <c r="V307">
        <v>0</v>
      </c>
      <c r="W307" t="s">
        <v>29</v>
      </c>
      <c r="X307" t="str">
        <f>IF(Table2[[#This Row],[Qty available]]&gt;Table2[[#This Row],[Qty on hand]],"Check","OK")</f>
        <v>OK</v>
      </c>
    </row>
    <row r="308" spans="1:24" x14ac:dyDescent="0.3">
      <c r="A308" t="s">
        <v>83</v>
      </c>
      <c r="B308" t="s">
        <v>84</v>
      </c>
      <c r="C308" t="s">
        <v>77</v>
      </c>
      <c r="D308" t="s">
        <v>78</v>
      </c>
      <c r="E308" t="s">
        <v>27</v>
      </c>
      <c r="F308" s="1" t="s">
        <v>47</v>
      </c>
      <c r="G308" s="2">
        <v>74.86</v>
      </c>
      <c r="H308">
        <v>80.510000000000005</v>
      </c>
      <c r="I308">
        <v>75.716443999999996</v>
      </c>
      <c r="J308">
        <v>106.38</v>
      </c>
      <c r="K308">
        <v>20</v>
      </c>
      <c r="M308">
        <v>0</v>
      </c>
      <c r="N308" s="2">
        <v>540</v>
      </c>
      <c r="O308">
        <v>40886.879999999997</v>
      </c>
      <c r="P308">
        <v>64</v>
      </c>
      <c r="Q308">
        <v>476</v>
      </c>
      <c r="R308">
        <v>12.72</v>
      </c>
      <c r="S308">
        <v>1</v>
      </c>
      <c r="T308">
        <v>96</v>
      </c>
      <c r="U308" s="2">
        <v>10212.48</v>
      </c>
      <c r="V308">
        <v>0</v>
      </c>
      <c r="W308" t="s">
        <v>29</v>
      </c>
      <c r="X308" t="str">
        <f>IF(Table2[[#This Row],[Qty available]]&gt;Table2[[#This Row],[Qty on hand]],"Check","OK")</f>
        <v>OK</v>
      </c>
    </row>
    <row r="309" spans="1:24" x14ac:dyDescent="0.3">
      <c r="A309" t="s">
        <v>83</v>
      </c>
      <c r="B309" t="s">
        <v>84</v>
      </c>
      <c r="C309" t="s">
        <v>77</v>
      </c>
      <c r="D309" t="s">
        <v>78</v>
      </c>
      <c r="E309" t="s">
        <v>27</v>
      </c>
      <c r="F309" s="1" t="s">
        <v>48</v>
      </c>
      <c r="G309" s="2">
        <v>74.52</v>
      </c>
      <c r="H309">
        <v>80.150000000000006</v>
      </c>
      <c r="I309">
        <v>77.056816999999995</v>
      </c>
      <c r="J309">
        <v>106.38</v>
      </c>
      <c r="K309">
        <v>20</v>
      </c>
      <c r="L309" s="2">
        <v>18</v>
      </c>
      <c r="M309">
        <v>234</v>
      </c>
      <c r="N309" s="2">
        <v>597</v>
      </c>
      <c r="O309">
        <v>46002.92</v>
      </c>
      <c r="P309">
        <v>21</v>
      </c>
      <c r="Q309">
        <v>576</v>
      </c>
      <c r="R309">
        <v>16.54</v>
      </c>
      <c r="S309">
        <v>4</v>
      </c>
      <c r="T309">
        <v>177</v>
      </c>
      <c r="U309" s="2">
        <v>18829.259999999998</v>
      </c>
      <c r="V309">
        <v>0</v>
      </c>
      <c r="W309" t="s">
        <v>29</v>
      </c>
      <c r="X309" t="str">
        <f>IF(Table2[[#This Row],[Qty available]]&gt;Table2[[#This Row],[Qty on hand]],"Check","OK")</f>
        <v>OK</v>
      </c>
    </row>
    <row r="310" spans="1:24" x14ac:dyDescent="0.3">
      <c r="A310" t="s">
        <v>83</v>
      </c>
      <c r="B310" t="s">
        <v>84</v>
      </c>
      <c r="C310" t="s">
        <v>77</v>
      </c>
      <c r="D310" t="s">
        <v>78</v>
      </c>
      <c r="E310" t="s">
        <v>27</v>
      </c>
      <c r="F310" s="1" t="s">
        <v>49</v>
      </c>
      <c r="G310" s="2">
        <v>74.72</v>
      </c>
      <c r="H310">
        <v>80.36</v>
      </c>
      <c r="I310">
        <v>77.530721</v>
      </c>
      <c r="J310">
        <v>106.38</v>
      </c>
      <c r="K310">
        <v>20</v>
      </c>
      <c r="L310" s="2">
        <v>18</v>
      </c>
      <c r="M310">
        <v>100</v>
      </c>
      <c r="N310" s="2">
        <v>416</v>
      </c>
      <c r="O310">
        <v>32252.78</v>
      </c>
      <c r="P310">
        <v>64</v>
      </c>
      <c r="Q310">
        <v>352</v>
      </c>
      <c r="R310">
        <v>9.8699999999999992</v>
      </c>
      <c r="S310">
        <v>1</v>
      </c>
      <c r="T310">
        <v>281</v>
      </c>
      <c r="U310" s="2">
        <v>29892.78</v>
      </c>
      <c r="V310">
        <v>0</v>
      </c>
      <c r="W310" t="s">
        <v>29</v>
      </c>
      <c r="X310" t="str">
        <f>IF(Table2[[#This Row],[Qty available]]&gt;Table2[[#This Row],[Qty on hand]],"Check","OK")</f>
        <v>OK</v>
      </c>
    </row>
    <row r="311" spans="1:24" x14ac:dyDescent="0.3">
      <c r="A311" t="s">
        <v>83</v>
      </c>
      <c r="B311" t="s">
        <v>84</v>
      </c>
      <c r="C311" t="s">
        <v>77</v>
      </c>
      <c r="D311" t="s">
        <v>78</v>
      </c>
      <c r="E311" t="s">
        <v>27</v>
      </c>
      <c r="F311" s="1" t="s">
        <v>50</v>
      </c>
      <c r="G311" s="2">
        <v>76.290000000000006</v>
      </c>
      <c r="H311">
        <v>82.05</v>
      </c>
      <c r="I311">
        <v>79.289310999999998</v>
      </c>
      <c r="J311">
        <v>106.38</v>
      </c>
      <c r="K311">
        <v>20</v>
      </c>
      <c r="L311" s="2">
        <v>19</v>
      </c>
      <c r="M311">
        <v>265</v>
      </c>
      <c r="N311" s="2">
        <v>334</v>
      </c>
      <c r="O311">
        <v>26482.63</v>
      </c>
      <c r="P311">
        <v>57</v>
      </c>
      <c r="Q311">
        <v>277</v>
      </c>
      <c r="R311">
        <v>5.39</v>
      </c>
      <c r="S311">
        <v>0</v>
      </c>
      <c r="T311">
        <v>347</v>
      </c>
      <c r="U311" s="2">
        <v>36913.86</v>
      </c>
      <c r="V311">
        <v>0</v>
      </c>
      <c r="W311" t="s">
        <v>29</v>
      </c>
      <c r="X311" t="str">
        <f>IF(Table2[[#This Row],[Qty available]]&gt;Table2[[#This Row],[Qty on hand]],"Check","OK")</f>
        <v>OK</v>
      </c>
    </row>
    <row r="312" spans="1:24" x14ac:dyDescent="0.3">
      <c r="A312" t="s">
        <v>83</v>
      </c>
      <c r="B312" t="s">
        <v>84</v>
      </c>
      <c r="C312" t="s">
        <v>77</v>
      </c>
      <c r="D312" t="s">
        <v>78</v>
      </c>
      <c r="E312" t="s">
        <v>27</v>
      </c>
      <c r="F312" s="1" t="s">
        <v>51</v>
      </c>
      <c r="G312" s="2">
        <v>73.459999999999994</v>
      </c>
      <c r="H312">
        <v>79.010000000000005</v>
      </c>
      <c r="I312">
        <v>79.289281000000003</v>
      </c>
      <c r="J312">
        <v>106.38</v>
      </c>
      <c r="K312">
        <v>20</v>
      </c>
      <c r="M312">
        <v>0</v>
      </c>
      <c r="N312" s="2">
        <v>139</v>
      </c>
      <c r="O312">
        <v>11021.21</v>
      </c>
      <c r="P312">
        <v>50</v>
      </c>
      <c r="Q312">
        <v>89</v>
      </c>
      <c r="R312">
        <v>2.2200000000000002</v>
      </c>
      <c r="S312">
        <v>7</v>
      </c>
      <c r="T312">
        <v>195</v>
      </c>
      <c r="U312" s="2">
        <v>20744.099999999999</v>
      </c>
      <c r="V312">
        <v>0</v>
      </c>
      <c r="W312" t="s">
        <v>29</v>
      </c>
      <c r="X312" t="str">
        <f>IF(Table2[[#This Row],[Qty available]]&gt;Table2[[#This Row],[Qty on hand]],"Check","OK")</f>
        <v>OK</v>
      </c>
    </row>
    <row r="313" spans="1:24" x14ac:dyDescent="0.3">
      <c r="A313" t="s">
        <v>83</v>
      </c>
      <c r="B313" t="s">
        <v>84</v>
      </c>
      <c r="C313" t="s">
        <v>77</v>
      </c>
      <c r="D313" t="s">
        <v>78</v>
      </c>
      <c r="E313" t="s">
        <v>27</v>
      </c>
      <c r="F313" s="1" t="s">
        <v>52</v>
      </c>
      <c r="G313" s="2">
        <v>75.959999999999994</v>
      </c>
      <c r="H313">
        <v>81.69</v>
      </c>
      <c r="I313">
        <v>81.275976</v>
      </c>
      <c r="J313">
        <v>106.38</v>
      </c>
      <c r="K313">
        <v>20</v>
      </c>
      <c r="L313" s="2">
        <v>17</v>
      </c>
      <c r="M313">
        <v>667</v>
      </c>
      <c r="N313" s="2">
        <v>507</v>
      </c>
      <c r="O313">
        <v>41206.92</v>
      </c>
      <c r="P313">
        <v>14</v>
      </c>
      <c r="Q313">
        <v>493</v>
      </c>
      <c r="R313">
        <v>7.92</v>
      </c>
      <c r="S313">
        <v>0</v>
      </c>
      <c r="T313">
        <v>299</v>
      </c>
      <c r="U313" s="2">
        <v>31807.62</v>
      </c>
      <c r="V313">
        <v>0</v>
      </c>
      <c r="W313" t="s">
        <v>29</v>
      </c>
      <c r="X313" t="str">
        <f>IF(Table2[[#This Row],[Qty available]]&gt;Table2[[#This Row],[Qty on hand]],"Check","OK")</f>
        <v>OK</v>
      </c>
    </row>
    <row r="314" spans="1:24" x14ac:dyDescent="0.3">
      <c r="A314" t="s">
        <v>85</v>
      </c>
      <c r="B314" t="s">
        <v>86</v>
      </c>
      <c r="C314" t="s">
        <v>25</v>
      </c>
      <c r="D314" t="s">
        <v>26</v>
      </c>
      <c r="E314" t="s">
        <v>66</v>
      </c>
      <c r="F314" s="1" t="s">
        <v>28</v>
      </c>
      <c r="G314" s="2">
        <v>18.87</v>
      </c>
      <c r="H314">
        <v>18.87</v>
      </c>
      <c r="I314">
        <v>18.831714000000002</v>
      </c>
      <c r="J314">
        <v>26.52</v>
      </c>
      <c r="K314">
        <v>57</v>
      </c>
      <c r="M314">
        <v>0</v>
      </c>
      <c r="N314" s="2">
        <v>35</v>
      </c>
      <c r="O314">
        <v>659.11</v>
      </c>
      <c r="P314">
        <v>16</v>
      </c>
      <c r="Q314">
        <v>19</v>
      </c>
      <c r="R314">
        <v>1.76</v>
      </c>
      <c r="S314">
        <v>5</v>
      </c>
      <c r="T314">
        <v>46</v>
      </c>
      <c r="U314" s="2">
        <v>1219.92</v>
      </c>
      <c r="V314">
        <v>0</v>
      </c>
      <c r="W314" t="s">
        <v>29</v>
      </c>
      <c r="X314" t="str">
        <f>IF(Table2[[#This Row],[Qty available]]&gt;Table2[[#This Row],[Qty on hand]],"Check","OK")</f>
        <v>OK</v>
      </c>
    </row>
    <row r="315" spans="1:24" x14ac:dyDescent="0.3">
      <c r="A315" t="s">
        <v>85</v>
      </c>
      <c r="B315" t="s">
        <v>86</v>
      </c>
      <c r="C315" t="s">
        <v>25</v>
      </c>
      <c r="D315" t="s">
        <v>26</v>
      </c>
      <c r="E315" t="s">
        <v>66</v>
      </c>
      <c r="F315" s="1" t="s">
        <v>30</v>
      </c>
      <c r="G315" s="2">
        <v>18.5</v>
      </c>
      <c r="H315">
        <v>18.5</v>
      </c>
      <c r="I315">
        <v>18.535177999999998</v>
      </c>
      <c r="J315">
        <v>26.52</v>
      </c>
      <c r="K315">
        <v>57</v>
      </c>
      <c r="L315" s="2">
        <v>55</v>
      </c>
      <c r="M315">
        <v>295</v>
      </c>
      <c r="N315" s="2">
        <v>197</v>
      </c>
      <c r="O315">
        <v>3651.43</v>
      </c>
      <c r="P315">
        <v>19</v>
      </c>
      <c r="Q315">
        <v>178</v>
      </c>
      <c r="R315">
        <v>9.3800000000000008</v>
      </c>
      <c r="S315">
        <v>0</v>
      </c>
      <c r="T315">
        <v>133</v>
      </c>
      <c r="U315" s="2">
        <v>3527.16</v>
      </c>
      <c r="V315">
        <v>0</v>
      </c>
      <c r="W315" t="s">
        <v>29</v>
      </c>
      <c r="X315" t="str">
        <f>IF(Table2[[#This Row],[Qty available]]&gt;Table2[[#This Row],[Qty on hand]],"Check","OK")</f>
        <v>OK</v>
      </c>
    </row>
    <row r="316" spans="1:24" x14ac:dyDescent="0.3">
      <c r="A316" t="s">
        <v>85</v>
      </c>
      <c r="B316" t="s">
        <v>86</v>
      </c>
      <c r="C316" t="s">
        <v>25</v>
      </c>
      <c r="D316" t="s">
        <v>26</v>
      </c>
      <c r="E316" t="s">
        <v>66</v>
      </c>
      <c r="F316" s="1" t="s">
        <v>31</v>
      </c>
      <c r="G316" s="2">
        <v>19.100000000000001</v>
      </c>
      <c r="H316">
        <v>19.100000000000001</v>
      </c>
      <c r="I316">
        <v>18.535188000000002</v>
      </c>
      <c r="J316">
        <v>26.52</v>
      </c>
      <c r="K316">
        <v>57</v>
      </c>
      <c r="M316">
        <v>0</v>
      </c>
      <c r="N316" s="2">
        <v>133</v>
      </c>
      <c r="O316">
        <v>2465.1799999999998</v>
      </c>
      <c r="P316">
        <v>5</v>
      </c>
      <c r="Q316">
        <v>128</v>
      </c>
      <c r="R316">
        <v>7.12</v>
      </c>
      <c r="S316">
        <v>1</v>
      </c>
      <c r="T316">
        <v>64</v>
      </c>
      <c r="U316" s="2">
        <v>1697.28</v>
      </c>
      <c r="V316">
        <v>0</v>
      </c>
      <c r="W316" t="s">
        <v>29</v>
      </c>
      <c r="X316" t="str">
        <f>IF(Table2[[#This Row],[Qty available]]&gt;Table2[[#This Row],[Qty on hand]],"Check","OK")</f>
        <v>OK</v>
      </c>
    </row>
    <row r="317" spans="1:24" x14ac:dyDescent="0.3">
      <c r="A317" t="s">
        <v>85</v>
      </c>
      <c r="B317" t="s">
        <v>86</v>
      </c>
      <c r="C317" t="s">
        <v>25</v>
      </c>
      <c r="D317" t="s">
        <v>26</v>
      </c>
      <c r="E317" t="s">
        <v>66</v>
      </c>
      <c r="F317" s="1" t="s">
        <v>32</v>
      </c>
      <c r="G317" s="2">
        <v>18.95</v>
      </c>
      <c r="H317">
        <v>18.95</v>
      </c>
      <c r="I317">
        <v>18.766714</v>
      </c>
      <c r="J317">
        <v>26.52</v>
      </c>
      <c r="K317">
        <v>57</v>
      </c>
      <c r="L317" s="2">
        <v>49</v>
      </c>
      <c r="M317">
        <v>168</v>
      </c>
      <c r="N317" s="2">
        <v>210</v>
      </c>
      <c r="O317">
        <v>3941.01</v>
      </c>
      <c r="P317">
        <v>7</v>
      </c>
      <c r="Q317">
        <v>203</v>
      </c>
      <c r="R317">
        <v>9.58</v>
      </c>
      <c r="S317">
        <v>2</v>
      </c>
      <c r="T317">
        <v>91</v>
      </c>
      <c r="U317" s="2">
        <v>2413.3200000000002</v>
      </c>
      <c r="V317">
        <v>0</v>
      </c>
      <c r="W317" t="s">
        <v>29</v>
      </c>
      <c r="X317" t="str">
        <f>IF(Table2[[#This Row],[Qty available]]&gt;Table2[[#This Row],[Qty on hand]],"Check","OK")</f>
        <v>OK</v>
      </c>
    </row>
    <row r="318" spans="1:24" x14ac:dyDescent="0.3">
      <c r="A318" t="s">
        <v>85</v>
      </c>
      <c r="B318" t="s">
        <v>86</v>
      </c>
      <c r="C318" t="s">
        <v>25</v>
      </c>
      <c r="D318" t="s">
        <v>26</v>
      </c>
      <c r="E318" t="s">
        <v>66</v>
      </c>
      <c r="F318" s="1" t="s">
        <v>33</v>
      </c>
      <c r="G318" s="2">
        <v>19.100000000000001</v>
      </c>
      <c r="H318">
        <v>19.100000000000001</v>
      </c>
      <c r="I318">
        <v>18.771438</v>
      </c>
      <c r="J318">
        <v>26.52</v>
      </c>
      <c r="K318">
        <v>57</v>
      </c>
      <c r="L318" s="2">
        <v>51</v>
      </c>
      <c r="M318">
        <v>3</v>
      </c>
      <c r="N318" s="2">
        <v>160</v>
      </c>
      <c r="O318">
        <v>3003.43</v>
      </c>
      <c r="P318">
        <v>14</v>
      </c>
      <c r="Q318">
        <v>146</v>
      </c>
      <c r="R318">
        <v>10.11</v>
      </c>
      <c r="S318">
        <v>0</v>
      </c>
      <c r="T318">
        <v>53</v>
      </c>
      <c r="U318" s="2">
        <v>1405.56</v>
      </c>
      <c r="V318">
        <v>0</v>
      </c>
      <c r="W318" t="s">
        <v>29</v>
      </c>
      <c r="X318" t="str">
        <f>IF(Table2[[#This Row],[Qty available]]&gt;Table2[[#This Row],[Qty on hand]],"Check","OK")</f>
        <v>OK</v>
      </c>
    </row>
    <row r="319" spans="1:24" x14ac:dyDescent="0.3">
      <c r="A319" t="s">
        <v>85</v>
      </c>
      <c r="B319" t="s">
        <v>86</v>
      </c>
      <c r="C319" t="s">
        <v>25</v>
      </c>
      <c r="D319" t="s">
        <v>26</v>
      </c>
      <c r="E319" t="s">
        <v>66</v>
      </c>
      <c r="F319" s="1" t="s">
        <v>34</v>
      </c>
      <c r="G319" s="2">
        <v>18.53</v>
      </c>
      <c r="H319">
        <v>18.53</v>
      </c>
      <c r="I319">
        <v>18.694358999999999</v>
      </c>
      <c r="J319">
        <v>27.67</v>
      </c>
      <c r="K319">
        <v>57</v>
      </c>
      <c r="L319" s="2">
        <v>50</v>
      </c>
      <c r="M319">
        <v>75</v>
      </c>
      <c r="N319" s="2">
        <v>156</v>
      </c>
      <c r="O319">
        <v>2916.32</v>
      </c>
      <c r="P319">
        <v>5</v>
      </c>
      <c r="Q319">
        <v>151</v>
      </c>
      <c r="R319">
        <v>8.99</v>
      </c>
      <c r="S319">
        <v>3</v>
      </c>
      <c r="T319">
        <v>79</v>
      </c>
      <c r="U319" s="2">
        <v>2185.9299999999998</v>
      </c>
      <c r="V319">
        <v>0</v>
      </c>
      <c r="W319" t="s">
        <v>29</v>
      </c>
      <c r="X319" t="str">
        <f>IF(Table2[[#This Row],[Qty available]]&gt;Table2[[#This Row],[Qty on hand]],"Check","OK")</f>
        <v>OK</v>
      </c>
    </row>
    <row r="320" spans="1:24" x14ac:dyDescent="0.3">
      <c r="A320" t="s">
        <v>85</v>
      </c>
      <c r="B320" t="s">
        <v>86</v>
      </c>
      <c r="C320" t="s">
        <v>25</v>
      </c>
      <c r="D320" t="s">
        <v>26</v>
      </c>
      <c r="E320" t="s">
        <v>66</v>
      </c>
      <c r="F320" s="1" t="s">
        <v>35</v>
      </c>
      <c r="G320" s="2">
        <v>18.75</v>
      </c>
      <c r="H320">
        <v>18.75</v>
      </c>
      <c r="I320">
        <v>18.694400000000002</v>
      </c>
      <c r="J320">
        <v>27.67</v>
      </c>
      <c r="K320">
        <v>57</v>
      </c>
      <c r="M320">
        <v>0</v>
      </c>
      <c r="N320" s="2">
        <v>100</v>
      </c>
      <c r="O320">
        <v>1869.44</v>
      </c>
      <c r="P320">
        <v>23</v>
      </c>
      <c r="Q320">
        <v>77</v>
      </c>
      <c r="R320">
        <v>6.84</v>
      </c>
      <c r="S320">
        <v>6</v>
      </c>
      <c r="T320">
        <v>56</v>
      </c>
      <c r="U320" s="2">
        <v>1549.52</v>
      </c>
      <c r="V320">
        <v>0</v>
      </c>
      <c r="W320" t="s">
        <v>29</v>
      </c>
      <c r="X320" t="str">
        <f>IF(Table2[[#This Row],[Qty available]]&gt;Table2[[#This Row],[Qty on hand]],"Check","OK")</f>
        <v>OK</v>
      </c>
    </row>
    <row r="321" spans="1:24" x14ac:dyDescent="0.3">
      <c r="A321" t="s">
        <v>85</v>
      </c>
      <c r="B321" t="s">
        <v>86</v>
      </c>
      <c r="C321" t="s">
        <v>25</v>
      </c>
      <c r="D321" t="s">
        <v>26</v>
      </c>
      <c r="E321" t="s">
        <v>66</v>
      </c>
      <c r="F321" s="1" t="s">
        <v>36</v>
      </c>
      <c r="G321" s="2">
        <v>19.66</v>
      </c>
      <c r="H321">
        <v>19.66</v>
      </c>
      <c r="I321">
        <v>19.338144</v>
      </c>
      <c r="J321">
        <v>27.67</v>
      </c>
      <c r="K321">
        <v>57</v>
      </c>
      <c r="L321" s="2">
        <v>88</v>
      </c>
      <c r="M321">
        <v>200</v>
      </c>
      <c r="N321" s="2">
        <v>167</v>
      </c>
      <c r="O321">
        <v>3229.47</v>
      </c>
      <c r="P321">
        <v>21</v>
      </c>
      <c r="Q321">
        <v>146</v>
      </c>
      <c r="R321">
        <v>7.92</v>
      </c>
      <c r="S321">
        <v>2</v>
      </c>
      <c r="T321">
        <v>133</v>
      </c>
      <c r="U321" s="2">
        <v>3680.11</v>
      </c>
      <c r="V321">
        <v>0</v>
      </c>
      <c r="W321" t="s">
        <v>29</v>
      </c>
      <c r="X321" t="str">
        <f>IF(Table2[[#This Row],[Qty available]]&gt;Table2[[#This Row],[Qty on hand]],"Check","OK")</f>
        <v>OK</v>
      </c>
    </row>
    <row r="322" spans="1:24" x14ac:dyDescent="0.3">
      <c r="A322" t="s">
        <v>85</v>
      </c>
      <c r="B322" t="s">
        <v>86</v>
      </c>
      <c r="C322" t="s">
        <v>25</v>
      </c>
      <c r="D322" t="s">
        <v>26</v>
      </c>
      <c r="E322" t="s">
        <v>66</v>
      </c>
      <c r="F322" s="1" t="s">
        <v>37</v>
      </c>
      <c r="G322" s="2">
        <v>19.739999999999998</v>
      </c>
      <c r="H322">
        <v>19.739999999999998</v>
      </c>
      <c r="I322">
        <v>19.402774000000001</v>
      </c>
      <c r="J322">
        <v>27.67</v>
      </c>
      <c r="K322">
        <v>57</v>
      </c>
      <c r="L322" s="2">
        <v>51</v>
      </c>
      <c r="M322">
        <v>32</v>
      </c>
      <c r="N322" s="2">
        <v>155</v>
      </c>
      <c r="O322">
        <v>3007.43</v>
      </c>
      <c r="P322">
        <v>16</v>
      </c>
      <c r="Q322">
        <v>139</v>
      </c>
      <c r="R322">
        <v>8.74</v>
      </c>
      <c r="S322">
        <v>0</v>
      </c>
      <c r="T322">
        <v>44</v>
      </c>
      <c r="U322" s="2">
        <v>1217.48</v>
      </c>
      <c r="V322">
        <v>0</v>
      </c>
      <c r="W322" t="s">
        <v>29</v>
      </c>
      <c r="X322" t="str">
        <f>IF(Table2[[#This Row],[Qty available]]&gt;Table2[[#This Row],[Qty on hand]],"Check","OK")</f>
        <v>OK</v>
      </c>
    </row>
    <row r="323" spans="1:24" x14ac:dyDescent="0.3">
      <c r="A323" t="s">
        <v>85</v>
      </c>
      <c r="B323" t="s">
        <v>86</v>
      </c>
      <c r="C323" t="s">
        <v>25</v>
      </c>
      <c r="D323" t="s">
        <v>26</v>
      </c>
      <c r="E323" t="s">
        <v>66</v>
      </c>
      <c r="F323" s="1" t="s">
        <v>38</v>
      </c>
      <c r="G323" s="2">
        <v>19.45</v>
      </c>
      <c r="H323">
        <v>19.45</v>
      </c>
      <c r="I323">
        <v>19.402737999999999</v>
      </c>
      <c r="J323">
        <v>27.67</v>
      </c>
      <c r="K323">
        <v>57</v>
      </c>
      <c r="M323">
        <v>0</v>
      </c>
      <c r="N323" s="2">
        <v>84</v>
      </c>
      <c r="O323">
        <v>1629.83</v>
      </c>
      <c r="P323">
        <v>23</v>
      </c>
      <c r="Q323">
        <v>61</v>
      </c>
      <c r="R323">
        <v>4.4000000000000004</v>
      </c>
      <c r="S323">
        <v>3</v>
      </c>
      <c r="T323">
        <v>71</v>
      </c>
      <c r="U323" s="2">
        <v>1964.57</v>
      </c>
      <c r="V323">
        <v>0</v>
      </c>
      <c r="W323" t="s">
        <v>29</v>
      </c>
      <c r="X323" t="str">
        <f>IF(Table2[[#This Row],[Qty available]]&gt;Table2[[#This Row],[Qty on hand]],"Check","OK")</f>
        <v>OK</v>
      </c>
    </row>
    <row r="324" spans="1:24" x14ac:dyDescent="0.3">
      <c r="A324" t="s">
        <v>85</v>
      </c>
      <c r="B324" t="s">
        <v>86</v>
      </c>
      <c r="C324" t="s">
        <v>25</v>
      </c>
      <c r="D324" t="s">
        <v>26</v>
      </c>
      <c r="E324" t="s">
        <v>66</v>
      </c>
      <c r="F324" s="1" t="s">
        <v>39</v>
      </c>
      <c r="G324" s="2">
        <v>19.36</v>
      </c>
      <c r="H324">
        <v>19.36</v>
      </c>
      <c r="I324">
        <v>19.373797</v>
      </c>
      <c r="J324">
        <v>27.67</v>
      </c>
      <c r="K324">
        <v>57</v>
      </c>
      <c r="L324" s="2">
        <v>56</v>
      </c>
      <c r="M324">
        <v>176</v>
      </c>
      <c r="N324" s="2">
        <v>187</v>
      </c>
      <c r="O324">
        <v>3622.9</v>
      </c>
      <c r="P324">
        <v>16</v>
      </c>
      <c r="Q324">
        <v>171</v>
      </c>
      <c r="R324">
        <v>13.07</v>
      </c>
      <c r="S324">
        <v>11</v>
      </c>
      <c r="T324">
        <v>73</v>
      </c>
      <c r="U324" s="2">
        <v>2019.91</v>
      </c>
      <c r="V324">
        <v>0</v>
      </c>
      <c r="W324" t="s">
        <v>29</v>
      </c>
      <c r="X324" t="str">
        <f>IF(Table2[[#This Row],[Qty available]]&gt;Table2[[#This Row],[Qty on hand]],"Check","OK")</f>
        <v>OK</v>
      </c>
    </row>
    <row r="325" spans="1:24" x14ac:dyDescent="0.3">
      <c r="A325" t="s">
        <v>85</v>
      </c>
      <c r="B325" t="s">
        <v>86</v>
      </c>
      <c r="C325" t="s">
        <v>25</v>
      </c>
      <c r="D325" t="s">
        <v>26</v>
      </c>
      <c r="E325" t="s">
        <v>66</v>
      </c>
      <c r="F325" s="1" t="s">
        <v>40</v>
      </c>
      <c r="G325" s="2">
        <v>19.100000000000001</v>
      </c>
      <c r="H325">
        <v>19.100000000000001</v>
      </c>
      <c r="I325">
        <v>19.242229999999999</v>
      </c>
      <c r="J325">
        <v>27.67</v>
      </c>
      <c r="K325">
        <v>57</v>
      </c>
      <c r="L325" s="2">
        <v>50</v>
      </c>
      <c r="M325">
        <v>173</v>
      </c>
      <c r="N325" s="2">
        <v>287</v>
      </c>
      <c r="O325">
        <v>5522.52</v>
      </c>
      <c r="P325">
        <v>14</v>
      </c>
      <c r="Q325">
        <v>273</v>
      </c>
      <c r="R325">
        <v>17.38</v>
      </c>
      <c r="S325">
        <v>5</v>
      </c>
      <c r="T325">
        <v>73</v>
      </c>
      <c r="U325" s="2">
        <v>2019.91</v>
      </c>
      <c r="V325">
        <v>0</v>
      </c>
      <c r="W325" t="s">
        <v>29</v>
      </c>
      <c r="X325" t="str">
        <f>IF(Table2[[#This Row],[Qty available]]&gt;Table2[[#This Row],[Qty on hand]],"Check","OK")</f>
        <v>OK</v>
      </c>
    </row>
    <row r="326" spans="1:24" x14ac:dyDescent="0.3">
      <c r="A326" t="s">
        <v>85</v>
      </c>
      <c r="B326" t="s">
        <v>86</v>
      </c>
      <c r="C326" t="s">
        <v>25</v>
      </c>
      <c r="D326" t="s">
        <v>26</v>
      </c>
      <c r="E326" t="s">
        <v>66</v>
      </c>
      <c r="F326" s="1" t="s">
        <v>41</v>
      </c>
      <c r="G326" s="2">
        <v>19.2</v>
      </c>
      <c r="H326">
        <v>19.2</v>
      </c>
      <c r="I326">
        <v>19.242222000000002</v>
      </c>
      <c r="J326">
        <v>27.67</v>
      </c>
      <c r="K326">
        <v>57</v>
      </c>
      <c r="M326">
        <v>0</v>
      </c>
      <c r="N326" s="2">
        <v>225</v>
      </c>
      <c r="O326">
        <v>4329.5</v>
      </c>
      <c r="P326">
        <v>21</v>
      </c>
      <c r="Q326">
        <v>204</v>
      </c>
      <c r="R326">
        <v>14.22</v>
      </c>
      <c r="S326">
        <v>2</v>
      </c>
      <c r="T326">
        <v>62</v>
      </c>
      <c r="U326" s="2">
        <v>1715.54</v>
      </c>
      <c r="V326">
        <v>0</v>
      </c>
      <c r="W326" t="s">
        <v>29</v>
      </c>
      <c r="X326" t="str">
        <f>IF(Table2[[#This Row],[Qty available]]&gt;Table2[[#This Row],[Qty on hand]],"Check","OK")</f>
        <v>OK</v>
      </c>
    </row>
    <row r="327" spans="1:24" x14ac:dyDescent="0.3">
      <c r="A327" t="s">
        <v>85</v>
      </c>
      <c r="B327" t="s">
        <v>86</v>
      </c>
      <c r="C327" t="s">
        <v>25</v>
      </c>
      <c r="D327" t="s">
        <v>26</v>
      </c>
      <c r="E327" t="s">
        <v>66</v>
      </c>
      <c r="F327" s="1" t="s">
        <v>42</v>
      </c>
      <c r="G327" s="2">
        <v>19.79</v>
      </c>
      <c r="H327">
        <v>19.79</v>
      </c>
      <c r="I327">
        <v>19.242222000000002</v>
      </c>
      <c r="J327">
        <v>27.67</v>
      </c>
      <c r="K327">
        <v>57</v>
      </c>
      <c r="M327">
        <v>0</v>
      </c>
      <c r="N327" s="2">
        <v>153</v>
      </c>
      <c r="O327">
        <v>2944.06</v>
      </c>
      <c r="P327">
        <v>12</v>
      </c>
      <c r="Q327">
        <v>141</v>
      </c>
      <c r="R327">
        <v>9.7100000000000009</v>
      </c>
      <c r="S327">
        <v>2</v>
      </c>
      <c r="T327">
        <v>72</v>
      </c>
      <c r="U327" s="2">
        <v>1992.24</v>
      </c>
      <c r="V327">
        <v>0</v>
      </c>
      <c r="W327" t="s">
        <v>29</v>
      </c>
      <c r="X327" t="str">
        <f>IF(Table2[[#This Row],[Qty available]]&gt;Table2[[#This Row],[Qty on hand]],"Check","OK")</f>
        <v>OK</v>
      </c>
    </row>
    <row r="328" spans="1:24" x14ac:dyDescent="0.3">
      <c r="A328" t="s">
        <v>85</v>
      </c>
      <c r="B328" t="s">
        <v>86</v>
      </c>
      <c r="C328" t="s">
        <v>25</v>
      </c>
      <c r="D328" t="s">
        <v>26</v>
      </c>
      <c r="E328" t="s">
        <v>66</v>
      </c>
      <c r="F328" s="1" t="s">
        <v>43</v>
      </c>
      <c r="G328" s="2">
        <v>19.12</v>
      </c>
      <c r="H328">
        <v>19.12</v>
      </c>
      <c r="I328">
        <v>19.183613999999999</v>
      </c>
      <c r="J328">
        <v>27.67</v>
      </c>
      <c r="K328">
        <v>57</v>
      </c>
      <c r="L328" s="2">
        <v>50</v>
      </c>
      <c r="M328">
        <v>141</v>
      </c>
      <c r="N328" s="2">
        <v>249</v>
      </c>
      <c r="O328">
        <v>4776.72</v>
      </c>
      <c r="P328">
        <v>14</v>
      </c>
      <c r="Q328">
        <v>235</v>
      </c>
      <c r="R328">
        <v>18.079999999999998</v>
      </c>
      <c r="S328">
        <v>0</v>
      </c>
      <c r="T328">
        <v>45</v>
      </c>
      <c r="U328" s="2">
        <v>1245.1500000000001</v>
      </c>
      <c r="V328">
        <v>0</v>
      </c>
      <c r="W328" t="s">
        <v>29</v>
      </c>
      <c r="X328" t="str">
        <f>IF(Table2[[#This Row],[Qty available]]&gt;Table2[[#This Row],[Qty on hand]],"Check","OK")</f>
        <v>OK</v>
      </c>
    </row>
    <row r="329" spans="1:24" x14ac:dyDescent="0.3">
      <c r="A329" t="s">
        <v>85</v>
      </c>
      <c r="B329" t="s">
        <v>86</v>
      </c>
      <c r="C329" t="s">
        <v>25</v>
      </c>
      <c r="D329" t="s">
        <v>26</v>
      </c>
      <c r="E329" t="s">
        <v>66</v>
      </c>
      <c r="F329" s="1" t="s">
        <v>44</v>
      </c>
      <c r="G329" s="2">
        <v>19.12</v>
      </c>
      <c r="H329">
        <v>19.12</v>
      </c>
      <c r="I329">
        <v>19.163284000000001</v>
      </c>
      <c r="J329">
        <v>27.67</v>
      </c>
      <c r="K329">
        <v>57</v>
      </c>
      <c r="L329" s="2">
        <v>53</v>
      </c>
      <c r="M329">
        <v>117</v>
      </c>
      <c r="N329" s="2">
        <v>271</v>
      </c>
      <c r="O329">
        <v>5193.25</v>
      </c>
      <c r="P329">
        <v>14</v>
      </c>
      <c r="Q329">
        <v>257</v>
      </c>
      <c r="R329">
        <v>16.8</v>
      </c>
      <c r="S329">
        <v>5</v>
      </c>
      <c r="T329">
        <v>95</v>
      </c>
      <c r="U329" s="2">
        <v>2628.65</v>
      </c>
      <c r="V329">
        <v>0</v>
      </c>
      <c r="W329" t="s">
        <v>29</v>
      </c>
      <c r="X329" t="str">
        <f>IF(Table2[[#This Row],[Qty available]]&gt;Table2[[#This Row],[Qty on hand]],"Check","OK")</f>
        <v>OK</v>
      </c>
    </row>
    <row r="330" spans="1:24" x14ac:dyDescent="0.3">
      <c r="A330" t="s">
        <v>85</v>
      </c>
      <c r="B330" t="s">
        <v>86</v>
      </c>
      <c r="C330" t="s">
        <v>25</v>
      </c>
      <c r="D330" t="s">
        <v>26</v>
      </c>
      <c r="E330" t="s">
        <v>66</v>
      </c>
      <c r="F330" s="1" t="s">
        <v>45</v>
      </c>
      <c r="G330" s="2">
        <v>19.36</v>
      </c>
      <c r="H330">
        <v>19.36</v>
      </c>
      <c r="I330">
        <v>19.183477</v>
      </c>
      <c r="J330">
        <v>27.67</v>
      </c>
      <c r="K330">
        <v>57</v>
      </c>
      <c r="L330" s="2">
        <v>55</v>
      </c>
      <c r="M330">
        <v>31</v>
      </c>
      <c r="N330" s="2">
        <v>256</v>
      </c>
      <c r="O330">
        <v>4910.97</v>
      </c>
      <c r="P330">
        <v>19</v>
      </c>
      <c r="Q330">
        <v>237</v>
      </c>
      <c r="R330">
        <v>18.09</v>
      </c>
      <c r="S330">
        <v>0</v>
      </c>
      <c r="T330">
        <v>46</v>
      </c>
      <c r="U330" s="2">
        <v>1272.82</v>
      </c>
      <c r="V330">
        <v>0</v>
      </c>
      <c r="W330" t="s">
        <v>29</v>
      </c>
      <c r="X330" t="str">
        <f>IF(Table2[[#This Row],[Qty available]]&gt;Table2[[#This Row],[Qty on hand]],"Check","OK")</f>
        <v>OK</v>
      </c>
    </row>
    <row r="331" spans="1:24" x14ac:dyDescent="0.3">
      <c r="A331" t="s">
        <v>85</v>
      </c>
      <c r="B331" t="s">
        <v>86</v>
      </c>
      <c r="C331" t="s">
        <v>25</v>
      </c>
      <c r="D331" t="s">
        <v>26</v>
      </c>
      <c r="E331" t="s">
        <v>66</v>
      </c>
      <c r="F331" s="1" t="s">
        <v>46</v>
      </c>
      <c r="G331" s="2">
        <v>19.66</v>
      </c>
      <c r="H331">
        <v>19.66</v>
      </c>
      <c r="I331">
        <v>19.183503000000002</v>
      </c>
      <c r="J331">
        <v>28.87</v>
      </c>
      <c r="K331">
        <v>57</v>
      </c>
      <c r="M331">
        <v>0</v>
      </c>
      <c r="N331" s="2">
        <v>157</v>
      </c>
      <c r="O331">
        <v>3011.81</v>
      </c>
      <c r="P331">
        <v>12</v>
      </c>
      <c r="Q331">
        <v>145</v>
      </c>
      <c r="R331">
        <v>8.41</v>
      </c>
      <c r="S331">
        <v>2</v>
      </c>
      <c r="T331">
        <v>99</v>
      </c>
      <c r="U331" s="2">
        <v>2858.13</v>
      </c>
      <c r="V331">
        <v>0</v>
      </c>
      <c r="W331" t="s">
        <v>29</v>
      </c>
      <c r="X331" t="str">
        <f>IF(Table2[[#This Row],[Qty available]]&gt;Table2[[#This Row],[Qty on hand]],"Check","OK")</f>
        <v>OK</v>
      </c>
    </row>
    <row r="332" spans="1:24" x14ac:dyDescent="0.3">
      <c r="A332" t="s">
        <v>85</v>
      </c>
      <c r="B332" t="s">
        <v>86</v>
      </c>
      <c r="C332" t="s">
        <v>25</v>
      </c>
      <c r="D332" t="s">
        <v>26</v>
      </c>
      <c r="E332" t="s">
        <v>66</v>
      </c>
      <c r="F332" s="1" t="s">
        <v>47</v>
      </c>
      <c r="G332" s="2">
        <v>19.78</v>
      </c>
      <c r="H332">
        <v>19.78</v>
      </c>
      <c r="I332">
        <v>19.464676999999998</v>
      </c>
      <c r="J332">
        <v>28.87</v>
      </c>
      <c r="K332">
        <v>57</v>
      </c>
      <c r="L332" s="2">
        <v>54</v>
      </c>
      <c r="M332">
        <v>140</v>
      </c>
      <c r="N332" s="2">
        <v>201</v>
      </c>
      <c r="O332">
        <v>3912.4</v>
      </c>
      <c r="P332">
        <v>16</v>
      </c>
      <c r="Q332">
        <v>185</v>
      </c>
      <c r="R332">
        <v>10.72</v>
      </c>
      <c r="S332">
        <v>3</v>
      </c>
      <c r="T332">
        <v>96</v>
      </c>
      <c r="U332" s="2">
        <v>2771.52</v>
      </c>
      <c r="V332">
        <v>0</v>
      </c>
      <c r="W332" t="s">
        <v>29</v>
      </c>
      <c r="X332" t="str">
        <f>IF(Table2[[#This Row],[Qty available]]&gt;Table2[[#This Row],[Qty on hand]],"Check","OK")</f>
        <v>OK</v>
      </c>
    </row>
    <row r="333" spans="1:24" x14ac:dyDescent="0.3">
      <c r="A333" t="s">
        <v>85</v>
      </c>
      <c r="B333" t="s">
        <v>86</v>
      </c>
      <c r="C333" t="s">
        <v>25</v>
      </c>
      <c r="D333" t="s">
        <v>26</v>
      </c>
      <c r="E333" t="s">
        <v>66</v>
      </c>
      <c r="F333" s="1" t="s">
        <v>48</v>
      </c>
      <c r="G333" s="2">
        <v>20.239999999999998</v>
      </c>
      <c r="H333">
        <v>20.239999999999998</v>
      </c>
      <c r="I333">
        <v>19.727360999999998</v>
      </c>
      <c r="J333">
        <v>28.87</v>
      </c>
      <c r="K333">
        <v>57</v>
      </c>
      <c r="L333" s="2">
        <v>50</v>
      </c>
      <c r="M333">
        <v>103</v>
      </c>
      <c r="N333" s="2">
        <v>216</v>
      </c>
      <c r="O333">
        <v>4261.1099999999997</v>
      </c>
      <c r="P333">
        <v>16</v>
      </c>
      <c r="Q333">
        <v>200</v>
      </c>
      <c r="R333">
        <v>9.6999999999999993</v>
      </c>
      <c r="S333">
        <v>4</v>
      </c>
      <c r="T333">
        <v>88</v>
      </c>
      <c r="U333" s="2">
        <v>2540.56</v>
      </c>
      <c r="V333">
        <v>0</v>
      </c>
      <c r="W333" t="s">
        <v>29</v>
      </c>
      <c r="X333" t="str">
        <f>IF(Table2[[#This Row],[Qty available]]&gt;Table2[[#This Row],[Qty on hand]],"Check","OK")</f>
        <v>OK</v>
      </c>
    </row>
    <row r="334" spans="1:24" x14ac:dyDescent="0.3">
      <c r="A334" t="s">
        <v>85</v>
      </c>
      <c r="B334" t="s">
        <v>86</v>
      </c>
      <c r="C334" t="s">
        <v>25</v>
      </c>
      <c r="D334" t="s">
        <v>26</v>
      </c>
      <c r="E334" t="s">
        <v>66</v>
      </c>
      <c r="F334" s="1" t="s">
        <v>49</v>
      </c>
      <c r="G334" s="2">
        <v>20.190000000000001</v>
      </c>
      <c r="H334">
        <v>20.190000000000001</v>
      </c>
      <c r="I334">
        <v>19.727367999999998</v>
      </c>
      <c r="J334">
        <v>28.87</v>
      </c>
      <c r="K334">
        <v>57</v>
      </c>
      <c r="M334">
        <v>0</v>
      </c>
      <c r="N334" s="2">
        <v>133</v>
      </c>
      <c r="O334">
        <v>2623.74</v>
      </c>
      <c r="P334">
        <v>19</v>
      </c>
      <c r="Q334">
        <v>114</v>
      </c>
      <c r="R334">
        <v>6.55</v>
      </c>
      <c r="S334">
        <v>1</v>
      </c>
      <c r="T334">
        <v>83</v>
      </c>
      <c r="U334" s="2">
        <v>2396.21</v>
      </c>
      <c r="V334">
        <v>0</v>
      </c>
      <c r="W334" t="s">
        <v>29</v>
      </c>
      <c r="X334" t="str">
        <f>IF(Table2[[#This Row],[Qty available]]&gt;Table2[[#This Row],[Qty on hand]],"Check","OK")</f>
        <v>OK</v>
      </c>
    </row>
    <row r="335" spans="1:24" x14ac:dyDescent="0.3">
      <c r="A335" t="s">
        <v>85</v>
      </c>
      <c r="B335" t="s">
        <v>86</v>
      </c>
      <c r="C335" t="s">
        <v>25</v>
      </c>
      <c r="D335" t="s">
        <v>26</v>
      </c>
      <c r="E335" t="s">
        <v>66</v>
      </c>
      <c r="F335" s="1" t="s">
        <v>50</v>
      </c>
      <c r="G335" s="2">
        <v>20.02</v>
      </c>
      <c r="H335">
        <v>20.02</v>
      </c>
      <c r="I335">
        <v>19.850819999999999</v>
      </c>
      <c r="J335">
        <v>28.87</v>
      </c>
      <c r="K335">
        <v>57</v>
      </c>
      <c r="L335" s="2">
        <v>82</v>
      </c>
      <c r="M335">
        <v>97</v>
      </c>
      <c r="N335" s="2">
        <v>122</v>
      </c>
      <c r="O335">
        <v>2421.8000000000002</v>
      </c>
      <c r="P335">
        <v>19</v>
      </c>
      <c r="Q335">
        <v>103</v>
      </c>
      <c r="R335">
        <v>5.68</v>
      </c>
      <c r="S335">
        <v>0</v>
      </c>
      <c r="T335">
        <v>108</v>
      </c>
      <c r="U335" s="2">
        <v>3117.96</v>
      </c>
      <c r="V335">
        <v>0</v>
      </c>
      <c r="W335" t="s">
        <v>29</v>
      </c>
      <c r="X335" t="str">
        <f>IF(Table2[[#This Row],[Qty available]]&gt;Table2[[#This Row],[Qty on hand]],"Check","OK")</f>
        <v>OK</v>
      </c>
    </row>
    <row r="336" spans="1:24" x14ac:dyDescent="0.3">
      <c r="A336" t="s">
        <v>85</v>
      </c>
      <c r="B336" t="s">
        <v>86</v>
      </c>
      <c r="C336" t="s">
        <v>25</v>
      </c>
      <c r="D336" t="s">
        <v>26</v>
      </c>
      <c r="E336" t="s">
        <v>66</v>
      </c>
      <c r="F336" s="1" t="s">
        <v>51</v>
      </c>
      <c r="G336" s="2">
        <v>20.11</v>
      </c>
      <c r="H336">
        <v>20.11</v>
      </c>
      <c r="I336">
        <v>20.004954999999999</v>
      </c>
      <c r="J336">
        <v>28.87</v>
      </c>
      <c r="K336">
        <v>57</v>
      </c>
      <c r="L336" s="2">
        <v>50</v>
      </c>
      <c r="M336">
        <v>179</v>
      </c>
      <c r="N336" s="2">
        <v>224</v>
      </c>
      <c r="O336">
        <v>4481.1099999999997</v>
      </c>
      <c r="P336">
        <v>14</v>
      </c>
      <c r="Q336">
        <v>210</v>
      </c>
      <c r="R336">
        <v>10.99</v>
      </c>
      <c r="S336">
        <v>0</v>
      </c>
      <c r="T336">
        <v>77</v>
      </c>
      <c r="U336" s="2">
        <v>2222.9899999999998</v>
      </c>
      <c r="V336">
        <v>0</v>
      </c>
      <c r="W336" t="s">
        <v>29</v>
      </c>
      <c r="X336" t="str">
        <f>IF(Table2[[#This Row],[Qty available]]&gt;Table2[[#This Row],[Qty on hand]],"Check","OK")</f>
        <v>OK</v>
      </c>
    </row>
    <row r="337" spans="1:24" x14ac:dyDescent="0.3">
      <c r="A337" t="s">
        <v>85</v>
      </c>
      <c r="B337" t="s">
        <v>86</v>
      </c>
      <c r="C337" t="s">
        <v>25</v>
      </c>
      <c r="D337" t="s">
        <v>26</v>
      </c>
      <c r="E337" t="s">
        <v>66</v>
      </c>
      <c r="F337" s="1" t="s">
        <v>52</v>
      </c>
      <c r="G337" s="2">
        <v>20.36</v>
      </c>
      <c r="H337">
        <v>20.36</v>
      </c>
      <c r="I337">
        <v>20.050563</v>
      </c>
      <c r="J337">
        <v>28.87</v>
      </c>
      <c r="K337">
        <v>57</v>
      </c>
      <c r="L337" s="2">
        <v>56</v>
      </c>
      <c r="M337">
        <v>33</v>
      </c>
      <c r="N337" s="2">
        <v>160</v>
      </c>
      <c r="O337">
        <v>3208.09</v>
      </c>
      <c r="P337">
        <v>23</v>
      </c>
      <c r="Q337">
        <v>137</v>
      </c>
      <c r="R337">
        <v>7.46</v>
      </c>
      <c r="S337">
        <v>2</v>
      </c>
      <c r="T337">
        <v>97</v>
      </c>
      <c r="U337" s="2">
        <v>2800.39</v>
      </c>
      <c r="V337">
        <v>0</v>
      </c>
      <c r="W337" t="s">
        <v>29</v>
      </c>
      <c r="X337" t="str">
        <f>IF(Table2[[#This Row],[Qty available]]&gt;Table2[[#This Row],[Qty on hand]],"Check","OK")</f>
        <v>OK</v>
      </c>
    </row>
    <row r="338" spans="1:24" x14ac:dyDescent="0.3">
      <c r="A338" t="s">
        <v>87</v>
      </c>
      <c r="B338" t="s">
        <v>88</v>
      </c>
      <c r="C338" t="s">
        <v>77</v>
      </c>
      <c r="D338" t="s">
        <v>78</v>
      </c>
      <c r="E338" t="s">
        <v>27</v>
      </c>
      <c r="F338" s="1" t="s">
        <v>28</v>
      </c>
      <c r="G338" s="2">
        <v>158.94</v>
      </c>
      <c r="H338">
        <v>172.26</v>
      </c>
      <c r="I338">
        <v>172.41800000000001</v>
      </c>
      <c r="J338">
        <v>233.87</v>
      </c>
      <c r="K338">
        <v>20</v>
      </c>
      <c r="L338" s="2">
        <v>20</v>
      </c>
      <c r="M338">
        <v>16</v>
      </c>
      <c r="N338" s="2">
        <v>15</v>
      </c>
      <c r="O338">
        <v>2586.27</v>
      </c>
      <c r="P338">
        <v>1</v>
      </c>
      <c r="Q338">
        <v>14</v>
      </c>
      <c r="R338">
        <v>7.3</v>
      </c>
      <c r="S338">
        <v>12</v>
      </c>
      <c r="T338">
        <v>7</v>
      </c>
      <c r="U338" s="2">
        <v>1637.09</v>
      </c>
      <c r="V338">
        <v>0</v>
      </c>
      <c r="W338" t="s">
        <v>29</v>
      </c>
      <c r="X338" t="str">
        <f>IF(Table2[[#This Row],[Qty available]]&gt;Table2[[#This Row],[Qty on hand]],"Check","OK")</f>
        <v>OK</v>
      </c>
    </row>
    <row r="339" spans="1:24" x14ac:dyDescent="0.3">
      <c r="A339" t="s">
        <v>87</v>
      </c>
      <c r="B339" t="s">
        <v>88</v>
      </c>
      <c r="C339" t="s">
        <v>77</v>
      </c>
      <c r="D339" t="s">
        <v>78</v>
      </c>
      <c r="E339" t="s">
        <v>27</v>
      </c>
      <c r="F339" s="1" t="s">
        <v>30</v>
      </c>
      <c r="G339" s="2">
        <v>154.63999999999999</v>
      </c>
      <c r="H339">
        <v>167.6</v>
      </c>
      <c r="I339">
        <v>172.41800000000001</v>
      </c>
      <c r="J339">
        <v>233.87</v>
      </c>
      <c r="K339">
        <v>20</v>
      </c>
      <c r="M339">
        <v>0</v>
      </c>
      <c r="N339" s="2">
        <v>5</v>
      </c>
      <c r="O339">
        <v>862.09</v>
      </c>
      <c r="P339">
        <v>2</v>
      </c>
      <c r="Q339">
        <v>3</v>
      </c>
      <c r="R339">
        <v>2.19</v>
      </c>
      <c r="S339">
        <v>3</v>
      </c>
      <c r="T339">
        <v>10</v>
      </c>
      <c r="U339" s="2">
        <v>2338.6999999999998</v>
      </c>
      <c r="V339">
        <v>0</v>
      </c>
      <c r="W339" t="s">
        <v>29</v>
      </c>
      <c r="X339" t="str">
        <f>IF(Table2[[#This Row],[Qty available]]&gt;Table2[[#This Row],[Qty on hand]],"Check","OK")</f>
        <v>OK</v>
      </c>
    </row>
    <row r="340" spans="1:24" x14ac:dyDescent="0.3">
      <c r="A340" t="s">
        <v>87</v>
      </c>
      <c r="B340" t="s">
        <v>88</v>
      </c>
      <c r="C340" t="s">
        <v>77</v>
      </c>
      <c r="D340" t="s">
        <v>78</v>
      </c>
      <c r="E340" t="s">
        <v>27</v>
      </c>
      <c r="F340" s="1" t="s">
        <v>31</v>
      </c>
      <c r="G340" s="2">
        <v>159.82</v>
      </c>
      <c r="H340">
        <v>173.21</v>
      </c>
      <c r="I340">
        <v>173.05153799999999</v>
      </c>
      <c r="J340">
        <v>233.87</v>
      </c>
      <c r="K340">
        <v>20</v>
      </c>
      <c r="L340" s="2">
        <v>18</v>
      </c>
      <c r="M340">
        <v>20</v>
      </c>
      <c r="N340" s="2">
        <v>13</v>
      </c>
      <c r="O340">
        <v>2249.67</v>
      </c>
      <c r="P340">
        <v>2</v>
      </c>
      <c r="Q340">
        <v>11</v>
      </c>
      <c r="R340">
        <v>5.83</v>
      </c>
      <c r="S340">
        <v>6</v>
      </c>
      <c r="T340">
        <v>12</v>
      </c>
      <c r="U340" s="2">
        <v>2806.44</v>
      </c>
      <c r="V340">
        <v>0</v>
      </c>
      <c r="W340" t="s">
        <v>29</v>
      </c>
      <c r="X340" t="str">
        <f>IF(Table2[[#This Row],[Qty available]]&gt;Table2[[#This Row],[Qty on hand]],"Check","OK")</f>
        <v>OK</v>
      </c>
    </row>
    <row r="341" spans="1:24" x14ac:dyDescent="0.3">
      <c r="A341" t="s">
        <v>87</v>
      </c>
      <c r="B341" t="s">
        <v>88</v>
      </c>
      <c r="C341" t="s">
        <v>77</v>
      </c>
      <c r="D341" t="s">
        <v>78</v>
      </c>
      <c r="E341" t="s">
        <v>27</v>
      </c>
      <c r="F341" s="1" t="s">
        <v>32</v>
      </c>
      <c r="G341" s="2">
        <v>160.03</v>
      </c>
      <c r="H341">
        <v>173.44</v>
      </c>
      <c r="I341">
        <v>173.142</v>
      </c>
      <c r="J341">
        <v>233.87</v>
      </c>
      <c r="K341">
        <v>20</v>
      </c>
      <c r="L341" s="2">
        <v>17</v>
      </c>
      <c r="M341">
        <v>4</v>
      </c>
      <c r="N341" s="2">
        <v>5</v>
      </c>
      <c r="O341">
        <v>865.71</v>
      </c>
      <c r="P341">
        <v>2</v>
      </c>
      <c r="Q341">
        <v>3</v>
      </c>
      <c r="R341">
        <v>1.93</v>
      </c>
      <c r="S341">
        <v>8</v>
      </c>
      <c r="T341">
        <v>12</v>
      </c>
      <c r="U341" s="2">
        <v>2806.44</v>
      </c>
      <c r="V341">
        <v>0</v>
      </c>
      <c r="W341" t="s">
        <v>29</v>
      </c>
      <c r="X341" t="str">
        <f>IF(Table2[[#This Row],[Qty available]]&gt;Table2[[#This Row],[Qty on hand]],"Check","OK")</f>
        <v>OK</v>
      </c>
    </row>
    <row r="342" spans="1:24" x14ac:dyDescent="0.3">
      <c r="A342" t="s">
        <v>87</v>
      </c>
      <c r="B342" t="s">
        <v>88</v>
      </c>
      <c r="C342" t="s">
        <v>77</v>
      </c>
      <c r="D342" t="s">
        <v>78</v>
      </c>
      <c r="E342" t="s">
        <v>27</v>
      </c>
      <c r="F342" s="1" t="s">
        <v>33</v>
      </c>
      <c r="G342" s="2">
        <v>155.31</v>
      </c>
      <c r="H342">
        <v>168.33</v>
      </c>
      <c r="I342">
        <v>169.53272699999999</v>
      </c>
      <c r="J342">
        <v>233.87</v>
      </c>
      <c r="K342">
        <v>20</v>
      </c>
      <c r="L342" s="2">
        <v>20</v>
      </c>
      <c r="M342">
        <v>15</v>
      </c>
      <c r="N342" s="2">
        <v>11</v>
      </c>
      <c r="O342">
        <v>1864.86</v>
      </c>
      <c r="P342">
        <v>2</v>
      </c>
      <c r="Q342">
        <v>9</v>
      </c>
      <c r="R342">
        <v>4.38</v>
      </c>
      <c r="S342">
        <v>18</v>
      </c>
      <c r="T342">
        <v>9</v>
      </c>
      <c r="U342" s="2">
        <v>2104.83</v>
      </c>
      <c r="V342">
        <v>0</v>
      </c>
      <c r="W342" t="s">
        <v>29</v>
      </c>
      <c r="X342" t="str">
        <f>IF(Table2[[#This Row],[Qty available]]&gt;Table2[[#This Row],[Qty on hand]],"Check","OK")</f>
        <v>OK</v>
      </c>
    </row>
    <row r="343" spans="1:24" x14ac:dyDescent="0.3">
      <c r="A343" t="s">
        <v>87</v>
      </c>
      <c r="B343" t="s">
        <v>88</v>
      </c>
      <c r="C343" t="s">
        <v>77</v>
      </c>
      <c r="D343" t="s">
        <v>78</v>
      </c>
      <c r="E343" t="s">
        <v>27</v>
      </c>
      <c r="F343" s="1" t="s">
        <v>34</v>
      </c>
      <c r="G343" s="2">
        <v>157.83000000000001</v>
      </c>
      <c r="H343">
        <v>171.06</v>
      </c>
      <c r="I343">
        <v>170.175556</v>
      </c>
      <c r="J343">
        <v>247.14</v>
      </c>
      <c r="K343">
        <v>20</v>
      </c>
      <c r="L343" s="2">
        <v>18</v>
      </c>
      <c r="M343">
        <v>8</v>
      </c>
      <c r="N343" s="2">
        <v>9</v>
      </c>
      <c r="O343">
        <v>1531.58</v>
      </c>
      <c r="P343">
        <v>3</v>
      </c>
      <c r="Q343">
        <v>6</v>
      </c>
      <c r="R343">
        <v>3.73</v>
      </c>
      <c r="S343">
        <v>13</v>
      </c>
      <c r="T343">
        <v>10</v>
      </c>
      <c r="U343" s="2">
        <v>2471.4</v>
      </c>
      <c r="V343">
        <v>0</v>
      </c>
      <c r="W343" t="s">
        <v>29</v>
      </c>
      <c r="X343" t="str">
        <f>IF(Table2[[#This Row],[Qty available]]&gt;Table2[[#This Row],[Qty on hand]],"Check","OK")</f>
        <v>OK</v>
      </c>
    </row>
    <row r="344" spans="1:24" x14ac:dyDescent="0.3">
      <c r="A344" t="s">
        <v>87</v>
      </c>
      <c r="B344" t="s">
        <v>88</v>
      </c>
      <c r="C344" t="s">
        <v>77</v>
      </c>
      <c r="D344" t="s">
        <v>78</v>
      </c>
      <c r="E344" t="s">
        <v>27</v>
      </c>
      <c r="F344" s="1" t="s">
        <v>35</v>
      </c>
      <c r="G344" s="2">
        <v>168.37</v>
      </c>
      <c r="H344">
        <v>182.48</v>
      </c>
      <c r="I344">
        <v>177.86625000000001</v>
      </c>
      <c r="J344">
        <v>247.14</v>
      </c>
      <c r="K344">
        <v>20</v>
      </c>
      <c r="L344" s="2">
        <v>29</v>
      </c>
      <c r="M344">
        <v>15</v>
      </c>
      <c r="N344" s="2">
        <v>8</v>
      </c>
      <c r="O344">
        <v>1422.93</v>
      </c>
      <c r="P344">
        <v>2</v>
      </c>
      <c r="Q344">
        <v>6</v>
      </c>
      <c r="R344">
        <v>2.94</v>
      </c>
      <c r="S344">
        <v>11</v>
      </c>
      <c r="T344">
        <v>16</v>
      </c>
      <c r="U344" s="2">
        <v>3954.24</v>
      </c>
      <c r="V344">
        <v>0</v>
      </c>
      <c r="W344" t="s">
        <v>29</v>
      </c>
      <c r="X344" t="str">
        <f>IF(Table2[[#This Row],[Qty available]]&gt;Table2[[#This Row],[Qty on hand]],"Check","OK")</f>
        <v>OK</v>
      </c>
    </row>
    <row r="345" spans="1:24" x14ac:dyDescent="0.3">
      <c r="A345" t="s">
        <v>87</v>
      </c>
      <c r="B345" t="s">
        <v>88</v>
      </c>
      <c r="C345" t="s">
        <v>77</v>
      </c>
      <c r="D345" t="s">
        <v>78</v>
      </c>
      <c r="E345" t="s">
        <v>27</v>
      </c>
      <c r="F345" s="1" t="s">
        <v>36</v>
      </c>
      <c r="G345" s="2">
        <v>166.53</v>
      </c>
      <c r="H345">
        <v>180.49</v>
      </c>
      <c r="I345">
        <v>179.44</v>
      </c>
      <c r="J345">
        <v>247.14</v>
      </c>
      <c r="K345">
        <v>20</v>
      </c>
      <c r="L345" s="2">
        <v>20</v>
      </c>
      <c r="M345">
        <v>12</v>
      </c>
      <c r="N345" s="2">
        <v>5</v>
      </c>
      <c r="O345">
        <v>897.2</v>
      </c>
      <c r="P345">
        <v>1</v>
      </c>
      <c r="Q345">
        <v>4</v>
      </c>
      <c r="R345">
        <v>1.55</v>
      </c>
      <c r="S345">
        <v>7</v>
      </c>
      <c r="T345">
        <v>15</v>
      </c>
      <c r="U345" s="2">
        <v>3707.1</v>
      </c>
      <c r="V345">
        <v>0</v>
      </c>
      <c r="W345" t="s">
        <v>29</v>
      </c>
      <c r="X345" t="str">
        <f>IF(Table2[[#This Row],[Qty available]]&gt;Table2[[#This Row],[Qty on hand]],"Check","OK")</f>
        <v>OK</v>
      </c>
    </row>
    <row r="346" spans="1:24" x14ac:dyDescent="0.3">
      <c r="A346" t="s">
        <v>87</v>
      </c>
      <c r="B346" t="s">
        <v>88</v>
      </c>
      <c r="C346" t="s">
        <v>77</v>
      </c>
      <c r="D346" t="s">
        <v>78</v>
      </c>
      <c r="E346" t="s">
        <v>27</v>
      </c>
      <c r="F346" s="1" t="s">
        <v>37</v>
      </c>
      <c r="G346" s="2">
        <v>168.65</v>
      </c>
      <c r="H346">
        <v>182.78</v>
      </c>
      <c r="I346">
        <v>181.852</v>
      </c>
      <c r="J346">
        <v>247.14</v>
      </c>
      <c r="K346">
        <v>20</v>
      </c>
      <c r="L346" s="2">
        <v>29</v>
      </c>
      <c r="M346">
        <v>13</v>
      </c>
      <c r="N346" s="2">
        <v>15</v>
      </c>
      <c r="O346">
        <v>2727.78</v>
      </c>
      <c r="P346">
        <v>1</v>
      </c>
      <c r="Q346">
        <v>14</v>
      </c>
      <c r="R346">
        <v>5.8</v>
      </c>
      <c r="S346">
        <v>3</v>
      </c>
      <c r="T346">
        <v>3</v>
      </c>
      <c r="U346" s="2">
        <v>741.42</v>
      </c>
      <c r="V346">
        <v>0</v>
      </c>
      <c r="W346" t="s">
        <v>29</v>
      </c>
      <c r="X346" t="str">
        <f>IF(Table2[[#This Row],[Qty available]]&gt;Table2[[#This Row],[Qty on hand]],"Check","OK")</f>
        <v>OK</v>
      </c>
    </row>
    <row r="347" spans="1:24" x14ac:dyDescent="0.3">
      <c r="A347" t="s">
        <v>87</v>
      </c>
      <c r="B347" t="s">
        <v>88</v>
      </c>
      <c r="C347" t="s">
        <v>77</v>
      </c>
      <c r="D347" t="s">
        <v>78</v>
      </c>
      <c r="E347" t="s">
        <v>27</v>
      </c>
      <c r="F347" s="1" t="s">
        <v>38</v>
      </c>
      <c r="G347" s="2">
        <v>168.44</v>
      </c>
      <c r="H347">
        <v>182.56</v>
      </c>
      <c r="I347">
        <v>182.11769200000001</v>
      </c>
      <c r="J347">
        <v>247.14</v>
      </c>
      <c r="K347">
        <v>20</v>
      </c>
      <c r="L347" s="2">
        <v>20</v>
      </c>
      <c r="M347">
        <v>9</v>
      </c>
      <c r="N347" s="2">
        <v>13</v>
      </c>
      <c r="O347">
        <v>2367.5300000000002</v>
      </c>
      <c r="P347">
        <v>3</v>
      </c>
      <c r="Q347">
        <v>10</v>
      </c>
      <c r="R347">
        <v>5.83</v>
      </c>
      <c r="S347">
        <v>0</v>
      </c>
      <c r="T347">
        <v>11</v>
      </c>
      <c r="U347" s="2">
        <v>2718.54</v>
      </c>
      <c r="V347">
        <v>0</v>
      </c>
      <c r="W347" t="s">
        <v>29</v>
      </c>
      <c r="X347" t="str">
        <f>IF(Table2[[#This Row],[Qty available]]&gt;Table2[[#This Row],[Qty on hand]],"Check","OK")</f>
        <v>OK</v>
      </c>
    </row>
    <row r="348" spans="1:24" x14ac:dyDescent="0.3">
      <c r="A348" t="s">
        <v>87</v>
      </c>
      <c r="B348" t="s">
        <v>88</v>
      </c>
      <c r="C348" t="s">
        <v>77</v>
      </c>
      <c r="D348" t="s">
        <v>78</v>
      </c>
      <c r="E348" t="s">
        <v>27</v>
      </c>
      <c r="F348" s="1" t="s">
        <v>39</v>
      </c>
      <c r="G348" s="2">
        <v>168.02</v>
      </c>
      <c r="H348">
        <v>182.1</v>
      </c>
      <c r="I348">
        <v>182.11833300000001</v>
      </c>
      <c r="J348">
        <v>247.14</v>
      </c>
      <c r="K348">
        <v>20</v>
      </c>
      <c r="M348">
        <v>0</v>
      </c>
      <c r="N348" s="2">
        <v>6</v>
      </c>
      <c r="O348">
        <v>1092.71</v>
      </c>
      <c r="P348">
        <v>2</v>
      </c>
      <c r="Q348">
        <v>4</v>
      </c>
      <c r="R348">
        <v>3.76</v>
      </c>
      <c r="S348">
        <v>15</v>
      </c>
      <c r="T348">
        <v>7</v>
      </c>
      <c r="U348" s="2">
        <v>1729.98</v>
      </c>
      <c r="V348">
        <v>0</v>
      </c>
      <c r="W348" t="s">
        <v>29</v>
      </c>
      <c r="X348" t="str">
        <f>IF(Table2[[#This Row],[Qty available]]&gt;Table2[[#This Row],[Qty on hand]],"Check","OK")</f>
        <v>OK</v>
      </c>
    </row>
    <row r="349" spans="1:24" x14ac:dyDescent="0.3">
      <c r="A349" t="s">
        <v>87</v>
      </c>
      <c r="B349" t="s">
        <v>88</v>
      </c>
      <c r="C349" t="s">
        <v>77</v>
      </c>
      <c r="D349" t="s">
        <v>78</v>
      </c>
      <c r="E349" t="s">
        <v>27</v>
      </c>
      <c r="F349" s="1" t="s">
        <v>40</v>
      </c>
      <c r="G349" s="2">
        <v>169.43</v>
      </c>
      <c r="H349">
        <v>183.63</v>
      </c>
      <c r="I349">
        <v>183.252308</v>
      </c>
      <c r="J349">
        <v>247.14</v>
      </c>
      <c r="K349">
        <v>20</v>
      </c>
      <c r="L349" s="2">
        <v>19</v>
      </c>
      <c r="M349">
        <v>18</v>
      </c>
      <c r="N349" s="2">
        <v>13</v>
      </c>
      <c r="O349">
        <v>2382.2800000000002</v>
      </c>
      <c r="P349">
        <v>2</v>
      </c>
      <c r="Q349">
        <v>11</v>
      </c>
      <c r="R349">
        <v>5.89</v>
      </c>
      <c r="S349">
        <v>7</v>
      </c>
      <c r="T349">
        <v>11</v>
      </c>
      <c r="U349" s="2">
        <v>2718.54</v>
      </c>
      <c r="V349">
        <v>0</v>
      </c>
      <c r="W349" t="s">
        <v>29</v>
      </c>
      <c r="X349" t="str">
        <f>IF(Table2[[#This Row],[Qty available]]&gt;Table2[[#This Row],[Qty on hand]],"Check","OK")</f>
        <v>OK</v>
      </c>
    </row>
    <row r="350" spans="1:24" x14ac:dyDescent="0.3">
      <c r="A350" t="s">
        <v>87</v>
      </c>
      <c r="B350" t="s">
        <v>88</v>
      </c>
      <c r="C350" t="s">
        <v>77</v>
      </c>
      <c r="D350" t="s">
        <v>78</v>
      </c>
      <c r="E350" t="s">
        <v>27</v>
      </c>
      <c r="F350" s="1" t="s">
        <v>41</v>
      </c>
      <c r="G350" s="2">
        <v>165.72</v>
      </c>
      <c r="H350">
        <v>179.61</v>
      </c>
      <c r="I350">
        <v>181.0025</v>
      </c>
      <c r="J350">
        <v>247.14</v>
      </c>
      <c r="K350">
        <v>20</v>
      </c>
      <c r="L350" s="2">
        <v>19</v>
      </c>
      <c r="M350">
        <v>21</v>
      </c>
      <c r="N350" s="2">
        <v>24</v>
      </c>
      <c r="O350">
        <v>4344.0600000000004</v>
      </c>
      <c r="P350">
        <v>3</v>
      </c>
      <c r="Q350">
        <v>21</v>
      </c>
      <c r="R350">
        <v>11.27</v>
      </c>
      <c r="S350">
        <v>2</v>
      </c>
      <c r="T350">
        <v>10</v>
      </c>
      <c r="U350" s="2">
        <v>2471.4</v>
      </c>
      <c r="V350">
        <v>0</v>
      </c>
      <c r="W350" t="s">
        <v>29</v>
      </c>
      <c r="X350" t="str">
        <f>IF(Table2[[#This Row],[Qty available]]&gt;Table2[[#This Row],[Qty on hand]],"Check","OK")</f>
        <v>OK</v>
      </c>
    </row>
    <row r="351" spans="1:24" x14ac:dyDescent="0.3">
      <c r="A351" t="s">
        <v>87</v>
      </c>
      <c r="B351" t="s">
        <v>88</v>
      </c>
      <c r="C351" t="s">
        <v>77</v>
      </c>
      <c r="D351" t="s">
        <v>78</v>
      </c>
      <c r="E351" t="s">
        <v>27</v>
      </c>
      <c r="F351" s="1" t="s">
        <v>42</v>
      </c>
      <c r="G351" s="2">
        <v>168.32</v>
      </c>
      <c r="H351">
        <v>182.43</v>
      </c>
      <c r="I351">
        <v>181.0025</v>
      </c>
      <c r="J351">
        <v>247.14</v>
      </c>
      <c r="K351">
        <v>20</v>
      </c>
      <c r="M351">
        <v>0</v>
      </c>
      <c r="N351" s="2">
        <v>12</v>
      </c>
      <c r="O351">
        <v>2172.0300000000002</v>
      </c>
      <c r="P351">
        <v>2</v>
      </c>
      <c r="Q351">
        <v>10</v>
      </c>
      <c r="R351">
        <v>4.78</v>
      </c>
      <c r="S351">
        <v>2</v>
      </c>
      <c r="T351">
        <v>12</v>
      </c>
      <c r="U351" s="2">
        <v>2965.68</v>
      </c>
      <c r="V351">
        <v>0</v>
      </c>
      <c r="W351" t="s">
        <v>29</v>
      </c>
      <c r="X351" t="str">
        <f>IF(Table2[[#This Row],[Qty available]]&gt;Table2[[#This Row],[Qty on hand]],"Check","OK")</f>
        <v>OK</v>
      </c>
    </row>
    <row r="352" spans="1:24" x14ac:dyDescent="0.3">
      <c r="A352" t="s">
        <v>87</v>
      </c>
      <c r="B352" t="s">
        <v>88</v>
      </c>
      <c r="C352" t="s">
        <v>77</v>
      </c>
      <c r="D352" t="s">
        <v>78</v>
      </c>
      <c r="E352" t="s">
        <v>27</v>
      </c>
      <c r="F352" s="1" t="s">
        <v>43</v>
      </c>
      <c r="G352" s="2">
        <v>169.11</v>
      </c>
      <c r="H352">
        <v>183.28</v>
      </c>
      <c r="I352">
        <v>181</v>
      </c>
      <c r="J352">
        <v>247.14</v>
      </c>
      <c r="K352">
        <v>20</v>
      </c>
      <c r="M352">
        <v>0</v>
      </c>
      <c r="N352" s="2">
        <v>2</v>
      </c>
      <c r="O352">
        <v>362</v>
      </c>
      <c r="P352">
        <v>1</v>
      </c>
      <c r="Q352">
        <v>1</v>
      </c>
      <c r="R352">
        <v>0.81</v>
      </c>
      <c r="S352">
        <v>7</v>
      </c>
      <c r="T352">
        <v>10</v>
      </c>
      <c r="U352" s="2">
        <v>2471.4</v>
      </c>
      <c r="V352">
        <v>0</v>
      </c>
      <c r="W352" t="s">
        <v>29</v>
      </c>
      <c r="X352" t="str">
        <f>IF(Table2[[#This Row],[Qty available]]&gt;Table2[[#This Row],[Qty on hand]],"Check","OK")</f>
        <v>OK</v>
      </c>
    </row>
    <row r="353" spans="1:24" x14ac:dyDescent="0.3">
      <c r="A353" t="s">
        <v>87</v>
      </c>
      <c r="B353" t="s">
        <v>88</v>
      </c>
      <c r="C353" t="s">
        <v>77</v>
      </c>
      <c r="D353" t="s">
        <v>78</v>
      </c>
      <c r="E353" t="s">
        <v>27</v>
      </c>
      <c r="F353" s="1" t="s">
        <v>44</v>
      </c>
      <c r="G353" s="2">
        <v>167.23</v>
      </c>
      <c r="H353">
        <v>181.25</v>
      </c>
      <c r="I353">
        <v>181.23190500000001</v>
      </c>
      <c r="J353">
        <v>247.14</v>
      </c>
      <c r="K353">
        <v>20</v>
      </c>
      <c r="L353" s="2">
        <v>30</v>
      </c>
      <c r="M353">
        <v>26</v>
      </c>
      <c r="N353" s="2">
        <v>21</v>
      </c>
      <c r="O353">
        <v>3805.87</v>
      </c>
      <c r="P353">
        <v>1</v>
      </c>
      <c r="Q353">
        <v>20</v>
      </c>
      <c r="R353">
        <v>9.52</v>
      </c>
      <c r="S353">
        <v>3</v>
      </c>
      <c r="T353">
        <v>7</v>
      </c>
      <c r="U353" s="2">
        <v>1729.98</v>
      </c>
      <c r="V353">
        <v>0</v>
      </c>
      <c r="W353" t="s">
        <v>29</v>
      </c>
      <c r="X353" t="str">
        <f>IF(Table2[[#This Row],[Qty available]]&gt;Table2[[#This Row],[Qty on hand]],"Check","OK")</f>
        <v>OK</v>
      </c>
    </row>
    <row r="354" spans="1:24" x14ac:dyDescent="0.3">
      <c r="A354" t="s">
        <v>87</v>
      </c>
      <c r="B354" t="s">
        <v>88</v>
      </c>
      <c r="C354" t="s">
        <v>77</v>
      </c>
      <c r="D354" t="s">
        <v>78</v>
      </c>
      <c r="E354" t="s">
        <v>27</v>
      </c>
      <c r="F354" s="1" t="s">
        <v>45</v>
      </c>
      <c r="G354" s="2">
        <v>165.87</v>
      </c>
      <c r="H354">
        <v>179.77</v>
      </c>
      <c r="I354">
        <v>181.16538499999999</v>
      </c>
      <c r="J354">
        <v>247.14</v>
      </c>
      <c r="K354">
        <v>20</v>
      </c>
      <c r="L354" s="2">
        <v>18</v>
      </c>
      <c r="M354">
        <v>1</v>
      </c>
      <c r="N354" s="2">
        <v>13</v>
      </c>
      <c r="O354">
        <v>2355.15</v>
      </c>
      <c r="P354">
        <v>2</v>
      </c>
      <c r="Q354">
        <v>11</v>
      </c>
      <c r="R354">
        <v>6.57</v>
      </c>
      <c r="S354">
        <v>1</v>
      </c>
      <c r="T354">
        <v>9</v>
      </c>
      <c r="U354" s="2">
        <v>2224.2600000000002</v>
      </c>
      <c r="V354">
        <v>0</v>
      </c>
      <c r="W354" t="s">
        <v>29</v>
      </c>
      <c r="X354" t="str">
        <f>IF(Table2[[#This Row],[Qty available]]&gt;Table2[[#This Row],[Qty on hand]],"Check","OK")</f>
        <v>OK</v>
      </c>
    </row>
    <row r="355" spans="1:24" x14ac:dyDescent="0.3">
      <c r="A355" t="s">
        <v>87</v>
      </c>
      <c r="B355" t="s">
        <v>88</v>
      </c>
      <c r="C355" t="s">
        <v>77</v>
      </c>
      <c r="D355" t="s">
        <v>78</v>
      </c>
      <c r="E355" t="s">
        <v>27</v>
      </c>
      <c r="F355" s="1" t="s">
        <v>46</v>
      </c>
      <c r="G355" s="2">
        <v>170.2</v>
      </c>
      <c r="H355">
        <v>184.46</v>
      </c>
      <c r="I355">
        <v>181.16499999999999</v>
      </c>
      <c r="J355">
        <v>261.16000000000003</v>
      </c>
      <c r="K355">
        <v>20</v>
      </c>
      <c r="M355">
        <v>0</v>
      </c>
      <c r="N355" s="2">
        <v>6</v>
      </c>
      <c r="O355">
        <v>1086.99</v>
      </c>
      <c r="P355">
        <v>3</v>
      </c>
      <c r="Q355">
        <v>3</v>
      </c>
      <c r="R355">
        <v>3.35</v>
      </c>
      <c r="S355">
        <v>0</v>
      </c>
      <c r="T355">
        <v>7</v>
      </c>
      <c r="U355" s="2">
        <v>1828.12</v>
      </c>
      <c r="V355">
        <v>0</v>
      </c>
      <c r="W355" t="s">
        <v>29</v>
      </c>
      <c r="X355" t="str">
        <f>IF(Table2[[#This Row],[Qty available]]&gt;Table2[[#This Row],[Qty on hand]],"Check","OK")</f>
        <v>OK</v>
      </c>
    </row>
    <row r="356" spans="1:24" x14ac:dyDescent="0.3">
      <c r="A356" t="s">
        <v>87</v>
      </c>
      <c r="B356" t="s">
        <v>88</v>
      </c>
      <c r="C356" t="s">
        <v>77</v>
      </c>
      <c r="D356" t="s">
        <v>78</v>
      </c>
      <c r="E356" t="s">
        <v>27</v>
      </c>
      <c r="F356" s="1" t="s">
        <v>47</v>
      </c>
      <c r="G356" s="2">
        <v>177.07</v>
      </c>
      <c r="H356">
        <v>191.91</v>
      </c>
      <c r="I356">
        <v>189.60739100000001</v>
      </c>
      <c r="J356">
        <v>261.16000000000003</v>
      </c>
      <c r="K356">
        <v>20</v>
      </c>
      <c r="L356" s="2">
        <v>19</v>
      </c>
      <c r="M356">
        <v>22</v>
      </c>
      <c r="N356" s="2">
        <v>23</v>
      </c>
      <c r="O356">
        <v>4360.97</v>
      </c>
      <c r="P356">
        <v>1</v>
      </c>
      <c r="Q356">
        <v>22</v>
      </c>
      <c r="R356">
        <v>14.08</v>
      </c>
      <c r="S356">
        <v>22</v>
      </c>
      <c r="T356">
        <v>5</v>
      </c>
      <c r="U356" s="2">
        <v>1305.8</v>
      </c>
      <c r="V356">
        <v>0</v>
      </c>
      <c r="W356" t="s">
        <v>29</v>
      </c>
      <c r="X356" t="str">
        <f>IF(Table2[[#This Row],[Qty available]]&gt;Table2[[#This Row],[Qty on hand]],"Check","OK")</f>
        <v>OK</v>
      </c>
    </row>
    <row r="357" spans="1:24" x14ac:dyDescent="0.3">
      <c r="A357" t="s">
        <v>87</v>
      </c>
      <c r="B357" t="s">
        <v>88</v>
      </c>
      <c r="C357" t="s">
        <v>77</v>
      </c>
      <c r="D357" t="s">
        <v>78</v>
      </c>
      <c r="E357" t="s">
        <v>27</v>
      </c>
      <c r="F357" s="1" t="s">
        <v>48</v>
      </c>
      <c r="G357" s="2">
        <v>180.03</v>
      </c>
      <c r="H357">
        <v>195.12</v>
      </c>
      <c r="I357">
        <v>190.24333300000001</v>
      </c>
      <c r="J357">
        <v>261.16000000000003</v>
      </c>
      <c r="K357">
        <v>20</v>
      </c>
      <c r="L357" s="2">
        <v>18</v>
      </c>
      <c r="M357">
        <v>3</v>
      </c>
      <c r="N357" s="2">
        <v>12</v>
      </c>
      <c r="O357">
        <v>2282.92</v>
      </c>
      <c r="P357">
        <v>1</v>
      </c>
      <c r="Q357">
        <v>11</v>
      </c>
      <c r="R357">
        <v>5.87</v>
      </c>
      <c r="S357">
        <v>4</v>
      </c>
      <c r="T357">
        <v>14</v>
      </c>
      <c r="U357" s="2">
        <v>3656.24</v>
      </c>
      <c r="V357">
        <v>0</v>
      </c>
      <c r="W357" t="s">
        <v>29</v>
      </c>
      <c r="X357" t="str">
        <f>IF(Table2[[#This Row],[Qty available]]&gt;Table2[[#This Row],[Qty on hand]],"Check","OK")</f>
        <v>OK</v>
      </c>
    </row>
    <row r="358" spans="1:24" x14ac:dyDescent="0.3">
      <c r="A358" t="s">
        <v>87</v>
      </c>
      <c r="B358" t="s">
        <v>88</v>
      </c>
      <c r="C358" t="s">
        <v>77</v>
      </c>
      <c r="D358" t="s">
        <v>78</v>
      </c>
      <c r="E358" t="s">
        <v>27</v>
      </c>
      <c r="F358" s="1" t="s">
        <v>49</v>
      </c>
      <c r="G358" s="2">
        <v>179.28</v>
      </c>
      <c r="H358">
        <v>194.31</v>
      </c>
      <c r="I358">
        <v>192.09153800000001</v>
      </c>
      <c r="J358">
        <v>261.16000000000003</v>
      </c>
      <c r="K358">
        <v>20</v>
      </c>
      <c r="L358" s="2">
        <v>19</v>
      </c>
      <c r="M358">
        <v>10</v>
      </c>
      <c r="N358" s="2">
        <v>13</v>
      </c>
      <c r="O358">
        <v>2497.19</v>
      </c>
      <c r="P358">
        <v>3</v>
      </c>
      <c r="Q358">
        <v>10</v>
      </c>
      <c r="R358">
        <v>6.1</v>
      </c>
      <c r="S358">
        <v>11</v>
      </c>
      <c r="T358">
        <v>9</v>
      </c>
      <c r="U358" s="2">
        <v>2350.44</v>
      </c>
      <c r="V358">
        <v>0</v>
      </c>
      <c r="W358" t="s">
        <v>29</v>
      </c>
      <c r="X358" t="str">
        <f>IF(Table2[[#This Row],[Qty available]]&gt;Table2[[#This Row],[Qty on hand]],"Check","OK")</f>
        <v>OK</v>
      </c>
    </row>
    <row r="359" spans="1:24" x14ac:dyDescent="0.3">
      <c r="A359" t="s">
        <v>87</v>
      </c>
      <c r="B359" t="s">
        <v>88</v>
      </c>
      <c r="C359" t="s">
        <v>77</v>
      </c>
      <c r="D359" t="s">
        <v>78</v>
      </c>
      <c r="E359" t="s">
        <v>27</v>
      </c>
      <c r="F359" s="1" t="s">
        <v>50</v>
      </c>
      <c r="G359" s="2">
        <v>175.54</v>
      </c>
      <c r="H359">
        <v>190.25</v>
      </c>
      <c r="I359">
        <v>191.33812499999999</v>
      </c>
      <c r="J359">
        <v>261.16000000000003</v>
      </c>
      <c r="K359">
        <v>20</v>
      </c>
      <c r="L359" s="2">
        <v>29</v>
      </c>
      <c r="M359">
        <v>9</v>
      </c>
      <c r="N359" s="2">
        <v>16</v>
      </c>
      <c r="O359">
        <v>3061.41</v>
      </c>
      <c r="P359">
        <v>1</v>
      </c>
      <c r="Q359">
        <v>15</v>
      </c>
      <c r="R359">
        <v>7.17</v>
      </c>
      <c r="S359">
        <v>3</v>
      </c>
      <c r="T359">
        <v>6</v>
      </c>
      <c r="U359" s="2">
        <v>1566.96</v>
      </c>
      <c r="V359">
        <v>0</v>
      </c>
      <c r="W359" t="s">
        <v>29</v>
      </c>
      <c r="X359" t="str">
        <f>IF(Table2[[#This Row],[Qty available]]&gt;Table2[[#This Row],[Qty on hand]],"Check","OK")</f>
        <v>OK</v>
      </c>
    </row>
    <row r="360" spans="1:24" x14ac:dyDescent="0.3">
      <c r="A360" t="s">
        <v>87</v>
      </c>
      <c r="B360" t="s">
        <v>88</v>
      </c>
      <c r="C360" t="s">
        <v>77</v>
      </c>
      <c r="D360" t="s">
        <v>78</v>
      </c>
      <c r="E360" t="s">
        <v>27</v>
      </c>
      <c r="F360" s="1" t="s">
        <v>51</v>
      </c>
      <c r="G360" s="2">
        <v>174.53</v>
      </c>
      <c r="H360">
        <v>189.16</v>
      </c>
      <c r="I360">
        <v>190.28399999999999</v>
      </c>
      <c r="J360">
        <v>261.16000000000003</v>
      </c>
      <c r="K360">
        <v>20</v>
      </c>
      <c r="L360" s="2">
        <v>19</v>
      </c>
      <c r="M360">
        <v>15</v>
      </c>
      <c r="N360" s="2">
        <v>20</v>
      </c>
      <c r="O360">
        <v>3805.68</v>
      </c>
      <c r="P360">
        <v>2</v>
      </c>
      <c r="Q360">
        <v>18</v>
      </c>
      <c r="R360">
        <v>10.11</v>
      </c>
      <c r="S360">
        <v>2</v>
      </c>
      <c r="T360">
        <v>11</v>
      </c>
      <c r="U360" s="2">
        <v>2872.76</v>
      </c>
      <c r="V360">
        <v>0</v>
      </c>
      <c r="W360" t="s">
        <v>29</v>
      </c>
      <c r="X360" t="str">
        <f>IF(Table2[[#This Row],[Qty available]]&gt;Table2[[#This Row],[Qty on hand]],"Check","OK")</f>
        <v>OK</v>
      </c>
    </row>
    <row r="361" spans="1:24" x14ac:dyDescent="0.3">
      <c r="A361" t="s">
        <v>87</v>
      </c>
      <c r="B361" t="s">
        <v>88</v>
      </c>
      <c r="C361" t="s">
        <v>77</v>
      </c>
      <c r="D361" t="s">
        <v>78</v>
      </c>
      <c r="E361" t="s">
        <v>27</v>
      </c>
      <c r="F361" s="1" t="s">
        <v>52</v>
      </c>
      <c r="G361" s="2">
        <v>177.74</v>
      </c>
      <c r="H361">
        <v>192.64</v>
      </c>
      <c r="I361">
        <v>190.755</v>
      </c>
      <c r="J361">
        <v>261.16000000000003</v>
      </c>
      <c r="K361">
        <v>20</v>
      </c>
      <c r="L361" s="2">
        <v>29</v>
      </c>
      <c r="M361">
        <v>5</v>
      </c>
      <c r="N361" s="2">
        <v>20</v>
      </c>
      <c r="O361">
        <v>3815.1</v>
      </c>
      <c r="P361">
        <v>2</v>
      </c>
      <c r="Q361">
        <v>18</v>
      </c>
      <c r="R361">
        <v>11.95</v>
      </c>
      <c r="S361">
        <v>6</v>
      </c>
      <c r="T361">
        <v>5</v>
      </c>
      <c r="U361" s="2">
        <v>1305.8</v>
      </c>
      <c r="V361">
        <v>0</v>
      </c>
      <c r="W361" t="s">
        <v>29</v>
      </c>
      <c r="X361" t="str">
        <f>IF(Table2[[#This Row],[Qty available]]&gt;Table2[[#This Row],[Qty on hand]],"Check","OK")</f>
        <v>OK</v>
      </c>
    </row>
    <row r="362" spans="1:24" x14ac:dyDescent="0.3">
      <c r="A362" t="s">
        <v>89</v>
      </c>
      <c r="B362" t="s">
        <v>90</v>
      </c>
      <c r="C362" t="s">
        <v>91</v>
      </c>
      <c r="D362" t="s">
        <v>92</v>
      </c>
      <c r="E362" t="s">
        <v>27</v>
      </c>
      <c r="F362" s="1" t="s">
        <v>28</v>
      </c>
      <c r="G362" s="2">
        <v>26.21</v>
      </c>
      <c r="H362">
        <v>26.21</v>
      </c>
      <c r="I362">
        <v>25.71</v>
      </c>
      <c r="J362">
        <v>35.54</v>
      </c>
      <c r="K362">
        <v>25</v>
      </c>
      <c r="M362">
        <v>0</v>
      </c>
      <c r="N362" s="2">
        <v>0</v>
      </c>
      <c r="O362">
        <v>0</v>
      </c>
      <c r="P362">
        <v>0</v>
      </c>
      <c r="Q362">
        <v>0</v>
      </c>
      <c r="S362">
        <v>230</v>
      </c>
      <c r="T362">
        <v>0</v>
      </c>
      <c r="U362" s="2">
        <v>0</v>
      </c>
      <c r="V362">
        <v>0</v>
      </c>
      <c r="W362" t="s">
        <v>29</v>
      </c>
      <c r="X362" t="str">
        <f>IF(Table2[[#This Row],[Qty available]]&gt;Table2[[#This Row],[Qty on hand]],"Check","OK")</f>
        <v>OK</v>
      </c>
    </row>
    <row r="363" spans="1:24" x14ac:dyDescent="0.3">
      <c r="A363" t="s">
        <v>89</v>
      </c>
      <c r="B363" t="s">
        <v>90</v>
      </c>
      <c r="C363" t="s">
        <v>91</v>
      </c>
      <c r="D363" t="s">
        <v>92</v>
      </c>
      <c r="E363" t="s">
        <v>27</v>
      </c>
      <c r="F363" s="1" t="s">
        <v>30</v>
      </c>
      <c r="G363" s="2">
        <v>27.05</v>
      </c>
      <c r="H363">
        <v>27.05</v>
      </c>
      <c r="I363">
        <v>25.71</v>
      </c>
      <c r="J363">
        <v>35.54</v>
      </c>
      <c r="K363">
        <v>25</v>
      </c>
      <c r="M363">
        <v>0</v>
      </c>
      <c r="N363" s="2">
        <v>0</v>
      </c>
      <c r="O363">
        <v>0</v>
      </c>
      <c r="P363">
        <v>0</v>
      </c>
      <c r="Q363">
        <v>0</v>
      </c>
      <c r="S363">
        <v>261</v>
      </c>
      <c r="T363">
        <v>0</v>
      </c>
      <c r="U363" s="2">
        <v>0</v>
      </c>
      <c r="V363">
        <v>0</v>
      </c>
      <c r="W363" t="s">
        <v>29</v>
      </c>
      <c r="X363" t="str">
        <f>IF(Table2[[#This Row],[Qty available]]&gt;Table2[[#This Row],[Qty on hand]],"Check","OK")</f>
        <v>OK</v>
      </c>
    </row>
    <row r="364" spans="1:24" x14ac:dyDescent="0.3">
      <c r="A364" t="s">
        <v>89</v>
      </c>
      <c r="B364" t="s">
        <v>90</v>
      </c>
      <c r="C364" t="s">
        <v>91</v>
      </c>
      <c r="D364" t="s">
        <v>92</v>
      </c>
      <c r="E364" t="s">
        <v>27</v>
      </c>
      <c r="F364" s="1" t="s">
        <v>31</v>
      </c>
      <c r="G364" s="2">
        <v>27.04</v>
      </c>
      <c r="H364">
        <v>27.04</v>
      </c>
      <c r="I364">
        <v>25.71</v>
      </c>
      <c r="J364">
        <v>35.54</v>
      </c>
      <c r="K364">
        <v>25</v>
      </c>
      <c r="M364">
        <v>0</v>
      </c>
      <c r="N364" s="2">
        <v>0</v>
      </c>
      <c r="O364">
        <v>0</v>
      </c>
      <c r="P364">
        <v>0</v>
      </c>
      <c r="Q364">
        <v>0</v>
      </c>
      <c r="S364">
        <v>291</v>
      </c>
      <c r="T364">
        <v>0</v>
      </c>
      <c r="U364" s="2">
        <v>0</v>
      </c>
      <c r="V364">
        <v>0</v>
      </c>
      <c r="W364" t="s">
        <v>29</v>
      </c>
      <c r="X364" t="str">
        <f>IF(Table2[[#This Row],[Qty available]]&gt;Table2[[#This Row],[Qty on hand]],"Check","OK")</f>
        <v>OK</v>
      </c>
    </row>
    <row r="365" spans="1:24" x14ac:dyDescent="0.3">
      <c r="A365" t="s">
        <v>89</v>
      </c>
      <c r="B365" t="s">
        <v>90</v>
      </c>
      <c r="C365" t="s">
        <v>91</v>
      </c>
      <c r="D365" t="s">
        <v>92</v>
      </c>
      <c r="E365" t="s">
        <v>27</v>
      </c>
      <c r="F365" s="1" t="s">
        <v>32</v>
      </c>
      <c r="G365" s="2">
        <v>27.38</v>
      </c>
      <c r="H365">
        <v>27.38</v>
      </c>
      <c r="I365">
        <v>25.71</v>
      </c>
      <c r="J365">
        <v>35.54</v>
      </c>
      <c r="K365">
        <v>25</v>
      </c>
      <c r="M365">
        <v>0</v>
      </c>
      <c r="N365" s="2">
        <v>0</v>
      </c>
      <c r="O365">
        <v>0</v>
      </c>
      <c r="P365">
        <v>0</v>
      </c>
      <c r="Q365">
        <v>0</v>
      </c>
      <c r="S365">
        <v>322</v>
      </c>
      <c r="T365">
        <v>0</v>
      </c>
      <c r="U365" s="2">
        <v>0</v>
      </c>
      <c r="V365">
        <v>0</v>
      </c>
      <c r="W365" t="s">
        <v>29</v>
      </c>
      <c r="X365" t="str">
        <f>IF(Table2[[#This Row],[Qty available]]&gt;Table2[[#This Row],[Qty on hand]],"Check","OK")</f>
        <v>OK</v>
      </c>
    </row>
    <row r="366" spans="1:24" x14ac:dyDescent="0.3">
      <c r="A366" t="s">
        <v>89</v>
      </c>
      <c r="B366" t="s">
        <v>90</v>
      </c>
      <c r="C366" t="s">
        <v>91</v>
      </c>
      <c r="D366" t="s">
        <v>92</v>
      </c>
      <c r="E366" t="s">
        <v>27</v>
      </c>
      <c r="F366" s="1" t="s">
        <v>33</v>
      </c>
      <c r="G366" s="2">
        <v>27.16</v>
      </c>
      <c r="H366">
        <v>27.16</v>
      </c>
      <c r="I366">
        <v>27.16</v>
      </c>
      <c r="J366">
        <v>35.54</v>
      </c>
      <c r="K366">
        <v>25</v>
      </c>
      <c r="L366" s="2">
        <v>24</v>
      </c>
      <c r="M366">
        <v>123</v>
      </c>
      <c r="N366" s="2">
        <v>123</v>
      </c>
      <c r="O366">
        <v>3340.68</v>
      </c>
      <c r="P366">
        <v>0</v>
      </c>
      <c r="Q366">
        <v>123</v>
      </c>
      <c r="S366">
        <v>353</v>
      </c>
      <c r="T366">
        <v>0</v>
      </c>
      <c r="U366" s="2">
        <v>0</v>
      </c>
      <c r="V366">
        <v>0</v>
      </c>
      <c r="W366" t="s">
        <v>29</v>
      </c>
      <c r="X366" t="str">
        <f>IF(Table2[[#This Row],[Qty available]]&gt;Table2[[#This Row],[Qty on hand]],"Check","OK")</f>
        <v>OK</v>
      </c>
    </row>
    <row r="367" spans="1:24" x14ac:dyDescent="0.3">
      <c r="A367" t="s">
        <v>89</v>
      </c>
      <c r="B367" t="s">
        <v>90</v>
      </c>
      <c r="C367" t="s">
        <v>91</v>
      </c>
      <c r="D367" t="s">
        <v>92</v>
      </c>
      <c r="E367" t="s">
        <v>27</v>
      </c>
      <c r="F367" s="1" t="s">
        <v>34</v>
      </c>
      <c r="G367" s="2">
        <v>27.28</v>
      </c>
      <c r="H367">
        <v>27.28</v>
      </c>
      <c r="I367">
        <v>27.213239000000002</v>
      </c>
      <c r="J367">
        <v>37.130000000000003</v>
      </c>
      <c r="K367">
        <v>25</v>
      </c>
      <c r="L367" s="2">
        <v>23</v>
      </c>
      <c r="M367">
        <v>98</v>
      </c>
      <c r="N367" s="2">
        <v>142</v>
      </c>
      <c r="O367">
        <v>3864.28</v>
      </c>
      <c r="P367">
        <v>9</v>
      </c>
      <c r="Q367">
        <v>133</v>
      </c>
      <c r="R367">
        <v>23.11</v>
      </c>
      <c r="S367">
        <v>0</v>
      </c>
      <c r="T367">
        <v>79</v>
      </c>
      <c r="U367" s="2">
        <v>2933.27</v>
      </c>
      <c r="V367">
        <v>0</v>
      </c>
      <c r="W367" t="s">
        <v>29</v>
      </c>
      <c r="X367" t="str">
        <f>IF(Table2[[#This Row],[Qty available]]&gt;Table2[[#This Row],[Qty on hand]],"Check","OK")</f>
        <v>OK</v>
      </c>
    </row>
    <row r="368" spans="1:24" x14ac:dyDescent="0.3">
      <c r="A368" t="s">
        <v>89</v>
      </c>
      <c r="B368" t="s">
        <v>90</v>
      </c>
      <c r="C368" t="s">
        <v>91</v>
      </c>
      <c r="D368" t="s">
        <v>92</v>
      </c>
      <c r="E368" t="s">
        <v>27</v>
      </c>
      <c r="F368" s="1" t="s">
        <v>35</v>
      </c>
      <c r="G368" s="2">
        <v>27.07</v>
      </c>
      <c r="H368">
        <v>27.07</v>
      </c>
      <c r="I368">
        <v>27.132809000000002</v>
      </c>
      <c r="J368">
        <v>37.130000000000003</v>
      </c>
      <c r="K368">
        <v>25</v>
      </c>
      <c r="L368" s="2">
        <v>24</v>
      </c>
      <c r="M368">
        <v>182</v>
      </c>
      <c r="N368" s="2">
        <v>89</v>
      </c>
      <c r="O368">
        <v>2414.8200000000002</v>
      </c>
      <c r="P368">
        <v>19</v>
      </c>
      <c r="Q368">
        <v>70</v>
      </c>
      <c r="R368">
        <v>3.64</v>
      </c>
      <c r="S368">
        <v>0</v>
      </c>
      <c r="T368">
        <v>235</v>
      </c>
      <c r="U368" s="2">
        <v>8725.5499999999993</v>
      </c>
      <c r="V368">
        <v>0</v>
      </c>
      <c r="W368" t="s">
        <v>29</v>
      </c>
      <c r="X368" t="str">
        <f>IF(Table2[[#This Row],[Qty available]]&gt;Table2[[#This Row],[Qty on hand]],"Check","OK")</f>
        <v>OK</v>
      </c>
    </row>
    <row r="369" spans="1:24" x14ac:dyDescent="0.3">
      <c r="A369" t="s">
        <v>89</v>
      </c>
      <c r="B369" t="s">
        <v>90</v>
      </c>
      <c r="C369" t="s">
        <v>91</v>
      </c>
      <c r="D369" t="s">
        <v>92</v>
      </c>
      <c r="E369" t="s">
        <v>27</v>
      </c>
      <c r="F369" s="1" t="s">
        <v>36</v>
      </c>
      <c r="G369" s="2">
        <v>27.5</v>
      </c>
      <c r="H369">
        <v>27.5</v>
      </c>
      <c r="I369">
        <v>27.132809000000002</v>
      </c>
      <c r="J369">
        <v>37.130000000000003</v>
      </c>
      <c r="K369">
        <v>25</v>
      </c>
      <c r="M369">
        <v>0</v>
      </c>
      <c r="N369" s="2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89</v>
      </c>
      <c r="U369" s="2">
        <v>3304.57</v>
      </c>
      <c r="V369">
        <v>199</v>
      </c>
      <c r="W369" t="s">
        <v>59</v>
      </c>
      <c r="X369" t="str">
        <f>IF(Table2[[#This Row],[Qty available]]&gt;Table2[[#This Row],[Qty on hand]],"Check","OK")</f>
        <v>OK</v>
      </c>
    </row>
    <row r="370" spans="1:24" x14ac:dyDescent="0.3">
      <c r="A370" t="s">
        <v>89</v>
      </c>
      <c r="B370" t="s">
        <v>90</v>
      </c>
      <c r="C370" t="s">
        <v>91</v>
      </c>
      <c r="D370" t="s">
        <v>92</v>
      </c>
      <c r="E370" t="s">
        <v>27</v>
      </c>
      <c r="F370" s="1" t="s">
        <v>37</v>
      </c>
      <c r="G370" s="2">
        <v>27.14</v>
      </c>
      <c r="H370">
        <v>27.14</v>
      </c>
      <c r="I370">
        <v>27.14</v>
      </c>
      <c r="J370">
        <v>37.130000000000003</v>
      </c>
      <c r="K370">
        <v>25</v>
      </c>
      <c r="L370" s="2">
        <v>24</v>
      </c>
      <c r="M370">
        <v>443</v>
      </c>
      <c r="N370" s="2">
        <v>193</v>
      </c>
      <c r="O370">
        <v>5238.0200000000004</v>
      </c>
      <c r="P370">
        <v>42</v>
      </c>
      <c r="Q370">
        <v>151</v>
      </c>
      <c r="R370">
        <v>4.42</v>
      </c>
      <c r="S370">
        <v>2</v>
      </c>
      <c r="T370">
        <v>250</v>
      </c>
      <c r="U370" s="2">
        <v>9282.5</v>
      </c>
      <c r="V370">
        <v>0</v>
      </c>
      <c r="W370" t="s">
        <v>29</v>
      </c>
      <c r="X370" t="str">
        <f>IF(Table2[[#This Row],[Qty available]]&gt;Table2[[#This Row],[Qty on hand]],"Check","OK")</f>
        <v>OK</v>
      </c>
    </row>
    <row r="371" spans="1:24" x14ac:dyDescent="0.3">
      <c r="A371" t="s">
        <v>89</v>
      </c>
      <c r="B371" t="s">
        <v>90</v>
      </c>
      <c r="C371" t="s">
        <v>91</v>
      </c>
      <c r="D371" t="s">
        <v>92</v>
      </c>
      <c r="E371" t="s">
        <v>27</v>
      </c>
      <c r="F371" s="1" t="s">
        <v>38</v>
      </c>
      <c r="G371" s="2">
        <v>27.75</v>
      </c>
      <c r="H371">
        <v>27.75</v>
      </c>
      <c r="I371">
        <v>27.14</v>
      </c>
      <c r="J371">
        <v>37.130000000000003</v>
      </c>
      <c r="K371">
        <v>25</v>
      </c>
      <c r="M371">
        <v>0</v>
      </c>
      <c r="N371" s="2">
        <v>3</v>
      </c>
      <c r="O371">
        <v>81.42</v>
      </c>
      <c r="P371">
        <v>3</v>
      </c>
      <c r="Q371">
        <v>0</v>
      </c>
      <c r="R371">
        <v>7.0000000000000007E-2</v>
      </c>
      <c r="S371">
        <v>1</v>
      </c>
      <c r="T371">
        <v>190</v>
      </c>
      <c r="U371" s="2">
        <v>7054.7</v>
      </c>
      <c r="V371">
        <v>0</v>
      </c>
      <c r="W371" t="s">
        <v>29</v>
      </c>
      <c r="X371" t="str">
        <f>IF(Table2[[#This Row],[Qty available]]&gt;Table2[[#This Row],[Qty on hand]],"Check","OK")</f>
        <v>OK</v>
      </c>
    </row>
    <row r="372" spans="1:24" x14ac:dyDescent="0.3">
      <c r="A372" t="s">
        <v>89</v>
      </c>
      <c r="B372" t="s">
        <v>90</v>
      </c>
      <c r="C372" t="s">
        <v>91</v>
      </c>
      <c r="D372" t="s">
        <v>92</v>
      </c>
      <c r="E372" t="s">
        <v>27</v>
      </c>
      <c r="F372" s="1" t="s">
        <v>39</v>
      </c>
      <c r="G372" s="2">
        <v>27.18</v>
      </c>
      <c r="H372">
        <v>27.18</v>
      </c>
      <c r="I372">
        <v>27.179767999999999</v>
      </c>
      <c r="J372">
        <v>37.130000000000003</v>
      </c>
      <c r="K372">
        <v>25</v>
      </c>
      <c r="L372" s="2">
        <v>21</v>
      </c>
      <c r="M372">
        <v>490</v>
      </c>
      <c r="N372" s="2">
        <v>302</v>
      </c>
      <c r="O372">
        <v>8208.2900000000009</v>
      </c>
      <c r="P372">
        <v>64</v>
      </c>
      <c r="Q372">
        <v>238</v>
      </c>
      <c r="R372">
        <v>6.29</v>
      </c>
      <c r="S372">
        <v>0</v>
      </c>
      <c r="T372">
        <v>191</v>
      </c>
      <c r="U372" s="2">
        <v>7091.83</v>
      </c>
      <c r="V372">
        <v>0</v>
      </c>
      <c r="W372" t="s">
        <v>29</v>
      </c>
      <c r="X372" t="str">
        <f>IF(Table2[[#This Row],[Qty available]]&gt;Table2[[#This Row],[Qty on hand]],"Check","OK")</f>
        <v>OK</v>
      </c>
    </row>
    <row r="373" spans="1:24" x14ac:dyDescent="0.3">
      <c r="A373" t="s">
        <v>89</v>
      </c>
      <c r="B373" t="s">
        <v>90</v>
      </c>
      <c r="C373" t="s">
        <v>91</v>
      </c>
      <c r="D373" t="s">
        <v>92</v>
      </c>
      <c r="E373" t="s">
        <v>27</v>
      </c>
      <c r="F373" s="1" t="s">
        <v>40</v>
      </c>
      <c r="G373" s="2">
        <v>27.66</v>
      </c>
      <c r="H373">
        <v>27.66</v>
      </c>
      <c r="I373">
        <v>27.386879</v>
      </c>
      <c r="J373">
        <v>37.130000000000003</v>
      </c>
      <c r="K373">
        <v>25</v>
      </c>
      <c r="L373" s="2">
        <v>21</v>
      </c>
      <c r="M373">
        <v>229</v>
      </c>
      <c r="N373" s="2">
        <v>330</v>
      </c>
      <c r="O373">
        <v>9037.67</v>
      </c>
      <c r="P373">
        <v>71</v>
      </c>
      <c r="Q373">
        <v>259</v>
      </c>
      <c r="R373">
        <v>7.45</v>
      </c>
      <c r="S373">
        <v>1</v>
      </c>
      <c r="T373">
        <v>201</v>
      </c>
      <c r="U373" s="2">
        <v>7463.13</v>
      </c>
      <c r="V373">
        <v>0</v>
      </c>
      <c r="W373" t="s">
        <v>29</v>
      </c>
      <c r="X373" t="str">
        <f>IF(Table2[[#This Row],[Qty available]]&gt;Table2[[#This Row],[Qty on hand]],"Check","OK")</f>
        <v>OK</v>
      </c>
    </row>
    <row r="374" spans="1:24" x14ac:dyDescent="0.3">
      <c r="A374" t="s">
        <v>89</v>
      </c>
      <c r="B374" t="s">
        <v>90</v>
      </c>
      <c r="C374" t="s">
        <v>91</v>
      </c>
      <c r="D374" t="s">
        <v>92</v>
      </c>
      <c r="E374" t="s">
        <v>27</v>
      </c>
      <c r="F374" s="1" t="s">
        <v>41</v>
      </c>
      <c r="G374" s="2">
        <v>27</v>
      </c>
      <c r="H374">
        <v>27</v>
      </c>
      <c r="I374">
        <v>27.386861</v>
      </c>
      <c r="J374">
        <v>37.130000000000003</v>
      </c>
      <c r="K374">
        <v>25</v>
      </c>
      <c r="M374">
        <v>0</v>
      </c>
      <c r="N374" s="2">
        <v>137</v>
      </c>
      <c r="O374">
        <v>3752</v>
      </c>
      <c r="P374">
        <v>64</v>
      </c>
      <c r="Q374">
        <v>73</v>
      </c>
      <c r="R374">
        <v>3.08</v>
      </c>
      <c r="S374">
        <v>5</v>
      </c>
      <c r="T374">
        <v>193</v>
      </c>
      <c r="U374" s="2">
        <v>7166.09</v>
      </c>
      <c r="V374">
        <v>0</v>
      </c>
      <c r="W374" t="s">
        <v>29</v>
      </c>
      <c r="X374" t="str">
        <f>IF(Table2[[#This Row],[Qty available]]&gt;Table2[[#This Row],[Qty on hand]],"Check","OK")</f>
        <v>OK</v>
      </c>
    </row>
    <row r="375" spans="1:24" x14ac:dyDescent="0.3">
      <c r="A375" t="s">
        <v>89</v>
      </c>
      <c r="B375" t="s">
        <v>90</v>
      </c>
      <c r="C375" t="s">
        <v>91</v>
      </c>
      <c r="D375" t="s">
        <v>92</v>
      </c>
      <c r="E375" t="s">
        <v>27</v>
      </c>
      <c r="F375" s="1" t="s">
        <v>42</v>
      </c>
      <c r="G375" s="2">
        <v>29.32</v>
      </c>
      <c r="H375">
        <v>29.32</v>
      </c>
      <c r="I375">
        <v>28.904229000000001</v>
      </c>
      <c r="J375">
        <v>37.130000000000003</v>
      </c>
      <c r="K375">
        <v>25</v>
      </c>
      <c r="L375" s="2">
        <v>23</v>
      </c>
      <c r="M375">
        <v>500</v>
      </c>
      <c r="N375" s="2">
        <v>506</v>
      </c>
      <c r="O375">
        <v>14625.54</v>
      </c>
      <c r="P375">
        <v>49</v>
      </c>
      <c r="Q375">
        <v>457</v>
      </c>
      <c r="R375">
        <v>12.67</v>
      </c>
      <c r="S375">
        <v>2</v>
      </c>
      <c r="T375">
        <v>131</v>
      </c>
      <c r="U375" s="2">
        <v>4864.03</v>
      </c>
      <c r="V375">
        <v>0</v>
      </c>
      <c r="W375" t="s">
        <v>29</v>
      </c>
      <c r="X375" t="str">
        <f>IF(Table2[[#This Row],[Qty available]]&gt;Table2[[#This Row],[Qty on hand]],"Check","OK")</f>
        <v>OK</v>
      </c>
    </row>
    <row r="376" spans="1:24" x14ac:dyDescent="0.3">
      <c r="A376" t="s">
        <v>89</v>
      </c>
      <c r="B376" t="s">
        <v>90</v>
      </c>
      <c r="C376" t="s">
        <v>91</v>
      </c>
      <c r="D376" t="s">
        <v>92</v>
      </c>
      <c r="E376" t="s">
        <v>27</v>
      </c>
      <c r="F376" s="1" t="s">
        <v>43</v>
      </c>
      <c r="G376" s="2">
        <v>28.4</v>
      </c>
      <c r="H376">
        <v>28.4</v>
      </c>
      <c r="I376">
        <v>28.753865000000001</v>
      </c>
      <c r="J376">
        <v>37.130000000000003</v>
      </c>
      <c r="K376">
        <v>25</v>
      </c>
      <c r="L376" s="2">
        <v>22</v>
      </c>
      <c r="M376">
        <v>215</v>
      </c>
      <c r="N376" s="2">
        <v>533</v>
      </c>
      <c r="O376">
        <v>15325.81</v>
      </c>
      <c r="P376">
        <v>71</v>
      </c>
      <c r="Q376">
        <v>462</v>
      </c>
      <c r="R376">
        <v>13.53</v>
      </c>
      <c r="S376">
        <v>1</v>
      </c>
      <c r="T376">
        <v>188</v>
      </c>
      <c r="U376" s="2">
        <v>6980.44</v>
      </c>
      <c r="V376">
        <v>0</v>
      </c>
      <c r="W376" t="s">
        <v>29</v>
      </c>
      <c r="X376" t="str">
        <f>IF(Table2[[#This Row],[Qty available]]&gt;Table2[[#This Row],[Qty on hand]],"Check","OK")</f>
        <v>OK</v>
      </c>
    </row>
    <row r="377" spans="1:24" x14ac:dyDescent="0.3">
      <c r="A377" t="s">
        <v>89</v>
      </c>
      <c r="B377" t="s">
        <v>90</v>
      </c>
      <c r="C377" t="s">
        <v>91</v>
      </c>
      <c r="D377" t="s">
        <v>92</v>
      </c>
      <c r="E377" t="s">
        <v>27</v>
      </c>
      <c r="F377" s="1" t="s">
        <v>44</v>
      </c>
      <c r="G377" s="2">
        <v>29.2</v>
      </c>
      <c r="H377">
        <v>29.2</v>
      </c>
      <c r="I377">
        <v>28.908235999999999</v>
      </c>
      <c r="J377">
        <v>37.130000000000003</v>
      </c>
      <c r="K377">
        <v>25</v>
      </c>
      <c r="L377" s="2">
        <v>22</v>
      </c>
      <c r="M377">
        <v>282</v>
      </c>
      <c r="N377" s="2">
        <v>618</v>
      </c>
      <c r="O377">
        <v>17865.29</v>
      </c>
      <c r="P377">
        <v>28</v>
      </c>
      <c r="Q377">
        <v>590</v>
      </c>
      <c r="R377">
        <v>15.74</v>
      </c>
      <c r="S377">
        <v>0</v>
      </c>
      <c r="T377">
        <v>197</v>
      </c>
      <c r="U377" s="2">
        <v>7314.61</v>
      </c>
      <c r="V377">
        <v>0</v>
      </c>
      <c r="W377" t="s">
        <v>29</v>
      </c>
      <c r="X377" t="str">
        <f>IF(Table2[[#This Row],[Qty available]]&gt;Table2[[#This Row],[Qty on hand]],"Check","OK")</f>
        <v>OK</v>
      </c>
    </row>
    <row r="378" spans="1:24" x14ac:dyDescent="0.3">
      <c r="A378" t="s">
        <v>89</v>
      </c>
      <c r="B378" t="s">
        <v>90</v>
      </c>
      <c r="C378" t="s">
        <v>91</v>
      </c>
      <c r="D378" t="s">
        <v>92</v>
      </c>
      <c r="E378" t="s">
        <v>27</v>
      </c>
      <c r="F378" s="1" t="s">
        <v>45</v>
      </c>
      <c r="G378" s="2">
        <v>28.42</v>
      </c>
      <c r="H378">
        <v>28.42</v>
      </c>
      <c r="I378">
        <v>28.908235000000001</v>
      </c>
      <c r="J378">
        <v>37.130000000000003</v>
      </c>
      <c r="K378">
        <v>25</v>
      </c>
      <c r="M378">
        <v>0</v>
      </c>
      <c r="N378" s="2">
        <v>442</v>
      </c>
      <c r="O378">
        <v>12777.44</v>
      </c>
      <c r="P378">
        <v>21</v>
      </c>
      <c r="Q378">
        <v>421</v>
      </c>
      <c r="R378">
        <v>10.35</v>
      </c>
      <c r="S378">
        <v>0</v>
      </c>
      <c r="T378">
        <v>176</v>
      </c>
      <c r="U378" s="2">
        <v>6534.88</v>
      </c>
      <c r="V378">
        <v>0</v>
      </c>
      <c r="W378" t="s">
        <v>29</v>
      </c>
      <c r="X378" t="str">
        <f>IF(Table2[[#This Row],[Qty available]]&gt;Table2[[#This Row],[Qty on hand]],"Check","OK")</f>
        <v>OK</v>
      </c>
    </row>
    <row r="379" spans="1:24" x14ac:dyDescent="0.3">
      <c r="A379" t="s">
        <v>89</v>
      </c>
      <c r="B379" t="s">
        <v>90</v>
      </c>
      <c r="C379" t="s">
        <v>91</v>
      </c>
      <c r="D379" t="s">
        <v>92</v>
      </c>
      <c r="E379" t="s">
        <v>27</v>
      </c>
      <c r="F379" s="1" t="s">
        <v>46</v>
      </c>
      <c r="G379" s="2">
        <v>28.94</v>
      </c>
      <c r="H379">
        <v>28.94</v>
      </c>
      <c r="I379">
        <v>28.912458000000001</v>
      </c>
      <c r="J379">
        <v>38.79</v>
      </c>
      <c r="K379">
        <v>25</v>
      </c>
      <c r="L379" s="2">
        <v>33</v>
      </c>
      <c r="M379">
        <v>68</v>
      </c>
      <c r="N379" s="2">
        <v>301</v>
      </c>
      <c r="O379">
        <v>8702.65</v>
      </c>
      <c r="P379">
        <v>14</v>
      </c>
      <c r="Q379">
        <v>287</v>
      </c>
      <c r="R379">
        <v>6.65</v>
      </c>
      <c r="S379">
        <v>3</v>
      </c>
      <c r="T379">
        <v>209</v>
      </c>
      <c r="U379" s="2">
        <v>8107.11</v>
      </c>
      <c r="V379">
        <v>0</v>
      </c>
      <c r="W379" t="s">
        <v>29</v>
      </c>
      <c r="X379" t="str">
        <f>IF(Table2[[#This Row],[Qty available]]&gt;Table2[[#This Row],[Qty on hand]],"Check","OK")</f>
        <v>OK</v>
      </c>
    </row>
    <row r="380" spans="1:24" x14ac:dyDescent="0.3">
      <c r="A380" t="s">
        <v>89</v>
      </c>
      <c r="B380" t="s">
        <v>90</v>
      </c>
      <c r="C380" t="s">
        <v>91</v>
      </c>
      <c r="D380" t="s">
        <v>92</v>
      </c>
      <c r="E380" t="s">
        <v>27</v>
      </c>
      <c r="F380" s="1" t="s">
        <v>47</v>
      </c>
      <c r="G380" s="2">
        <v>29.21</v>
      </c>
      <c r="H380">
        <v>29.21</v>
      </c>
      <c r="I380">
        <v>29.085607</v>
      </c>
      <c r="J380">
        <v>38.79</v>
      </c>
      <c r="K380">
        <v>25</v>
      </c>
      <c r="L380" s="2">
        <v>23</v>
      </c>
      <c r="M380">
        <v>419</v>
      </c>
      <c r="N380" s="2">
        <v>544</v>
      </c>
      <c r="O380">
        <v>15822.57</v>
      </c>
      <c r="P380">
        <v>21</v>
      </c>
      <c r="Q380">
        <v>523</v>
      </c>
      <c r="R380">
        <v>12.47</v>
      </c>
      <c r="S380">
        <v>0</v>
      </c>
      <c r="T380">
        <v>176</v>
      </c>
      <c r="U380" s="2">
        <v>6827.04</v>
      </c>
      <c r="V380">
        <v>0</v>
      </c>
      <c r="W380" t="s">
        <v>29</v>
      </c>
      <c r="X380" t="str">
        <f>IF(Table2[[#This Row],[Qty available]]&gt;Table2[[#This Row],[Qty on hand]],"Check","OK")</f>
        <v>OK</v>
      </c>
    </row>
    <row r="381" spans="1:24" x14ac:dyDescent="0.3">
      <c r="A381" t="s">
        <v>89</v>
      </c>
      <c r="B381" t="s">
        <v>90</v>
      </c>
      <c r="C381" t="s">
        <v>91</v>
      </c>
      <c r="D381" t="s">
        <v>92</v>
      </c>
      <c r="E381" t="s">
        <v>27</v>
      </c>
      <c r="F381" s="1" t="s">
        <v>48</v>
      </c>
      <c r="G381" s="2">
        <v>29.19</v>
      </c>
      <c r="H381">
        <v>29.19</v>
      </c>
      <c r="I381">
        <v>29.085605999999999</v>
      </c>
      <c r="J381">
        <v>38.79</v>
      </c>
      <c r="K381">
        <v>25</v>
      </c>
      <c r="M381">
        <v>0</v>
      </c>
      <c r="N381" s="2">
        <v>289</v>
      </c>
      <c r="O381">
        <v>8405.74</v>
      </c>
      <c r="P381">
        <v>42</v>
      </c>
      <c r="Q381">
        <v>247</v>
      </c>
      <c r="R381">
        <v>5.74</v>
      </c>
      <c r="S381">
        <v>4</v>
      </c>
      <c r="T381">
        <v>255</v>
      </c>
      <c r="U381" s="2">
        <v>9891.4500000000007</v>
      </c>
      <c r="V381">
        <v>0</v>
      </c>
      <c r="W381" t="s">
        <v>29</v>
      </c>
      <c r="X381" t="str">
        <f>IF(Table2[[#This Row],[Qty available]]&gt;Table2[[#This Row],[Qty on hand]],"Check","OK")</f>
        <v>OK</v>
      </c>
    </row>
    <row r="382" spans="1:24" x14ac:dyDescent="0.3">
      <c r="A382" t="s">
        <v>89</v>
      </c>
      <c r="B382" t="s">
        <v>90</v>
      </c>
      <c r="C382" t="s">
        <v>91</v>
      </c>
      <c r="D382" t="s">
        <v>92</v>
      </c>
      <c r="E382" t="s">
        <v>27</v>
      </c>
      <c r="F382" s="1" t="s">
        <v>49</v>
      </c>
      <c r="G382" s="2">
        <v>28.93</v>
      </c>
      <c r="H382">
        <v>28.93</v>
      </c>
      <c r="I382">
        <v>28.989321</v>
      </c>
      <c r="J382">
        <v>38.79</v>
      </c>
      <c r="K382">
        <v>25</v>
      </c>
      <c r="L382" s="2">
        <v>24</v>
      </c>
      <c r="M382">
        <v>469</v>
      </c>
      <c r="N382" s="2">
        <v>442</v>
      </c>
      <c r="O382">
        <v>12813.28</v>
      </c>
      <c r="P382">
        <v>42</v>
      </c>
      <c r="Q382">
        <v>400</v>
      </c>
      <c r="R382">
        <v>7.78</v>
      </c>
      <c r="S382">
        <v>0</v>
      </c>
      <c r="T382">
        <v>316</v>
      </c>
      <c r="U382" s="2">
        <v>12257.64</v>
      </c>
      <c r="V382">
        <v>0</v>
      </c>
      <c r="W382" t="s">
        <v>29</v>
      </c>
      <c r="X382" t="str">
        <f>IF(Table2[[#This Row],[Qty available]]&gt;Table2[[#This Row],[Qty on hand]],"Check","OK")</f>
        <v>OK</v>
      </c>
    </row>
    <row r="383" spans="1:24" x14ac:dyDescent="0.3">
      <c r="A383" t="s">
        <v>89</v>
      </c>
      <c r="B383" t="s">
        <v>90</v>
      </c>
      <c r="C383" t="s">
        <v>91</v>
      </c>
      <c r="D383" t="s">
        <v>92</v>
      </c>
      <c r="E383" t="s">
        <v>27</v>
      </c>
      <c r="F383" s="1" t="s">
        <v>50</v>
      </c>
      <c r="G383" s="2">
        <v>29.17</v>
      </c>
      <c r="H383">
        <v>29.17</v>
      </c>
      <c r="I383">
        <v>29.045034000000001</v>
      </c>
      <c r="J383">
        <v>38.79</v>
      </c>
      <c r="K383">
        <v>25</v>
      </c>
      <c r="L383" s="2">
        <v>24</v>
      </c>
      <c r="M383">
        <v>197</v>
      </c>
      <c r="N383" s="2">
        <v>437</v>
      </c>
      <c r="O383">
        <v>12692.68</v>
      </c>
      <c r="P383">
        <v>42</v>
      </c>
      <c r="Q383">
        <v>395</v>
      </c>
      <c r="R383">
        <v>7.35</v>
      </c>
      <c r="S383">
        <v>1</v>
      </c>
      <c r="T383">
        <v>202</v>
      </c>
      <c r="U383" s="2">
        <v>7835.58</v>
      </c>
      <c r="V383">
        <v>0</v>
      </c>
      <c r="W383" t="s">
        <v>29</v>
      </c>
      <c r="X383" t="str">
        <f>IF(Table2[[#This Row],[Qty available]]&gt;Table2[[#This Row],[Qty on hand]],"Check","OK")</f>
        <v>OK</v>
      </c>
    </row>
    <row r="384" spans="1:24" x14ac:dyDescent="0.3">
      <c r="A384" t="s">
        <v>89</v>
      </c>
      <c r="B384" t="s">
        <v>90</v>
      </c>
      <c r="C384" t="s">
        <v>91</v>
      </c>
      <c r="D384" t="s">
        <v>92</v>
      </c>
      <c r="E384" t="s">
        <v>27</v>
      </c>
      <c r="F384" s="1" t="s">
        <v>51</v>
      </c>
      <c r="G384" s="2">
        <v>28.87</v>
      </c>
      <c r="H384">
        <v>28.87</v>
      </c>
      <c r="I384">
        <v>29.02027</v>
      </c>
      <c r="J384">
        <v>38.79</v>
      </c>
      <c r="K384">
        <v>25</v>
      </c>
      <c r="L384" s="2">
        <v>21</v>
      </c>
      <c r="M384">
        <v>72</v>
      </c>
      <c r="N384" s="2">
        <v>333</v>
      </c>
      <c r="O384">
        <v>9663.75</v>
      </c>
      <c r="P384">
        <v>56</v>
      </c>
      <c r="Q384">
        <v>277</v>
      </c>
      <c r="R384">
        <v>6.31</v>
      </c>
      <c r="S384">
        <v>2</v>
      </c>
      <c r="T384">
        <v>176</v>
      </c>
      <c r="U384" s="2">
        <v>6827.04</v>
      </c>
      <c r="V384">
        <v>0</v>
      </c>
      <c r="W384" t="s">
        <v>29</v>
      </c>
      <c r="X384" t="str">
        <f>IF(Table2[[#This Row],[Qty available]]&gt;Table2[[#This Row],[Qty on hand]],"Check","OK")</f>
        <v>OK</v>
      </c>
    </row>
    <row r="385" spans="1:24" x14ac:dyDescent="0.3">
      <c r="A385" t="s">
        <v>89</v>
      </c>
      <c r="B385" t="s">
        <v>90</v>
      </c>
      <c r="C385" t="s">
        <v>91</v>
      </c>
      <c r="D385" t="s">
        <v>92</v>
      </c>
      <c r="E385" t="s">
        <v>27</v>
      </c>
      <c r="F385" s="1" t="s">
        <v>52</v>
      </c>
      <c r="G385" s="2">
        <v>28.65</v>
      </c>
      <c r="H385">
        <v>28.65</v>
      </c>
      <c r="I385">
        <v>28.895133000000001</v>
      </c>
      <c r="J385">
        <v>38.79</v>
      </c>
      <c r="K385">
        <v>25</v>
      </c>
      <c r="L385" s="2">
        <v>22</v>
      </c>
      <c r="M385">
        <v>170</v>
      </c>
      <c r="N385" s="2">
        <v>413</v>
      </c>
      <c r="O385">
        <v>11933.69</v>
      </c>
      <c r="P385">
        <v>56</v>
      </c>
      <c r="Q385">
        <v>357</v>
      </c>
      <c r="R385">
        <v>11.6</v>
      </c>
      <c r="S385">
        <v>5</v>
      </c>
      <c r="T385">
        <v>90</v>
      </c>
      <c r="U385" s="2">
        <v>3491.1</v>
      </c>
      <c r="V385">
        <v>0</v>
      </c>
      <c r="W385" t="s">
        <v>29</v>
      </c>
      <c r="X385" t="str">
        <f>IF(Table2[[#This Row],[Qty available]]&gt;Table2[[#This Row],[Qty on hand]],"Check","OK")</f>
        <v>OK</v>
      </c>
    </row>
    <row r="386" spans="1:24" x14ac:dyDescent="0.3">
      <c r="A386" t="s">
        <v>93</v>
      </c>
      <c r="B386" t="s">
        <v>94</v>
      </c>
      <c r="C386" t="s">
        <v>77</v>
      </c>
      <c r="D386" t="s">
        <v>78</v>
      </c>
      <c r="E386" t="s">
        <v>66</v>
      </c>
      <c r="F386" s="1" t="s">
        <v>28</v>
      </c>
      <c r="G386" s="2">
        <v>269.14999999999998</v>
      </c>
      <c r="H386">
        <v>269.14999999999998</v>
      </c>
      <c r="I386">
        <v>267.55111099999999</v>
      </c>
      <c r="J386">
        <v>381.41</v>
      </c>
      <c r="K386">
        <v>15</v>
      </c>
      <c r="L386" s="2">
        <v>13</v>
      </c>
      <c r="M386">
        <v>23</v>
      </c>
      <c r="N386" s="2">
        <v>27</v>
      </c>
      <c r="O386">
        <v>7223.88</v>
      </c>
      <c r="P386">
        <v>5</v>
      </c>
      <c r="Q386">
        <v>22</v>
      </c>
      <c r="R386">
        <v>6.45</v>
      </c>
      <c r="S386">
        <v>8</v>
      </c>
      <c r="T386">
        <v>16</v>
      </c>
      <c r="U386" s="2">
        <v>6102.56</v>
      </c>
      <c r="V386">
        <v>0</v>
      </c>
      <c r="W386" t="s">
        <v>29</v>
      </c>
      <c r="X386" t="str">
        <f>IF(Table2[[#This Row],[Qty available]]&gt;Table2[[#This Row],[Qty on hand]],"Check","OK")</f>
        <v>OK</v>
      </c>
    </row>
    <row r="387" spans="1:24" x14ac:dyDescent="0.3">
      <c r="A387" t="s">
        <v>93</v>
      </c>
      <c r="B387" t="s">
        <v>94</v>
      </c>
      <c r="C387" t="s">
        <v>77</v>
      </c>
      <c r="D387" t="s">
        <v>78</v>
      </c>
      <c r="E387" t="s">
        <v>66</v>
      </c>
      <c r="F387" s="1" t="s">
        <v>30</v>
      </c>
      <c r="G387" s="2">
        <v>272.66000000000003</v>
      </c>
      <c r="H387">
        <v>272.66000000000003</v>
      </c>
      <c r="I387">
        <v>267.55111099999999</v>
      </c>
      <c r="J387">
        <v>381.41</v>
      </c>
      <c r="K387">
        <v>15</v>
      </c>
      <c r="M387">
        <v>0</v>
      </c>
      <c r="N387" s="2">
        <v>0</v>
      </c>
      <c r="O387">
        <v>0</v>
      </c>
      <c r="P387">
        <v>0</v>
      </c>
      <c r="Q387">
        <v>0</v>
      </c>
      <c r="R387">
        <v>0</v>
      </c>
      <c r="S387">
        <v>14</v>
      </c>
      <c r="T387">
        <v>27</v>
      </c>
      <c r="U387" s="2">
        <v>10298.07</v>
      </c>
      <c r="V387">
        <v>5</v>
      </c>
      <c r="W387" t="s">
        <v>59</v>
      </c>
      <c r="X387" t="str">
        <f>IF(Table2[[#This Row],[Qty available]]&gt;Table2[[#This Row],[Qty on hand]],"Check","OK")</f>
        <v>OK</v>
      </c>
    </row>
    <row r="388" spans="1:24" x14ac:dyDescent="0.3">
      <c r="A388" t="s">
        <v>93</v>
      </c>
      <c r="B388" t="s">
        <v>94</v>
      </c>
      <c r="C388" t="s">
        <v>77</v>
      </c>
      <c r="D388" t="s">
        <v>78</v>
      </c>
      <c r="E388" t="s">
        <v>66</v>
      </c>
      <c r="F388" s="1" t="s">
        <v>31</v>
      </c>
      <c r="G388" s="2">
        <v>268.39</v>
      </c>
      <c r="H388">
        <v>268.39</v>
      </c>
      <c r="I388">
        <v>268.39</v>
      </c>
      <c r="J388">
        <v>381.41</v>
      </c>
      <c r="K388">
        <v>15</v>
      </c>
      <c r="L388" s="2">
        <v>14</v>
      </c>
      <c r="M388">
        <v>52</v>
      </c>
      <c r="N388" s="2">
        <v>17</v>
      </c>
      <c r="O388">
        <v>4562.63</v>
      </c>
      <c r="P388">
        <v>3</v>
      </c>
      <c r="Q388">
        <v>14</v>
      </c>
      <c r="R388">
        <v>2.83</v>
      </c>
      <c r="S388">
        <v>9</v>
      </c>
      <c r="T388">
        <v>35</v>
      </c>
      <c r="U388" s="2">
        <v>13349.35</v>
      </c>
      <c r="V388">
        <v>0</v>
      </c>
      <c r="W388" t="s">
        <v>29</v>
      </c>
      <c r="X388" t="str">
        <f>IF(Table2[[#This Row],[Qty available]]&gt;Table2[[#This Row],[Qty on hand]],"Check","OK")</f>
        <v>OK</v>
      </c>
    </row>
    <row r="389" spans="1:24" x14ac:dyDescent="0.3">
      <c r="A389" t="s">
        <v>93</v>
      </c>
      <c r="B389" t="s">
        <v>94</v>
      </c>
      <c r="C389" t="s">
        <v>77</v>
      </c>
      <c r="D389" t="s">
        <v>78</v>
      </c>
      <c r="E389" t="s">
        <v>66</v>
      </c>
      <c r="F389" s="1" t="s">
        <v>32</v>
      </c>
      <c r="G389" s="2">
        <v>265.02</v>
      </c>
      <c r="H389">
        <v>265.02</v>
      </c>
      <c r="I389">
        <v>266.18923100000001</v>
      </c>
      <c r="J389">
        <v>381.41</v>
      </c>
      <c r="K389">
        <v>15</v>
      </c>
      <c r="L389" s="2">
        <v>14</v>
      </c>
      <c r="M389">
        <v>32</v>
      </c>
      <c r="N389" s="2">
        <v>39</v>
      </c>
      <c r="O389">
        <v>10381.379999999999</v>
      </c>
      <c r="P389">
        <v>5</v>
      </c>
      <c r="Q389">
        <v>34</v>
      </c>
      <c r="R389">
        <v>7.12</v>
      </c>
      <c r="S389">
        <v>11</v>
      </c>
      <c r="T389">
        <v>10</v>
      </c>
      <c r="U389" s="2">
        <v>3814.1</v>
      </c>
      <c r="V389">
        <v>0</v>
      </c>
      <c r="W389" t="s">
        <v>29</v>
      </c>
      <c r="X389" t="str">
        <f>IF(Table2[[#This Row],[Qty available]]&gt;Table2[[#This Row],[Qty on hand]],"Check","OK")</f>
        <v>OK</v>
      </c>
    </row>
    <row r="390" spans="1:24" x14ac:dyDescent="0.3">
      <c r="A390" t="s">
        <v>93</v>
      </c>
      <c r="B390" t="s">
        <v>94</v>
      </c>
      <c r="C390" t="s">
        <v>77</v>
      </c>
      <c r="D390" t="s">
        <v>78</v>
      </c>
      <c r="E390" t="s">
        <v>66</v>
      </c>
      <c r="F390" s="1" t="s">
        <v>33</v>
      </c>
      <c r="G390" s="2">
        <v>272.98</v>
      </c>
      <c r="H390">
        <v>272.98</v>
      </c>
      <c r="I390">
        <v>266.96076900000003</v>
      </c>
      <c r="J390">
        <v>381.41</v>
      </c>
      <c r="K390">
        <v>15</v>
      </c>
      <c r="L390" s="2">
        <v>25</v>
      </c>
      <c r="M390">
        <v>5</v>
      </c>
      <c r="N390" s="2">
        <v>13</v>
      </c>
      <c r="O390">
        <v>3470.49</v>
      </c>
      <c r="P390">
        <v>2</v>
      </c>
      <c r="Q390">
        <v>11</v>
      </c>
      <c r="R390">
        <v>2.25</v>
      </c>
      <c r="S390">
        <v>1</v>
      </c>
      <c r="T390">
        <v>31</v>
      </c>
      <c r="U390" s="2">
        <v>11823.71</v>
      </c>
      <c r="V390">
        <v>0</v>
      </c>
      <c r="W390" t="s">
        <v>29</v>
      </c>
      <c r="X390" t="str">
        <f>IF(Table2[[#This Row],[Qty available]]&gt;Table2[[#This Row],[Qty on hand]],"Check","OK")</f>
        <v>OK</v>
      </c>
    </row>
    <row r="391" spans="1:24" x14ac:dyDescent="0.3">
      <c r="A391" t="s">
        <v>93</v>
      </c>
      <c r="B391" t="s">
        <v>94</v>
      </c>
      <c r="C391" t="s">
        <v>77</v>
      </c>
      <c r="D391" t="s">
        <v>78</v>
      </c>
      <c r="E391" t="s">
        <v>66</v>
      </c>
      <c r="F391" s="1" t="s">
        <v>34</v>
      </c>
      <c r="G391" s="2">
        <v>270.64999999999998</v>
      </c>
      <c r="H391">
        <v>270.64999999999998</v>
      </c>
      <c r="I391">
        <v>269.05166700000001</v>
      </c>
      <c r="J391">
        <v>400.23</v>
      </c>
      <c r="K391">
        <v>15</v>
      </c>
      <c r="L391" s="2">
        <v>13</v>
      </c>
      <c r="M391">
        <v>17</v>
      </c>
      <c r="N391" s="2">
        <v>12</v>
      </c>
      <c r="O391">
        <v>3228.62</v>
      </c>
      <c r="P391">
        <v>6</v>
      </c>
      <c r="Q391">
        <v>6</v>
      </c>
      <c r="R391">
        <v>2.62</v>
      </c>
      <c r="S391">
        <v>8</v>
      </c>
      <c r="T391">
        <v>18</v>
      </c>
      <c r="U391" s="2">
        <v>7204.14</v>
      </c>
      <c r="V391">
        <v>0</v>
      </c>
      <c r="W391" t="s">
        <v>29</v>
      </c>
      <c r="X391" t="str">
        <f>IF(Table2[[#This Row],[Qty available]]&gt;Table2[[#This Row],[Qty on hand]],"Check","OK")</f>
        <v>OK</v>
      </c>
    </row>
    <row r="392" spans="1:24" x14ac:dyDescent="0.3">
      <c r="A392" t="s">
        <v>93</v>
      </c>
      <c r="B392" t="s">
        <v>94</v>
      </c>
      <c r="C392" t="s">
        <v>77</v>
      </c>
      <c r="D392" t="s">
        <v>78</v>
      </c>
      <c r="E392" t="s">
        <v>66</v>
      </c>
      <c r="F392" s="1" t="s">
        <v>35</v>
      </c>
      <c r="G392" s="2">
        <v>288.64999999999998</v>
      </c>
      <c r="H392">
        <v>288.64999999999998</v>
      </c>
      <c r="I392">
        <v>282.29399999999998</v>
      </c>
      <c r="J392">
        <v>400.23</v>
      </c>
      <c r="K392">
        <v>15</v>
      </c>
      <c r="L392" s="2">
        <v>25</v>
      </c>
      <c r="M392">
        <v>25</v>
      </c>
      <c r="N392" s="2">
        <v>20</v>
      </c>
      <c r="O392">
        <v>5645.88</v>
      </c>
      <c r="P392">
        <v>5</v>
      </c>
      <c r="Q392">
        <v>15</v>
      </c>
      <c r="R392">
        <v>3.9</v>
      </c>
      <c r="S392">
        <v>3</v>
      </c>
      <c r="T392">
        <v>17</v>
      </c>
      <c r="U392" s="2">
        <v>6803.91</v>
      </c>
      <c r="V392">
        <v>0</v>
      </c>
      <c r="W392" t="s">
        <v>29</v>
      </c>
      <c r="X392" t="str">
        <f>IF(Table2[[#This Row],[Qty available]]&gt;Table2[[#This Row],[Qty on hand]],"Check","OK")</f>
        <v>OK</v>
      </c>
    </row>
    <row r="393" spans="1:24" x14ac:dyDescent="0.3">
      <c r="A393" t="s">
        <v>93</v>
      </c>
      <c r="B393" t="s">
        <v>94</v>
      </c>
      <c r="C393" t="s">
        <v>77</v>
      </c>
      <c r="D393" t="s">
        <v>78</v>
      </c>
      <c r="E393" t="s">
        <v>66</v>
      </c>
      <c r="F393" s="1" t="s">
        <v>36</v>
      </c>
      <c r="G393" s="2">
        <v>279.08999999999997</v>
      </c>
      <c r="H393">
        <v>279.08999999999997</v>
      </c>
      <c r="I393">
        <v>280.92086999999998</v>
      </c>
      <c r="J393">
        <v>400.23</v>
      </c>
      <c r="K393">
        <v>15</v>
      </c>
      <c r="L393" s="2">
        <v>13</v>
      </c>
      <c r="M393">
        <v>15</v>
      </c>
      <c r="N393" s="2">
        <v>23</v>
      </c>
      <c r="O393">
        <v>6461.18</v>
      </c>
      <c r="P393">
        <v>1</v>
      </c>
      <c r="Q393">
        <v>22</v>
      </c>
      <c r="R393">
        <v>6.22</v>
      </c>
      <c r="S393">
        <v>14</v>
      </c>
      <c r="T393">
        <v>12</v>
      </c>
      <c r="U393" s="2">
        <v>4802.76</v>
      </c>
      <c r="V393">
        <v>0</v>
      </c>
      <c r="W393" t="s">
        <v>29</v>
      </c>
      <c r="X393" t="str">
        <f>IF(Table2[[#This Row],[Qty available]]&gt;Table2[[#This Row],[Qty on hand]],"Check","OK")</f>
        <v>OK</v>
      </c>
    </row>
    <row r="394" spans="1:24" x14ac:dyDescent="0.3">
      <c r="A394" t="s">
        <v>93</v>
      </c>
      <c r="B394" t="s">
        <v>94</v>
      </c>
      <c r="C394" t="s">
        <v>77</v>
      </c>
      <c r="D394" t="s">
        <v>78</v>
      </c>
      <c r="E394" t="s">
        <v>66</v>
      </c>
      <c r="F394" s="1" t="s">
        <v>37</v>
      </c>
      <c r="G394" s="2">
        <v>284.10000000000002</v>
      </c>
      <c r="H394">
        <v>284.10000000000002</v>
      </c>
      <c r="I394">
        <v>282.22500000000002</v>
      </c>
      <c r="J394">
        <v>400.23</v>
      </c>
      <c r="K394">
        <v>15</v>
      </c>
      <c r="L394" s="2">
        <v>13</v>
      </c>
      <c r="M394">
        <v>16</v>
      </c>
      <c r="N394" s="2">
        <v>26</v>
      </c>
      <c r="O394">
        <v>7337.85</v>
      </c>
      <c r="P394">
        <v>6</v>
      </c>
      <c r="Q394">
        <v>20</v>
      </c>
      <c r="R394">
        <v>8.14</v>
      </c>
      <c r="S394">
        <v>2</v>
      </c>
      <c r="T394">
        <v>13</v>
      </c>
      <c r="U394" s="2">
        <v>5202.99</v>
      </c>
      <c r="V394">
        <v>0</v>
      </c>
      <c r="W394" t="s">
        <v>29</v>
      </c>
      <c r="X394" t="str">
        <f>IF(Table2[[#This Row],[Qty available]]&gt;Table2[[#This Row],[Qty on hand]],"Check","OK")</f>
        <v>OK</v>
      </c>
    </row>
    <row r="395" spans="1:24" x14ac:dyDescent="0.3">
      <c r="A395" t="s">
        <v>93</v>
      </c>
      <c r="B395" t="s">
        <v>94</v>
      </c>
      <c r="C395" t="s">
        <v>77</v>
      </c>
      <c r="D395" t="s">
        <v>78</v>
      </c>
      <c r="E395" t="s">
        <v>66</v>
      </c>
      <c r="F395" s="1" t="s">
        <v>38</v>
      </c>
      <c r="G395" s="2">
        <v>286.45999999999998</v>
      </c>
      <c r="H395">
        <v>286.45999999999998</v>
      </c>
      <c r="I395">
        <v>283.40117600000002</v>
      </c>
      <c r="J395">
        <v>400.23</v>
      </c>
      <c r="K395">
        <v>15</v>
      </c>
      <c r="L395" s="2">
        <v>14</v>
      </c>
      <c r="M395">
        <v>10</v>
      </c>
      <c r="N395" s="2">
        <v>17</v>
      </c>
      <c r="O395">
        <v>4817.82</v>
      </c>
      <c r="P395">
        <v>4</v>
      </c>
      <c r="Q395">
        <v>13</v>
      </c>
      <c r="R395">
        <v>5.0199999999999996</v>
      </c>
      <c r="S395">
        <v>0</v>
      </c>
      <c r="T395">
        <v>19</v>
      </c>
      <c r="U395" s="2">
        <v>7604.37</v>
      </c>
      <c r="V395">
        <v>0</v>
      </c>
      <c r="W395" t="s">
        <v>29</v>
      </c>
      <c r="X395" t="str">
        <f>IF(Table2[[#This Row],[Qty available]]&gt;Table2[[#This Row],[Qty on hand]],"Check","OK")</f>
        <v>OK</v>
      </c>
    </row>
    <row r="396" spans="1:24" x14ac:dyDescent="0.3">
      <c r="A396" t="s">
        <v>93</v>
      </c>
      <c r="B396" t="s">
        <v>94</v>
      </c>
      <c r="C396" t="s">
        <v>77</v>
      </c>
      <c r="D396" t="s">
        <v>78</v>
      </c>
      <c r="E396" t="s">
        <v>66</v>
      </c>
      <c r="F396" s="1" t="s">
        <v>39</v>
      </c>
      <c r="G396" s="2">
        <v>278.39</v>
      </c>
      <c r="H396">
        <v>278.39</v>
      </c>
      <c r="I396">
        <v>281.94</v>
      </c>
      <c r="J396">
        <v>400.23</v>
      </c>
      <c r="K396">
        <v>15</v>
      </c>
      <c r="L396" s="2">
        <v>15</v>
      </c>
      <c r="M396">
        <v>7</v>
      </c>
      <c r="N396" s="2">
        <v>4</v>
      </c>
      <c r="O396">
        <v>1127.76</v>
      </c>
      <c r="P396">
        <v>4</v>
      </c>
      <c r="Q396">
        <v>0</v>
      </c>
      <c r="R396">
        <v>1.01</v>
      </c>
      <c r="S396">
        <v>7</v>
      </c>
      <c r="T396">
        <v>20</v>
      </c>
      <c r="U396" s="2">
        <v>8004.6</v>
      </c>
      <c r="V396">
        <v>0</v>
      </c>
      <c r="W396" t="s">
        <v>29</v>
      </c>
      <c r="X396" t="str">
        <f>IF(Table2[[#This Row],[Qty available]]&gt;Table2[[#This Row],[Qty on hand]],"Check","OK")</f>
        <v>OK</v>
      </c>
    </row>
    <row r="397" spans="1:24" x14ac:dyDescent="0.3">
      <c r="A397" t="s">
        <v>93</v>
      </c>
      <c r="B397" t="s">
        <v>94</v>
      </c>
      <c r="C397" t="s">
        <v>77</v>
      </c>
      <c r="D397" t="s">
        <v>78</v>
      </c>
      <c r="E397" t="s">
        <v>66</v>
      </c>
      <c r="F397" s="1" t="s">
        <v>40</v>
      </c>
      <c r="G397" s="2">
        <v>285.72000000000003</v>
      </c>
      <c r="H397">
        <v>285.72000000000003</v>
      </c>
      <c r="I397">
        <v>285.322069</v>
      </c>
      <c r="J397">
        <v>400.23</v>
      </c>
      <c r="K397">
        <v>15</v>
      </c>
      <c r="L397" s="2">
        <v>13</v>
      </c>
      <c r="M397">
        <v>34</v>
      </c>
      <c r="N397" s="2">
        <v>29</v>
      </c>
      <c r="O397">
        <v>8274.34</v>
      </c>
      <c r="P397">
        <v>3</v>
      </c>
      <c r="Q397">
        <v>26</v>
      </c>
      <c r="R397">
        <v>7.94</v>
      </c>
      <c r="S397">
        <v>8</v>
      </c>
      <c r="T397">
        <v>9</v>
      </c>
      <c r="U397" s="2">
        <v>3602.07</v>
      </c>
      <c r="V397">
        <v>0</v>
      </c>
      <c r="W397" t="s">
        <v>29</v>
      </c>
      <c r="X397" t="str">
        <f>IF(Table2[[#This Row],[Qty available]]&gt;Table2[[#This Row],[Qty on hand]],"Check","OK")</f>
        <v>OK</v>
      </c>
    </row>
    <row r="398" spans="1:24" x14ac:dyDescent="0.3">
      <c r="A398" t="s">
        <v>93</v>
      </c>
      <c r="B398" t="s">
        <v>94</v>
      </c>
      <c r="C398" t="s">
        <v>77</v>
      </c>
      <c r="D398" t="s">
        <v>78</v>
      </c>
      <c r="E398" t="s">
        <v>66</v>
      </c>
      <c r="F398" s="1" t="s">
        <v>41</v>
      </c>
      <c r="G398" s="2">
        <v>287.77</v>
      </c>
      <c r="H398">
        <v>287.77</v>
      </c>
      <c r="I398">
        <v>286.15649999999999</v>
      </c>
      <c r="J398">
        <v>400.23</v>
      </c>
      <c r="K398">
        <v>15</v>
      </c>
      <c r="L398" s="2">
        <v>20</v>
      </c>
      <c r="M398">
        <v>15</v>
      </c>
      <c r="N398" s="2">
        <v>20</v>
      </c>
      <c r="O398">
        <v>5723.13</v>
      </c>
      <c r="P398">
        <v>2</v>
      </c>
      <c r="Q398">
        <v>18</v>
      </c>
      <c r="R398">
        <v>4.96</v>
      </c>
      <c r="S398">
        <v>2</v>
      </c>
      <c r="T398">
        <v>24</v>
      </c>
      <c r="U398" s="2">
        <v>9605.52</v>
      </c>
      <c r="V398">
        <v>0</v>
      </c>
      <c r="W398" t="s">
        <v>29</v>
      </c>
      <c r="X398" t="str">
        <f>IF(Table2[[#This Row],[Qty available]]&gt;Table2[[#This Row],[Qty on hand]],"Check","OK")</f>
        <v>OK</v>
      </c>
    </row>
    <row r="399" spans="1:24" x14ac:dyDescent="0.3">
      <c r="A399" t="s">
        <v>93</v>
      </c>
      <c r="B399" t="s">
        <v>94</v>
      </c>
      <c r="C399" t="s">
        <v>77</v>
      </c>
      <c r="D399" t="s">
        <v>78</v>
      </c>
      <c r="E399" t="s">
        <v>66</v>
      </c>
      <c r="F399" s="1" t="s">
        <v>42</v>
      </c>
      <c r="G399" s="2">
        <v>289.29000000000002</v>
      </c>
      <c r="H399">
        <v>289.29000000000002</v>
      </c>
      <c r="I399">
        <v>287.8972</v>
      </c>
      <c r="J399">
        <v>400.23</v>
      </c>
      <c r="K399">
        <v>15</v>
      </c>
      <c r="L399" s="2">
        <v>15</v>
      </c>
      <c r="M399">
        <v>25</v>
      </c>
      <c r="N399" s="2">
        <v>25</v>
      </c>
      <c r="O399">
        <v>7197.43</v>
      </c>
      <c r="P399">
        <v>5</v>
      </c>
      <c r="Q399">
        <v>20</v>
      </c>
      <c r="R399">
        <v>6.2</v>
      </c>
      <c r="S399">
        <v>21</v>
      </c>
      <c r="T399">
        <v>20</v>
      </c>
      <c r="U399" s="2">
        <v>8004.6</v>
      </c>
      <c r="V399">
        <v>0</v>
      </c>
      <c r="W399" t="s">
        <v>29</v>
      </c>
      <c r="X399" t="str">
        <f>IF(Table2[[#This Row],[Qty available]]&gt;Table2[[#This Row],[Qty on hand]],"Check","OK")</f>
        <v>OK</v>
      </c>
    </row>
    <row r="400" spans="1:24" x14ac:dyDescent="0.3">
      <c r="A400" t="s">
        <v>93</v>
      </c>
      <c r="B400" t="s">
        <v>94</v>
      </c>
      <c r="C400" t="s">
        <v>77</v>
      </c>
      <c r="D400" t="s">
        <v>78</v>
      </c>
      <c r="E400" t="s">
        <v>66</v>
      </c>
      <c r="F400" s="1" t="s">
        <v>43</v>
      </c>
      <c r="G400" s="2">
        <v>280.89999999999998</v>
      </c>
      <c r="H400">
        <v>280.89999999999998</v>
      </c>
      <c r="I400">
        <v>286.20090900000002</v>
      </c>
      <c r="J400">
        <v>400.23</v>
      </c>
      <c r="K400">
        <v>15</v>
      </c>
      <c r="L400" s="2">
        <v>13</v>
      </c>
      <c r="M400">
        <v>8</v>
      </c>
      <c r="N400" s="2">
        <v>22</v>
      </c>
      <c r="O400">
        <v>6296.42</v>
      </c>
      <c r="P400">
        <v>6</v>
      </c>
      <c r="Q400">
        <v>16</v>
      </c>
      <c r="R400">
        <v>5.2</v>
      </c>
      <c r="S400">
        <v>0</v>
      </c>
      <c r="T400">
        <v>11</v>
      </c>
      <c r="U400" s="2">
        <v>4402.53</v>
      </c>
      <c r="V400">
        <v>0</v>
      </c>
      <c r="W400" t="s">
        <v>29</v>
      </c>
      <c r="X400" t="str">
        <f>IF(Table2[[#This Row],[Qty available]]&gt;Table2[[#This Row],[Qty on hand]],"Check","OK")</f>
        <v>OK</v>
      </c>
    </row>
    <row r="401" spans="1:24" x14ac:dyDescent="0.3">
      <c r="A401" t="s">
        <v>93</v>
      </c>
      <c r="B401" t="s">
        <v>94</v>
      </c>
      <c r="C401" t="s">
        <v>77</v>
      </c>
      <c r="D401" t="s">
        <v>78</v>
      </c>
      <c r="E401" t="s">
        <v>66</v>
      </c>
      <c r="F401" s="1" t="s">
        <v>44</v>
      </c>
      <c r="G401" s="2">
        <v>283.18</v>
      </c>
      <c r="H401">
        <v>283.18</v>
      </c>
      <c r="I401">
        <v>286.20090900000002</v>
      </c>
      <c r="J401">
        <v>400.23</v>
      </c>
      <c r="K401">
        <v>15</v>
      </c>
      <c r="M401">
        <v>0</v>
      </c>
      <c r="N401" s="2">
        <v>22</v>
      </c>
      <c r="O401">
        <v>6296.42</v>
      </c>
      <c r="P401">
        <v>4</v>
      </c>
      <c r="Q401">
        <v>18</v>
      </c>
      <c r="R401">
        <v>9.33</v>
      </c>
      <c r="S401">
        <v>31</v>
      </c>
      <c r="T401">
        <v>0</v>
      </c>
      <c r="U401" s="2">
        <v>0</v>
      </c>
      <c r="V401">
        <v>0</v>
      </c>
      <c r="W401" t="s">
        <v>29</v>
      </c>
      <c r="X401" t="str">
        <f>IF(Table2[[#This Row],[Qty available]]&gt;Table2[[#This Row],[Qty on hand]],"Check","OK")</f>
        <v>OK</v>
      </c>
    </row>
    <row r="402" spans="1:24" x14ac:dyDescent="0.3">
      <c r="A402" t="s">
        <v>93</v>
      </c>
      <c r="B402" t="s">
        <v>94</v>
      </c>
      <c r="C402" t="s">
        <v>77</v>
      </c>
      <c r="D402" t="s">
        <v>78</v>
      </c>
      <c r="E402" t="s">
        <v>66</v>
      </c>
      <c r="F402" s="1" t="s">
        <v>45</v>
      </c>
      <c r="G402" s="2">
        <v>287.69</v>
      </c>
      <c r="H402">
        <v>287.69</v>
      </c>
      <c r="I402">
        <v>286.77999999999997</v>
      </c>
      <c r="J402">
        <v>400.23</v>
      </c>
      <c r="K402">
        <v>15</v>
      </c>
      <c r="L402" s="2">
        <v>14</v>
      </c>
      <c r="M402">
        <v>14</v>
      </c>
      <c r="N402" s="2">
        <v>13</v>
      </c>
      <c r="O402">
        <v>3728.14</v>
      </c>
      <c r="P402">
        <v>6</v>
      </c>
      <c r="Q402">
        <v>7</v>
      </c>
      <c r="R402">
        <v>5.03</v>
      </c>
      <c r="S402">
        <v>0</v>
      </c>
      <c r="T402">
        <v>23</v>
      </c>
      <c r="U402" s="2">
        <v>9205.2900000000009</v>
      </c>
      <c r="V402">
        <v>0</v>
      </c>
      <c r="W402" t="s">
        <v>29</v>
      </c>
      <c r="X402" t="str">
        <f>IF(Table2[[#This Row],[Qty available]]&gt;Table2[[#This Row],[Qty on hand]],"Check","OK")</f>
        <v>OK</v>
      </c>
    </row>
    <row r="403" spans="1:24" x14ac:dyDescent="0.3">
      <c r="A403" t="s">
        <v>93</v>
      </c>
      <c r="B403" t="s">
        <v>94</v>
      </c>
      <c r="C403" t="s">
        <v>77</v>
      </c>
      <c r="D403" t="s">
        <v>78</v>
      </c>
      <c r="E403" t="s">
        <v>66</v>
      </c>
      <c r="F403" s="1" t="s">
        <v>46</v>
      </c>
      <c r="G403" s="2">
        <v>284.22000000000003</v>
      </c>
      <c r="H403">
        <v>284.22000000000003</v>
      </c>
      <c r="I403">
        <v>285.32933300000002</v>
      </c>
      <c r="J403">
        <v>419.97</v>
      </c>
      <c r="K403">
        <v>15</v>
      </c>
      <c r="L403" s="2">
        <v>17</v>
      </c>
      <c r="M403">
        <v>17</v>
      </c>
      <c r="N403" s="2">
        <v>15</v>
      </c>
      <c r="O403">
        <v>4279.9399999999996</v>
      </c>
      <c r="P403">
        <v>5</v>
      </c>
      <c r="Q403">
        <v>10</v>
      </c>
      <c r="R403">
        <v>5.08</v>
      </c>
      <c r="S403">
        <v>7</v>
      </c>
      <c r="T403">
        <v>15</v>
      </c>
      <c r="U403" s="2">
        <v>6299.55</v>
      </c>
      <c r="V403">
        <v>0</v>
      </c>
      <c r="W403" t="s">
        <v>29</v>
      </c>
      <c r="X403" t="str">
        <f>IF(Table2[[#This Row],[Qty available]]&gt;Table2[[#This Row],[Qty on hand]],"Check","OK")</f>
        <v>OK</v>
      </c>
    </row>
    <row r="404" spans="1:24" x14ac:dyDescent="0.3">
      <c r="A404" t="s">
        <v>93</v>
      </c>
      <c r="B404" t="s">
        <v>94</v>
      </c>
      <c r="C404" t="s">
        <v>77</v>
      </c>
      <c r="D404" t="s">
        <v>78</v>
      </c>
      <c r="E404" t="s">
        <v>66</v>
      </c>
      <c r="F404" s="1" t="s">
        <v>47</v>
      </c>
      <c r="G404" s="2">
        <v>300.67</v>
      </c>
      <c r="H404">
        <v>300.67</v>
      </c>
      <c r="I404">
        <v>292.73517199999998</v>
      </c>
      <c r="J404">
        <v>419.97</v>
      </c>
      <c r="K404">
        <v>15</v>
      </c>
      <c r="L404" s="2">
        <v>18</v>
      </c>
      <c r="M404">
        <v>14</v>
      </c>
      <c r="N404" s="2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29</v>
      </c>
      <c r="U404" s="2">
        <v>12179.13</v>
      </c>
      <c r="V404">
        <v>1</v>
      </c>
      <c r="W404" t="s">
        <v>59</v>
      </c>
      <c r="X404" t="str">
        <f>IF(Table2[[#This Row],[Qty available]]&gt;Table2[[#This Row],[Qty on hand]],"Check","OK")</f>
        <v>OK</v>
      </c>
    </row>
    <row r="405" spans="1:24" x14ac:dyDescent="0.3">
      <c r="A405" t="s">
        <v>93</v>
      </c>
      <c r="B405" t="s">
        <v>94</v>
      </c>
      <c r="C405" t="s">
        <v>77</v>
      </c>
      <c r="D405" t="s">
        <v>78</v>
      </c>
      <c r="E405" t="s">
        <v>66</v>
      </c>
      <c r="F405" s="1" t="s">
        <v>48</v>
      </c>
      <c r="G405" s="2">
        <v>296.89</v>
      </c>
      <c r="H405">
        <v>296.89</v>
      </c>
      <c r="I405">
        <v>296.89</v>
      </c>
      <c r="J405">
        <v>419.97</v>
      </c>
      <c r="K405">
        <v>15</v>
      </c>
      <c r="L405" s="2">
        <v>14</v>
      </c>
      <c r="M405">
        <v>43</v>
      </c>
      <c r="N405" s="2">
        <v>26</v>
      </c>
      <c r="O405">
        <v>7719.14</v>
      </c>
      <c r="P405">
        <v>5</v>
      </c>
      <c r="Q405">
        <v>21</v>
      </c>
      <c r="R405">
        <v>5.42</v>
      </c>
      <c r="S405">
        <v>3</v>
      </c>
      <c r="T405">
        <v>17</v>
      </c>
      <c r="U405" s="2">
        <v>7139.49</v>
      </c>
      <c r="V405">
        <v>0</v>
      </c>
      <c r="W405" t="s">
        <v>29</v>
      </c>
      <c r="X405" t="str">
        <f>IF(Table2[[#This Row],[Qty available]]&gt;Table2[[#This Row],[Qty on hand]],"Check","OK")</f>
        <v>OK</v>
      </c>
    </row>
    <row r="406" spans="1:24" x14ac:dyDescent="0.3">
      <c r="A406" t="s">
        <v>93</v>
      </c>
      <c r="B406" t="s">
        <v>94</v>
      </c>
      <c r="C406" t="s">
        <v>77</v>
      </c>
      <c r="D406" t="s">
        <v>78</v>
      </c>
      <c r="E406" t="s">
        <v>66</v>
      </c>
      <c r="F406" s="1" t="s">
        <v>49</v>
      </c>
      <c r="G406" s="2">
        <v>295.02999999999997</v>
      </c>
      <c r="H406">
        <v>295.02999999999997</v>
      </c>
      <c r="I406">
        <v>296.89</v>
      </c>
      <c r="J406">
        <v>419.97</v>
      </c>
      <c r="K406">
        <v>15</v>
      </c>
      <c r="M406">
        <v>0</v>
      </c>
      <c r="N406" s="2">
        <v>10</v>
      </c>
      <c r="O406">
        <v>2968.9</v>
      </c>
      <c r="P406">
        <v>4</v>
      </c>
      <c r="Q406">
        <v>6</v>
      </c>
      <c r="R406">
        <v>2.12</v>
      </c>
      <c r="S406">
        <v>23</v>
      </c>
      <c r="T406">
        <v>16</v>
      </c>
      <c r="U406" s="2">
        <v>6719.52</v>
      </c>
      <c r="V406">
        <v>0</v>
      </c>
      <c r="W406" t="s">
        <v>29</v>
      </c>
      <c r="X406" t="str">
        <f>IF(Table2[[#This Row],[Qty available]]&gt;Table2[[#This Row],[Qty on hand]],"Check","OK")</f>
        <v>OK</v>
      </c>
    </row>
    <row r="407" spans="1:24" x14ac:dyDescent="0.3">
      <c r="A407" t="s">
        <v>93</v>
      </c>
      <c r="B407" t="s">
        <v>94</v>
      </c>
      <c r="C407" t="s">
        <v>77</v>
      </c>
      <c r="D407" t="s">
        <v>78</v>
      </c>
      <c r="E407" t="s">
        <v>66</v>
      </c>
      <c r="F407" s="1" t="s">
        <v>50</v>
      </c>
      <c r="G407" s="2">
        <v>298.91000000000003</v>
      </c>
      <c r="H407">
        <v>298.91000000000003</v>
      </c>
      <c r="I407">
        <v>298.16199999999998</v>
      </c>
      <c r="J407">
        <v>419.97</v>
      </c>
      <c r="K407">
        <v>15</v>
      </c>
      <c r="L407" s="2">
        <v>14</v>
      </c>
      <c r="M407">
        <v>17</v>
      </c>
      <c r="N407" s="2">
        <v>15</v>
      </c>
      <c r="O407">
        <v>4472.43</v>
      </c>
      <c r="P407">
        <v>5</v>
      </c>
      <c r="Q407">
        <v>10</v>
      </c>
      <c r="R407">
        <v>4.33</v>
      </c>
      <c r="S407">
        <v>0</v>
      </c>
      <c r="T407">
        <v>12</v>
      </c>
      <c r="U407" s="2">
        <v>5039.6400000000003</v>
      </c>
      <c r="V407">
        <v>0</v>
      </c>
      <c r="W407" t="s">
        <v>29</v>
      </c>
      <c r="X407" t="str">
        <f>IF(Table2[[#This Row],[Qty available]]&gt;Table2[[#This Row],[Qty on hand]],"Check","OK")</f>
        <v>OK</v>
      </c>
    </row>
    <row r="408" spans="1:24" x14ac:dyDescent="0.3">
      <c r="A408" t="s">
        <v>93</v>
      </c>
      <c r="B408" t="s">
        <v>94</v>
      </c>
      <c r="C408" t="s">
        <v>77</v>
      </c>
      <c r="D408" t="s">
        <v>78</v>
      </c>
      <c r="E408" t="s">
        <v>66</v>
      </c>
      <c r="F408" s="1" t="s">
        <v>51</v>
      </c>
      <c r="G408" s="2">
        <v>304.01</v>
      </c>
      <c r="H408">
        <v>304.01</v>
      </c>
      <c r="I408">
        <v>301.76064500000001</v>
      </c>
      <c r="J408">
        <v>419.97</v>
      </c>
      <c r="K408">
        <v>15</v>
      </c>
      <c r="L408" s="2">
        <v>21</v>
      </c>
      <c r="M408">
        <v>24</v>
      </c>
      <c r="N408" s="2">
        <v>31</v>
      </c>
      <c r="O408">
        <v>9354.58</v>
      </c>
      <c r="P408">
        <v>3</v>
      </c>
      <c r="Q408">
        <v>28</v>
      </c>
      <c r="R408">
        <v>11.32</v>
      </c>
      <c r="S408">
        <v>7</v>
      </c>
      <c r="T408">
        <v>8</v>
      </c>
      <c r="U408" s="2">
        <v>3359.76</v>
      </c>
      <c r="V408">
        <v>0</v>
      </c>
      <c r="W408" t="s">
        <v>29</v>
      </c>
      <c r="X408" t="str">
        <f>IF(Table2[[#This Row],[Qty available]]&gt;Table2[[#This Row],[Qty on hand]],"Check","OK")</f>
        <v>OK</v>
      </c>
    </row>
    <row r="409" spans="1:24" x14ac:dyDescent="0.3">
      <c r="A409" t="s">
        <v>93</v>
      </c>
      <c r="B409" t="s">
        <v>94</v>
      </c>
      <c r="C409" t="s">
        <v>77</v>
      </c>
      <c r="D409" t="s">
        <v>78</v>
      </c>
      <c r="E409" t="s">
        <v>66</v>
      </c>
      <c r="F409" s="1" t="s">
        <v>52</v>
      </c>
      <c r="G409" s="2">
        <v>295.3</v>
      </c>
      <c r="H409">
        <v>295.3</v>
      </c>
      <c r="I409">
        <v>299.472353</v>
      </c>
      <c r="J409">
        <v>419.97</v>
      </c>
      <c r="K409">
        <v>15</v>
      </c>
      <c r="L409" s="2">
        <v>26</v>
      </c>
      <c r="M409">
        <v>17</v>
      </c>
      <c r="N409" s="2">
        <v>34</v>
      </c>
      <c r="O409">
        <v>10182.06</v>
      </c>
      <c r="P409">
        <v>2</v>
      </c>
      <c r="Q409">
        <v>32</v>
      </c>
      <c r="R409">
        <v>13.14</v>
      </c>
      <c r="S409">
        <v>11</v>
      </c>
      <c r="T409">
        <v>14</v>
      </c>
      <c r="U409" s="2">
        <v>5879.58</v>
      </c>
      <c r="V409">
        <v>0</v>
      </c>
      <c r="W409" t="s">
        <v>29</v>
      </c>
      <c r="X409" t="str">
        <f>IF(Table2[[#This Row],[Qty available]]&gt;Table2[[#This Row],[Qty on hand]],"Check","OK")</f>
        <v>OK</v>
      </c>
    </row>
    <row r="410" spans="1:24" x14ac:dyDescent="0.3">
      <c r="A410" t="s">
        <v>95</v>
      </c>
      <c r="B410" t="s">
        <v>96</v>
      </c>
      <c r="C410" t="s">
        <v>69</v>
      </c>
      <c r="D410" t="s">
        <v>70</v>
      </c>
      <c r="E410" t="s">
        <v>27</v>
      </c>
      <c r="F410" s="1" t="s">
        <v>28</v>
      </c>
      <c r="G410" s="2">
        <v>112.5</v>
      </c>
      <c r="H410">
        <v>112.5</v>
      </c>
      <c r="I410">
        <v>113.98787900000001</v>
      </c>
      <c r="J410">
        <v>152.80000000000001</v>
      </c>
      <c r="K410">
        <v>32</v>
      </c>
      <c r="M410">
        <v>0</v>
      </c>
      <c r="N410" s="2">
        <v>33</v>
      </c>
      <c r="O410">
        <v>3761.6</v>
      </c>
      <c r="P410">
        <v>9</v>
      </c>
      <c r="Q410">
        <v>24</v>
      </c>
      <c r="R410">
        <v>3.98</v>
      </c>
      <c r="S410">
        <v>8</v>
      </c>
      <c r="T410">
        <v>37</v>
      </c>
      <c r="U410" s="2">
        <v>5653.6</v>
      </c>
      <c r="V410">
        <v>0</v>
      </c>
      <c r="W410" t="s">
        <v>29</v>
      </c>
      <c r="X410" t="str">
        <f>IF(Table2[[#This Row],[Qty available]]&gt;Table2[[#This Row],[Qty on hand]],"Check","OK")</f>
        <v>OK</v>
      </c>
    </row>
    <row r="411" spans="1:24" x14ac:dyDescent="0.3">
      <c r="A411" t="s">
        <v>95</v>
      </c>
      <c r="B411" t="s">
        <v>96</v>
      </c>
      <c r="C411" t="s">
        <v>69</v>
      </c>
      <c r="D411" t="s">
        <v>70</v>
      </c>
      <c r="E411" t="s">
        <v>27</v>
      </c>
      <c r="F411" s="1" t="s">
        <v>30</v>
      </c>
      <c r="G411" s="2">
        <v>111.5</v>
      </c>
      <c r="H411">
        <v>111.5</v>
      </c>
      <c r="I411">
        <v>112.56629</v>
      </c>
      <c r="J411">
        <v>152.80000000000001</v>
      </c>
      <c r="K411">
        <v>32</v>
      </c>
      <c r="L411" s="2">
        <v>49</v>
      </c>
      <c r="M411">
        <v>44</v>
      </c>
      <c r="N411" s="2">
        <v>62</v>
      </c>
      <c r="O411">
        <v>6979.11</v>
      </c>
      <c r="P411">
        <v>3</v>
      </c>
      <c r="Q411">
        <v>59</v>
      </c>
      <c r="R411">
        <v>8.23</v>
      </c>
      <c r="S411">
        <v>1</v>
      </c>
      <c r="T411">
        <v>15</v>
      </c>
      <c r="U411" s="2">
        <v>2292</v>
      </c>
      <c r="V411">
        <v>0</v>
      </c>
      <c r="W411" t="s">
        <v>29</v>
      </c>
      <c r="X411" t="str">
        <f>IF(Table2[[#This Row],[Qty available]]&gt;Table2[[#This Row],[Qty on hand]],"Check","OK")</f>
        <v>OK</v>
      </c>
    </row>
    <row r="412" spans="1:24" x14ac:dyDescent="0.3">
      <c r="A412" t="s">
        <v>95</v>
      </c>
      <c r="B412" t="s">
        <v>96</v>
      </c>
      <c r="C412" t="s">
        <v>69</v>
      </c>
      <c r="D412" t="s">
        <v>70</v>
      </c>
      <c r="E412" t="s">
        <v>27</v>
      </c>
      <c r="F412" s="1" t="s">
        <v>31</v>
      </c>
      <c r="G412" s="2">
        <v>115.36</v>
      </c>
      <c r="H412">
        <v>115.36</v>
      </c>
      <c r="I412">
        <v>113.4772</v>
      </c>
      <c r="J412">
        <v>152.80000000000001</v>
      </c>
      <c r="K412">
        <v>32</v>
      </c>
      <c r="L412" s="2">
        <v>42</v>
      </c>
      <c r="M412">
        <v>30</v>
      </c>
      <c r="N412" s="2">
        <v>50</v>
      </c>
      <c r="O412">
        <v>5673.86</v>
      </c>
      <c r="P412">
        <v>9</v>
      </c>
      <c r="Q412">
        <v>41</v>
      </c>
      <c r="R412">
        <v>6.91</v>
      </c>
      <c r="S412">
        <v>0</v>
      </c>
      <c r="T412">
        <v>42</v>
      </c>
      <c r="U412" s="2">
        <v>6417.6</v>
      </c>
      <c r="V412">
        <v>0</v>
      </c>
      <c r="W412" t="s">
        <v>29</v>
      </c>
      <c r="X412" t="str">
        <f>IF(Table2[[#This Row],[Qty available]]&gt;Table2[[#This Row],[Qty on hand]],"Check","OK")</f>
        <v>OK</v>
      </c>
    </row>
    <row r="413" spans="1:24" x14ac:dyDescent="0.3">
      <c r="A413" t="s">
        <v>95</v>
      </c>
      <c r="B413" t="s">
        <v>96</v>
      </c>
      <c r="C413" t="s">
        <v>69</v>
      </c>
      <c r="D413" t="s">
        <v>70</v>
      </c>
      <c r="E413" t="s">
        <v>27</v>
      </c>
      <c r="F413" s="1" t="s">
        <v>32</v>
      </c>
      <c r="G413" s="2">
        <v>117.59</v>
      </c>
      <c r="H413">
        <v>117.59</v>
      </c>
      <c r="I413">
        <v>114.652308</v>
      </c>
      <c r="J413">
        <v>152.80000000000001</v>
      </c>
      <c r="K413">
        <v>32</v>
      </c>
      <c r="L413" s="2">
        <v>52</v>
      </c>
      <c r="M413">
        <v>20</v>
      </c>
      <c r="N413" s="2">
        <v>39</v>
      </c>
      <c r="O413">
        <v>4471.4399999999996</v>
      </c>
      <c r="P413">
        <v>9</v>
      </c>
      <c r="Q413">
        <v>30</v>
      </c>
      <c r="R413">
        <v>5.82</v>
      </c>
      <c r="S413">
        <v>5</v>
      </c>
      <c r="T413">
        <v>31</v>
      </c>
      <c r="U413" s="2">
        <v>4736.8</v>
      </c>
      <c r="V413">
        <v>0</v>
      </c>
      <c r="W413" t="s">
        <v>29</v>
      </c>
      <c r="X413" t="str">
        <f>IF(Table2[[#This Row],[Qty available]]&gt;Table2[[#This Row],[Qty on hand]],"Check","OK")</f>
        <v>OK</v>
      </c>
    </row>
    <row r="414" spans="1:24" x14ac:dyDescent="0.3">
      <c r="A414" t="s">
        <v>95</v>
      </c>
      <c r="B414" t="s">
        <v>96</v>
      </c>
      <c r="C414" t="s">
        <v>69</v>
      </c>
      <c r="D414" t="s">
        <v>70</v>
      </c>
      <c r="E414" t="s">
        <v>27</v>
      </c>
      <c r="F414" s="1" t="s">
        <v>33</v>
      </c>
      <c r="G414" s="2">
        <v>114.35</v>
      </c>
      <c r="H414">
        <v>114.35</v>
      </c>
      <c r="I414">
        <v>114.549756</v>
      </c>
      <c r="J414">
        <v>152.80000000000001</v>
      </c>
      <c r="K414">
        <v>32</v>
      </c>
      <c r="L414" s="2">
        <v>28</v>
      </c>
      <c r="M414">
        <v>20</v>
      </c>
      <c r="N414" s="2">
        <v>41</v>
      </c>
      <c r="O414">
        <v>4696.54</v>
      </c>
      <c r="P414">
        <v>4</v>
      </c>
      <c r="Q414">
        <v>37</v>
      </c>
      <c r="R414">
        <v>5.92</v>
      </c>
      <c r="S414">
        <v>13</v>
      </c>
      <c r="T414">
        <v>18</v>
      </c>
      <c r="U414" s="2">
        <v>2750.4</v>
      </c>
      <c r="V414">
        <v>0</v>
      </c>
      <c r="W414" t="s">
        <v>29</v>
      </c>
      <c r="X414" t="str">
        <f>IF(Table2[[#This Row],[Qty available]]&gt;Table2[[#This Row],[Qty on hand]],"Check","OK")</f>
        <v>OK</v>
      </c>
    </row>
    <row r="415" spans="1:24" x14ac:dyDescent="0.3">
      <c r="A415" t="s">
        <v>95</v>
      </c>
      <c r="B415" t="s">
        <v>96</v>
      </c>
      <c r="C415" t="s">
        <v>69</v>
      </c>
      <c r="D415" t="s">
        <v>70</v>
      </c>
      <c r="E415" t="s">
        <v>27</v>
      </c>
      <c r="F415" s="1" t="s">
        <v>34</v>
      </c>
      <c r="G415" s="2">
        <v>115.06</v>
      </c>
      <c r="H415">
        <v>115.06</v>
      </c>
      <c r="I415">
        <v>114.897778</v>
      </c>
      <c r="J415">
        <v>161.05000000000001</v>
      </c>
      <c r="K415">
        <v>32</v>
      </c>
      <c r="L415" s="2">
        <v>27</v>
      </c>
      <c r="M415">
        <v>88</v>
      </c>
      <c r="N415" s="2">
        <v>81</v>
      </c>
      <c r="O415">
        <v>9306.7199999999993</v>
      </c>
      <c r="P415">
        <v>6</v>
      </c>
      <c r="Q415">
        <v>75</v>
      </c>
      <c r="R415">
        <v>10.74</v>
      </c>
      <c r="S415">
        <v>0</v>
      </c>
      <c r="T415">
        <v>48</v>
      </c>
      <c r="U415" s="2">
        <v>7730.4</v>
      </c>
      <c r="V415">
        <v>0</v>
      </c>
      <c r="W415" t="s">
        <v>29</v>
      </c>
      <c r="X415" t="str">
        <f>IF(Table2[[#This Row],[Qty available]]&gt;Table2[[#This Row],[Qty on hand]],"Check","OK")</f>
        <v>OK</v>
      </c>
    </row>
    <row r="416" spans="1:24" x14ac:dyDescent="0.3">
      <c r="A416" t="s">
        <v>95</v>
      </c>
      <c r="B416" t="s">
        <v>96</v>
      </c>
      <c r="C416" t="s">
        <v>69</v>
      </c>
      <c r="D416" t="s">
        <v>70</v>
      </c>
      <c r="E416" t="s">
        <v>27</v>
      </c>
      <c r="F416" s="1" t="s">
        <v>35</v>
      </c>
      <c r="G416" s="2">
        <v>115.05</v>
      </c>
      <c r="H416">
        <v>115.05</v>
      </c>
      <c r="I416">
        <v>114.927976</v>
      </c>
      <c r="J416">
        <v>161.05000000000001</v>
      </c>
      <c r="K416">
        <v>32</v>
      </c>
      <c r="L416" s="2">
        <v>28</v>
      </c>
      <c r="M416">
        <v>20</v>
      </c>
      <c r="N416" s="2">
        <v>84</v>
      </c>
      <c r="O416">
        <v>9653.9500000000007</v>
      </c>
      <c r="P416">
        <v>5</v>
      </c>
      <c r="Q416">
        <v>79</v>
      </c>
      <c r="R416">
        <v>13.01</v>
      </c>
      <c r="S416">
        <v>14</v>
      </c>
      <c r="T416">
        <v>17</v>
      </c>
      <c r="U416" s="2">
        <v>2737.85</v>
      </c>
      <c r="V416">
        <v>0</v>
      </c>
      <c r="W416" t="s">
        <v>29</v>
      </c>
      <c r="X416" t="str">
        <f>IF(Table2[[#This Row],[Qty available]]&gt;Table2[[#This Row],[Qty on hand]],"Check","OK")</f>
        <v>OK</v>
      </c>
    </row>
    <row r="417" spans="1:24" x14ac:dyDescent="0.3">
      <c r="A417" t="s">
        <v>95</v>
      </c>
      <c r="B417" t="s">
        <v>96</v>
      </c>
      <c r="C417" t="s">
        <v>69</v>
      </c>
      <c r="D417" t="s">
        <v>70</v>
      </c>
      <c r="E417" t="s">
        <v>27</v>
      </c>
      <c r="F417" s="1" t="s">
        <v>36</v>
      </c>
      <c r="G417" s="2">
        <v>114.86</v>
      </c>
      <c r="H417">
        <v>114.86</v>
      </c>
      <c r="I417">
        <v>114.927857</v>
      </c>
      <c r="J417">
        <v>161.05000000000001</v>
      </c>
      <c r="K417">
        <v>32</v>
      </c>
      <c r="M417">
        <v>0</v>
      </c>
      <c r="N417" s="2">
        <v>42</v>
      </c>
      <c r="O417">
        <v>4826.97</v>
      </c>
      <c r="P417">
        <v>6</v>
      </c>
      <c r="Q417">
        <v>36</v>
      </c>
      <c r="R417">
        <v>4.99</v>
      </c>
      <c r="S417">
        <v>14</v>
      </c>
      <c r="T417">
        <v>42</v>
      </c>
      <c r="U417" s="2">
        <v>6764.1</v>
      </c>
      <c r="V417">
        <v>0</v>
      </c>
      <c r="W417" t="s">
        <v>29</v>
      </c>
      <c r="X417" t="str">
        <f>IF(Table2[[#This Row],[Qty available]]&gt;Table2[[#This Row],[Qty on hand]],"Check","OK")</f>
        <v>OK</v>
      </c>
    </row>
    <row r="418" spans="1:24" x14ac:dyDescent="0.3">
      <c r="A418" t="s">
        <v>95</v>
      </c>
      <c r="B418" t="s">
        <v>96</v>
      </c>
      <c r="C418" t="s">
        <v>69</v>
      </c>
      <c r="D418" t="s">
        <v>70</v>
      </c>
      <c r="E418" t="s">
        <v>27</v>
      </c>
      <c r="F418" s="1" t="s">
        <v>37</v>
      </c>
      <c r="G418" s="2">
        <v>118.99</v>
      </c>
      <c r="H418">
        <v>118.99</v>
      </c>
      <c r="I418">
        <v>117.34949400000001</v>
      </c>
      <c r="J418">
        <v>161.05000000000001</v>
      </c>
      <c r="K418">
        <v>32</v>
      </c>
      <c r="L418" s="2">
        <v>28</v>
      </c>
      <c r="M418">
        <v>62</v>
      </c>
      <c r="N418" s="2">
        <v>79</v>
      </c>
      <c r="O418">
        <v>9270.61</v>
      </c>
      <c r="P418">
        <v>9</v>
      </c>
      <c r="Q418">
        <v>70</v>
      </c>
      <c r="R418">
        <v>12.36</v>
      </c>
      <c r="S418">
        <v>5</v>
      </c>
      <c r="T418">
        <v>25</v>
      </c>
      <c r="U418" s="2">
        <v>4026.25</v>
      </c>
      <c r="V418">
        <v>0</v>
      </c>
      <c r="W418" t="s">
        <v>29</v>
      </c>
      <c r="X418" t="str">
        <f>IF(Table2[[#This Row],[Qty available]]&gt;Table2[[#This Row],[Qty on hand]],"Check","OK")</f>
        <v>OK</v>
      </c>
    </row>
    <row r="419" spans="1:24" x14ac:dyDescent="0.3">
      <c r="A419" t="s">
        <v>95</v>
      </c>
      <c r="B419" t="s">
        <v>96</v>
      </c>
      <c r="C419" t="s">
        <v>69</v>
      </c>
      <c r="D419" t="s">
        <v>70</v>
      </c>
      <c r="E419" t="s">
        <v>27</v>
      </c>
      <c r="F419" s="1" t="s">
        <v>38</v>
      </c>
      <c r="G419" s="2">
        <v>118.35</v>
      </c>
      <c r="H419">
        <v>118.35</v>
      </c>
      <c r="I419">
        <v>117.349487</v>
      </c>
      <c r="J419">
        <v>161.05000000000001</v>
      </c>
      <c r="K419">
        <v>32</v>
      </c>
      <c r="M419">
        <v>0</v>
      </c>
      <c r="N419" s="2">
        <v>39</v>
      </c>
      <c r="O419">
        <v>4576.63</v>
      </c>
      <c r="P419">
        <v>5</v>
      </c>
      <c r="Q419">
        <v>34</v>
      </c>
      <c r="R419">
        <v>4.74</v>
      </c>
      <c r="S419">
        <v>1</v>
      </c>
      <c r="T419">
        <v>40</v>
      </c>
      <c r="U419" s="2">
        <v>6442</v>
      </c>
      <c r="V419">
        <v>0</v>
      </c>
      <c r="W419" t="s">
        <v>29</v>
      </c>
      <c r="X419" t="str">
        <f>IF(Table2[[#This Row],[Qty available]]&gt;Table2[[#This Row],[Qty on hand]],"Check","OK")</f>
        <v>OK</v>
      </c>
    </row>
    <row r="420" spans="1:24" x14ac:dyDescent="0.3">
      <c r="A420" t="s">
        <v>95</v>
      </c>
      <c r="B420" t="s">
        <v>96</v>
      </c>
      <c r="C420" t="s">
        <v>69</v>
      </c>
      <c r="D420" t="s">
        <v>70</v>
      </c>
      <c r="E420" t="s">
        <v>27</v>
      </c>
      <c r="F420" s="1" t="s">
        <v>39</v>
      </c>
      <c r="G420" s="2">
        <v>115.43</v>
      </c>
      <c r="H420">
        <v>115.43</v>
      </c>
      <c r="I420">
        <v>116.104474</v>
      </c>
      <c r="J420">
        <v>161.05000000000001</v>
      </c>
      <c r="K420">
        <v>32</v>
      </c>
      <c r="L420" s="2">
        <v>30</v>
      </c>
      <c r="M420">
        <v>72</v>
      </c>
      <c r="N420" s="2">
        <v>76</v>
      </c>
      <c r="O420">
        <v>8823.94</v>
      </c>
      <c r="P420">
        <v>3</v>
      </c>
      <c r="Q420">
        <v>73</v>
      </c>
      <c r="R420">
        <v>9.99</v>
      </c>
      <c r="S420">
        <v>4</v>
      </c>
      <c r="T420">
        <v>35</v>
      </c>
      <c r="U420" s="2">
        <v>5636.75</v>
      </c>
      <c r="V420">
        <v>0</v>
      </c>
      <c r="W420" t="s">
        <v>29</v>
      </c>
      <c r="X420" t="str">
        <f>IF(Table2[[#This Row],[Qty available]]&gt;Table2[[#This Row],[Qty on hand]],"Check","OK")</f>
        <v>OK</v>
      </c>
    </row>
    <row r="421" spans="1:24" x14ac:dyDescent="0.3">
      <c r="A421" t="s">
        <v>95</v>
      </c>
      <c r="B421" t="s">
        <v>96</v>
      </c>
      <c r="C421" t="s">
        <v>69</v>
      </c>
      <c r="D421" t="s">
        <v>70</v>
      </c>
      <c r="E421" t="s">
        <v>27</v>
      </c>
      <c r="F421" s="1" t="s">
        <v>40</v>
      </c>
      <c r="G421" s="2">
        <v>117.35</v>
      </c>
      <c r="H421">
        <v>117.35</v>
      </c>
      <c r="I421">
        <v>116.363896</v>
      </c>
      <c r="J421">
        <v>161.05000000000001</v>
      </c>
      <c r="K421">
        <v>32</v>
      </c>
      <c r="L421" s="2">
        <v>31</v>
      </c>
      <c r="M421">
        <v>20</v>
      </c>
      <c r="N421" s="2">
        <v>77</v>
      </c>
      <c r="O421">
        <v>8960.02</v>
      </c>
      <c r="P421">
        <v>3</v>
      </c>
      <c r="Q421">
        <v>74</v>
      </c>
      <c r="R421">
        <v>10.77</v>
      </c>
      <c r="S421">
        <v>11</v>
      </c>
      <c r="T421">
        <v>19</v>
      </c>
      <c r="U421" s="2">
        <v>3059.95</v>
      </c>
      <c r="V421">
        <v>0</v>
      </c>
      <c r="W421" t="s">
        <v>29</v>
      </c>
      <c r="X421" t="str">
        <f>IF(Table2[[#This Row],[Qty available]]&gt;Table2[[#This Row],[Qty on hand]],"Check","OK")</f>
        <v>OK</v>
      </c>
    </row>
    <row r="422" spans="1:24" x14ac:dyDescent="0.3">
      <c r="A422" t="s">
        <v>95</v>
      </c>
      <c r="B422" t="s">
        <v>96</v>
      </c>
      <c r="C422" t="s">
        <v>69</v>
      </c>
      <c r="D422" t="s">
        <v>70</v>
      </c>
      <c r="E422" t="s">
        <v>27</v>
      </c>
      <c r="F422" s="1" t="s">
        <v>41</v>
      </c>
      <c r="G422" s="2">
        <v>117.91</v>
      </c>
      <c r="H422">
        <v>117.91</v>
      </c>
      <c r="I422">
        <v>116.363947</v>
      </c>
      <c r="J422">
        <v>161.05000000000001</v>
      </c>
      <c r="K422">
        <v>32</v>
      </c>
      <c r="M422">
        <v>0</v>
      </c>
      <c r="N422" s="2">
        <v>38</v>
      </c>
      <c r="O422">
        <v>4421.83</v>
      </c>
      <c r="P422">
        <v>10</v>
      </c>
      <c r="Q422">
        <v>28</v>
      </c>
      <c r="R422">
        <v>5.37</v>
      </c>
      <c r="S422">
        <v>4</v>
      </c>
      <c r="T422">
        <v>39</v>
      </c>
      <c r="U422" s="2">
        <v>6280.95</v>
      </c>
      <c r="V422">
        <v>0</v>
      </c>
      <c r="W422" t="s">
        <v>29</v>
      </c>
      <c r="X422" t="str">
        <f>IF(Table2[[#This Row],[Qty available]]&gt;Table2[[#This Row],[Qty on hand]],"Check","OK")</f>
        <v>OK</v>
      </c>
    </row>
    <row r="423" spans="1:24" x14ac:dyDescent="0.3">
      <c r="A423" t="s">
        <v>95</v>
      </c>
      <c r="B423" t="s">
        <v>96</v>
      </c>
      <c r="C423" t="s">
        <v>69</v>
      </c>
      <c r="D423" t="s">
        <v>70</v>
      </c>
      <c r="E423" t="s">
        <v>27</v>
      </c>
      <c r="F423" s="1" t="s">
        <v>42</v>
      </c>
      <c r="G423" s="2">
        <v>116.02</v>
      </c>
      <c r="H423">
        <v>116.02</v>
      </c>
      <c r="I423">
        <v>116.2452</v>
      </c>
      <c r="J423">
        <v>161.05000000000001</v>
      </c>
      <c r="K423">
        <v>32</v>
      </c>
      <c r="L423" s="2">
        <v>31</v>
      </c>
      <c r="M423">
        <v>20</v>
      </c>
      <c r="N423" s="2">
        <v>25</v>
      </c>
      <c r="O423">
        <v>2906.13</v>
      </c>
      <c r="P423">
        <v>10</v>
      </c>
      <c r="Q423">
        <v>15</v>
      </c>
      <c r="R423">
        <v>3.61</v>
      </c>
      <c r="S423">
        <v>5</v>
      </c>
      <c r="T423">
        <v>33</v>
      </c>
      <c r="U423" s="2">
        <v>5314.65</v>
      </c>
      <c r="V423">
        <v>0</v>
      </c>
      <c r="W423" t="s">
        <v>29</v>
      </c>
      <c r="X423" t="str">
        <f>IF(Table2[[#This Row],[Qty available]]&gt;Table2[[#This Row],[Qty on hand]],"Check","OK")</f>
        <v>OK</v>
      </c>
    </row>
    <row r="424" spans="1:24" x14ac:dyDescent="0.3">
      <c r="A424" t="s">
        <v>95</v>
      </c>
      <c r="B424" t="s">
        <v>96</v>
      </c>
      <c r="C424" t="s">
        <v>69</v>
      </c>
      <c r="D424" t="s">
        <v>70</v>
      </c>
      <c r="E424" t="s">
        <v>27</v>
      </c>
      <c r="F424" s="1" t="s">
        <v>43</v>
      </c>
      <c r="G424" s="2">
        <v>116.08</v>
      </c>
      <c r="H424">
        <v>116.08</v>
      </c>
      <c r="I424">
        <v>116.122927</v>
      </c>
      <c r="J424">
        <v>161.05000000000001</v>
      </c>
      <c r="K424">
        <v>32</v>
      </c>
      <c r="L424" s="2">
        <v>46</v>
      </c>
      <c r="M424">
        <v>71</v>
      </c>
      <c r="N424" s="2">
        <v>41</v>
      </c>
      <c r="O424">
        <v>4761.04</v>
      </c>
      <c r="P424">
        <v>4</v>
      </c>
      <c r="Q424">
        <v>37</v>
      </c>
      <c r="R424">
        <v>4.2</v>
      </c>
      <c r="S424">
        <v>5</v>
      </c>
      <c r="T424">
        <v>55</v>
      </c>
      <c r="U424" s="2">
        <v>8857.75</v>
      </c>
      <c r="V424">
        <v>0</v>
      </c>
      <c r="W424" t="s">
        <v>29</v>
      </c>
      <c r="X424" t="str">
        <f>IF(Table2[[#This Row],[Qty available]]&gt;Table2[[#This Row],[Qty on hand]],"Check","OK")</f>
        <v>OK</v>
      </c>
    </row>
    <row r="425" spans="1:24" x14ac:dyDescent="0.3">
      <c r="A425" t="s">
        <v>95</v>
      </c>
      <c r="B425" t="s">
        <v>96</v>
      </c>
      <c r="C425" t="s">
        <v>69</v>
      </c>
      <c r="D425" t="s">
        <v>70</v>
      </c>
      <c r="E425" t="s">
        <v>27</v>
      </c>
      <c r="F425" s="1" t="s">
        <v>44</v>
      </c>
      <c r="G425" s="2">
        <v>118.49</v>
      </c>
      <c r="H425">
        <v>118.49</v>
      </c>
      <c r="I425">
        <v>117.74917499999999</v>
      </c>
      <c r="J425">
        <v>161.05000000000001</v>
      </c>
      <c r="K425">
        <v>32</v>
      </c>
      <c r="L425" s="2">
        <v>30</v>
      </c>
      <c r="M425">
        <v>90</v>
      </c>
      <c r="N425" s="2">
        <v>97</v>
      </c>
      <c r="O425">
        <v>11421.67</v>
      </c>
      <c r="P425">
        <v>10</v>
      </c>
      <c r="Q425">
        <v>87</v>
      </c>
      <c r="R425">
        <v>10.45</v>
      </c>
      <c r="S425">
        <v>0</v>
      </c>
      <c r="T425">
        <v>34</v>
      </c>
      <c r="U425" s="2">
        <v>5475.7</v>
      </c>
      <c r="V425">
        <v>0</v>
      </c>
      <c r="W425" t="s">
        <v>29</v>
      </c>
      <c r="X425" t="str">
        <f>IF(Table2[[#This Row],[Qty available]]&gt;Table2[[#This Row],[Qty on hand]],"Check","OK")</f>
        <v>OK</v>
      </c>
    </row>
    <row r="426" spans="1:24" x14ac:dyDescent="0.3">
      <c r="A426" t="s">
        <v>95</v>
      </c>
      <c r="B426" t="s">
        <v>96</v>
      </c>
      <c r="C426" t="s">
        <v>69</v>
      </c>
      <c r="D426" t="s">
        <v>70</v>
      </c>
      <c r="E426" t="s">
        <v>27</v>
      </c>
      <c r="F426" s="1" t="s">
        <v>45</v>
      </c>
      <c r="G426" s="2">
        <v>118.91</v>
      </c>
      <c r="H426">
        <v>118.91</v>
      </c>
      <c r="I426">
        <v>117.971628</v>
      </c>
      <c r="J426">
        <v>161.05000000000001</v>
      </c>
      <c r="K426">
        <v>32</v>
      </c>
      <c r="L426" s="2">
        <v>30</v>
      </c>
      <c r="M426">
        <v>23</v>
      </c>
      <c r="N426" s="2">
        <v>86</v>
      </c>
      <c r="O426">
        <v>10145.56</v>
      </c>
      <c r="P426">
        <v>4</v>
      </c>
      <c r="Q426">
        <v>82</v>
      </c>
      <c r="R426">
        <v>9.19</v>
      </c>
      <c r="S426">
        <v>10</v>
      </c>
      <c r="T426">
        <v>34</v>
      </c>
      <c r="U426" s="2">
        <v>5475.7</v>
      </c>
      <c r="V426">
        <v>0</v>
      </c>
      <c r="W426" t="s">
        <v>29</v>
      </c>
      <c r="X426" t="str">
        <f>IF(Table2[[#This Row],[Qty available]]&gt;Table2[[#This Row],[Qty on hand]],"Check","OK")</f>
        <v>OK</v>
      </c>
    </row>
    <row r="427" spans="1:24" x14ac:dyDescent="0.3">
      <c r="A427" t="s">
        <v>95</v>
      </c>
      <c r="B427" t="s">
        <v>96</v>
      </c>
      <c r="C427" t="s">
        <v>69</v>
      </c>
      <c r="D427" t="s">
        <v>70</v>
      </c>
      <c r="E427" t="s">
        <v>27</v>
      </c>
      <c r="F427" s="1" t="s">
        <v>46</v>
      </c>
      <c r="G427" s="2">
        <v>121.65</v>
      </c>
      <c r="H427">
        <v>121.65</v>
      </c>
      <c r="I427">
        <v>117.971563</v>
      </c>
      <c r="J427">
        <v>169.75</v>
      </c>
      <c r="K427">
        <v>32</v>
      </c>
      <c r="M427">
        <v>0</v>
      </c>
      <c r="N427" s="2">
        <v>64</v>
      </c>
      <c r="O427">
        <v>7550.18</v>
      </c>
      <c r="P427">
        <v>3</v>
      </c>
      <c r="Q427">
        <v>61</v>
      </c>
      <c r="R427">
        <v>9.14</v>
      </c>
      <c r="S427">
        <v>0</v>
      </c>
      <c r="T427">
        <v>22</v>
      </c>
      <c r="U427" s="2">
        <v>3734.5</v>
      </c>
      <c r="V427">
        <v>0</v>
      </c>
      <c r="W427" t="s">
        <v>29</v>
      </c>
      <c r="X427" t="str">
        <f>IF(Table2[[#This Row],[Qty available]]&gt;Table2[[#This Row],[Qty on hand]],"Check","OK")</f>
        <v>OK</v>
      </c>
    </row>
    <row r="428" spans="1:24" x14ac:dyDescent="0.3">
      <c r="A428" t="s">
        <v>95</v>
      </c>
      <c r="B428" t="s">
        <v>96</v>
      </c>
      <c r="C428" t="s">
        <v>69</v>
      </c>
      <c r="D428" t="s">
        <v>70</v>
      </c>
      <c r="E428" t="s">
        <v>27</v>
      </c>
      <c r="F428" s="1" t="s">
        <v>47</v>
      </c>
      <c r="G428" s="2">
        <v>117.94</v>
      </c>
      <c r="H428">
        <v>117.94</v>
      </c>
      <c r="I428">
        <v>117.963962</v>
      </c>
      <c r="J428">
        <v>169.75</v>
      </c>
      <c r="K428">
        <v>32</v>
      </c>
      <c r="L428" s="2">
        <v>31</v>
      </c>
      <c r="M428">
        <v>20</v>
      </c>
      <c r="N428" s="2">
        <v>53</v>
      </c>
      <c r="O428">
        <v>6252.09</v>
      </c>
      <c r="P428">
        <v>10</v>
      </c>
      <c r="Q428">
        <v>43</v>
      </c>
      <c r="R428">
        <v>7.83</v>
      </c>
      <c r="S428">
        <v>13</v>
      </c>
      <c r="T428">
        <v>31</v>
      </c>
      <c r="U428" s="2">
        <v>5262.25</v>
      </c>
      <c r="V428">
        <v>0</v>
      </c>
      <c r="W428" t="s">
        <v>29</v>
      </c>
      <c r="X428" t="str">
        <f>IF(Table2[[#This Row],[Qty available]]&gt;Table2[[#This Row],[Qty on hand]],"Check","OK")</f>
        <v>OK</v>
      </c>
    </row>
    <row r="429" spans="1:24" x14ac:dyDescent="0.3">
      <c r="A429" t="s">
        <v>95</v>
      </c>
      <c r="B429" t="s">
        <v>96</v>
      </c>
      <c r="C429" t="s">
        <v>69</v>
      </c>
      <c r="D429" t="s">
        <v>70</v>
      </c>
      <c r="E429" t="s">
        <v>27</v>
      </c>
      <c r="F429" s="1" t="s">
        <v>48</v>
      </c>
      <c r="G429" s="2">
        <v>121.85</v>
      </c>
      <c r="H429">
        <v>121.85</v>
      </c>
      <c r="I429">
        <v>117.964286</v>
      </c>
      <c r="J429">
        <v>169.75</v>
      </c>
      <c r="K429">
        <v>32</v>
      </c>
      <c r="M429">
        <v>0</v>
      </c>
      <c r="N429" s="2">
        <v>7</v>
      </c>
      <c r="O429">
        <v>825.75</v>
      </c>
      <c r="P429">
        <v>2</v>
      </c>
      <c r="Q429">
        <v>5</v>
      </c>
      <c r="R429">
        <v>0.9</v>
      </c>
      <c r="S429">
        <v>2</v>
      </c>
      <c r="T429">
        <v>46</v>
      </c>
      <c r="U429" s="2">
        <v>7808.5</v>
      </c>
      <c r="V429">
        <v>0</v>
      </c>
      <c r="W429" t="s">
        <v>29</v>
      </c>
      <c r="X429" t="str">
        <f>IF(Table2[[#This Row],[Qty available]]&gt;Table2[[#This Row],[Qty on hand]],"Check","OK")</f>
        <v>OK</v>
      </c>
    </row>
    <row r="430" spans="1:24" x14ac:dyDescent="0.3">
      <c r="A430" t="s">
        <v>95</v>
      </c>
      <c r="B430" t="s">
        <v>96</v>
      </c>
      <c r="C430" t="s">
        <v>69</v>
      </c>
      <c r="D430" t="s">
        <v>70</v>
      </c>
      <c r="E430" t="s">
        <v>27</v>
      </c>
      <c r="F430" s="1" t="s">
        <v>49</v>
      </c>
      <c r="G430" s="2">
        <v>121.29</v>
      </c>
      <c r="H430">
        <v>121.29</v>
      </c>
      <c r="I430">
        <v>121.031356</v>
      </c>
      <c r="J430">
        <v>169.75</v>
      </c>
      <c r="K430">
        <v>32</v>
      </c>
      <c r="L430" s="2">
        <v>28</v>
      </c>
      <c r="M430">
        <v>83</v>
      </c>
      <c r="N430" s="2">
        <v>59</v>
      </c>
      <c r="O430">
        <v>7140.85</v>
      </c>
      <c r="P430">
        <v>3</v>
      </c>
      <c r="Q430">
        <v>56</v>
      </c>
      <c r="R430">
        <v>7.18</v>
      </c>
      <c r="S430">
        <v>1</v>
      </c>
      <c r="T430">
        <v>31</v>
      </c>
      <c r="U430" s="2">
        <v>5262.25</v>
      </c>
      <c r="V430">
        <v>0</v>
      </c>
      <c r="W430" t="s">
        <v>29</v>
      </c>
      <c r="X430" t="str">
        <f>IF(Table2[[#This Row],[Qty available]]&gt;Table2[[#This Row],[Qty on hand]],"Check","OK")</f>
        <v>OK</v>
      </c>
    </row>
    <row r="431" spans="1:24" x14ac:dyDescent="0.3">
      <c r="A431" t="s">
        <v>95</v>
      </c>
      <c r="B431" t="s">
        <v>96</v>
      </c>
      <c r="C431" t="s">
        <v>69</v>
      </c>
      <c r="D431" t="s">
        <v>70</v>
      </c>
      <c r="E431" t="s">
        <v>27</v>
      </c>
      <c r="F431" s="1" t="s">
        <v>50</v>
      </c>
      <c r="G431" s="2">
        <v>120.47</v>
      </c>
      <c r="H431">
        <v>120.47</v>
      </c>
      <c r="I431">
        <v>120.87393899999999</v>
      </c>
      <c r="J431">
        <v>169.75</v>
      </c>
      <c r="K431">
        <v>32</v>
      </c>
      <c r="L431" s="2">
        <v>30</v>
      </c>
      <c r="M431">
        <v>23</v>
      </c>
      <c r="N431" s="2">
        <v>66</v>
      </c>
      <c r="O431">
        <v>7977.68</v>
      </c>
      <c r="P431">
        <v>2</v>
      </c>
      <c r="Q431">
        <v>64</v>
      </c>
      <c r="R431">
        <v>9.23</v>
      </c>
      <c r="S431">
        <v>4</v>
      </c>
      <c r="T431">
        <v>16</v>
      </c>
      <c r="U431" s="2">
        <v>2716</v>
      </c>
      <c r="V431">
        <v>0</v>
      </c>
      <c r="W431" t="s">
        <v>29</v>
      </c>
      <c r="X431" t="str">
        <f>IF(Table2[[#This Row],[Qty available]]&gt;Table2[[#This Row],[Qty on hand]],"Check","OK")</f>
        <v>OK</v>
      </c>
    </row>
    <row r="432" spans="1:24" x14ac:dyDescent="0.3">
      <c r="A432" t="s">
        <v>95</v>
      </c>
      <c r="B432" t="s">
        <v>96</v>
      </c>
      <c r="C432" t="s">
        <v>69</v>
      </c>
      <c r="D432" t="s">
        <v>70</v>
      </c>
      <c r="E432" t="s">
        <v>27</v>
      </c>
      <c r="F432" s="1" t="s">
        <v>51</v>
      </c>
      <c r="G432" s="2">
        <v>120.39</v>
      </c>
      <c r="H432">
        <v>120.39</v>
      </c>
      <c r="I432">
        <v>120.72619</v>
      </c>
      <c r="J432">
        <v>169.75</v>
      </c>
      <c r="K432">
        <v>32</v>
      </c>
      <c r="L432" s="2">
        <v>30</v>
      </c>
      <c r="M432">
        <v>29</v>
      </c>
      <c r="N432" s="2">
        <v>63</v>
      </c>
      <c r="O432">
        <v>7605.75</v>
      </c>
      <c r="P432">
        <v>9</v>
      </c>
      <c r="Q432">
        <v>54</v>
      </c>
      <c r="R432">
        <v>10.48</v>
      </c>
      <c r="S432">
        <v>7</v>
      </c>
      <c r="T432">
        <v>32</v>
      </c>
      <c r="U432" s="2">
        <v>5432</v>
      </c>
      <c r="V432">
        <v>0</v>
      </c>
      <c r="W432" t="s">
        <v>29</v>
      </c>
      <c r="X432" t="str">
        <f>IF(Table2[[#This Row],[Qty available]]&gt;Table2[[#This Row],[Qty on hand]],"Check","OK")</f>
        <v>OK</v>
      </c>
    </row>
    <row r="433" spans="1:24" x14ac:dyDescent="0.3">
      <c r="A433" t="s">
        <v>95</v>
      </c>
      <c r="B433" t="s">
        <v>96</v>
      </c>
      <c r="C433" t="s">
        <v>69</v>
      </c>
      <c r="D433" t="s">
        <v>70</v>
      </c>
      <c r="E433" t="s">
        <v>27</v>
      </c>
      <c r="F433" s="1" t="s">
        <v>52</v>
      </c>
      <c r="G433" s="2">
        <v>120.89</v>
      </c>
      <c r="H433">
        <v>120.89</v>
      </c>
      <c r="I433">
        <v>120.726364</v>
      </c>
      <c r="J433">
        <v>169.75</v>
      </c>
      <c r="K433">
        <v>32</v>
      </c>
      <c r="M433">
        <v>0</v>
      </c>
      <c r="N433" s="2">
        <v>22</v>
      </c>
      <c r="O433">
        <v>2655.98</v>
      </c>
      <c r="P433">
        <v>2</v>
      </c>
      <c r="Q433">
        <v>20</v>
      </c>
      <c r="R433">
        <v>3.25</v>
      </c>
      <c r="S433">
        <v>0</v>
      </c>
      <c r="T433">
        <v>41</v>
      </c>
      <c r="U433" s="2">
        <v>6959.75</v>
      </c>
      <c r="V433">
        <v>0</v>
      </c>
      <c r="W433" t="s">
        <v>29</v>
      </c>
      <c r="X433" t="str">
        <f>IF(Table2[[#This Row],[Qty available]]&gt;Table2[[#This Row],[Qty on hand]],"Check","OK")</f>
        <v>OK</v>
      </c>
    </row>
    <row r="434" spans="1:24" x14ac:dyDescent="0.3">
      <c r="A434" t="s">
        <v>97</v>
      </c>
      <c r="B434" t="s">
        <v>98</v>
      </c>
      <c r="C434" t="s">
        <v>57</v>
      </c>
      <c r="D434" t="s">
        <v>58</v>
      </c>
      <c r="E434" t="s">
        <v>27</v>
      </c>
      <c r="F434" s="1" t="s">
        <v>28</v>
      </c>
      <c r="G434" s="2">
        <v>232.07</v>
      </c>
      <c r="H434">
        <v>251.25</v>
      </c>
      <c r="I434">
        <v>250.357833</v>
      </c>
      <c r="J434">
        <v>335.95</v>
      </c>
      <c r="K434">
        <v>58</v>
      </c>
      <c r="L434" s="2">
        <v>53</v>
      </c>
      <c r="M434">
        <v>35</v>
      </c>
      <c r="N434" s="2">
        <v>60</v>
      </c>
      <c r="O434">
        <v>15021.47</v>
      </c>
      <c r="P434">
        <v>3</v>
      </c>
      <c r="Q434">
        <v>57</v>
      </c>
      <c r="R434">
        <v>16.09</v>
      </c>
      <c r="S434">
        <v>16</v>
      </c>
      <c r="T434">
        <v>12</v>
      </c>
      <c r="U434" s="2">
        <v>4031.4</v>
      </c>
      <c r="V434">
        <v>0</v>
      </c>
      <c r="W434" t="s">
        <v>29</v>
      </c>
      <c r="X434" t="str">
        <f>IF(Table2[[#This Row],[Qty available]]&gt;Table2[[#This Row],[Qty on hand]],"Check","OK")</f>
        <v>OK</v>
      </c>
    </row>
    <row r="435" spans="1:24" x14ac:dyDescent="0.3">
      <c r="A435" t="s">
        <v>97</v>
      </c>
      <c r="B435" t="s">
        <v>98</v>
      </c>
      <c r="C435" t="s">
        <v>57</v>
      </c>
      <c r="D435" t="s">
        <v>58</v>
      </c>
      <c r="E435" t="s">
        <v>27</v>
      </c>
      <c r="F435" s="1" t="s">
        <v>30</v>
      </c>
      <c r="G435" s="2">
        <v>232.32</v>
      </c>
      <c r="H435">
        <v>251.52</v>
      </c>
      <c r="I435">
        <v>250.59032300000001</v>
      </c>
      <c r="J435">
        <v>335.95</v>
      </c>
      <c r="K435">
        <v>58</v>
      </c>
      <c r="L435" s="2">
        <v>52</v>
      </c>
      <c r="M435">
        <v>15</v>
      </c>
      <c r="N435" s="2">
        <v>62</v>
      </c>
      <c r="O435">
        <v>15536.6</v>
      </c>
      <c r="P435">
        <v>1</v>
      </c>
      <c r="Q435">
        <v>61</v>
      </c>
      <c r="R435">
        <v>16.63</v>
      </c>
      <c r="S435">
        <v>2</v>
      </c>
      <c r="T435">
        <v>13</v>
      </c>
      <c r="U435" s="2">
        <v>4367.3500000000004</v>
      </c>
      <c r="V435">
        <v>0</v>
      </c>
      <c r="W435" t="s">
        <v>29</v>
      </c>
      <c r="X435" t="str">
        <f>IF(Table2[[#This Row],[Qty available]]&gt;Table2[[#This Row],[Qty on hand]],"Check","OK")</f>
        <v>OK</v>
      </c>
    </row>
    <row r="436" spans="1:24" x14ac:dyDescent="0.3">
      <c r="A436" t="s">
        <v>97</v>
      </c>
      <c r="B436" t="s">
        <v>98</v>
      </c>
      <c r="C436" t="s">
        <v>57</v>
      </c>
      <c r="D436" t="s">
        <v>58</v>
      </c>
      <c r="E436" t="s">
        <v>27</v>
      </c>
      <c r="F436" s="1" t="s">
        <v>31</v>
      </c>
      <c r="G436" s="2">
        <v>227.79</v>
      </c>
      <c r="H436">
        <v>246.61</v>
      </c>
      <c r="I436">
        <v>249.815</v>
      </c>
      <c r="J436">
        <v>335.95</v>
      </c>
      <c r="K436">
        <v>58</v>
      </c>
      <c r="L436" s="2">
        <v>58</v>
      </c>
      <c r="M436">
        <v>15</v>
      </c>
      <c r="N436" s="2">
        <v>66</v>
      </c>
      <c r="O436">
        <v>16487.79</v>
      </c>
      <c r="P436">
        <v>1</v>
      </c>
      <c r="Q436">
        <v>65</v>
      </c>
      <c r="R436">
        <v>23.83</v>
      </c>
      <c r="S436">
        <v>4</v>
      </c>
      <c r="T436">
        <v>11</v>
      </c>
      <c r="U436" s="2">
        <v>3695.45</v>
      </c>
      <c r="V436">
        <v>0</v>
      </c>
      <c r="W436" t="s">
        <v>29</v>
      </c>
      <c r="X436" t="str">
        <f>IF(Table2[[#This Row],[Qty available]]&gt;Table2[[#This Row],[Qty on hand]],"Check","OK")</f>
        <v>OK</v>
      </c>
    </row>
    <row r="437" spans="1:24" x14ac:dyDescent="0.3">
      <c r="A437" t="s">
        <v>97</v>
      </c>
      <c r="B437" t="s">
        <v>98</v>
      </c>
      <c r="C437" t="s">
        <v>57</v>
      </c>
      <c r="D437" t="s">
        <v>58</v>
      </c>
      <c r="E437" t="s">
        <v>27</v>
      </c>
      <c r="F437" s="1" t="s">
        <v>32</v>
      </c>
      <c r="G437" s="2">
        <v>232.07</v>
      </c>
      <c r="H437">
        <v>251.25</v>
      </c>
      <c r="I437">
        <v>249.815</v>
      </c>
      <c r="J437">
        <v>335.95</v>
      </c>
      <c r="K437">
        <v>58</v>
      </c>
      <c r="M437">
        <v>0</v>
      </c>
      <c r="N437" s="2">
        <v>52</v>
      </c>
      <c r="O437">
        <v>12990.38</v>
      </c>
      <c r="P437">
        <v>5</v>
      </c>
      <c r="Q437">
        <v>47</v>
      </c>
      <c r="R437">
        <v>17.98</v>
      </c>
      <c r="S437">
        <v>11</v>
      </c>
      <c r="T437">
        <v>14</v>
      </c>
      <c r="U437" s="2">
        <v>4703.3</v>
      </c>
      <c r="V437">
        <v>0</v>
      </c>
      <c r="W437" t="s">
        <v>29</v>
      </c>
      <c r="X437" t="str">
        <f>IF(Table2[[#This Row],[Qty available]]&gt;Table2[[#This Row],[Qty on hand]],"Check","OK")</f>
        <v>OK</v>
      </c>
    </row>
    <row r="438" spans="1:24" x14ac:dyDescent="0.3">
      <c r="A438" t="s">
        <v>97</v>
      </c>
      <c r="B438" t="s">
        <v>98</v>
      </c>
      <c r="C438" t="s">
        <v>57</v>
      </c>
      <c r="D438" t="s">
        <v>58</v>
      </c>
      <c r="E438" t="s">
        <v>27</v>
      </c>
      <c r="F438" s="1" t="s">
        <v>33</v>
      </c>
      <c r="G438" s="2">
        <v>242.21</v>
      </c>
      <c r="H438">
        <v>262.22000000000003</v>
      </c>
      <c r="I438">
        <v>253.38358500000001</v>
      </c>
      <c r="J438">
        <v>335.95</v>
      </c>
      <c r="K438">
        <v>58</v>
      </c>
      <c r="L438" s="2">
        <v>58</v>
      </c>
      <c r="M438">
        <v>21</v>
      </c>
      <c r="N438" s="2">
        <v>53</v>
      </c>
      <c r="O438">
        <v>13429.33</v>
      </c>
      <c r="P438">
        <v>4</v>
      </c>
      <c r="Q438">
        <v>49</v>
      </c>
      <c r="R438">
        <v>15.48</v>
      </c>
      <c r="S438">
        <v>2</v>
      </c>
      <c r="T438">
        <v>20</v>
      </c>
      <c r="U438" s="2">
        <v>6719</v>
      </c>
      <c r="V438">
        <v>0</v>
      </c>
      <c r="W438" t="s">
        <v>29</v>
      </c>
      <c r="X438" t="str">
        <f>IF(Table2[[#This Row],[Qty available]]&gt;Table2[[#This Row],[Qty on hand]],"Check","OK")</f>
        <v>OK</v>
      </c>
    </row>
    <row r="439" spans="1:24" x14ac:dyDescent="0.3">
      <c r="A439" t="s">
        <v>97</v>
      </c>
      <c r="B439" t="s">
        <v>98</v>
      </c>
      <c r="C439" t="s">
        <v>57</v>
      </c>
      <c r="D439" t="s">
        <v>58</v>
      </c>
      <c r="E439" t="s">
        <v>27</v>
      </c>
      <c r="F439" s="1" t="s">
        <v>34</v>
      </c>
      <c r="G439" s="2">
        <v>238.68</v>
      </c>
      <c r="H439">
        <v>258.39999999999998</v>
      </c>
      <c r="I439">
        <v>254.49017499999999</v>
      </c>
      <c r="J439">
        <v>352.84</v>
      </c>
      <c r="K439">
        <v>58</v>
      </c>
      <c r="L439" s="2">
        <v>53</v>
      </c>
      <c r="M439">
        <v>15</v>
      </c>
      <c r="N439" s="2">
        <v>57</v>
      </c>
      <c r="O439">
        <v>14505.94</v>
      </c>
      <c r="P439">
        <v>4</v>
      </c>
      <c r="Q439">
        <v>53</v>
      </c>
      <c r="R439">
        <v>16.29</v>
      </c>
      <c r="S439">
        <v>0</v>
      </c>
      <c r="T439">
        <v>11</v>
      </c>
      <c r="U439" s="2">
        <v>3881.24</v>
      </c>
      <c r="V439">
        <v>0</v>
      </c>
      <c r="W439" t="s">
        <v>29</v>
      </c>
      <c r="X439" t="str">
        <f>IF(Table2[[#This Row],[Qty available]]&gt;Table2[[#This Row],[Qty on hand]],"Check","OK")</f>
        <v>OK</v>
      </c>
    </row>
    <row r="440" spans="1:24" x14ac:dyDescent="0.3">
      <c r="A440" t="s">
        <v>97</v>
      </c>
      <c r="B440" t="s">
        <v>98</v>
      </c>
      <c r="C440" t="s">
        <v>57</v>
      </c>
      <c r="D440" t="s">
        <v>58</v>
      </c>
      <c r="E440" t="s">
        <v>27</v>
      </c>
      <c r="F440" s="1" t="s">
        <v>35</v>
      </c>
      <c r="G440" s="2">
        <v>234.36</v>
      </c>
      <c r="H440">
        <v>253.72</v>
      </c>
      <c r="I440">
        <v>254.197237</v>
      </c>
      <c r="J440">
        <v>352.84</v>
      </c>
      <c r="K440">
        <v>58</v>
      </c>
      <c r="L440" s="2">
        <v>50</v>
      </c>
      <c r="M440">
        <v>35</v>
      </c>
      <c r="N440" s="2">
        <v>76</v>
      </c>
      <c r="O440">
        <v>19318.990000000002</v>
      </c>
      <c r="P440">
        <v>5</v>
      </c>
      <c r="Q440">
        <v>71</v>
      </c>
      <c r="R440">
        <v>20.79</v>
      </c>
      <c r="S440">
        <v>0</v>
      </c>
      <c r="T440">
        <v>16</v>
      </c>
      <c r="U440" s="2">
        <v>5645.44</v>
      </c>
      <c r="V440">
        <v>0</v>
      </c>
      <c r="W440" t="s">
        <v>29</v>
      </c>
      <c r="X440" t="str">
        <f>IF(Table2[[#This Row],[Qty available]]&gt;Table2[[#This Row],[Qty on hand]],"Check","OK")</f>
        <v>OK</v>
      </c>
    </row>
    <row r="441" spans="1:24" x14ac:dyDescent="0.3">
      <c r="A441" t="s">
        <v>97</v>
      </c>
      <c r="B441" t="s">
        <v>98</v>
      </c>
      <c r="C441" t="s">
        <v>57</v>
      </c>
      <c r="D441" t="s">
        <v>58</v>
      </c>
      <c r="E441" t="s">
        <v>27</v>
      </c>
      <c r="F441" s="1" t="s">
        <v>36</v>
      </c>
      <c r="G441" s="2">
        <v>242.29</v>
      </c>
      <c r="H441">
        <v>262.31</v>
      </c>
      <c r="I441">
        <v>254.19716399999999</v>
      </c>
      <c r="J441">
        <v>352.84</v>
      </c>
      <c r="K441">
        <v>58</v>
      </c>
      <c r="M441">
        <v>0</v>
      </c>
      <c r="N441" s="2">
        <v>67</v>
      </c>
      <c r="O441">
        <v>17031.21</v>
      </c>
      <c r="P441">
        <v>1</v>
      </c>
      <c r="Q441">
        <v>66</v>
      </c>
      <c r="R441">
        <v>23.66</v>
      </c>
      <c r="S441">
        <v>0</v>
      </c>
      <c r="T441">
        <v>9</v>
      </c>
      <c r="U441" s="2">
        <v>3175.56</v>
      </c>
      <c r="V441">
        <v>0</v>
      </c>
      <c r="W441" t="s">
        <v>29</v>
      </c>
      <c r="X441" t="str">
        <f>IF(Table2[[#This Row],[Qty available]]&gt;Table2[[#This Row],[Qty on hand]],"Check","OK")</f>
        <v>OK</v>
      </c>
    </row>
    <row r="442" spans="1:24" x14ac:dyDescent="0.3">
      <c r="A442" t="s">
        <v>97</v>
      </c>
      <c r="B442" t="s">
        <v>98</v>
      </c>
      <c r="C442" t="s">
        <v>57</v>
      </c>
      <c r="D442" t="s">
        <v>58</v>
      </c>
      <c r="E442" t="s">
        <v>27</v>
      </c>
      <c r="F442" s="1" t="s">
        <v>37</v>
      </c>
      <c r="G442" s="2">
        <v>239.58</v>
      </c>
      <c r="H442">
        <v>259.38</v>
      </c>
      <c r="I442">
        <v>254.19711100000001</v>
      </c>
      <c r="J442">
        <v>352.84</v>
      </c>
      <c r="K442">
        <v>58</v>
      </c>
      <c r="M442">
        <v>0</v>
      </c>
      <c r="N442" s="2">
        <v>45</v>
      </c>
      <c r="O442">
        <v>11438.87</v>
      </c>
      <c r="P442">
        <v>3</v>
      </c>
      <c r="Q442">
        <v>42</v>
      </c>
      <c r="R442">
        <v>12.58</v>
      </c>
      <c r="S442">
        <v>4</v>
      </c>
      <c r="T442">
        <v>22</v>
      </c>
      <c r="U442" s="2">
        <v>7762.48</v>
      </c>
      <c r="V442">
        <v>0</v>
      </c>
      <c r="W442" t="s">
        <v>29</v>
      </c>
      <c r="X442" t="str">
        <f>IF(Table2[[#This Row],[Qty available]]&gt;Table2[[#This Row],[Qty on hand]],"Check","OK")</f>
        <v>OK</v>
      </c>
    </row>
    <row r="443" spans="1:24" x14ac:dyDescent="0.3">
      <c r="A443" t="s">
        <v>97</v>
      </c>
      <c r="B443" t="s">
        <v>98</v>
      </c>
      <c r="C443" t="s">
        <v>57</v>
      </c>
      <c r="D443" t="s">
        <v>58</v>
      </c>
      <c r="E443" t="s">
        <v>27</v>
      </c>
      <c r="F443" s="1" t="s">
        <v>38</v>
      </c>
      <c r="G443" s="2">
        <v>237.6</v>
      </c>
      <c r="H443">
        <v>257.23</v>
      </c>
      <c r="I443">
        <v>254.196957</v>
      </c>
      <c r="J443">
        <v>352.84</v>
      </c>
      <c r="K443">
        <v>58</v>
      </c>
      <c r="M443">
        <v>0</v>
      </c>
      <c r="N443" s="2">
        <v>23</v>
      </c>
      <c r="O443">
        <v>5846.53</v>
      </c>
      <c r="P443">
        <v>3</v>
      </c>
      <c r="Q443">
        <v>20</v>
      </c>
      <c r="R443">
        <v>5.64</v>
      </c>
      <c r="S443">
        <v>0</v>
      </c>
      <c r="T443">
        <v>22</v>
      </c>
      <c r="U443" s="2">
        <v>7762.48</v>
      </c>
      <c r="V443">
        <v>0</v>
      </c>
      <c r="W443" t="s">
        <v>29</v>
      </c>
      <c r="X443" t="str">
        <f>IF(Table2[[#This Row],[Qty available]]&gt;Table2[[#This Row],[Qty on hand]],"Check","OK")</f>
        <v>OK</v>
      </c>
    </row>
    <row r="444" spans="1:24" x14ac:dyDescent="0.3">
      <c r="A444" t="s">
        <v>97</v>
      </c>
      <c r="B444" t="s">
        <v>98</v>
      </c>
      <c r="C444" t="s">
        <v>57</v>
      </c>
      <c r="D444" t="s">
        <v>58</v>
      </c>
      <c r="E444" t="s">
        <v>27</v>
      </c>
      <c r="F444" s="1" t="s">
        <v>39</v>
      </c>
      <c r="G444" s="2">
        <v>240.14</v>
      </c>
      <c r="H444">
        <v>259.98</v>
      </c>
      <c r="I444">
        <v>254.196957</v>
      </c>
      <c r="J444">
        <v>352.84</v>
      </c>
      <c r="K444">
        <v>58</v>
      </c>
      <c r="M444">
        <v>0</v>
      </c>
      <c r="N444" s="2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23</v>
      </c>
      <c r="U444" s="2">
        <v>8115.32</v>
      </c>
      <c r="V444">
        <v>4</v>
      </c>
      <c r="W444" t="s">
        <v>59</v>
      </c>
      <c r="X444" t="str">
        <f>IF(Table2[[#This Row],[Qty available]]&gt;Table2[[#This Row],[Qty on hand]],"Check","OK")</f>
        <v>OK</v>
      </c>
    </row>
    <row r="445" spans="1:24" x14ac:dyDescent="0.3">
      <c r="A445" t="s">
        <v>97</v>
      </c>
      <c r="B445" t="s">
        <v>98</v>
      </c>
      <c r="C445" t="s">
        <v>57</v>
      </c>
      <c r="D445" t="s">
        <v>58</v>
      </c>
      <c r="E445" t="s">
        <v>27</v>
      </c>
      <c r="F445" s="1" t="s">
        <v>40</v>
      </c>
      <c r="G445" s="2">
        <v>242.58</v>
      </c>
      <c r="H445">
        <v>262.62</v>
      </c>
      <c r="I445">
        <v>262.62</v>
      </c>
      <c r="J445">
        <v>352.84</v>
      </c>
      <c r="K445">
        <v>58</v>
      </c>
      <c r="L445" s="2">
        <v>82</v>
      </c>
      <c r="M445">
        <v>33</v>
      </c>
      <c r="N445" s="2">
        <v>22</v>
      </c>
      <c r="O445">
        <v>5777.64</v>
      </c>
      <c r="P445">
        <v>1</v>
      </c>
      <c r="Q445">
        <v>21</v>
      </c>
      <c r="R445">
        <v>5.16</v>
      </c>
      <c r="S445">
        <v>16</v>
      </c>
      <c r="T445">
        <v>11</v>
      </c>
      <c r="U445" s="2">
        <v>3881.24</v>
      </c>
      <c r="V445">
        <v>0</v>
      </c>
      <c r="W445" t="s">
        <v>29</v>
      </c>
      <c r="X445" t="str">
        <f>IF(Table2[[#This Row],[Qty available]]&gt;Table2[[#This Row],[Qty on hand]],"Check","OK")</f>
        <v>OK</v>
      </c>
    </row>
    <row r="446" spans="1:24" x14ac:dyDescent="0.3">
      <c r="A446" t="s">
        <v>97</v>
      </c>
      <c r="B446" t="s">
        <v>98</v>
      </c>
      <c r="C446" t="s">
        <v>57</v>
      </c>
      <c r="D446" t="s">
        <v>58</v>
      </c>
      <c r="E446" t="s">
        <v>27</v>
      </c>
      <c r="F446" s="1" t="s">
        <v>41</v>
      </c>
      <c r="G446" s="2">
        <v>238.56</v>
      </c>
      <c r="H446">
        <v>258.27</v>
      </c>
      <c r="I446">
        <v>260.350345</v>
      </c>
      <c r="J446">
        <v>352.84</v>
      </c>
      <c r="K446">
        <v>58</v>
      </c>
      <c r="L446" s="2">
        <v>50</v>
      </c>
      <c r="M446">
        <v>24</v>
      </c>
      <c r="N446" s="2">
        <v>29</v>
      </c>
      <c r="O446">
        <v>7550.16</v>
      </c>
      <c r="P446">
        <v>4</v>
      </c>
      <c r="Q446">
        <v>25</v>
      </c>
      <c r="R446">
        <v>7.47</v>
      </c>
      <c r="S446">
        <v>4</v>
      </c>
      <c r="T446">
        <v>17</v>
      </c>
      <c r="U446" s="2">
        <v>5998.28</v>
      </c>
      <c r="V446">
        <v>0</v>
      </c>
      <c r="W446" t="s">
        <v>29</v>
      </c>
      <c r="X446" t="str">
        <f>IF(Table2[[#This Row],[Qty available]]&gt;Table2[[#This Row],[Qty on hand]],"Check","OK")</f>
        <v>OK</v>
      </c>
    </row>
    <row r="447" spans="1:24" x14ac:dyDescent="0.3">
      <c r="A447" t="s">
        <v>97</v>
      </c>
      <c r="B447" t="s">
        <v>98</v>
      </c>
      <c r="C447" t="s">
        <v>57</v>
      </c>
      <c r="D447" t="s">
        <v>58</v>
      </c>
      <c r="E447" t="s">
        <v>27</v>
      </c>
      <c r="F447" s="1" t="s">
        <v>42</v>
      </c>
      <c r="G447" s="2">
        <v>237.25</v>
      </c>
      <c r="H447">
        <v>256.85000000000002</v>
      </c>
      <c r="I447">
        <v>258.22180300000002</v>
      </c>
      <c r="J447">
        <v>352.84</v>
      </c>
      <c r="K447">
        <v>58</v>
      </c>
      <c r="L447" s="2">
        <v>103</v>
      </c>
      <c r="M447">
        <v>45</v>
      </c>
      <c r="N447" s="2">
        <v>61</v>
      </c>
      <c r="O447">
        <v>15751.53</v>
      </c>
      <c r="P447">
        <v>5</v>
      </c>
      <c r="Q447">
        <v>56</v>
      </c>
      <c r="R447">
        <v>19.55</v>
      </c>
      <c r="S447">
        <v>8</v>
      </c>
      <c r="T447">
        <v>13</v>
      </c>
      <c r="U447" s="2">
        <v>4586.92</v>
      </c>
      <c r="V447">
        <v>0</v>
      </c>
      <c r="W447" t="s">
        <v>29</v>
      </c>
      <c r="X447" t="str">
        <f>IF(Table2[[#This Row],[Qty available]]&gt;Table2[[#This Row],[Qty on hand]],"Check","OK")</f>
        <v>OK</v>
      </c>
    </row>
    <row r="448" spans="1:24" x14ac:dyDescent="0.3">
      <c r="A448" t="s">
        <v>97</v>
      </c>
      <c r="B448" t="s">
        <v>98</v>
      </c>
      <c r="C448" t="s">
        <v>57</v>
      </c>
      <c r="D448" t="s">
        <v>58</v>
      </c>
      <c r="E448" t="s">
        <v>27</v>
      </c>
      <c r="F448" s="1" t="s">
        <v>43</v>
      </c>
      <c r="G448" s="2">
        <v>238.66</v>
      </c>
      <c r="H448">
        <v>258.38</v>
      </c>
      <c r="I448">
        <v>258.22166700000002</v>
      </c>
      <c r="J448">
        <v>352.84</v>
      </c>
      <c r="K448">
        <v>58</v>
      </c>
      <c r="M448">
        <v>0</v>
      </c>
      <c r="N448" s="2">
        <v>30</v>
      </c>
      <c r="O448">
        <v>7746.65</v>
      </c>
      <c r="P448">
        <v>5</v>
      </c>
      <c r="Q448">
        <v>25</v>
      </c>
      <c r="R448">
        <v>6.39</v>
      </c>
      <c r="S448">
        <v>6</v>
      </c>
      <c r="T448">
        <v>31</v>
      </c>
      <c r="U448" s="2">
        <v>10938.04</v>
      </c>
      <c r="V448">
        <v>0</v>
      </c>
      <c r="W448" t="s">
        <v>29</v>
      </c>
      <c r="X448" t="str">
        <f>IF(Table2[[#This Row],[Qty available]]&gt;Table2[[#This Row],[Qty on hand]],"Check","OK")</f>
        <v>OK</v>
      </c>
    </row>
    <row r="449" spans="1:24" x14ac:dyDescent="0.3">
      <c r="A449" t="s">
        <v>97</v>
      </c>
      <c r="B449" t="s">
        <v>98</v>
      </c>
      <c r="C449" t="s">
        <v>57</v>
      </c>
      <c r="D449" t="s">
        <v>58</v>
      </c>
      <c r="E449" t="s">
        <v>27</v>
      </c>
      <c r="F449" s="1" t="s">
        <v>44</v>
      </c>
      <c r="G449" s="2">
        <v>235.01</v>
      </c>
      <c r="H449">
        <v>254.43</v>
      </c>
      <c r="I449">
        <v>256.42552599999999</v>
      </c>
      <c r="J449">
        <v>352.84</v>
      </c>
      <c r="K449">
        <v>58</v>
      </c>
      <c r="L449" s="2">
        <v>52</v>
      </c>
      <c r="M449">
        <v>27</v>
      </c>
      <c r="N449" s="2">
        <v>38</v>
      </c>
      <c r="O449">
        <v>9744.17</v>
      </c>
      <c r="P449">
        <v>3</v>
      </c>
      <c r="Q449">
        <v>35</v>
      </c>
      <c r="R449">
        <v>7.93</v>
      </c>
      <c r="S449">
        <v>4</v>
      </c>
      <c r="T449">
        <v>19</v>
      </c>
      <c r="U449" s="2">
        <v>6703.96</v>
      </c>
      <c r="V449">
        <v>0</v>
      </c>
      <c r="W449" t="s">
        <v>29</v>
      </c>
      <c r="X449" t="str">
        <f>IF(Table2[[#This Row],[Qty available]]&gt;Table2[[#This Row],[Qty on hand]],"Check","OK")</f>
        <v>OK</v>
      </c>
    </row>
    <row r="450" spans="1:24" x14ac:dyDescent="0.3">
      <c r="A450" t="s">
        <v>97</v>
      </c>
      <c r="B450" t="s">
        <v>98</v>
      </c>
      <c r="C450" t="s">
        <v>57</v>
      </c>
      <c r="D450" t="s">
        <v>58</v>
      </c>
      <c r="E450" t="s">
        <v>27</v>
      </c>
      <c r="F450" s="1" t="s">
        <v>45</v>
      </c>
      <c r="G450" s="2">
        <v>246.82</v>
      </c>
      <c r="H450">
        <v>267.20999999999998</v>
      </c>
      <c r="I450">
        <v>261.27063800000002</v>
      </c>
      <c r="J450">
        <v>352.84</v>
      </c>
      <c r="K450">
        <v>58</v>
      </c>
      <c r="L450" s="2">
        <v>58</v>
      </c>
      <c r="M450">
        <v>31</v>
      </c>
      <c r="N450" s="2">
        <v>47</v>
      </c>
      <c r="O450">
        <v>12279.72</v>
      </c>
      <c r="P450">
        <v>4</v>
      </c>
      <c r="Q450">
        <v>43</v>
      </c>
      <c r="R450">
        <v>8.58</v>
      </c>
      <c r="S450">
        <v>5</v>
      </c>
      <c r="T450">
        <v>22</v>
      </c>
      <c r="U450" s="2">
        <v>7762.48</v>
      </c>
      <c r="V450">
        <v>0</v>
      </c>
      <c r="W450" t="s">
        <v>29</v>
      </c>
      <c r="X450" t="str">
        <f>IF(Table2[[#This Row],[Qty available]]&gt;Table2[[#This Row],[Qty on hand]],"Check","OK")</f>
        <v>OK</v>
      </c>
    </row>
    <row r="451" spans="1:24" x14ac:dyDescent="0.3">
      <c r="A451" t="s">
        <v>97</v>
      </c>
      <c r="B451" t="s">
        <v>98</v>
      </c>
      <c r="C451" t="s">
        <v>57</v>
      </c>
      <c r="D451" t="s">
        <v>58</v>
      </c>
      <c r="E451" t="s">
        <v>27</v>
      </c>
      <c r="F451" s="1" t="s">
        <v>46</v>
      </c>
      <c r="G451" s="2">
        <v>251.04</v>
      </c>
      <c r="H451">
        <v>271.77999999999997</v>
      </c>
      <c r="I451">
        <v>265.10508800000002</v>
      </c>
      <c r="J451">
        <v>370.58</v>
      </c>
      <c r="K451">
        <v>58</v>
      </c>
      <c r="L451" s="2">
        <v>55</v>
      </c>
      <c r="M451">
        <v>27</v>
      </c>
      <c r="N451" s="2">
        <v>57</v>
      </c>
      <c r="O451">
        <v>15110.99</v>
      </c>
      <c r="P451">
        <v>5</v>
      </c>
      <c r="Q451">
        <v>52</v>
      </c>
      <c r="R451">
        <v>12.64</v>
      </c>
      <c r="S451">
        <v>1</v>
      </c>
      <c r="T451">
        <v>17</v>
      </c>
      <c r="U451" s="2">
        <v>6299.86</v>
      </c>
      <c r="V451">
        <v>0</v>
      </c>
      <c r="W451" t="s">
        <v>29</v>
      </c>
      <c r="X451" t="str">
        <f>IF(Table2[[#This Row],[Qty available]]&gt;Table2[[#This Row],[Qty on hand]],"Check","OK")</f>
        <v>OK</v>
      </c>
    </row>
    <row r="452" spans="1:24" x14ac:dyDescent="0.3">
      <c r="A452" t="s">
        <v>97</v>
      </c>
      <c r="B452" t="s">
        <v>98</v>
      </c>
      <c r="C452" t="s">
        <v>57</v>
      </c>
      <c r="D452" t="s">
        <v>58</v>
      </c>
      <c r="E452" t="s">
        <v>27</v>
      </c>
      <c r="F452" s="1" t="s">
        <v>47</v>
      </c>
      <c r="G452" s="2">
        <v>248.09</v>
      </c>
      <c r="H452">
        <v>268.58999999999997</v>
      </c>
      <c r="I452">
        <v>265.83117600000003</v>
      </c>
      <c r="J452">
        <v>370.58</v>
      </c>
      <c r="K452">
        <v>58</v>
      </c>
      <c r="L452" s="2">
        <v>55</v>
      </c>
      <c r="M452">
        <v>15</v>
      </c>
      <c r="N452" s="2">
        <v>51</v>
      </c>
      <c r="O452">
        <v>13557.39</v>
      </c>
      <c r="P452">
        <v>4</v>
      </c>
      <c r="Q452">
        <v>47</v>
      </c>
      <c r="R452">
        <v>10.93</v>
      </c>
      <c r="S452">
        <v>0</v>
      </c>
      <c r="T452">
        <v>21</v>
      </c>
      <c r="U452" s="2">
        <v>7782.18</v>
      </c>
      <c r="V452">
        <v>0</v>
      </c>
      <c r="W452" t="s">
        <v>29</v>
      </c>
      <c r="X452" t="str">
        <f>IF(Table2[[#This Row],[Qty available]]&gt;Table2[[#This Row],[Qty on hand]],"Check","OK")</f>
        <v>OK</v>
      </c>
    </row>
    <row r="453" spans="1:24" x14ac:dyDescent="0.3">
      <c r="A453" t="s">
        <v>97</v>
      </c>
      <c r="B453" t="s">
        <v>98</v>
      </c>
      <c r="C453" t="s">
        <v>57</v>
      </c>
      <c r="D453" t="s">
        <v>58</v>
      </c>
      <c r="E453" t="s">
        <v>27</v>
      </c>
      <c r="F453" s="1" t="s">
        <v>48</v>
      </c>
      <c r="G453" s="2">
        <v>244.53</v>
      </c>
      <c r="H453">
        <v>264.74</v>
      </c>
      <c r="I453">
        <v>265.83125000000001</v>
      </c>
      <c r="J453">
        <v>370.58</v>
      </c>
      <c r="K453">
        <v>58</v>
      </c>
      <c r="M453">
        <v>0</v>
      </c>
      <c r="N453" s="2">
        <v>32</v>
      </c>
      <c r="O453">
        <v>8506.6</v>
      </c>
      <c r="P453">
        <v>3</v>
      </c>
      <c r="Q453">
        <v>29</v>
      </c>
      <c r="R453">
        <v>7.14</v>
      </c>
      <c r="S453">
        <v>2</v>
      </c>
      <c r="T453">
        <v>19</v>
      </c>
      <c r="U453" s="2">
        <v>7041.02</v>
      </c>
      <c r="V453">
        <v>0</v>
      </c>
      <c r="W453" t="s">
        <v>29</v>
      </c>
      <c r="X453" t="str">
        <f>IF(Table2[[#This Row],[Qty available]]&gt;Table2[[#This Row],[Qty on hand]],"Check","OK")</f>
        <v>OK</v>
      </c>
    </row>
    <row r="454" spans="1:24" x14ac:dyDescent="0.3">
      <c r="A454" t="s">
        <v>97</v>
      </c>
      <c r="B454" t="s">
        <v>98</v>
      </c>
      <c r="C454" t="s">
        <v>57</v>
      </c>
      <c r="D454" t="s">
        <v>58</v>
      </c>
      <c r="E454" t="s">
        <v>27</v>
      </c>
      <c r="F454" s="1" t="s">
        <v>49</v>
      </c>
      <c r="G454" s="2">
        <v>249.95</v>
      </c>
      <c r="H454">
        <v>270.60000000000002</v>
      </c>
      <c r="I454">
        <v>267.35305599999998</v>
      </c>
      <c r="J454">
        <v>370.58</v>
      </c>
      <c r="K454">
        <v>58</v>
      </c>
      <c r="L454" s="2">
        <v>76</v>
      </c>
      <c r="M454">
        <v>15</v>
      </c>
      <c r="N454" s="2">
        <v>36</v>
      </c>
      <c r="O454">
        <v>9624.7099999999991</v>
      </c>
      <c r="P454">
        <v>4</v>
      </c>
      <c r="Q454">
        <v>32</v>
      </c>
      <c r="R454">
        <v>9.2799999999999994</v>
      </c>
      <c r="S454">
        <v>10</v>
      </c>
      <c r="T454">
        <v>11</v>
      </c>
      <c r="U454" s="2">
        <v>4076.38</v>
      </c>
      <c r="V454">
        <v>0</v>
      </c>
      <c r="W454" t="s">
        <v>29</v>
      </c>
      <c r="X454" t="str">
        <f>IF(Table2[[#This Row],[Qty available]]&gt;Table2[[#This Row],[Qty on hand]],"Check","OK")</f>
        <v>OK</v>
      </c>
    </row>
    <row r="455" spans="1:24" x14ac:dyDescent="0.3">
      <c r="A455" t="s">
        <v>97</v>
      </c>
      <c r="B455" t="s">
        <v>98</v>
      </c>
      <c r="C455" t="s">
        <v>57</v>
      </c>
      <c r="D455" t="s">
        <v>58</v>
      </c>
      <c r="E455" t="s">
        <v>27</v>
      </c>
      <c r="F455" s="1" t="s">
        <v>50</v>
      </c>
      <c r="G455" s="2">
        <v>244.37</v>
      </c>
      <c r="H455">
        <v>264.56</v>
      </c>
      <c r="I455">
        <v>265.90062499999999</v>
      </c>
      <c r="J455">
        <v>370.58</v>
      </c>
      <c r="K455">
        <v>58</v>
      </c>
      <c r="L455" s="2">
        <v>58</v>
      </c>
      <c r="M455">
        <v>39</v>
      </c>
      <c r="N455" s="2">
        <v>64</v>
      </c>
      <c r="O455">
        <v>17017.64</v>
      </c>
      <c r="P455">
        <v>3</v>
      </c>
      <c r="Q455">
        <v>61</v>
      </c>
      <c r="R455">
        <v>20.29</v>
      </c>
      <c r="S455">
        <v>9</v>
      </c>
      <c r="T455">
        <v>11</v>
      </c>
      <c r="U455" s="2">
        <v>4076.38</v>
      </c>
      <c r="V455">
        <v>0</v>
      </c>
      <c r="W455" t="s">
        <v>29</v>
      </c>
      <c r="X455" t="str">
        <f>IF(Table2[[#This Row],[Qty available]]&gt;Table2[[#This Row],[Qty on hand]],"Check","OK")</f>
        <v>OK</v>
      </c>
    </row>
    <row r="456" spans="1:24" x14ac:dyDescent="0.3">
      <c r="A456" t="s">
        <v>97</v>
      </c>
      <c r="B456" t="s">
        <v>98</v>
      </c>
      <c r="C456" t="s">
        <v>57</v>
      </c>
      <c r="D456" t="s">
        <v>58</v>
      </c>
      <c r="E456" t="s">
        <v>27</v>
      </c>
      <c r="F456" s="1" t="s">
        <v>51</v>
      </c>
      <c r="G456" s="2">
        <v>250.42</v>
      </c>
      <c r="H456">
        <v>271.11</v>
      </c>
      <c r="I456">
        <v>266.88966699999997</v>
      </c>
      <c r="J456">
        <v>370.58</v>
      </c>
      <c r="K456">
        <v>58</v>
      </c>
      <c r="L456" s="2">
        <v>55</v>
      </c>
      <c r="M456">
        <v>15</v>
      </c>
      <c r="N456" s="2">
        <v>60</v>
      </c>
      <c r="O456">
        <v>16013.38</v>
      </c>
      <c r="P456">
        <v>4</v>
      </c>
      <c r="Q456">
        <v>56</v>
      </c>
      <c r="R456">
        <v>19.23</v>
      </c>
      <c r="S456">
        <v>5</v>
      </c>
      <c r="T456">
        <v>19</v>
      </c>
      <c r="U456" s="2">
        <v>7041.02</v>
      </c>
      <c r="V456">
        <v>0</v>
      </c>
      <c r="W456" t="s">
        <v>29</v>
      </c>
      <c r="X456" t="str">
        <f>IF(Table2[[#This Row],[Qty available]]&gt;Table2[[#This Row],[Qty on hand]],"Check","OK")</f>
        <v>OK</v>
      </c>
    </row>
    <row r="457" spans="1:24" x14ac:dyDescent="0.3">
      <c r="A457" t="s">
        <v>97</v>
      </c>
      <c r="B457" t="s">
        <v>98</v>
      </c>
      <c r="C457" t="s">
        <v>57</v>
      </c>
      <c r="D457" t="s">
        <v>58</v>
      </c>
      <c r="E457" t="s">
        <v>27</v>
      </c>
      <c r="F457" s="1" t="s">
        <v>52</v>
      </c>
      <c r="G457" s="2">
        <v>244.96</v>
      </c>
      <c r="H457">
        <v>265.2</v>
      </c>
      <c r="I457">
        <v>266.55166700000001</v>
      </c>
      <c r="J457">
        <v>370.58</v>
      </c>
      <c r="K457">
        <v>58</v>
      </c>
      <c r="L457" s="2">
        <v>57</v>
      </c>
      <c r="M457">
        <v>15</v>
      </c>
      <c r="N457" s="2">
        <v>54</v>
      </c>
      <c r="O457">
        <v>14393.79</v>
      </c>
      <c r="P457">
        <v>5</v>
      </c>
      <c r="Q457">
        <v>49</v>
      </c>
      <c r="R457">
        <v>13.92</v>
      </c>
      <c r="S457">
        <v>0</v>
      </c>
      <c r="T457">
        <v>21</v>
      </c>
      <c r="U457" s="2">
        <v>7782.18</v>
      </c>
      <c r="V457">
        <v>0</v>
      </c>
      <c r="W457" t="s">
        <v>29</v>
      </c>
      <c r="X457" t="str">
        <f>IF(Table2[[#This Row],[Qty available]]&gt;Table2[[#This Row],[Qty on hand]],"Check","OK")</f>
        <v>OK</v>
      </c>
    </row>
    <row r="458" spans="1:24" x14ac:dyDescent="0.3">
      <c r="A458" t="s">
        <v>99</v>
      </c>
      <c r="B458" t="s">
        <v>100</v>
      </c>
      <c r="C458" t="s">
        <v>57</v>
      </c>
      <c r="D458" t="s">
        <v>58</v>
      </c>
      <c r="E458" t="s">
        <v>27</v>
      </c>
      <c r="F458" s="1" t="s">
        <v>28</v>
      </c>
      <c r="G458" s="2">
        <v>329.88</v>
      </c>
      <c r="H458">
        <v>329.88</v>
      </c>
      <c r="I458">
        <v>328.38656700000001</v>
      </c>
      <c r="J458">
        <v>464.25</v>
      </c>
      <c r="K458">
        <v>39</v>
      </c>
      <c r="L458" s="2">
        <v>34</v>
      </c>
      <c r="M458">
        <v>37</v>
      </c>
      <c r="N458" s="2">
        <v>67</v>
      </c>
      <c r="O458">
        <v>22001.9</v>
      </c>
      <c r="P458">
        <v>7</v>
      </c>
      <c r="Q458">
        <v>60</v>
      </c>
      <c r="R458">
        <v>9.3699999999999992</v>
      </c>
      <c r="S458">
        <v>7</v>
      </c>
      <c r="T458">
        <v>37</v>
      </c>
      <c r="U458" s="2">
        <v>17177.25</v>
      </c>
      <c r="V458">
        <v>0</v>
      </c>
      <c r="W458" t="s">
        <v>29</v>
      </c>
      <c r="X458" t="str">
        <f>IF(Table2[[#This Row],[Qty available]]&gt;Table2[[#This Row],[Qty on hand]],"Check","OK")</f>
        <v>OK</v>
      </c>
    </row>
    <row r="459" spans="1:24" x14ac:dyDescent="0.3">
      <c r="A459" t="s">
        <v>99</v>
      </c>
      <c r="B459" t="s">
        <v>100</v>
      </c>
      <c r="C459" t="s">
        <v>57</v>
      </c>
      <c r="D459" t="s">
        <v>58</v>
      </c>
      <c r="E459" t="s">
        <v>27</v>
      </c>
      <c r="F459" s="1" t="s">
        <v>30</v>
      </c>
      <c r="G459" s="2">
        <v>324.20999999999998</v>
      </c>
      <c r="H459">
        <v>324.20999999999998</v>
      </c>
      <c r="I459">
        <v>326.20875000000001</v>
      </c>
      <c r="J459">
        <v>464.25</v>
      </c>
      <c r="K459">
        <v>39</v>
      </c>
      <c r="L459" s="2">
        <v>47</v>
      </c>
      <c r="M459">
        <v>73</v>
      </c>
      <c r="N459" s="2">
        <v>104</v>
      </c>
      <c r="O459">
        <v>33925.71</v>
      </c>
      <c r="P459">
        <v>4</v>
      </c>
      <c r="Q459">
        <v>100</v>
      </c>
      <c r="R459">
        <v>14.24</v>
      </c>
      <c r="S459">
        <v>2</v>
      </c>
      <c r="T459">
        <v>36</v>
      </c>
      <c r="U459" s="2">
        <v>16713</v>
      </c>
      <c r="V459">
        <v>0</v>
      </c>
      <c r="W459" t="s">
        <v>29</v>
      </c>
      <c r="X459" t="str">
        <f>IF(Table2[[#This Row],[Qty available]]&gt;Table2[[#This Row],[Qty on hand]],"Check","OK")</f>
        <v>OK</v>
      </c>
    </row>
    <row r="460" spans="1:24" x14ac:dyDescent="0.3">
      <c r="A460" t="s">
        <v>99</v>
      </c>
      <c r="B460" t="s">
        <v>100</v>
      </c>
      <c r="C460" t="s">
        <v>57</v>
      </c>
      <c r="D460" t="s">
        <v>58</v>
      </c>
      <c r="E460" t="s">
        <v>27</v>
      </c>
      <c r="F460" s="1" t="s">
        <v>31</v>
      </c>
      <c r="G460" s="2">
        <v>329.64</v>
      </c>
      <c r="H460">
        <v>329.64</v>
      </c>
      <c r="I460">
        <v>326.690854</v>
      </c>
      <c r="J460">
        <v>464.25</v>
      </c>
      <c r="K460">
        <v>39</v>
      </c>
      <c r="L460" s="2">
        <v>38</v>
      </c>
      <c r="M460">
        <v>17</v>
      </c>
      <c r="N460" s="2">
        <v>82</v>
      </c>
      <c r="O460">
        <v>26788.65</v>
      </c>
      <c r="P460">
        <v>3</v>
      </c>
      <c r="Q460">
        <v>79</v>
      </c>
      <c r="R460">
        <v>9.52</v>
      </c>
      <c r="S460">
        <v>4</v>
      </c>
      <c r="T460">
        <v>39</v>
      </c>
      <c r="U460" s="2">
        <v>18105.75</v>
      </c>
      <c r="V460">
        <v>0</v>
      </c>
      <c r="W460" t="s">
        <v>29</v>
      </c>
      <c r="X460" t="str">
        <f>IF(Table2[[#This Row],[Qty available]]&gt;Table2[[#This Row],[Qty on hand]],"Check","OK")</f>
        <v>OK</v>
      </c>
    </row>
    <row r="461" spans="1:24" x14ac:dyDescent="0.3">
      <c r="A461" t="s">
        <v>99</v>
      </c>
      <c r="B461" t="s">
        <v>100</v>
      </c>
      <c r="C461" t="s">
        <v>57</v>
      </c>
      <c r="D461" t="s">
        <v>58</v>
      </c>
      <c r="E461" t="s">
        <v>27</v>
      </c>
      <c r="F461" s="1" t="s">
        <v>32</v>
      </c>
      <c r="G461" s="2">
        <v>329.48</v>
      </c>
      <c r="H461">
        <v>329.48</v>
      </c>
      <c r="I461">
        <v>327.437952</v>
      </c>
      <c r="J461">
        <v>464.25</v>
      </c>
      <c r="K461">
        <v>39</v>
      </c>
      <c r="L461" s="2">
        <v>38</v>
      </c>
      <c r="M461">
        <v>30</v>
      </c>
      <c r="N461" s="2">
        <v>83</v>
      </c>
      <c r="O461">
        <v>27177.35</v>
      </c>
      <c r="P461">
        <v>7</v>
      </c>
      <c r="Q461">
        <v>76</v>
      </c>
      <c r="R461">
        <v>10.49</v>
      </c>
      <c r="S461">
        <v>4</v>
      </c>
      <c r="T461">
        <v>29</v>
      </c>
      <c r="U461" s="2">
        <v>13463.25</v>
      </c>
      <c r="V461">
        <v>0</v>
      </c>
      <c r="W461" t="s">
        <v>29</v>
      </c>
      <c r="X461" t="str">
        <f>IF(Table2[[#This Row],[Qty available]]&gt;Table2[[#This Row],[Qty on hand]],"Check","OK")</f>
        <v>OK</v>
      </c>
    </row>
    <row r="462" spans="1:24" x14ac:dyDescent="0.3">
      <c r="A462" t="s">
        <v>99</v>
      </c>
      <c r="B462" t="s">
        <v>100</v>
      </c>
      <c r="C462" t="s">
        <v>57</v>
      </c>
      <c r="D462" t="s">
        <v>58</v>
      </c>
      <c r="E462" t="s">
        <v>27</v>
      </c>
      <c r="F462" s="1" t="s">
        <v>33</v>
      </c>
      <c r="G462" s="2">
        <v>335.76</v>
      </c>
      <c r="H462">
        <v>335.76</v>
      </c>
      <c r="I462">
        <v>329.53714300000001</v>
      </c>
      <c r="J462">
        <v>464.25</v>
      </c>
      <c r="K462">
        <v>39</v>
      </c>
      <c r="L462" s="2">
        <v>34</v>
      </c>
      <c r="M462">
        <v>28</v>
      </c>
      <c r="N462" s="2">
        <v>77</v>
      </c>
      <c r="O462">
        <v>25374.36</v>
      </c>
      <c r="P462">
        <v>9</v>
      </c>
      <c r="Q462">
        <v>68</v>
      </c>
      <c r="R462">
        <v>9.92</v>
      </c>
      <c r="S462">
        <v>2</v>
      </c>
      <c r="T462">
        <v>34</v>
      </c>
      <c r="U462" s="2">
        <v>15784.5</v>
      </c>
      <c r="V462">
        <v>0</v>
      </c>
      <c r="W462" t="s">
        <v>29</v>
      </c>
      <c r="X462" t="str">
        <f>IF(Table2[[#This Row],[Qty available]]&gt;Table2[[#This Row],[Qty on hand]],"Check","OK")</f>
        <v>OK</v>
      </c>
    </row>
    <row r="463" spans="1:24" x14ac:dyDescent="0.3">
      <c r="A463" t="s">
        <v>99</v>
      </c>
      <c r="B463" t="s">
        <v>100</v>
      </c>
      <c r="C463" t="s">
        <v>57</v>
      </c>
      <c r="D463" t="s">
        <v>58</v>
      </c>
      <c r="E463" t="s">
        <v>27</v>
      </c>
      <c r="F463" s="1" t="s">
        <v>34</v>
      </c>
      <c r="G463" s="2">
        <v>345.99</v>
      </c>
      <c r="H463">
        <v>345.99</v>
      </c>
      <c r="I463">
        <v>334.03835299999997</v>
      </c>
      <c r="J463">
        <v>491.83</v>
      </c>
      <c r="K463">
        <v>39</v>
      </c>
      <c r="L463" s="2">
        <v>48</v>
      </c>
      <c r="M463">
        <v>29</v>
      </c>
      <c r="N463" s="2">
        <v>85</v>
      </c>
      <c r="O463">
        <v>28393.26</v>
      </c>
      <c r="P463">
        <v>5</v>
      </c>
      <c r="Q463">
        <v>80</v>
      </c>
      <c r="R463">
        <v>13.01</v>
      </c>
      <c r="S463">
        <v>2</v>
      </c>
      <c r="T463">
        <v>21</v>
      </c>
      <c r="U463" s="2">
        <v>10328.43</v>
      </c>
      <c r="V463">
        <v>0</v>
      </c>
      <c r="W463" t="s">
        <v>29</v>
      </c>
      <c r="X463" t="str">
        <f>IF(Table2[[#This Row],[Qty available]]&gt;Table2[[#This Row],[Qty on hand]],"Check","OK")</f>
        <v>OK</v>
      </c>
    </row>
    <row r="464" spans="1:24" x14ac:dyDescent="0.3">
      <c r="A464" t="s">
        <v>99</v>
      </c>
      <c r="B464" t="s">
        <v>100</v>
      </c>
      <c r="C464" t="s">
        <v>57</v>
      </c>
      <c r="D464" t="s">
        <v>58</v>
      </c>
      <c r="E464" t="s">
        <v>27</v>
      </c>
      <c r="F464" s="1" t="s">
        <v>35</v>
      </c>
      <c r="G464" s="2">
        <v>346.92</v>
      </c>
      <c r="H464">
        <v>346.92</v>
      </c>
      <c r="I464">
        <v>337.48090000000002</v>
      </c>
      <c r="J464">
        <v>491.83</v>
      </c>
      <c r="K464">
        <v>39</v>
      </c>
      <c r="L464" s="2">
        <v>44</v>
      </c>
      <c r="M464">
        <v>31</v>
      </c>
      <c r="N464" s="2">
        <v>100</v>
      </c>
      <c r="O464">
        <v>33748.089999999997</v>
      </c>
      <c r="P464">
        <v>2</v>
      </c>
      <c r="Q464">
        <v>98</v>
      </c>
      <c r="R464">
        <v>18.11</v>
      </c>
      <c r="S464">
        <v>11</v>
      </c>
      <c r="T464">
        <v>16</v>
      </c>
      <c r="U464" s="2">
        <v>7869.28</v>
      </c>
      <c r="V464">
        <v>0</v>
      </c>
      <c r="W464" t="s">
        <v>29</v>
      </c>
      <c r="X464" t="str">
        <f>IF(Table2[[#This Row],[Qty available]]&gt;Table2[[#This Row],[Qty on hand]],"Check","OK")</f>
        <v>OK</v>
      </c>
    </row>
    <row r="465" spans="1:24" x14ac:dyDescent="0.3">
      <c r="A465" t="s">
        <v>99</v>
      </c>
      <c r="B465" t="s">
        <v>100</v>
      </c>
      <c r="C465" t="s">
        <v>57</v>
      </c>
      <c r="D465" t="s">
        <v>58</v>
      </c>
      <c r="E465" t="s">
        <v>27</v>
      </c>
      <c r="F465" s="1" t="s">
        <v>36</v>
      </c>
      <c r="G465" s="2">
        <v>337.09</v>
      </c>
      <c r="H465">
        <v>337.09</v>
      </c>
      <c r="I465">
        <v>337.48081999999999</v>
      </c>
      <c r="J465">
        <v>491.83</v>
      </c>
      <c r="K465">
        <v>39</v>
      </c>
      <c r="M465">
        <v>0</v>
      </c>
      <c r="N465" s="2">
        <v>61</v>
      </c>
      <c r="O465">
        <v>20586.330000000002</v>
      </c>
      <c r="P465">
        <v>9</v>
      </c>
      <c r="Q465">
        <v>52</v>
      </c>
      <c r="R465">
        <v>10.199999999999999</v>
      </c>
      <c r="S465">
        <v>3</v>
      </c>
      <c r="T465">
        <v>39</v>
      </c>
      <c r="U465" s="2">
        <v>19181.37</v>
      </c>
      <c r="V465">
        <v>0</v>
      </c>
      <c r="W465" t="s">
        <v>29</v>
      </c>
      <c r="X465" t="str">
        <f>IF(Table2[[#This Row],[Qty available]]&gt;Table2[[#This Row],[Qty on hand]],"Check","OK")</f>
        <v>OK</v>
      </c>
    </row>
    <row r="466" spans="1:24" x14ac:dyDescent="0.3">
      <c r="A466" t="s">
        <v>99</v>
      </c>
      <c r="B466" t="s">
        <v>100</v>
      </c>
      <c r="C466" t="s">
        <v>57</v>
      </c>
      <c r="D466" t="s">
        <v>58</v>
      </c>
      <c r="E466" t="s">
        <v>27</v>
      </c>
      <c r="F466" s="1" t="s">
        <v>37</v>
      </c>
      <c r="G466" s="2">
        <v>346.29</v>
      </c>
      <c r="H466">
        <v>346.29</v>
      </c>
      <c r="I466">
        <v>340.512</v>
      </c>
      <c r="J466">
        <v>491.83</v>
      </c>
      <c r="K466">
        <v>39</v>
      </c>
      <c r="L466" s="2">
        <v>38</v>
      </c>
      <c r="M466">
        <v>32</v>
      </c>
      <c r="N466" s="2">
        <v>60</v>
      </c>
      <c r="O466">
        <v>20430.72</v>
      </c>
      <c r="P466">
        <v>8</v>
      </c>
      <c r="Q466">
        <v>52</v>
      </c>
      <c r="R466">
        <v>8.9600000000000009</v>
      </c>
      <c r="S466">
        <v>6</v>
      </c>
      <c r="T466">
        <v>33</v>
      </c>
      <c r="U466" s="2">
        <v>16230.39</v>
      </c>
      <c r="V466">
        <v>0</v>
      </c>
      <c r="W466" t="s">
        <v>29</v>
      </c>
      <c r="X466" t="str">
        <f>IF(Table2[[#This Row],[Qty available]]&gt;Table2[[#This Row],[Qty on hand]],"Check","OK")</f>
        <v>OK</v>
      </c>
    </row>
    <row r="467" spans="1:24" x14ac:dyDescent="0.3">
      <c r="A467" t="s">
        <v>99</v>
      </c>
      <c r="B467" t="s">
        <v>100</v>
      </c>
      <c r="C467" t="s">
        <v>57</v>
      </c>
      <c r="D467" t="s">
        <v>58</v>
      </c>
      <c r="E467" t="s">
        <v>27</v>
      </c>
      <c r="F467" s="1" t="s">
        <v>38</v>
      </c>
      <c r="G467" s="2">
        <v>345.59</v>
      </c>
      <c r="H467">
        <v>345.59</v>
      </c>
      <c r="I467">
        <v>340.51214299999998</v>
      </c>
      <c r="J467">
        <v>491.83</v>
      </c>
      <c r="K467">
        <v>39</v>
      </c>
      <c r="M467">
        <v>0</v>
      </c>
      <c r="N467" s="2">
        <v>28</v>
      </c>
      <c r="O467">
        <v>9534.34</v>
      </c>
      <c r="P467">
        <v>5</v>
      </c>
      <c r="Q467">
        <v>23</v>
      </c>
      <c r="R467">
        <v>3.5</v>
      </c>
      <c r="S467">
        <v>7</v>
      </c>
      <c r="T467">
        <v>32</v>
      </c>
      <c r="U467" s="2">
        <v>15738.56</v>
      </c>
      <c r="V467">
        <v>0</v>
      </c>
      <c r="W467" t="s">
        <v>29</v>
      </c>
      <c r="X467" t="str">
        <f>IF(Table2[[#This Row],[Qty available]]&gt;Table2[[#This Row],[Qty on hand]],"Check","OK")</f>
        <v>OK</v>
      </c>
    </row>
    <row r="468" spans="1:24" x14ac:dyDescent="0.3">
      <c r="A468" t="s">
        <v>99</v>
      </c>
      <c r="B468" t="s">
        <v>100</v>
      </c>
      <c r="C468" t="s">
        <v>57</v>
      </c>
      <c r="D468" t="s">
        <v>58</v>
      </c>
      <c r="E468" t="s">
        <v>27</v>
      </c>
      <c r="F468" s="1" t="s">
        <v>39</v>
      </c>
      <c r="G468" s="2">
        <v>345.95</v>
      </c>
      <c r="H468">
        <v>345.95</v>
      </c>
      <c r="I468">
        <v>344.68114600000001</v>
      </c>
      <c r="J468">
        <v>491.83</v>
      </c>
      <c r="K468">
        <v>39</v>
      </c>
      <c r="L468" s="2">
        <v>43</v>
      </c>
      <c r="M468">
        <v>92</v>
      </c>
      <c r="N468" s="2">
        <v>96</v>
      </c>
      <c r="O468">
        <v>33089.39</v>
      </c>
      <c r="P468">
        <v>7</v>
      </c>
      <c r="Q468">
        <v>89</v>
      </c>
      <c r="R468">
        <v>14.18</v>
      </c>
      <c r="S468">
        <v>4</v>
      </c>
      <c r="T468">
        <v>24</v>
      </c>
      <c r="U468" s="2">
        <v>11803.92</v>
      </c>
      <c r="V468">
        <v>0</v>
      </c>
      <c r="W468" t="s">
        <v>29</v>
      </c>
      <c r="X468" t="str">
        <f>IF(Table2[[#This Row],[Qty available]]&gt;Table2[[#This Row],[Qty on hand]],"Check","OK")</f>
        <v>OK</v>
      </c>
    </row>
    <row r="469" spans="1:24" x14ac:dyDescent="0.3">
      <c r="A469" t="s">
        <v>99</v>
      </c>
      <c r="B469" t="s">
        <v>100</v>
      </c>
      <c r="C469" t="s">
        <v>57</v>
      </c>
      <c r="D469" t="s">
        <v>58</v>
      </c>
      <c r="E469" t="s">
        <v>27</v>
      </c>
      <c r="F469" s="1" t="s">
        <v>40</v>
      </c>
      <c r="G469" s="2">
        <v>338.63</v>
      </c>
      <c r="H469">
        <v>338.63</v>
      </c>
      <c r="I469">
        <v>344.68116700000002</v>
      </c>
      <c r="J469">
        <v>491.83</v>
      </c>
      <c r="K469">
        <v>39</v>
      </c>
      <c r="M469">
        <v>0</v>
      </c>
      <c r="N469" s="2">
        <v>60</v>
      </c>
      <c r="O469">
        <v>20680.87</v>
      </c>
      <c r="P469">
        <v>4</v>
      </c>
      <c r="Q469">
        <v>56</v>
      </c>
      <c r="R469">
        <v>8.57</v>
      </c>
      <c r="S469">
        <v>2</v>
      </c>
      <c r="T469">
        <v>36</v>
      </c>
      <c r="U469" s="2">
        <v>17705.88</v>
      </c>
      <c r="V469">
        <v>0</v>
      </c>
      <c r="W469" t="s">
        <v>29</v>
      </c>
      <c r="X469" t="str">
        <f>IF(Table2[[#This Row],[Qty available]]&gt;Table2[[#This Row],[Qty on hand]],"Check","OK")</f>
        <v>OK</v>
      </c>
    </row>
    <row r="470" spans="1:24" x14ac:dyDescent="0.3">
      <c r="A470" t="s">
        <v>99</v>
      </c>
      <c r="B470" t="s">
        <v>100</v>
      </c>
      <c r="C470" t="s">
        <v>57</v>
      </c>
      <c r="D470" t="s">
        <v>58</v>
      </c>
      <c r="E470" t="s">
        <v>27</v>
      </c>
      <c r="F470" s="1" t="s">
        <v>41</v>
      </c>
      <c r="G470" s="2">
        <v>339.18</v>
      </c>
      <c r="H470">
        <v>339.18</v>
      </c>
      <c r="I470">
        <v>344.68128999999999</v>
      </c>
      <c r="J470">
        <v>491.83</v>
      </c>
      <c r="K470">
        <v>39</v>
      </c>
      <c r="M470">
        <v>0</v>
      </c>
      <c r="N470" s="2">
        <v>31</v>
      </c>
      <c r="O470">
        <v>10685.12</v>
      </c>
      <c r="P470">
        <v>9</v>
      </c>
      <c r="Q470">
        <v>22</v>
      </c>
      <c r="R470">
        <v>4.58</v>
      </c>
      <c r="S470">
        <v>1</v>
      </c>
      <c r="T470">
        <v>29</v>
      </c>
      <c r="U470" s="2">
        <v>14263.07</v>
      </c>
      <c r="V470">
        <v>0</v>
      </c>
      <c r="W470" t="s">
        <v>29</v>
      </c>
      <c r="X470" t="str">
        <f>IF(Table2[[#This Row],[Qty available]]&gt;Table2[[#This Row],[Qty on hand]],"Check","OK")</f>
        <v>OK</v>
      </c>
    </row>
    <row r="471" spans="1:24" x14ac:dyDescent="0.3">
      <c r="A471" t="s">
        <v>99</v>
      </c>
      <c r="B471" t="s">
        <v>100</v>
      </c>
      <c r="C471" t="s">
        <v>57</v>
      </c>
      <c r="D471" t="s">
        <v>58</v>
      </c>
      <c r="E471" t="s">
        <v>27</v>
      </c>
      <c r="F471" s="1" t="s">
        <v>42</v>
      </c>
      <c r="G471" s="2">
        <v>341.04</v>
      </c>
      <c r="H471">
        <v>341.04</v>
      </c>
      <c r="I471">
        <v>341.96523400000001</v>
      </c>
      <c r="J471">
        <v>491.83</v>
      </c>
      <c r="K471">
        <v>39</v>
      </c>
      <c r="L471" s="2">
        <v>34</v>
      </c>
      <c r="M471">
        <v>91</v>
      </c>
      <c r="N471" s="2">
        <v>107</v>
      </c>
      <c r="O471">
        <v>36590.28</v>
      </c>
      <c r="P471">
        <v>6</v>
      </c>
      <c r="Q471">
        <v>101</v>
      </c>
      <c r="R471">
        <v>17.579999999999998</v>
      </c>
      <c r="S471">
        <v>10</v>
      </c>
      <c r="T471">
        <v>15</v>
      </c>
      <c r="U471" s="2">
        <v>7377.45</v>
      </c>
      <c r="V471">
        <v>0</v>
      </c>
      <c r="W471" t="s">
        <v>29</v>
      </c>
      <c r="X471" t="str">
        <f>IF(Table2[[#This Row],[Qty available]]&gt;Table2[[#This Row],[Qty on hand]],"Check","OK")</f>
        <v>OK</v>
      </c>
    </row>
    <row r="472" spans="1:24" x14ac:dyDescent="0.3">
      <c r="A472" t="s">
        <v>99</v>
      </c>
      <c r="B472" t="s">
        <v>100</v>
      </c>
      <c r="C472" t="s">
        <v>57</v>
      </c>
      <c r="D472" t="s">
        <v>58</v>
      </c>
      <c r="E472" t="s">
        <v>27</v>
      </c>
      <c r="F472" s="1" t="s">
        <v>43</v>
      </c>
      <c r="G472" s="2">
        <v>337.5</v>
      </c>
      <c r="H472">
        <v>337.5</v>
      </c>
      <c r="I472">
        <v>341.96529399999997</v>
      </c>
      <c r="J472">
        <v>491.83</v>
      </c>
      <c r="K472">
        <v>39</v>
      </c>
      <c r="M472">
        <v>0</v>
      </c>
      <c r="N472" s="2">
        <v>68</v>
      </c>
      <c r="O472">
        <v>23253.64</v>
      </c>
      <c r="P472">
        <v>2</v>
      </c>
      <c r="Q472">
        <v>66</v>
      </c>
      <c r="R472">
        <v>10.65</v>
      </c>
      <c r="S472">
        <v>4</v>
      </c>
      <c r="T472">
        <v>39</v>
      </c>
      <c r="U472" s="2">
        <v>19181.37</v>
      </c>
      <c r="V472">
        <v>0</v>
      </c>
      <c r="W472" t="s">
        <v>29</v>
      </c>
      <c r="X472" t="str">
        <f>IF(Table2[[#This Row],[Qty available]]&gt;Table2[[#This Row],[Qty on hand]],"Check","OK")</f>
        <v>OK</v>
      </c>
    </row>
    <row r="473" spans="1:24" x14ac:dyDescent="0.3">
      <c r="A473" t="s">
        <v>99</v>
      </c>
      <c r="B473" t="s">
        <v>100</v>
      </c>
      <c r="C473" t="s">
        <v>57</v>
      </c>
      <c r="D473" t="s">
        <v>58</v>
      </c>
      <c r="E473" t="s">
        <v>27</v>
      </c>
      <c r="F473" s="1" t="s">
        <v>44</v>
      </c>
      <c r="G473" s="2">
        <v>346.98</v>
      </c>
      <c r="H473">
        <v>346.98</v>
      </c>
      <c r="I473">
        <v>343.273393</v>
      </c>
      <c r="J473">
        <v>491.83</v>
      </c>
      <c r="K473">
        <v>39</v>
      </c>
      <c r="L473" s="2">
        <v>49</v>
      </c>
      <c r="M473">
        <v>24</v>
      </c>
      <c r="N473" s="2">
        <v>56</v>
      </c>
      <c r="O473">
        <v>19223.310000000001</v>
      </c>
      <c r="P473">
        <v>6</v>
      </c>
      <c r="Q473">
        <v>50</v>
      </c>
      <c r="R473">
        <v>8.18</v>
      </c>
      <c r="S473">
        <v>7</v>
      </c>
      <c r="T473">
        <v>36</v>
      </c>
      <c r="U473" s="2">
        <v>17705.88</v>
      </c>
      <c r="V473">
        <v>0</v>
      </c>
      <c r="W473" t="s">
        <v>29</v>
      </c>
      <c r="X473" t="str">
        <f>IF(Table2[[#This Row],[Qty available]]&gt;Table2[[#This Row],[Qty on hand]],"Check","OK")</f>
        <v>OK</v>
      </c>
    </row>
    <row r="474" spans="1:24" x14ac:dyDescent="0.3">
      <c r="A474" t="s">
        <v>99</v>
      </c>
      <c r="B474" t="s">
        <v>100</v>
      </c>
      <c r="C474" t="s">
        <v>57</v>
      </c>
      <c r="D474" t="s">
        <v>58</v>
      </c>
      <c r="E474" t="s">
        <v>27</v>
      </c>
      <c r="F474" s="1" t="s">
        <v>45</v>
      </c>
      <c r="G474" s="2">
        <v>356.75</v>
      </c>
      <c r="H474">
        <v>356.75</v>
      </c>
      <c r="I474">
        <v>350.71249999999998</v>
      </c>
      <c r="J474">
        <v>491.83</v>
      </c>
      <c r="K474">
        <v>39</v>
      </c>
      <c r="L474" s="2">
        <v>52</v>
      </c>
      <c r="M474">
        <v>69</v>
      </c>
      <c r="N474" s="2">
        <v>88</v>
      </c>
      <c r="O474">
        <v>30862.7</v>
      </c>
      <c r="P474">
        <v>2</v>
      </c>
      <c r="Q474">
        <v>86</v>
      </c>
      <c r="R474">
        <v>10.33</v>
      </c>
      <c r="S474">
        <v>0</v>
      </c>
      <c r="T474">
        <v>37</v>
      </c>
      <c r="U474" s="2">
        <v>18197.71</v>
      </c>
      <c r="V474">
        <v>0</v>
      </c>
      <c r="W474" t="s">
        <v>29</v>
      </c>
      <c r="X474" t="str">
        <f>IF(Table2[[#This Row],[Qty available]]&gt;Table2[[#This Row],[Qty on hand]],"Check","OK")</f>
        <v>OK</v>
      </c>
    </row>
    <row r="475" spans="1:24" x14ac:dyDescent="0.3">
      <c r="A475" t="s">
        <v>99</v>
      </c>
      <c r="B475" t="s">
        <v>100</v>
      </c>
      <c r="C475" t="s">
        <v>57</v>
      </c>
      <c r="D475" t="s">
        <v>58</v>
      </c>
      <c r="E475" t="s">
        <v>27</v>
      </c>
      <c r="F475" s="1" t="s">
        <v>46</v>
      </c>
      <c r="G475" s="2">
        <v>348.2</v>
      </c>
      <c r="H475">
        <v>348.2</v>
      </c>
      <c r="I475">
        <v>349.67401899999999</v>
      </c>
      <c r="J475">
        <v>521.04999999999995</v>
      </c>
      <c r="K475">
        <v>39</v>
      </c>
      <c r="L475" s="2">
        <v>39</v>
      </c>
      <c r="M475">
        <v>62</v>
      </c>
      <c r="N475" s="2">
        <v>107</v>
      </c>
      <c r="O475">
        <v>37415.120000000003</v>
      </c>
      <c r="P475">
        <v>3</v>
      </c>
      <c r="Q475">
        <v>104</v>
      </c>
      <c r="R475">
        <v>11.86</v>
      </c>
      <c r="S475">
        <v>8</v>
      </c>
      <c r="T475">
        <v>43</v>
      </c>
      <c r="U475" s="2">
        <v>22405.15</v>
      </c>
      <c r="V475">
        <v>0</v>
      </c>
      <c r="W475" t="s">
        <v>29</v>
      </c>
      <c r="X475" t="str">
        <f>IF(Table2[[#This Row],[Qty available]]&gt;Table2[[#This Row],[Qty on hand]],"Check","OK")</f>
        <v>OK</v>
      </c>
    </row>
    <row r="476" spans="1:24" x14ac:dyDescent="0.3">
      <c r="A476" t="s">
        <v>99</v>
      </c>
      <c r="B476" t="s">
        <v>100</v>
      </c>
      <c r="C476" t="s">
        <v>57</v>
      </c>
      <c r="D476" t="s">
        <v>58</v>
      </c>
      <c r="E476" t="s">
        <v>27</v>
      </c>
      <c r="F476" s="1" t="s">
        <v>47</v>
      </c>
      <c r="G476" s="2">
        <v>354.32</v>
      </c>
      <c r="H476">
        <v>354.32</v>
      </c>
      <c r="I476">
        <v>349.67403200000001</v>
      </c>
      <c r="J476">
        <v>521.04999999999995</v>
      </c>
      <c r="K476">
        <v>39</v>
      </c>
      <c r="M476">
        <v>0</v>
      </c>
      <c r="N476" s="2">
        <v>62</v>
      </c>
      <c r="O476">
        <v>21679.79</v>
      </c>
      <c r="P476">
        <v>9</v>
      </c>
      <c r="Q476">
        <v>53</v>
      </c>
      <c r="R476">
        <v>6.38</v>
      </c>
      <c r="S476">
        <v>0</v>
      </c>
      <c r="T476">
        <v>45</v>
      </c>
      <c r="U476" s="2">
        <v>23447.25</v>
      </c>
      <c r="V476">
        <v>0</v>
      </c>
      <c r="W476" t="s">
        <v>29</v>
      </c>
      <c r="X476" t="str">
        <f>IF(Table2[[#This Row],[Qty available]]&gt;Table2[[#This Row],[Qty on hand]],"Check","OK")</f>
        <v>OK</v>
      </c>
    </row>
    <row r="477" spans="1:24" x14ac:dyDescent="0.3">
      <c r="A477" t="s">
        <v>99</v>
      </c>
      <c r="B477" t="s">
        <v>100</v>
      </c>
      <c r="C477" t="s">
        <v>57</v>
      </c>
      <c r="D477" t="s">
        <v>58</v>
      </c>
      <c r="E477" t="s">
        <v>27</v>
      </c>
      <c r="F477" s="1" t="s">
        <v>48</v>
      </c>
      <c r="G477" s="2">
        <v>353.78</v>
      </c>
      <c r="H477">
        <v>353.78</v>
      </c>
      <c r="I477">
        <v>349.67399999999998</v>
      </c>
      <c r="J477">
        <v>521.04999999999995</v>
      </c>
      <c r="K477">
        <v>39</v>
      </c>
      <c r="M477">
        <v>0</v>
      </c>
      <c r="N477" s="2">
        <v>35</v>
      </c>
      <c r="O477">
        <v>12238.59</v>
      </c>
      <c r="P477">
        <v>7</v>
      </c>
      <c r="Q477">
        <v>28</v>
      </c>
      <c r="R477">
        <v>3.87</v>
      </c>
      <c r="S477">
        <v>7</v>
      </c>
      <c r="T477">
        <v>27</v>
      </c>
      <c r="U477" s="2">
        <v>14068.35</v>
      </c>
      <c r="V477">
        <v>0</v>
      </c>
      <c r="W477" t="s">
        <v>29</v>
      </c>
      <c r="X477" t="str">
        <f>IF(Table2[[#This Row],[Qty available]]&gt;Table2[[#This Row],[Qty on hand]],"Check","OK")</f>
        <v>OK</v>
      </c>
    </row>
    <row r="478" spans="1:24" x14ac:dyDescent="0.3">
      <c r="A478" t="s">
        <v>99</v>
      </c>
      <c r="B478" t="s">
        <v>100</v>
      </c>
      <c r="C478" t="s">
        <v>57</v>
      </c>
      <c r="D478" t="s">
        <v>58</v>
      </c>
      <c r="E478" t="s">
        <v>27</v>
      </c>
      <c r="F478" s="1" t="s">
        <v>49</v>
      </c>
      <c r="G478" s="2">
        <v>347.83</v>
      </c>
      <c r="H478">
        <v>347.83</v>
      </c>
      <c r="I478">
        <v>348.43318199999999</v>
      </c>
      <c r="J478">
        <v>521.04999999999995</v>
      </c>
      <c r="K478">
        <v>39</v>
      </c>
      <c r="L478" s="2">
        <v>37</v>
      </c>
      <c r="M478">
        <v>72</v>
      </c>
      <c r="N478" s="2">
        <v>66</v>
      </c>
      <c r="O478">
        <v>22996.59</v>
      </c>
      <c r="P478">
        <v>6</v>
      </c>
      <c r="Q478">
        <v>60</v>
      </c>
      <c r="R478">
        <v>7.68</v>
      </c>
      <c r="S478">
        <v>6</v>
      </c>
      <c r="T478">
        <v>41</v>
      </c>
      <c r="U478" s="2">
        <v>21363.05</v>
      </c>
      <c r="V478">
        <v>0</v>
      </c>
      <c r="W478" t="s">
        <v>29</v>
      </c>
      <c r="X478" t="str">
        <f>IF(Table2[[#This Row],[Qty available]]&gt;Table2[[#This Row],[Qty on hand]],"Check","OK")</f>
        <v>OK</v>
      </c>
    </row>
    <row r="479" spans="1:24" x14ac:dyDescent="0.3">
      <c r="A479" t="s">
        <v>99</v>
      </c>
      <c r="B479" t="s">
        <v>100</v>
      </c>
      <c r="C479" t="s">
        <v>57</v>
      </c>
      <c r="D479" t="s">
        <v>58</v>
      </c>
      <c r="E479" t="s">
        <v>27</v>
      </c>
      <c r="F479" s="1" t="s">
        <v>50</v>
      </c>
      <c r="G479" s="2">
        <v>351.82</v>
      </c>
      <c r="H479">
        <v>351.82</v>
      </c>
      <c r="I479">
        <v>348.43305600000002</v>
      </c>
      <c r="J479">
        <v>521.04999999999995</v>
      </c>
      <c r="K479">
        <v>39</v>
      </c>
      <c r="M479">
        <v>0</v>
      </c>
      <c r="N479" s="2">
        <v>36</v>
      </c>
      <c r="O479">
        <v>12543.59</v>
      </c>
      <c r="P479">
        <v>5</v>
      </c>
      <c r="Q479">
        <v>31</v>
      </c>
      <c r="R479">
        <v>4.78</v>
      </c>
      <c r="S479">
        <v>0</v>
      </c>
      <c r="T479">
        <v>30</v>
      </c>
      <c r="U479" s="2">
        <v>15631.5</v>
      </c>
      <c r="V479">
        <v>0</v>
      </c>
      <c r="W479" t="s">
        <v>29</v>
      </c>
      <c r="X479" t="str">
        <f>IF(Table2[[#This Row],[Qty available]]&gt;Table2[[#This Row],[Qty on hand]],"Check","OK")</f>
        <v>OK</v>
      </c>
    </row>
    <row r="480" spans="1:24" x14ac:dyDescent="0.3">
      <c r="A480" t="s">
        <v>99</v>
      </c>
      <c r="B480" t="s">
        <v>100</v>
      </c>
      <c r="C480" t="s">
        <v>57</v>
      </c>
      <c r="D480" t="s">
        <v>58</v>
      </c>
      <c r="E480" t="s">
        <v>27</v>
      </c>
      <c r="F480" s="1" t="s">
        <v>51</v>
      </c>
      <c r="G480" s="2">
        <v>346.64</v>
      </c>
      <c r="H480">
        <v>346.64</v>
      </c>
      <c r="I480">
        <v>347.56217400000003</v>
      </c>
      <c r="J480">
        <v>521.04999999999995</v>
      </c>
      <c r="K480">
        <v>39</v>
      </c>
      <c r="L480" s="2">
        <v>39</v>
      </c>
      <c r="M480">
        <v>34</v>
      </c>
      <c r="N480" s="2">
        <v>23</v>
      </c>
      <c r="O480">
        <v>7993.93</v>
      </c>
      <c r="P480">
        <v>8</v>
      </c>
      <c r="Q480">
        <v>15</v>
      </c>
      <c r="R480">
        <v>2.56</v>
      </c>
      <c r="S480">
        <v>0</v>
      </c>
      <c r="T480">
        <v>47</v>
      </c>
      <c r="U480" s="2">
        <v>24489.35</v>
      </c>
      <c r="V480">
        <v>0</v>
      </c>
      <c r="W480" t="s">
        <v>29</v>
      </c>
      <c r="X480" t="str">
        <f>IF(Table2[[#This Row],[Qty available]]&gt;Table2[[#This Row],[Qty on hand]],"Check","OK")</f>
        <v>OK</v>
      </c>
    </row>
    <row r="481" spans="1:24" x14ac:dyDescent="0.3">
      <c r="A481" t="s">
        <v>99</v>
      </c>
      <c r="B481" t="s">
        <v>100</v>
      </c>
      <c r="C481" t="s">
        <v>57</v>
      </c>
      <c r="D481" t="s">
        <v>58</v>
      </c>
      <c r="E481" t="s">
        <v>27</v>
      </c>
      <c r="F481" s="1" t="s">
        <v>52</v>
      </c>
      <c r="G481" s="2">
        <v>352.11</v>
      </c>
      <c r="H481">
        <v>352.11</v>
      </c>
      <c r="I481">
        <v>350.94782600000002</v>
      </c>
      <c r="J481">
        <v>521.04999999999995</v>
      </c>
      <c r="K481">
        <v>39</v>
      </c>
      <c r="L481" s="2">
        <v>33</v>
      </c>
      <c r="M481">
        <v>67</v>
      </c>
      <c r="N481" s="2">
        <v>46</v>
      </c>
      <c r="O481">
        <v>16143.6</v>
      </c>
      <c r="P481">
        <v>4</v>
      </c>
      <c r="Q481">
        <v>42</v>
      </c>
      <c r="R481">
        <v>5</v>
      </c>
      <c r="S481">
        <v>3</v>
      </c>
      <c r="T481">
        <v>44</v>
      </c>
      <c r="U481" s="2">
        <v>22926.2</v>
      </c>
      <c r="V481">
        <v>0</v>
      </c>
      <c r="W481" t="s">
        <v>29</v>
      </c>
      <c r="X481" t="str">
        <f>IF(Table2[[#This Row],[Qty available]]&gt;Table2[[#This Row],[Qty on hand]],"Check","OK")</f>
        <v>OK</v>
      </c>
    </row>
    <row r="482" spans="1:24" x14ac:dyDescent="0.3">
      <c r="A482" t="s">
        <v>101</v>
      </c>
      <c r="B482" t="s">
        <v>102</v>
      </c>
      <c r="C482" t="s">
        <v>57</v>
      </c>
      <c r="D482" t="s">
        <v>58</v>
      </c>
      <c r="E482" t="s">
        <v>27</v>
      </c>
      <c r="F482" s="1" t="s">
        <v>28</v>
      </c>
      <c r="G482" s="2">
        <v>83.03</v>
      </c>
      <c r="H482">
        <v>83.03</v>
      </c>
      <c r="I482">
        <v>83.269901000000004</v>
      </c>
      <c r="J482">
        <v>113.17</v>
      </c>
      <c r="K482">
        <v>21</v>
      </c>
      <c r="L482" s="2">
        <v>20</v>
      </c>
      <c r="M482">
        <v>27</v>
      </c>
      <c r="N482" s="2">
        <v>101</v>
      </c>
      <c r="O482">
        <v>8410.26</v>
      </c>
      <c r="P482">
        <v>7</v>
      </c>
      <c r="Q482">
        <v>94</v>
      </c>
      <c r="R482">
        <v>11.35</v>
      </c>
      <c r="S482">
        <v>2</v>
      </c>
      <c r="T482">
        <v>53</v>
      </c>
      <c r="U482" s="2">
        <v>5998.01</v>
      </c>
      <c r="V482">
        <v>0</v>
      </c>
      <c r="W482" t="s">
        <v>29</v>
      </c>
      <c r="X482" t="str">
        <f>IF(Table2[[#This Row],[Qty available]]&gt;Table2[[#This Row],[Qty on hand]],"Check","OK")</f>
        <v>OK</v>
      </c>
    </row>
    <row r="483" spans="1:24" x14ac:dyDescent="0.3">
      <c r="A483" t="s">
        <v>101</v>
      </c>
      <c r="B483" t="s">
        <v>102</v>
      </c>
      <c r="C483" t="s">
        <v>57</v>
      </c>
      <c r="D483" t="s">
        <v>58</v>
      </c>
      <c r="E483" t="s">
        <v>27</v>
      </c>
      <c r="F483" s="1" t="s">
        <v>30</v>
      </c>
      <c r="G483" s="2">
        <v>82.21</v>
      </c>
      <c r="H483">
        <v>82.21</v>
      </c>
      <c r="I483">
        <v>82.963838999999993</v>
      </c>
      <c r="J483">
        <v>113.17</v>
      </c>
      <c r="K483">
        <v>21</v>
      </c>
      <c r="L483" s="2">
        <v>18</v>
      </c>
      <c r="M483">
        <v>41</v>
      </c>
      <c r="N483" s="2">
        <v>112</v>
      </c>
      <c r="O483">
        <v>9291.9500000000007</v>
      </c>
      <c r="P483">
        <v>8</v>
      </c>
      <c r="Q483">
        <v>104</v>
      </c>
      <c r="R483">
        <v>12.37</v>
      </c>
      <c r="S483">
        <v>6</v>
      </c>
      <c r="T483">
        <v>30</v>
      </c>
      <c r="U483" s="2">
        <v>3395.1</v>
      </c>
      <c r="V483">
        <v>0</v>
      </c>
      <c r="W483" t="s">
        <v>29</v>
      </c>
      <c r="X483" t="str">
        <f>IF(Table2[[#This Row],[Qty available]]&gt;Table2[[#This Row],[Qty on hand]],"Check","OK")</f>
        <v>OK</v>
      </c>
    </row>
    <row r="484" spans="1:24" x14ac:dyDescent="0.3">
      <c r="A484" t="s">
        <v>101</v>
      </c>
      <c r="B484" t="s">
        <v>102</v>
      </c>
      <c r="C484" t="s">
        <v>57</v>
      </c>
      <c r="D484" t="s">
        <v>58</v>
      </c>
      <c r="E484" t="s">
        <v>27</v>
      </c>
      <c r="F484" s="1" t="s">
        <v>31</v>
      </c>
      <c r="G484" s="2">
        <v>81.69</v>
      </c>
      <c r="H484">
        <v>81.69</v>
      </c>
      <c r="I484">
        <v>82.554642999999999</v>
      </c>
      <c r="J484">
        <v>113.17</v>
      </c>
      <c r="K484">
        <v>21</v>
      </c>
      <c r="L484" s="2">
        <v>18</v>
      </c>
      <c r="M484">
        <v>53</v>
      </c>
      <c r="N484" s="2">
        <v>140</v>
      </c>
      <c r="O484">
        <v>11557.65</v>
      </c>
      <c r="P484">
        <v>3</v>
      </c>
      <c r="Q484">
        <v>137</v>
      </c>
      <c r="R484">
        <v>16.850000000000001</v>
      </c>
      <c r="S484">
        <v>3</v>
      </c>
      <c r="T484">
        <v>25</v>
      </c>
      <c r="U484" s="2">
        <v>2829.25</v>
      </c>
      <c r="V484">
        <v>0</v>
      </c>
      <c r="W484" t="s">
        <v>29</v>
      </c>
      <c r="X484" t="str">
        <f>IF(Table2[[#This Row],[Qty available]]&gt;Table2[[#This Row],[Qty on hand]],"Check","OK")</f>
        <v>OK</v>
      </c>
    </row>
    <row r="485" spans="1:24" x14ac:dyDescent="0.3">
      <c r="A485" t="s">
        <v>101</v>
      </c>
      <c r="B485" t="s">
        <v>102</v>
      </c>
      <c r="C485" t="s">
        <v>57</v>
      </c>
      <c r="D485" t="s">
        <v>58</v>
      </c>
      <c r="E485" t="s">
        <v>27</v>
      </c>
      <c r="F485" s="1" t="s">
        <v>32</v>
      </c>
      <c r="G485" s="2">
        <v>84.58</v>
      </c>
      <c r="H485">
        <v>84.58</v>
      </c>
      <c r="I485">
        <v>82.807796999999994</v>
      </c>
      <c r="J485">
        <v>113.17</v>
      </c>
      <c r="K485">
        <v>21</v>
      </c>
      <c r="L485" s="2">
        <v>19</v>
      </c>
      <c r="M485">
        <v>20</v>
      </c>
      <c r="N485" s="2">
        <v>118</v>
      </c>
      <c r="O485">
        <v>9771.32</v>
      </c>
      <c r="P485">
        <v>9</v>
      </c>
      <c r="Q485">
        <v>109</v>
      </c>
      <c r="R485">
        <v>15.99</v>
      </c>
      <c r="S485">
        <v>5</v>
      </c>
      <c r="T485">
        <v>42</v>
      </c>
      <c r="U485" s="2">
        <v>4753.1400000000003</v>
      </c>
      <c r="V485">
        <v>0</v>
      </c>
      <c r="W485" t="s">
        <v>29</v>
      </c>
      <c r="X485" t="str">
        <f>IF(Table2[[#This Row],[Qty available]]&gt;Table2[[#This Row],[Qty on hand]],"Check","OK")</f>
        <v>OK</v>
      </c>
    </row>
    <row r="486" spans="1:24" x14ac:dyDescent="0.3">
      <c r="A486" t="s">
        <v>101</v>
      </c>
      <c r="B486" t="s">
        <v>102</v>
      </c>
      <c r="C486" t="s">
        <v>57</v>
      </c>
      <c r="D486" t="s">
        <v>58</v>
      </c>
      <c r="E486" t="s">
        <v>27</v>
      </c>
      <c r="F486" s="1" t="s">
        <v>33</v>
      </c>
      <c r="G486" s="2">
        <v>86.67</v>
      </c>
      <c r="H486">
        <v>86.67</v>
      </c>
      <c r="I486">
        <v>83.691270000000003</v>
      </c>
      <c r="J486">
        <v>113.17</v>
      </c>
      <c r="K486">
        <v>21</v>
      </c>
      <c r="L486" s="2">
        <v>20</v>
      </c>
      <c r="M486">
        <v>35</v>
      </c>
      <c r="N486" s="2">
        <v>126</v>
      </c>
      <c r="O486">
        <v>10545.1</v>
      </c>
      <c r="P486">
        <v>5</v>
      </c>
      <c r="Q486">
        <v>121</v>
      </c>
      <c r="R486">
        <v>17.62</v>
      </c>
      <c r="S486">
        <v>8</v>
      </c>
      <c r="T486">
        <v>27</v>
      </c>
      <c r="U486" s="2">
        <v>3055.59</v>
      </c>
      <c r="V486">
        <v>0</v>
      </c>
      <c r="W486" t="s">
        <v>29</v>
      </c>
      <c r="X486" t="str">
        <f>IF(Table2[[#This Row],[Qty available]]&gt;Table2[[#This Row],[Qty on hand]],"Check","OK")</f>
        <v>OK</v>
      </c>
    </row>
    <row r="487" spans="1:24" x14ac:dyDescent="0.3">
      <c r="A487" t="s">
        <v>101</v>
      </c>
      <c r="B487" t="s">
        <v>102</v>
      </c>
      <c r="C487" t="s">
        <v>57</v>
      </c>
      <c r="D487" t="s">
        <v>58</v>
      </c>
      <c r="E487" t="s">
        <v>27</v>
      </c>
      <c r="F487" s="1" t="s">
        <v>34</v>
      </c>
      <c r="G487" s="2">
        <v>87.53</v>
      </c>
      <c r="H487">
        <v>87.53</v>
      </c>
      <c r="I487">
        <v>84.409474000000003</v>
      </c>
      <c r="J487">
        <v>116.86</v>
      </c>
      <c r="K487">
        <v>21</v>
      </c>
      <c r="L487" s="2">
        <v>18</v>
      </c>
      <c r="M487">
        <v>29</v>
      </c>
      <c r="N487" s="2">
        <v>133</v>
      </c>
      <c r="O487">
        <v>11226.46</v>
      </c>
      <c r="P487">
        <v>10</v>
      </c>
      <c r="Q487">
        <v>123</v>
      </c>
      <c r="R487">
        <v>18.79</v>
      </c>
      <c r="S487">
        <v>6</v>
      </c>
      <c r="T487">
        <v>22</v>
      </c>
      <c r="U487" s="2">
        <v>2570.92</v>
      </c>
      <c r="V487">
        <v>0</v>
      </c>
      <c r="W487" t="s">
        <v>29</v>
      </c>
      <c r="X487" t="str">
        <f>IF(Table2[[#This Row],[Qty available]]&gt;Table2[[#This Row],[Qty on hand]],"Check","OK")</f>
        <v>OK</v>
      </c>
    </row>
    <row r="488" spans="1:24" x14ac:dyDescent="0.3">
      <c r="A488" t="s">
        <v>101</v>
      </c>
      <c r="B488" t="s">
        <v>102</v>
      </c>
      <c r="C488" t="s">
        <v>57</v>
      </c>
      <c r="D488" t="s">
        <v>58</v>
      </c>
      <c r="E488" t="s">
        <v>27</v>
      </c>
      <c r="F488" s="1" t="s">
        <v>35</v>
      </c>
      <c r="G488" s="2">
        <v>87.38</v>
      </c>
      <c r="H488">
        <v>87.38</v>
      </c>
      <c r="I488">
        <v>84.409468000000004</v>
      </c>
      <c r="J488">
        <v>116.86</v>
      </c>
      <c r="K488">
        <v>21</v>
      </c>
      <c r="M488">
        <v>0</v>
      </c>
      <c r="N488" s="2">
        <v>94</v>
      </c>
      <c r="O488">
        <v>7934.49</v>
      </c>
      <c r="P488">
        <v>5</v>
      </c>
      <c r="Q488">
        <v>89</v>
      </c>
      <c r="R488">
        <v>13.73</v>
      </c>
      <c r="S488">
        <v>5</v>
      </c>
      <c r="T488">
        <v>39</v>
      </c>
      <c r="U488" s="2">
        <v>4557.54</v>
      </c>
      <c r="V488">
        <v>0</v>
      </c>
      <c r="W488" t="s">
        <v>29</v>
      </c>
      <c r="X488" t="str">
        <f>IF(Table2[[#This Row],[Qty available]]&gt;Table2[[#This Row],[Qty on hand]],"Check","OK")</f>
        <v>OK</v>
      </c>
    </row>
    <row r="489" spans="1:24" x14ac:dyDescent="0.3">
      <c r="A489" t="s">
        <v>101</v>
      </c>
      <c r="B489" t="s">
        <v>102</v>
      </c>
      <c r="C489" t="s">
        <v>57</v>
      </c>
      <c r="D489" t="s">
        <v>58</v>
      </c>
      <c r="E489" t="s">
        <v>27</v>
      </c>
      <c r="F489" s="1" t="s">
        <v>36</v>
      </c>
      <c r="G489" s="2">
        <v>86.24</v>
      </c>
      <c r="H489">
        <v>86.24</v>
      </c>
      <c r="I489">
        <v>85.157787999999996</v>
      </c>
      <c r="J489">
        <v>116.86</v>
      </c>
      <c r="K489">
        <v>21</v>
      </c>
      <c r="L489" s="2">
        <v>21</v>
      </c>
      <c r="M489">
        <v>65</v>
      </c>
      <c r="N489" s="2">
        <v>104</v>
      </c>
      <c r="O489">
        <v>8856.41</v>
      </c>
      <c r="P489">
        <v>10</v>
      </c>
      <c r="Q489">
        <v>94</v>
      </c>
      <c r="R489">
        <v>11.4</v>
      </c>
      <c r="S489">
        <v>1</v>
      </c>
      <c r="T489">
        <v>55</v>
      </c>
      <c r="U489" s="2">
        <v>6427.3</v>
      </c>
      <c r="V489">
        <v>0</v>
      </c>
      <c r="W489" t="s">
        <v>29</v>
      </c>
      <c r="X489" t="str">
        <f>IF(Table2[[#This Row],[Qty available]]&gt;Table2[[#This Row],[Qty on hand]],"Check","OK")</f>
        <v>OK</v>
      </c>
    </row>
    <row r="490" spans="1:24" x14ac:dyDescent="0.3">
      <c r="A490" t="s">
        <v>101</v>
      </c>
      <c r="B490" t="s">
        <v>102</v>
      </c>
      <c r="C490" t="s">
        <v>57</v>
      </c>
      <c r="D490" t="s">
        <v>58</v>
      </c>
      <c r="E490" t="s">
        <v>27</v>
      </c>
      <c r="F490" s="1" t="s">
        <v>37</v>
      </c>
      <c r="G490" s="2">
        <v>86.77</v>
      </c>
      <c r="H490">
        <v>86.77</v>
      </c>
      <c r="I490">
        <v>85.157777999999993</v>
      </c>
      <c r="J490">
        <v>116.86</v>
      </c>
      <c r="K490">
        <v>21</v>
      </c>
      <c r="M490">
        <v>0</v>
      </c>
      <c r="N490" s="2">
        <v>81</v>
      </c>
      <c r="O490">
        <v>6897.78</v>
      </c>
      <c r="P490">
        <v>8</v>
      </c>
      <c r="Q490">
        <v>73</v>
      </c>
      <c r="R490">
        <v>9.1</v>
      </c>
      <c r="S490">
        <v>2</v>
      </c>
      <c r="T490">
        <v>23</v>
      </c>
      <c r="U490" s="2">
        <v>2687.78</v>
      </c>
      <c r="V490">
        <v>0</v>
      </c>
      <c r="W490" t="s">
        <v>29</v>
      </c>
      <c r="X490" t="str">
        <f>IF(Table2[[#This Row],[Qty available]]&gt;Table2[[#This Row],[Qty on hand]],"Check","OK")</f>
        <v>OK</v>
      </c>
    </row>
    <row r="491" spans="1:24" x14ac:dyDescent="0.3">
      <c r="A491" t="s">
        <v>101</v>
      </c>
      <c r="B491" t="s">
        <v>102</v>
      </c>
      <c r="C491" t="s">
        <v>57</v>
      </c>
      <c r="D491" t="s">
        <v>58</v>
      </c>
      <c r="E491" t="s">
        <v>27</v>
      </c>
      <c r="F491" s="1" t="s">
        <v>38</v>
      </c>
      <c r="G491" s="2">
        <v>87.68</v>
      </c>
      <c r="H491">
        <v>87.68</v>
      </c>
      <c r="I491">
        <v>85.676980999999998</v>
      </c>
      <c r="J491">
        <v>116.86</v>
      </c>
      <c r="K491">
        <v>21</v>
      </c>
      <c r="L491" s="2">
        <v>19</v>
      </c>
      <c r="M491">
        <v>21</v>
      </c>
      <c r="N491" s="2">
        <v>53</v>
      </c>
      <c r="O491">
        <v>4540.88</v>
      </c>
      <c r="P491">
        <v>13</v>
      </c>
      <c r="Q491">
        <v>40</v>
      </c>
      <c r="R491">
        <v>5.43</v>
      </c>
      <c r="S491">
        <v>6</v>
      </c>
      <c r="T491">
        <v>49</v>
      </c>
      <c r="U491" s="2">
        <v>5726.14</v>
      </c>
      <c r="V491">
        <v>0</v>
      </c>
      <c r="W491" t="s">
        <v>29</v>
      </c>
      <c r="X491" t="str">
        <f>IF(Table2[[#This Row],[Qty available]]&gt;Table2[[#This Row],[Qty on hand]],"Check","OK")</f>
        <v>OK</v>
      </c>
    </row>
    <row r="492" spans="1:24" x14ac:dyDescent="0.3">
      <c r="A492" t="s">
        <v>101</v>
      </c>
      <c r="B492" t="s">
        <v>102</v>
      </c>
      <c r="C492" t="s">
        <v>57</v>
      </c>
      <c r="D492" t="s">
        <v>58</v>
      </c>
      <c r="E492" t="s">
        <v>27</v>
      </c>
      <c r="F492" s="1" t="s">
        <v>39</v>
      </c>
      <c r="G492" s="2">
        <v>86.43</v>
      </c>
      <c r="H492">
        <v>86.43</v>
      </c>
      <c r="I492">
        <v>86.118200000000002</v>
      </c>
      <c r="J492">
        <v>116.86</v>
      </c>
      <c r="K492">
        <v>21</v>
      </c>
      <c r="L492" s="2">
        <v>19</v>
      </c>
      <c r="M492">
        <v>75</v>
      </c>
      <c r="N492" s="2">
        <v>100</v>
      </c>
      <c r="O492">
        <v>8611.82</v>
      </c>
      <c r="P492">
        <v>7</v>
      </c>
      <c r="Q492">
        <v>93</v>
      </c>
      <c r="R492">
        <v>13.14</v>
      </c>
      <c r="S492">
        <v>8</v>
      </c>
      <c r="T492">
        <v>28</v>
      </c>
      <c r="U492" s="2">
        <v>3272.08</v>
      </c>
      <c r="V492">
        <v>0</v>
      </c>
      <c r="W492" t="s">
        <v>29</v>
      </c>
      <c r="X492" t="str">
        <f>IF(Table2[[#This Row],[Qty available]]&gt;Table2[[#This Row],[Qty on hand]],"Check","OK")</f>
        <v>OK</v>
      </c>
    </row>
    <row r="493" spans="1:24" x14ac:dyDescent="0.3">
      <c r="A493" t="s">
        <v>101</v>
      </c>
      <c r="B493" t="s">
        <v>102</v>
      </c>
      <c r="C493" t="s">
        <v>57</v>
      </c>
      <c r="D493" t="s">
        <v>58</v>
      </c>
      <c r="E493" t="s">
        <v>27</v>
      </c>
      <c r="F493" s="1" t="s">
        <v>40</v>
      </c>
      <c r="G493" s="2">
        <v>84.56</v>
      </c>
      <c r="H493">
        <v>84.56</v>
      </c>
      <c r="I493">
        <v>85.816666999999995</v>
      </c>
      <c r="J493">
        <v>116.86</v>
      </c>
      <c r="K493">
        <v>21</v>
      </c>
      <c r="L493" s="2">
        <v>19</v>
      </c>
      <c r="M493">
        <v>24</v>
      </c>
      <c r="N493" s="2">
        <v>81</v>
      </c>
      <c r="O493">
        <v>6951.15</v>
      </c>
      <c r="P493">
        <v>10</v>
      </c>
      <c r="Q493">
        <v>71</v>
      </c>
      <c r="R493">
        <v>8.8699999999999992</v>
      </c>
      <c r="S493">
        <v>4</v>
      </c>
      <c r="T493">
        <v>43</v>
      </c>
      <c r="U493" s="2">
        <v>5024.9799999999996</v>
      </c>
      <c r="V493">
        <v>0</v>
      </c>
      <c r="W493" t="s">
        <v>29</v>
      </c>
      <c r="X493" t="str">
        <f>IF(Table2[[#This Row],[Qty available]]&gt;Table2[[#This Row],[Qty on hand]],"Check","OK")</f>
        <v>OK</v>
      </c>
    </row>
    <row r="494" spans="1:24" x14ac:dyDescent="0.3">
      <c r="A494" t="s">
        <v>101</v>
      </c>
      <c r="B494" t="s">
        <v>102</v>
      </c>
      <c r="C494" t="s">
        <v>57</v>
      </c>
      <c r="D494" t="s">
        <v>58</v>
      </c>
      <c r="E494" t="s">
        <v>27</v>
      </c>
      <c r="F494" s="1" t="s">
        <v>41</v>
      </c>
      <c r="G494" s="2">
        <v>87.4</v>
      </c>
      <c r="H494">
        <v>87.4</v>
      </c>
      <c r="I494">
        <v>86.456999999999994</v>
      </c>
      <c r="J494">
        <v>116.86</v>
      </c>
      <c r="K494">
        <v>21</v>
      </c>
      <c r="L494" s="2">
        <v>19</v>
      </c>
      <c r="M494">
        <v>55</v>
      </c>
      <c r="N494" s="2">
        <v>80</v>
      </c>
      <c r="O494">
        <v>6916.56</v>
      </c>
      <c r="P494">
        <v>8</v>
      </c>
      <c r="Q494">
        <v>72</v>
      </c>
      <c r="R494">
        <v>8.2799999999999994</v>
      </c>
      <c r="S494">
        <v>0</v>
      </c>
      <c r="T494">
        <v>56</v>
      </c>
      <c r="U494" s="2">
        <v>6544.16</v>
      </c>
      <c r="V494">
        <v>0</v>
      </c>
      <c r="W494" t="s">
        <v>29</v>
      </c>
      <c r="X494" t="str">
        <f>IF(Table2[[#This Row],[Qty available]]&gt;Table2[[#This Row],[Qty on hand]],"Check","OK")</f>
        <v>OK</v>
      </c>
    </row>
    <row r="495" spans="1:24" x14ac:dyDescent="0.3">
      <c r="A495" t="s">
        <v>101</v>
      </c>
      <c r="B495" t="s">
        <v>102</v>
      </c>
      <c r="C495" t="s">
        <v>57</v>
      </c>
      <c r="D495" t="s">
        <v>58</v>
      </c>
      <c r="E495" t="s">
        <v>27</v>
      </c>
      <c r="F495" s="1" t="s">
        <v>42</v>
      </c>
      <c r="G495" s="2">
        <v>87.01</v>
      </c>
      <c r="H495">
        <v>87.01</v>
      </c>
      <c r="I495">
        <v>86.745080999999999</v>
      </c>
      <c r="J495">
        <v>116.86</v>
      </c>
      <c r="K495">
        <v>21</v>
      </c>
      <c r="L495" s="2">
        <v>24</v>
      </c>
      <c r="M495">
        <v>87</v>
      </c>
      <c r="N495" s="2">
        <v>124</v>
      </c>
      <c r="O495">
        <v>10756.39</v>
      </c>
      <c r="P495">
        <v>13</v>
      </c>
      <c r="Q495">
        <v>111</v>
      </c>
      <c r="R495">
        <v>11.48</v>
      </c>
      <c r="S495">
        <v>2</v>
      </c>
      <c r="T495">
        <v>43</v>
      </c>
      <c r="U495" s="2">
        <v>5024.9799999999996</v>
      </c>
      <c r="V495">
        <v>0</v>
      </c>
      <c r="W495" t="s">
        <v>29</v>
      </c>
      <c r="X495" t="str">
        <f>IF(Table2[[#This Row],[Qty available]]&gt;Table2[[#This Row],[Qty on hand]],"Check","OK")</f>
        <v>OK</v>
      </c>
    </row>
    <row r="496" spans="1:24" x14ac:dyDescent="0.3">
      <c r="A496" t="s">
        <v>101</v>
      </c>
      <c r="B496" t="s">
        <v>102</v>
      </c>
      <c r="C496" t="s">
        <v>57</v>
      </c>
      <c r="D496" t="s">
        <v>58</v>
      </c>
      <c r="E496" t="s">
        <v>27</v>
      </c>
      <c r="F496" s="1" t="s">
        <v>43</v>
      </c>
      <c r="G496" s="2">
        <v>86.67</v>
      </c>
      <c r="H496">
        <v>86.67</v>
      </c>
      <c r="I496">
        <v>86.745087999999996</v>
      </c>
      <c r="J496">
        <v>116.86</v>
      </c>
      <c r="K496">
        <v>21</v>
      </c>
      <c r="M496">
        <v>0</v>
      </c>
      <c r="N496" s="2">
        <v>114</v>
      </c>
      <c r="O496">
        <v>9888.94</v>
      </c>
      <c r="P496">
        <v>9</v>
      </c>
      <c r="Q496">
        <v>105</v>
      </c>
      <c r="R496">
        <v>13.6</v>
      </c>
      <c r="S496">
        <v>3</v>
      </c>
      <c r="T496">
        <v>10</v>
      </c>
      <c r="U496" s="2">
        <v>1168.5999999999999</v>
      </c>
      <c r="V496">
        <v>0</v>
      </c>
      <c r="W496" t="s">
        <v>29</v>
      </c>
      <c r="X496" t="str">
        <f>IF(Table2[[#This Row],[Qty available]]&gt;Table2[[#This Row],[Qty on hand]],"Check","OK")</f>
        <v>OK</v>
      </c>
    </row>
    <row r="497" spans="1:24" x14ac:dyDescent="0.3">
      <c r="A497" t="s">
        <v>101</v>
      </c>
      <c r="B497" t="s">
        <v>102</v>
      </c>
      <c r="C497" t="s">
        <v>57</v>
      </c>
      <c r="D497" t="s">
        <v>58</v>
      </c>
      <c r="E497" t="s">
        <v>27</v>
      </c>
      <c r="F497" s="1" t="s">
        <v>44</v>
      </c>
      <c r="G497" s="2">
        <v>85.27</v>
      </c>
      <c r="H497">
        <v>85.27</v>
      </c>
      <c r="I497">
        <v>86.462660999999997</v>
      </c>
      <c r="J497">
        <v>116.86</v>
      </c>
      <c r="K497">
        <v>21</v>
      </c>
      <c r="L497" s="2">
        <v>29</v>
      </c>
      <c r="M497">
        <v>27</v>
      </c>
      <c r="N497" s="2">
        <v>109</v>
      </c>
      <c r="O497">
        <v>9424.43</v>
      </c>
      <c r="P497">
        <v>4</v>
      </c>
      <c r="Q497">
        <v>105</v>
      </c>
      <c r="R497">
        <v>16.850000000000001</v>
      </c>
      <c r="S497">
        <v>7</v>
      </c>
      <c r="T497">
        <v>32</v>
      </c>
      <c r="U497" s="2">
        <v>3739.52</v>
      </c>
      <c r="V497">
        <v>0</v>
      </c>
      <c r="W497" t="s">
        <v>29</v>
      </c>
      <c r="X497" t="str">
        <f>IF(Table2[[#This Row],[Qty available]]&gt;Table2[[#This Row],[Qty on hand]],"Check","OK")</f>
        <v>OK</v>
      </c>
    </row>
    <row r="498" spans="1:24" x14ac:dyDescent="0.3">
      <c r="A498" t="s">
        <v>101</v>
      </c>
      <c r="B498" t="s">
        <v>102</v>
      </c>
      <c r="C498" t="s">
        <v>57</v>
      </c>
      <c r="D498" t="s">
        <v>58</v>
      </c>
      <c r="E498" t="s">
        <v>27</v>
      </c>
      <c r="F498" s="1" t="s">
        <v>45</v>
      </c>
      <c r="G498" s="2">
        <v>89.98</v>
      </c>
      <c r="H498">
        <v>89.98</v>
      </c>
      <c r="I498">
        <v>86.462609</v>
      </c>
      <c r="J498">
        <v>116.86</v>
      </c>
      <c r="K498">
        <v>21</v>
      </c>
      <c r="M498">
        <v>0</v>
      </c>
      <c r="N498" s="2">
        <v>69</v>
      </c>
      <c r="O498">
        <v>5965.92</v>
      </c>
      <c r="P498">
        <v>10</v>
      </c>
      <c r="Q498">
        <v>59</v>
      </c>
      <c r="R498">
        <v>11.06</v>
      </c>
      <c r="S498">
        <v>2</v>
      </c>
      <c r="T498">
        <v>40</v>
      </c>
      <c r="U498" s="2">
        <v>4674.3999999999996</v>
      </c>
      <c r="V498">
        <v>0</v>
      </c>
      <c r="W498" t="s">
        <v>29</v>
      </c>
      <c r="X498" t="str">
        <f>IF(Table2[[#This Row],[Qty available]]&gt;Table2[[#This Row],[Qty on hand]],"Check","OK")</f>
        <v>OK</v>
      </c>
    </row>
    <row r="499" spans="1:24" x14ac:dyDescent="0.3">
      <c r="A499" t="s">
        <v>101</v>
      </c>
      <c r="B499" t="s">
        <v>102</v>
      </c>
      <c r="C499" t="s">
        <v>57</v>
      </c>
      <c r="D499" t="s">
        <v>58</v>
      </c>
      <c r="E499" t="s">
        <v>27</v>
      </c>
      <c r="F499" s="1" t="s">
        <v>46</v>
      </c>
      <c r="G499" s="2">
        <v>87.79</v>
      </c>
      <c r="H499">
        <v>87.79</v>
      </c>
      <c r="I499">
        <v>87.175326999999996</v>
      </c>
      <c r="J499">
        <v>120.67</v>
      </c>
      <c r="K499">
        <v>21</v>
      </c>
      <c r="L499" s="2">
        <v>34</v>
      </c>
      <c r="M499">
        <v>80</v>
      </c>
      <c r="N499" s="2">
        <v>107</v>
      </c>
      <c r="O499">
        <v>9327.76</v>
      </c>
      <c r="P499">
        <v>12</v>
      </c>
      <c r="Q499">
        <v>95</v>
      </c>
      <c r="R499">
        <v>12.07</v>
      </c>
      <c r="S499">
        <v>2</v>
      </c>
      <c r="T499">
        <v>42</v>
      </c>
      <c r="U499" s="2">
        <v>5068.1400000000003</v>
      </c>
      <c r="V499">
        <v>0</v>
      </c>
      <c r="W499" t="s">
        <v>29</v>
      </c>
      <c r="X499" t="str">
        <f>IF(Table2[[#This Row],[Qty available]]&gt;Table2[[#This Row],[Qty on hand]],"Check","OK")</f>
        <v>OK</v>
      </c>
    </row>
    <row r="500" spans="1:24" x14ac:dyDescent="0.3">
      <c r="A500" t="s">
        <v>101</v>
      </c>
      <c r="B500" t="s">
        <v>102</v>
      </c>
      <c r="C500" t="s">
        <v>57</v>
      </c>
      <c r="D500" t="s">
        <v>58</v>
      </c>
      <c r="E500" t="s">
        <v>27</v>
      </c>
      <c r="F500" s="1" t="s">
        <v>47</v>
      </c>
      <c r="G500" s="2">
        <v>90.92</v>
      </c>
      <c r="H500">
        <v>90.92</v>
      </c>
      <c r="I500">
        <v>88.590467000000004</v>
      </c>
      <c r="J500">
        <v>120.67</v>
      </c>
      <c r="K500">
        <v>21</v>
      </c>
      <c r="L500" s="2">
        <v>20</v>
      </c>
      <c r="M500">
        <v>65</v>
      </c>
      <c r="N500" s="2">
        <v>107</v>
      </c>
      <c r="O500">
        <v>9479.18</v>
      </c>
      <c r="P500">
        <v>7</v>
      </c>
      <c r="Q500">
        <v>100</v>
      </c>
      <c r="R500">
        <v>9.36</v>
      </c>
      <c r="S500">
        <v>5</v>
      </c>
      <c r="T500">
        <v>65</v>
      </c>
      <c r="U500" s="2">
        <v>7843.55</v>
      </c>
      <c r="V500">
        <v>0</v>
      </c>
      <c r="W500" t="s">
        <v>29</v>
      </c>
      <c r="X500" t="str">
        <f>IF(Table2[[#This Row],[Qty available]]&gt;Table2[[#This Row],[Qty on hand]],"Check","OK")</f>
        <v>OK</v>
      </c>
    </row>
    <row r="501" spans="1:24" x14ac:dyDescent="0.3">
      <c r="A501" t="s">
        <v>101</v>
      </c>
      <c r="B501" t="s">
        <v>102</v>
      </c>
      <c r="C501" t="s">
        <v>57</v>
      </c>
      <c r="D501" t="s">
        <v>58</v>
      </c>
      <c r="E501" t="s">
        <v>27</v>
      </c>
      <c r="F501" s="1" t="s">
        <v>48</v>
      </c>
      <c r="G501" s="2">
        <v>89.51</v>
      </c>
      <c r="H501">
        <v>89.51</v>
      </c>
      <c r="I501">
        <v>88.590405000000004</v>
      </c>
      <c r="J501">
        <v>120.67</v>
      </c>
      <c r="K501">
        <v>21</v>
      </c>
      <c r="M501">
        <v>0</v>
      </c>
      <c r="N501" s="2">
        <v>74</v>
      </c>
      <c r="O501">
        <v>6555.69</v>
      </c>
      <c r="P501">
        <v>4</v>
      </c>
      <c r="Q501">
        <v>70</v>
      </c>
      <c r="R501">
        <v>6.72</v>
      </c>
      <c r="S501">
        <v>8</v>
      </c>
      <c r="T501">
        <v>33</v>
      </c>
      <c r="U501" s="2">
        <v>3982.11</v>
      </c>
      <c r="V501">
        <v>0</v>
      </c>
      <c r="W501" t="s">
        <v>29</v>
      </c>
      <c r="X501" t="str">
        <f>IF(Table2[[#This Row],[Qty available]]&gt;Table2[[#This Row],[Qty on hand]],"Check","OK")</f>
        <v>OK</v>
      </c>
    </row>
    <row r="502" spans="1:24" x14ac:dyDescent="0.3">
      <c r="A502" t="s">
        <v>101</v>
      </c>
      <c r="B502" t="s">
        <v>102</v>
      </c>
      <c r="C502" t="s">
        <v>57</v>
      </c>
      <c r="D502" t="s">
        <v>58</v>
      </c>
      <c r="E502" t="s">
        <v>27</v>
      </c>
      <c r="F502" s="1" t="s">
        <v>49</v>
      </c>
      <c r="G502" s="2">
        <v>88.88</v>
      </c>
      <c r="H502">
        <v>88.88</v>
      </c>
      <c r="I502">
        <v>88.692059</v>
      </c>
      <c r="J502">
        <v>120.67</v>
      </c>
      <c r="K502">
        <v>21</v>
      </c>
      <c r="L502" s="2">
        <v>19</v>
      </c>
      <c r="M502">
        <v>40</v>
      </c>
      <c r="N502" s="2">
        <v>102</v>
      </c>
      <c r="O502">
        <v>9046.59</v>
      </c>
      <c r="P502">
        <v>10</v>
      </c>
      <c r="Q502">
        <v>92</v>
      </c>
      <c r="R502">
        <v>12.19</v>
      </c>
      <c r="S502">
        <v>24</v>
      </c>
      <c r="T502">
        <v>12</v>
      </c>
      <c r="U502" s="2">
        <v>1448.04</v>
      </c>
      <c r="V502">
        <v>0</v>
      </c>
      <c r="W502" t="s">
        <v>29</v>
      </c>
      <c r="X502" t="str">
        <f>IF(Table2[[#This Row],[Qty available]]&gt;Table2[[#This Row],[Qty on hand]],"Check","OK")</f>
        <v>OK</v>
      </c>
    </row>
    <row r="503" spans="1:24" x14ac:dyDescent="0.3">
      <c r="A503" t="s">
        <v>101</v>
      </c>
      <c r="B503" t="s">
        <v>102</v>
      </c>
      <c r="C503" t="s">
        <v>57</v>
      </c>
      <c r="D503" t="s">
        <v>58</v>
      </c>
      <c r="E503" t="s">
        <v>27</v>
      </c>
      <c r="F503" s="1" t="s">
        <v>50</v>
      </c>
      <c r="G503" s="2">
        <v>89.4</v>
      </c>
      <c r="H503">
        <v>89.4</v>
      </c>
      <c r="I503">
        <v>88.848787999999999</v>
      </c>
      <c r="J503">
        <v>120.67</v>
      </c>
      <c r="K503">
        <v>21</v>
      </c>
      <c r="L503" s="2">
        <v>27</v>
      </c>
      <c r="M503">
        <v>29</v>
      </c>
      <c r="N503" s="2">
        <v>99</v>
      </c>
      <c r="O503">
        <v>8796.0300000000007</v>
      </c>
      <c r="P503">
        <v>5</v>
      </c>
      <c r="Q503">
        <v>94</v>
      </c>
      <c r="R503">
        <v>16.71</v>
      </c>
      <c r="S503">
        <v>0</v>
      </c>
      <c r="T503">
        <v>32</v>
      </c>
      <c r="U503" s="2">
        <v>3861.44</v>
      </c>
      <c r="V503">
        <v>0</v>
      </c>
      <c r="W503" t="s">
        <v>29</v>
      </c>
      <c r="X503" t="str">
        <f>IF(Table2[[#This Row],[Qty available]]&gt;Table2[[#This Row],[Qty on hand]],"Check","OK")</f>
        <v>OK</v>
      </c>
    </row>
    <row r="504" spans="1:24" x14ac:dyDescent="0.3">
      <c r="A504" t="s">
        <v>101</v>
      </c>
      <c r="B504" t="s">
        <v>102</v>
      </c>
      <c r="C504" t="s">
        <v>57</v>
      </c>
      <c r="D504" t="s">
        <v>58</v>
      </c>
      <c r="E504" t="s">
        <v>27</v>
      </c>
      <c r="F504" s="1" t="s">
        <v>51</v>
      </c>
      <c r="G504" s="2">
        <v>89.82</v>
      </c>
      <c r="H504">
        <v>89.82</v>
      </c>
      <c r="I504">
        <v>89.012045000000001</v>
      </c>
      <c r="J504">
        <v>120.67</v>
      </c>
      <c r="K504">
        <v>21</v>
      </c>
      <c r="L504" s="2">
        <v>19</v>
      </c>
      <c r="M504">
        <v>20</v>
      </c>
      <c r="N504" s="2">
        <v>44</v>
      </c>
      <c r="O504">
        <v>3916.53</v>
      </c>
      <c r="P504">
        <v>4</v>
      </c>
      <c r="Q504">
        <v>40</v>
      </c>
      <c r="R504">
        <v>4.8600000000000003</v>
      </c>
      <c r="S504">
        <v>3</v>
      </c>
      <c r="T504">
        <v>75</v>
      </c>
      <c r="U504" s="2">
        <v>9050.25</v>
      </c>
      <c r="V504">
        <v>0</v>
      </c>
      <c r="W504" t="s">
        <v>29</v>
      </c>
      <c r="X504" t="str">
        <f>IF(Table2[[#This Row],[Qty available]]&gt;Table2[[#This Row],[Qty on hand]],"Check","OK")</f>
        <v>OK</v>
      </c>
    </row>
    <row r="505" spans="1:24" x14ac:dyDescent="0.3">
      <c r="A505" t="s">
        <v>101</v>
      </c>
      <c r="B505" t="s">
        <v>102</v>
      </c>
      <c r="C505" t="s">
        <v>57</v>
      </c>
      <c r="D505" t="s">
        <v>58</v>
      </c>
      <c r="E505" t="s">
        <v>27</v>
      </c>
      <c r="F505" s="1" t="s">
        <v>52</v>
      </c>
      <c r="G505" s="2">
        <v>89.76</v>
      </c>
      <c r="H505">
        <v>89.76</v>
      </c>
      <c r="I505">
        <v>89.584969999999998</v>
      </c>
      <c r="J505">
        <v>120.67</v>
      </c>
      <c r="K505">
        <v>21</v>
      </c>
      <c r="L505" s="2">
        <v>25</v>
      </c>
      <c r="M505">
        <v>144</v>
      </c>
      <c r="N505" s="2">
        <v>167</v>
      </c>
      <c r="O505">
        <v>14960.69</v>
      </c>
      <c r="P505">
        <v>5</v>
      </c>
      <c r="Q505">
        <v>162</v>
      </c>
      <c r="R505">
        <v>17.149999999999999</v>
      </c>
      <c r="S505">
        <v>7</v>
      </c>
      <c r="T505">
        <v>21</v>
      </c>
      <c r="U505" s="2">
        <v>2534.0700000000002</v>
      </c>
      <c r="V505">
        <v>0</v>
      </c>
      <c r="W505" t="s">
        <v>29</v>
      </c>
      <c r="X505" t="str">
        <f>IF(Table2[[#This Row],[Qty available]]&gt;Table2[[#This Row],[Qty on hand]],"Check","OK")</f>
        <v>OK</v>
      </c>
    </row>
    <row r="506" spans="1:24" x14ac:dyDescent="0.3">
      <c r="A506" t="s">
        <v>103</v>
      </c>
      <c r="B506" t="s">
        <v>104</v>
      </c>
      <c r="C506" t="s">
        <v>69</v>
      </c>
      <c r="D506" t="s">
        <v>70</v>
      </c>
      <c r="E506" t="s">
        <v>66</v>
      </c>
      <c r="F506" s="1" t="s">
        <v>28</v>
      </c>
      <c r="G506" s="2">
        <v>33.31</v>
      </c>
      <c r="H506">
        <v>33.31</v>
      </c>
      <c r="I506">
        <v>33.124737000000003</v>
      </c>
      <c r="J506">
        <v>47.59</v>
      </c>
      <c r="K506">
        <v>14</v>
      </c>
      <c r="L506" s="2">
        <v>14</v>
      </c>
      <c r="M506">
        <v>25</v>
      </c>
      <c r="N506" s="2">
        <v>19</v>
      </c>
      <c r="O506">
        <v>629.37</v>
      </c>
      <c r="P506">
        <v>6</v>
      </c>
      <c r="Q506">
        <v>13</v>
      </c>
      <c r="R506">
        <v>3.24</v>
      </c>
      <c r="S506">
        <v>3</v>
      </c>
      <c r="T506">
        <v>30</v>
      </c>
      <c r="U506" s="2">
        <v>1427.7</v>
      </c>
      <c r="V506">
        <v>0</v>
      </c>
      <c r="W506" t="s">
        <v>29</v>
      </c>
      <c r="X506" t="str">
        <f>IF(Table2[[#This Row],[Qty available]]&gt;Table2[[#This Row],[Qty on hand]],"Check","OK")</f>
        <v>OK</v>
      </c>
    </row>
    <row r="507" spans="1:24" x14ac:dyDescent="0.3">
      <c r="A507" t="s">
        <v>103</v>
      </c>
      <c r="B507" t="s">
        <v>104</v>
      </c>
      <c r="C507" t="s">
        <v>69</v>
      </c>
      <c r="D507" t="s">
        <v>70</v>
      </c>
      <c r="E507" t="s">
        <v>66</v>
      </c>
      <c r="F507" s="1" t="s">
        <v>30</v>
      </c>
      <c r="G507" s="2">
        <v>32.82</v>
      </c>
      <c r="H507">
        <v>32.82</v>
      </c>
      <c r="I507">
        <v>32.901600000000002</v>
      </c>
      <c r="J507">
        <v>47.59</v>
      </c>
      <c r="K507">
        <v>14</v>
      </c>
      <c r="L507" s="2">
        <v>13</v>
      </c>
      <c r="M507">
        <v>52</v>
      </c>
      <c r="N507" s="2">
        <v>50</v>
      </c>
      <c r="O507">
        <v>1645.08</v>
      </c>
      <c r="P507">
        <v>4</v>
      </c>
      <c r="Q507">
        <v>46</v>
      </c>
      <c r="R507">
        <v>8.5299999999999994</v>
      </c>
      <c r="S507">
        <v>2</v>
      </c>
      <c r="T507">
        <v>21</v>
      </c>
      <c r="U507" s="2">
        <v>999.39</v>
      </c>
      <c r="V507">
        <v>0</v>
      </c>
      <c r="W507" t="s">
        <v>29</v>
      </c>
      <c r="X507" t="str">
        <f>IF(Table2[[#This Row],[Qty available]]&gt;Table2[[#This Row],[Qty on hand]],"Check","OK")</f>
        <v>OK</v>
      </c>
    </row>
    <row r="508" spans="1:24" x14ac:dyDescent="0.3">
      <c r="A508" t="s">
        <v>103</v>
      </c>
      <c r="B508" t="s">
        <v>104</v>
      </c>
      <c r="C508" t="s">
        <v>69</v>
      </c>
      <c r="D508" t="s">
        <v>70</v>
      </c>
      <c r="E508" t="s">
        <v>66</v>
      </c>
      <c r="F508" s="1" t="s">
        <v>31</v>
      </c>
      <c r="G508" s="2">
        <v>32.42</v>
      </c>
      <c r="H508">
        <v>32.42</v>
      </c>
      <c r="I508">
        <v>32.763939000000001</v>
      </c>
      <c r="J508">
        <v>47.59</v>
      </c>
      <c r="K508">
        <v>14</v>
      </c>
      <c r="L508" s="2">
        <v>13</v>
      </c>
      <c r="M508">
        <v>20</v>
      </c>
      <c r="N508" s="2">
        <v>66</v>
      </c>
      <c r="O508">
        <v>2162.42</v>
      </c>
      <c r="P508">
        <v>6</v>
      </c>
      <c r="Q508">
        <v>60</v>
      </c>
      <c r="R508">
        <v>15.6</v>
      </c>
      <c r="S508">
        <v>2</v>
      </c>
      <c r="T508">
        <v>4</v>
      </c>
      <c r="U508" s="2">
        <v>190.36</v>
      </c>
      <c r="V508">
        <v>0</v>
      </c>
      <c r="W508" t="s">
        <v>29</v>
      </c>
      <c r="X508" t="str">
        <f>IF(Table2[[#This Row],[Qty available]]&gt;Table2[[#This Row],[Qty on hand]],"Check","OK")</f>
        <v>OK</v>
      </c>
    </row>
    <row r="509" spans="1:24" x14ac:dyDescent="0.3">
      <c r="A509" t="s">
        <v>103</v>
      </c>
      <c r="B509" t="s">
        <v>104</v>
      </c>
      <c r="C509" t="s">
        <v>69</v>
      </c>
      <c r="D509" t="s">
        <v>70</v>
      </c>
      <c r="E509" t="s">
        <v>66</v>
      </c>
      <c r="F509" s="1" t="s">
        <v>32</v>
      </c>
      <c r="G509" s="2">
        <v>32.96</v>
      </c>
      <c r="H509">
        <v>32.96</v>
      </c>
      <c r="I509">
        <v>32.764091000000001</v>
      </c>
      <c r="J509">
        <v>47.59</v>
      </c>
      <c r="K509">
        <v>14</v>
      </c>
      <c r="M509">
        <v>0</v>
      </c>
      <c r="N509" s="2">
        <v>22</v>
      </c>
      <c r="O509">
        <v>720.81</v>
      </c>
      <c r="P509">
        <v>6</v>
      </c>
      <c r="Q509">
        <v>16</v>
      </c>
      <c r="R509">
        <v>4.1900000000000004</v>
      </c>
      <c r="S509">
        <v>2</v>
      </c>
      <c r="T509">
        <v>44</v>
      </c>
      <c r="U509" s="2">
        <v>2093.96</v>
      </c>
      <c r="V509">
        <v>0</v>
      </c>
      <c r="W509" t="s">
        <v>29</v>
      </c>
      <c r="X509" t="str">
        <f>IF(Table2[[#This Row],[Qty available]]&gt;Table2[[#This Row],[Qty on hand]],"Check","OK")</f>
        <v>OK</v>
      </c>
    </row>
    <row r="510" spans="1:24" x14ac:dyDescent="0.3">
      <c r="A510" t="s">
        <v>103</v>
      </c>
      <c r="B510" t="s">
        <v>104</v>
      </c>
      <c r="C510" t="s">
        <v>69</v>
      </c>
      <c r="D510" t="s">
        <v>70</v>
      </c>
      <c r="E510" t="s">
        <v>66</v>
      </c>
      <c r="F510" s="1" t="s">
        <v>33</v>
      </c>
      <c r="G510" s="2">
        <v>34.22</v>
      </c>
      <c r="H510">
        <v>34.22</v>
      </c>
      <c r="I510">
        <v>33.809375000000003</v>
      </c>
      <c r="J510">
        <v>47.59</v>
      </c>
      <c r="K510">
        <v>14</v>
      </c>
      <c r="L510" s="2">
        <v>13</v>
      </c>
      <c r="M510">
        <v>56</v>
      </c>
      <c r="N510" s="2">
        <v>48</v>
      </c>
      <c r="O510">
        <v>1622.85</v>
      </c>
      <c r="P510">
        <v>3</v>
      </c>
      <c r="Q510">
        <v>45</v>
      </c>
      <c r="R510">
        <v>8.09</v>
      </c>
      <c r="S510">
        <v>4</v>
      </c>
      <c r="T510">
        <v>30</v>
      </c>
      <c r="U510" s="2">
        <v>1427.7</v>
      </c>
      <c r="V510">
        <v>0</v>
      </c>
      <c r="W510" t="s">
        <v>29</v>
      </c>
      <c r="X510" t="str">
        <f>IF(Table2[[#This Row],[Qty available]]&gt;Table2[[#This Row],[Qty on hand]],"Check","OK")</f>
        <v>OK</v>
      </c>
    </row>
    <row r="511" spans="1:24" x14ac:dyDescent="0.3">
      <c r="A511" t="s">
        <v>103</v>
      </c>
      <c r="B511" t="s">
        <v>104</v>
      </c>
      <c r="C511" t="s">
        <v>69</v>
      </c>
      <c r="D511" t="s">
        <v>70</v>
      </c>
      <c r="E511" t="s">
        <v>66</v>
      </c>
      <c r="F511" s="1" t="s">
        <v>34</v>
      </c>
      <c r="G511" s="2">
        <v>33.71</v>
      </c>
      <c r="H511">
        <v>33.71</v>
      </c>
      <c r="I511">
        <v>33.78</v>
      </c>
      <c r="J511">
        <v>49.9</v>
      </c>
      <c r="K511">
        <v>14</v>
      </c>
      <c r="L511" s="2">
        <v>14</v>
      </c>
      <c r="M511">
        <v>20</v>
      </c>
      <c r="N511" s="2">
        <v>27</v>
      </c>
      <c r="O511">
        <v>912.06</v>
      </c>
      <c r="P511">
        <v>7</v>
      </c>
      <c r="Q511">
        <v>20</v>
      </c>
      <c r="R511">
        <v>3.02</v>
      </c>
      <c r="S511">
        <v>5</v>
      </c>
      <c r="T511">
        <v>41</v>
      </c>
      <c r="U511" s="2">
        <v>2045.9</v>
      </c>
      <c r="V511">
        <v>0</v>
      </c>
      <c r="W511" t="s">
        <v>29</v>
      </c>
      <c r="X511" t="str">
        <f>IF(Table2[[#This Row],[Qty available]]&gt;Table2[[#This Row],[Qty on hand]],"Check","OK")</f>
        <v>OK</v>
      </c>
    </row>
    <row r="512" spans="1:24" x14ac:dyDescent="0.3">
      <c r="A512" t="s">
        <v>103</v>
      </c>
      <c r="B512" t="s">
        <v>104</v>
      </c>
      <c r="C512" t="s">
        <v>69</v>
      </c>
      <c r="D512" t="s">
        <v>70</v>
      </c>
      <c r="E512" t="s">
        <v>66</v>
      </c>
      <c r="F512" s="1" t="s">
        <v>35</v>
      </c>
      <c r="G512" s="2">
        <v>34.1</v>
      </c>
      <c r="H512">
        <v>34.1</v>
      </c>
      <c r="I512">
        <v>33.979999999999997</v>
      </c>
      <c r="J512">
        <v>49.9</v>
      </c>
      <c r="K512">
        <v>14</v>
      </c>
      <c r="L512" s="2">
        <v>23</v>
      </c>
      <c r="M512">
        <v>45</v>
      </c>
      <c r="N512" s="2">
        <v>45</v>
      </c>
      <c r="O512">
        <v>1529.1</v>
      </c>
      <c r="P512">
        <v>3</v>
      </c>
      <c r="Q512">
        <v>42</v>
      </c>
      <c r="R512">
        <v>5.9</v>
      </c>
      <c r="S512">
        <v>8</v>
      </c>
      <c r="T512">
        <v>27</v>
      </c>
      <c r="U512" s="2">
        <v>1347.3</v>
      </c>
      <c r="V512">
        <v>0</v>
      </c>
      <c r="W512" t="s">
        <v>29</v>
      </c>
      <c r="X512" t="str">
        <f>IF(Table2[[#This Row],[Qty available]]&gt;Table2[[#This Row],[Qty on hand]],"Check","OK")</f>
        <v>OK</v>
      </c>
    </row>
    <row r="513" spans="1:24" x14ac:dyDescent="0.3">
      <c r="A513" t="s">
        <v>103</v>
      </c>
      <c r="B513" t="s">
        <v>104</v>
      </c>
      <c r="C513" t="s">
        <v>69</v>
      </c>
      <c r="D513" t="s">
        <v>70</v>
      </c>
      <c r="E513" t="s">
        <v>66</v>
      </c>
      <c r="F513" s="1" t="s">
        <v>36</v>
      </c>
      <c r="G513" s="2">
        <v>34.130000000000003</v>
      </c>
      <c r="H513">
        <v>34.130000000000003</v>
      </c>
      <c r="I513">
        <v>34.026046999999998</v>
      </c>
      <c r="J513">
        <v>49.9</v>
      </c>
      <c r="K513">
        <v>14</v>
      </c>
      <c r="L513" s="2">
        <v>14</v>
      </c>
      <c r="M513">
        <v>20</v>
      </c>
      <c r="N513" s="2">
        <v>43</v>
      </c>
      <c r="O513">
        <v>1463.12</v>
      </c>
      <c r="P513">
        <v>8</v>
      </c>
      <c r="Q513">
        <v>35</v>
      </c>
      <c r="R513">
        <v>6.07</v>
      </c>
      <c r="S513">
        <v>2</v>
      </c>
      <c r="T513">
        <v>22</v>
      </c>
      <c r="U513" s="2">
        <v>1097.8</v>
      </c>
      <c r="V513">
        <v>0</v>
      </c>
      <c r="W513" t="s">
        <v>29</v>
      </c>
      <c r="X513" t="str">
        <f>IF(Table2[[#This Row],[Qty available]]&gt;Table2[[#This Row],[Qty on hand]],"Check","OK")</f>
        <v>OK</v>
      </c>
    </row>
    <row r="514" spans="1:24" x14ac:dyDescent="0.3">
      <c r="A514" t="s">
        <v>103</v>
      </c>
      <c r="B514" t="s">
        <v>104</v>
      </c>
      <c r="C514" t="s">
        <v>69</v>
      </c>
      <c r="D514" t="s">
        <v>70</v>
      </c>
      <c r="E514" t="s">
        <v>66</v>
      </c>
      <c r="F514" s="1" t="s">
        <v>37</v>
      </c>
      <c r="G514" s="2">
        <v>34.159999999999997</v>
      </c>
      <c r="H514">
        <v>34.159999999999997</v>
      </c>
      <c r="I514">
        <v>34.078833000000003</v>
      </c>
      <c r="J514">
        <v>49.9</v>
      </c>
      <c r="K514">
        <v>14</v>
      </c>
      <c r="L514" s="2">
        <v>13</v>
      </c>
      <c r="M514">
        <v>28</v>
      </c>
      <c r="N514" s="2">
        <v>60</v>
      </c>
      <c r="O514">
        <v>2044.73</v>
      </c>
      <c r="P514">
        <v>6</v>
      </c>
      <c r="Q514">
        <v>54</v>
      </c>
      <c r="R514">
        <v>13.14</v>
      </c>
      <c r="S514">
        <v>1</v>
      </c>
      <c r="T514">
        <v>11</v>
      </c>
      <c r="U514" s="2">
        <v>548.9</v>
      </c>
      <c r="V514">
        <v>0</v>
      </c>
      <c r="W514" t="s">
        <v>29</v>
      </c>
      <c r="X514" t="str">
        <f>IF(Table2[[#This Row],[Qty available]]&gt;Table2[[#This Row],[Qty on hand]],"Check","OK")</f>
        <v>OK</v>
      </c>
    </row>
    <row r="515" spans="1:24" x14ac:dyDescent="0.3">
      <c r="A515" t="s">
        <v>103</v>
      </c>
      <c r="B515" t="s">
        <v>104</v>
      </c>
      <c r="C515" t="s">
        <v>69</v>
      </c>
      <c r="D515" t="s">
        <v>70</v>
      </c>
      <c r="E515" t="s">
        <v>66</v>
      </c>
      <c r="F515" s="1" t="s">
        <v>38</v>
      </c>
      <c r="G515" s="2">
        <v>33.32</v>
      </c>
      <c r="H515">
        <v>33.32</v>
      </c>
      <c r="I515">
        <v>34.078749999999999</v>
      </c>
      <c r="J515">
        <v>49.9</v>
      </c>
      <c r="K515">
        <v>14</v>
      </c>
      <c r="M515">
        <v>0</v>
      </c>
      <c r="N515" s="2">
        <v>32</v>
      </c>
      <c r="O515">
        <v>1090.52</v>
      </c>
      <c r="P515">
        <v>6</v>
      </c>
      <c r="Q515">
        <v>26</v>
      </c>
      <c r="R515">
        <v>6.82</v>
      </c>
      <c r="S515">
        <v>14</v>
      </c>
      <c r="T515">
        <v>28</v>
      </c>
      <c r="U515" s="2">
        <v>1397.2</v>
      </c>
      <c r="V515">
        <v>0</v>
      </c>
      <c r="W515" t="s">
        <v>29</v>
      </c>
      <c r="X515" t="str">
        <f>IF(Table2[[#This Row],[Qty available]]&gt;Table2[[#This Row],[Qty on hand]],"Check","OK")</f>
        <v>OK</v>
      </c>
    </row>
    <row r="516" spans="1:24" x14ac:dyDescent="0.3">
      <c r="A516" t="s">
        <v>103</v>
      </c>
      <c r="B516" t="s">
        <v>104</v>
      </c>
      <c r="C516" t="s">
        <v>69</v>
      </c>
      <c r="D516" t="s">
        <v>70</v>
      </c>
      <c r="E516" t="s">
        <v>66</v>
      </c>
      <c r="F516" s="1" t="s">
        <v>39</v>
      </c>
      <c r="G516" s="2">
        <v>33.94</v>
      </c>
      <c r="H516">
        <v>33.94</v>
      </c>
      <c r="I516">
        <v>34.025517000000001</v>
      </c>
      <c r="J516">
        <v>49.9</v>
      </c>
      <c r="K516">
        <v>14</v>
      </c>
      <c r="L516" s="2">
        <v>13</v>
      </c>
      <c r="M516">
        <v>20</v>
      </c>
      <c r="N516" s="2">
        <v>29</v>
      </c>
      <c r="O516">
        <v>986.74</v>
      </c>
      <c r="P516">
        <v>2</v>
      </c>
      <c r="Q516">
        <v>27</v>
      </c>
      <c r="R516">
        <v>6.15</v>
      </c>
      <c r="S516">
        <v>15</v>
      </c>
      <c r="T516">
        <v>23</v>
      </c>
      <c r="U516" s="2">
        <v>1147.7</v>
      </c>
      <c r="V516">
        <v>0</v>
      </c>
      <c r="W516" t="s">
        <v>29</v>
      </c>
      <c r="X516" t="str">
        <f>IF(Table2[[#This Row],[Qty available]]&gt;Table2[[#This Row],[Qty on hand]],"Check","OK")</f>
        <v>OK</v>
      </c>
    </row>
    <row r="517" spans="1:24" x14ac:dyDescent="0.3">
      <c r="A517" t="s">
        <v>103</v>
      </c>
      <c r="B517" t="s">
        <v>104</v>
      </c>
      <c r="C517" t="s">
        <v>69</v>
      </c>
      <c r="D517" t="s">
        <v>70</v>
      </c>
      <c r="E517" t="s">
        <v>66</v>
      </c>
      <c r="F517" s="1" t="s">
        <v>40</v>
      </c>
      <c r="G517" s="2">
        <v>34.22</v>
      </c>
      <c r="H517">
        <v>34.22</v>
      </c>
      <c r="I517">
        <v>34.134509999999999</v>
      </c>
      <c r="J517">
        <v>49.9</v>
      </c>
      <c r="K517">
        <v>14</v>
      </c>
      <c r="L517" s="2">
        <v>13</v>
      </c>
      <c r="M517">
        <v>37</v>
      </c>
      <c r="N517" s="2">
        <v>51</v>
      </c>
      <c r="O517">
        <v>1740.86</v>
      </c>
      <c r="P517">
        <v>2</v>
      </c>
      <c r="Q517">
        <v>49</v>
      </c>
      <c r="R517">
        <v>10.16</v>
      </c>
      <c r="S517">
        <v>4</v>
      </c>
      <c r="T517">
        <v>15</v>
      </c>
      <c r="U517" s="2">
        <v>748.5</v>
      </c>
      <c r="V517">
        <v>0</v>
      </c>
      <c r="W517" t="s">
        <v>29</v>
      </c>
      <c r="X517" t="str">
        <f>IF(Table2[[#This Row],[Qty available]]&gt;Table2[[#This Row],[Qty on hand]],"Check","OK")</f>
        <v>OK</v>
      </c>
    </row>
    <row r="518" spans="1:24" x14ac:dyDescent="0.3">
      <c r="A518" t="s">
        <v>103</v>
      </c>
      <c r="B518" t="s">
        <v>104</v>
      </c>
      <c r="C518" t="s">
        <v>69</v>
      </c>
      <c r="D518" t="s">
        <v>70</v>
      </c>
      <c r="E518" t="s">
        <v>66</v>
      </c>
      <c r="F518" s="1" t="s">
        <v>41</v>
      </c>
      <c r="G518" s="2">
        <v>33.659999999999997</v>
      </c>
      <c r="H518">
        <v>33.659999999999997</v>
      </c>
      <c r="I518">
        <v>34.134348000000003</v>
      </c>
      <c r="J518">
        <v>49.9</v>
      </c>
      <c r="K518">
        <v>14</v>
      </c>
      <c r="M518">
        <v>0</v>
      </c>
      <c r="N518" s="2">
        <v>23</v>
      </c>
      <c r="O518">
        <v>785.09</v>
      </c>
      <c r="P518">
        <v>8</v>
      </c>
      <c r="Q518">
        <v>15</v>
      </c>
      <c r="R518">
        <v>4.58</v>
      </c>
      <c r="S518">
        <v>0</v>
      </c>
      <c r="T518">
        <v>28</v>
      </c>
      <c r="U518" s="2">
        <v>1397.2</v>
      </c>
      <c r="V518">
        <v>0</v>
      </c>
      <c r="W518" t="s">
        <v>29</v>
      </c>
      <c r="X518" t="str">
        <f>IF(Table2[[#This Row],[Qty available]]&gt;Table2[[#This Row],[Qty on hand]],"Check","OK")</f>
        <v>OK</v>
      </c>
    </row>
    <row r="519" spans="1:24" x14ac:dyDescent="0.3">
      <c r="A519" t="s">
        <v>103</v>
      </c>
      <c r="B519" t="s">
        <v>104</v>
      </c>
      <c r="C519" t="s">
        <v>69</v>
      </c>
      <c r="D519" t="s">
        <v>70</v>
      </c>
      <c r="E519" t="s">
        <v>66</v>
      </c>
      <c r="F519" s="1" t="s">
        <v>42</v>
      </c>
      <c r="G519" s="2">
        <v>33.369999999999997</v>
      </c>
      <c r="H519">
        <v>33.369999999999997</v>
      </c>
      <c r="I519">
        <v>33.648918999999999</v>
      </c>
      <c r="J519">
        <v>49.9</v>
      </c>
      <c r="K519">
        <v>14</v>
      </c>
      <c r="L519" s="2">
        <v>13</v>
      </c>
      <c r="M519">
        <v>40</v>
      </c>
      <c r="N519" s="2">
        <v>37</v>
      </c>
      <c r="O519">
        <v>1245.01</v>
      </c>
      <c r="P519">
        <v>2</v>
      </c>
      <c r="Q519">
        <v>35</v>
      </c>
      <c r="R519">
        <v>7.05</v>
      </c>
      <c r="S519">
        <v>0</v>
      </c>
      <c r="T519">
        <v>26</v>
      </c>
      <c r="U519" s="2">
        <v>1297.4000000000001</v>
      </c>
      <c r="V519">
        <v>0</v>
      </c>
      <c r="W519" t="s">
        <v>29</v>
      </c>
      <c r="X519" t="str">
        <f>IF(Table2[[#This Row],[Qty available]]&gt;Table2[[#This Row],[Qty on hand]],"Check","OK")</f>
        <v>OK</v>
      </c>
    </row>
    <row r="520" spans="1:24" x14ac:dyDescent="0.3">
      <c r="A520" t="s">
        <v>103</v>
      </c>
      <c r="B520" t="s">
        <v>104</v>
      </c>
      <c r="C520" t="s">
        <v>69</v>
      </c>
      <c r="D520" t="s">
        <v>70</v>
      </c>
      <c r="E520" t="s">
        <v>66</v>
      </c>
      <c r="F520" s="1" t="s">
        <v>43</v>
      </c>
      <c r="G520" s="2">
        <v>34.119999999999997</v>
      </c>
      <c r="H520">
        <v>34.119999999999997</v>
      </c>
      <c r="I520">
        <v>33.814211</v>
      </c>
      <c r="J520">
        <v>49.9</v>
      </c>
      <c r="K520">
        <v>14</v>
      </c>
      <c r="L520" s="2">
        <v>12</v>
      </c>
      <c r="M520">
        <v>20</v>
      </c>
      <c r="N520" s="2">
        <v>19</v>
      </c>
      <c r="O520">
        <v>642.47</v>
      </c>
      <c r="P520">
        <v>6</v>
      </c>
      <c r="Q520">
        <v>13</v>
      </c>
      <c r="R520">
        <v>2.68</v>
      </c>
      <c r="S520">
        <v>5</v>
      </c>
      <c r="T520">
        <v>38</v>
      </c>
      <c r="U520" s="2">
        <v>1896.2</v>
      </c>
      <c r="V520">
        <v>0</v>
      </c>
      <c r="W520" t="s">
        <v>29</v>
      </c>
      <c r="X520" t="str">
        <f>IF(Table2[[#This Row],[Qty available]]&gt;Table2[[#This Row],[Qty on hand]],"Check","OK")</f>
        <v>OK</v>
      </c>
    </row>
    <row r="521" spans="1:24" x14ac:dyDescent="0.3">
      <c r="A521" t="s">
        <v>103</v>
      </c>
      <c r="B521" t="s">
        <v>104</v>
      </c>
      <c r="C521" t="s">
        <v>69</v>
      </c>
      <c r="D521" t="s">
        <v>70</v>
      </c>
      <c r="E521" t="s">
        <v>66</v>
      </c>
      <c r="F521" s="1" t="s">
        <v>44</v>
      </c>
      <c r="G521" s="2">
        <v>34.659999999999997</v>
      </c>
      <c r="H521">
        <v>34.659999999999997</v>
      </c>
      <c r="I521">
        <v>34.367930999999999</v>
      </c>
      <c r="J521">
        <v>49.9</v>
      </c>
      <c r="K521">
        <v>14</v>
      </c>
      <c r="L521" s="2">
        <v>17</v>
      </c>
      <c r="M521">
        <v>36</v>
      </c>
      <c r="N521" s="2">
        <v>29</v>
      </c>
      <c r="O521">
        <v>996.67</v>
      </c>
      <c r="P521">
        <v>4</v>
      </c>
      <c r="Q521">
        <v>25</v>
      </c>
      <c r="R521">
        <v>4.2300000000000004</v>
      </c>
      <c r="S521">
        <v>1</v>
      </c>
      <c r="T521">
        <v>26</v>
      </c>
      <c r="U521" s="2">
        <v>1297.4000000000001</v>
      </c>
      <c r="V521">
        <v>0</v>
      </c>
      <c r="W521" t="s">
        <v>29</v>
      </c>
      <c r="X521" t="str">
        <f>IF(Table2[[#This Row],[Qty available]]&gt;Table2[[#This Row],[Qty on hand]],"Check","OK")</f>
        <v>OK</v>
      </c>
    </row>
    <row r="522" spans="1:24" x14ac:dyDescent="0.3">
      <c r="A522" t="s">
        <v>103</v>
      </c>
      <c r="B522" t="s">
        <v>104</v>
      </c>
      <c r="C522" t="s">
        <v>69</v>
      </c>
      <c r="D522" t="s">
        <v>70</v>
      </c>
      <c r="E522" t="s">
        <v>66</v>
      </c>
      <c r="F522" s="1" t="s">
        <v>45</v>
      </c>
      <c r="G522" s="2">
        <v>34.880000000000003</v>
      </c>
      <c r="H522">
        <v>34.880000000000003</v>
      </c>
      <c r="I522">
        <v>34.694394000000003</v>
      </c>
      <c r="J522">
        <v>49.9</v>
      </c>
      <c r="K522">
        <v>14</v>
      </c>
      <c r="L522" s="2">
        <v>13</v>
      </c>
      <c r="M522">
        <v>51</v>
      </c>
      <c r="N522" s="2">
        <v>66</v>
      </c>
      <c r="O522">
        <v>2289.83</v>
      </c>
      <c r="P522">
        <v>5</v>
      </c>
      <c r="Q522">
        <v>61</v>
      </c>
      <c r="R522">
        <v>11.12</v>
      </c>
      <c r="S522">
        <v>3</v>
      </c>
      <c r="T522">
        <v>14</v>
      </c>
      <c r="U522" s="2">
        <v>698.6</v>
      </c>
      <c r="V522">
        <v>0</v>
      </c>
      <c r="W522" t="s">
        <v>29</v>
      </c>
      <c r="X522" t="str">
        <f>IF(Table2[[#This Row],[Qty available]]&gt;Table2[[#This Row],[Qty on hand]],"Check","OK")</f>
        <v>OK</v>
      </c>
    </row>
    <row r="523" spans="1:24" x14ac:dyDescent="0.3">
      <c r="A523" t="s">
        <v>103</v>
      </c>
      <c r="B523" t="s">
        <v>104</v>
      </c>
      <c r="C523" t="s">
        <v>69</v>
      </c>
      <c r="D523" t="s">
        <v>70</v>
      </c>
      <c r="E523" t="s">
        <v>66</v>
      </c>
      <c r="F523" s="1" t="s">
        <v>46</v>
      </c>
      <c r="G523" s="2">
        <v>34.270000000000003</v>
      </c>
      <c r="H523">
        <v>34.270000000000003</v>
      </c>
      <c r="I523">
        <v>34.595652000000001</v>
      </c>
      <c r="J523">
        <v>52.33</v>
      </c>
      <c r="K523">
        <v>14</v>
      </c>
      <c r="L523" s="2">
        <v>13</v>
      </c>
      <c r="M523">
        <v>20</v>
      </c>
      <c r="N523" s="2">
        <v>69</v>
      </c>
      <c r="O523">
        <v>2387.1</v>
      </c>
      <c r="P523">
        <v>3</v>
      </c>
      <c r="Q523">
        <v>66</v>
      </c>
      <c r="R523">
        <v>15.56</v>
      </c>
      <c r="S523">
        <v>8</v>
      </c>
      <c r="T523">
        <v>17</v>
      </c>
      <c r="U523" s="2">
        <v>889.61</v>
      </c>
      <c r="V523">
        <v>0</v>
      </c>
      <c r="W523" t="s">
        <v>29</v>
      </c>
      <c r="X523" t="str">
        <f>IF(Table2[[#This Row],[Qty available]]&gt;Table2[[#This Row],[Qty on hand]],"Check","OK")</f>
        <v>OK</v>
      </c>
    </row>
    <row r="524" spans="1:24" x14ac:dyDescent="0.3">
      <c r="A524" t="s">
        <v>103</v>
      </c>
      <c r="B524" t="s">
        <v>104</v>
      </c>
      <c r="C524" t="s">
        <v>69</v>
      </c>
      <c r="D524" t="s">
        <v>70</v>
      </c>
      <c r="E524" t="s">
        <v>66</v>
      </c>
      <c r="F524" s="1" t="s">
        <v>47</v>
      </c>
      <c r="G524" s="2">
        <v>33.9</v>
      </c>
      <c r="H524">
        <v>33.9</v>
      </c>
      <c r="I524">
        <v>34.595641000000001</v>
      </c>
      <c r="J524">
        <v>52.33</v>
      </c>
      <c r="K524">
        <v>14</v>
      </c>
      <c r="M524">
        <v>0</v>
      </c>
      <c r="N524" s="2">
        <v>39</v>
      </c>
      <c r="O524">
        <v>1349.23</v>
      </c>
      <c r="P524">
        <v>2</v>
      </c>
      <c r="Q524">
        <v>37</v>
      </c>
      <c r="R524">
        <v>8.2200000000000006</v>
      </c>
      <c r="S524">
        <v>14</v>
      </c>
      <c r="T524">
        <v>30</v>
      </c>
      <c r="U524" s="2">
        <v>1569.9</v>
      </c>
      <c r="V524">
        <v>0</v>
      </c>
      <c r="W524" t="s">
        <v>29</v>
      </c>
      <c r="X524" t="str">
        <f>IF(Table2[[#This Row],[Qty available]]&gt;Table2[[#This Row],[Qty on hand]],"Check","OK")</f>
        <v>OK</v>
      </c>
    </row>
    <row r="525" spans="1:24" x14ac:dyDescent="0.3">
      <c r="A525" t="s">
        <v>103</v>
      </c>
      <c r="B525" t="s">
        <v>104</v>
      </c>
      <c r="C525" t="s">
        <v>69</v>
      </c>
      <c r="D525" t="s">
        <v>70</v>
      </c>
      <c r="E525" t="s">
        <v>66</v>
      </c>
      <c r="F525" s="1" t="s">
        <v>48</v>
      </c>
      <c r="G525" s="2">
        <v>34.36</v>
      </c>
      <c r="H525">
        <v>34.36</v>
      </c>
      <c r="I525">
        <v>34.472143000000003</v>
      </c>
      <c r="J525">
        <v>52.33</v>
      </c>
      <c r="K525">
        <v>14</v>
      </c>
      <c r="L525" s="2">
        <v>12</v>
      </c>
      <c r="M525">
        <v>43</v>
      </c>
      <c r="N525" s="2">
        <v>70</v>
      </c>
      <c r="O525">
        <v>2413.0500000000002</v>
      </c>
      <c r="P525">
        <v>6</v>
      </c>
      <c r="Q525">
        <v>64</v>
      </c>
      <c r="R525">
        <v>15.08</v>
      </c>
      <c r="S525">
        <v>20</v>
      </c>
      <c r="T525">
        <v>12</v>
      </c>
      <c r="U525" s="2">
        <v>627.96</v>
      </c>
      <c r="V525">
        <v>0</v>
      </c>
      <c r="W525" t="s">
        <v>29</v>
      </c>
      <c r="X525" t="str">
        <f>IF(Table2[[#This Row],[Qty available]]&gt;Table2[[#This Row],[Qty on hand]],"Check","OK")</f>
        <v>OK</v>
      </c>
    </row>
    <row r="526" spans="1:24" x14ac:dyDescent="0.3">
      <c r="A526" t="s">
        <v>103</v>
      </c>
      <c r="B526" t="s">
        <v>104</v>
      </c>
      <c r="C526" t="s">
        <v>69</v>
      </c>
      <c r="D526" t="s">
        <v>70</v>
      </c>
      <c r="E526" t="s">
        <v>66</v>
      </c>
      <c r="F526" s="1" t="s">
        <v>49</v>
      </c>
      <c r="G526" s="2">
        <v>35.21</v>
      </c>
      <c r="H526">
        <v>35.21</v>
      </c>
      <c r="I526">
        <v>34.636056000000004</v>
      </c>
      <c r="J526">
        <v>52.33</v>
      </c>
      <c r="K526">
        <v>14</v>
      </c>
      <c r="L526" s="2">
        <v>25</v>
      </c>
      <c r="M526">
        <v>20</v>
      </c>
      <c r="N526" s="2">
        <v>71</v>
      </c>
      <c r="O526">
        <v>2459.16</v>
      </c>
      <c r="P526">
        <v>2</v>
      </c>
      <c r="Q526">
        <v>69</v>
      </c>
      <c r="R526">
        <v>15.3</v>
      </c>
      <c r="S526">
        <v>1</v>
      </c>
      <c r="T526">
        <v>19</v>
      </c>
      <c r="U526" s="2">
        <v>994.27</v>
      </c>
      <c r="V526">
        <v>0</v>
      </c>
      <c r="W526" t="s">
        <v>29</v>
      </c>
      <c r="X526" t="str">
        <f>IF(Table2[[#This Row],[Qty available]]&gt;Table2[[#This Row],[Qty on hand]],"Check","OK")</f>
        <v>OK</v>
      </c>
    </row>
    <row r="527" spans="1:24" x14ac:dyDescent="0.3">
      <c r="A527" t="s">
        <v>103</v>
      </c>
      <c r="B527" t="s">
        <v>104</v>
      </c>
      <c r="C527" t="s">
        <v>69</v>
      </c>
      <c r="D527" t="s">
        <v>70</v>
      </c>
      <c r="E527" t="s">
        <v>66</v>
      </c>
      <c r="F527" s="1" t="s">
        <v>50</v>
      </c>
      <c r="G527" s="2">
        <v>34.32</v>
      </c>
      <c r="H527">
        <v>34.32</v>
      </c>
      <c r="I527">
        <v>34.636046999999998</v>
      </c>
      <c r="J527">
        <v>52.33</v>
      </c>
      <c r="K527">
        <v>14</v>
      </c>
      <c r="M527">
        <v>0</v>
      </c>
      <c r="N527" s="2">
        <v>43</v>
      </c>
      <c r="O527">
        <v>1489.35</v>
      </c>
      <c r="P527">
        <v>6</v>
      </c>
      <c r="Q527">
        <v>37</v>
      </c>
      <c r="R527">
        <v>9.4700000000000006</v>
      </c>
      <c r="S527">
        <v>3</v>
      </c>
      <c r="T527">
        <v>28</v>
      </c>
      <c r="U527" s="2">
        <v>1465.24</v>
      </c>
      <c r="V527">
        <v>0</v>
      </c>
      <c r="W527" t="s">
        <v>29</v>
      </c>
      <c r="X527" t="str">
        <f>IF(Table2[[#This Row],[Qty available]]&gt;Table2[[#This Row],[Qty on hand]],"Check","OK")</f>
        <v>OK</v>
      </c>
    </row>
    <row r="528" spans="1:24" x14ac:dyDescent="0.3">
      <c r="A528" t="s">
        <v>103</v>
      </c>
      <c r="B528" t="s">
        <v>104</v>
      </c>
      <c r="C528" t="s">
        <v>69</v>
      </c>
      <c r="D528" t="s">
        <v>70</v>
      </c>
      <c r="E528" t="s">
        <v>66</v>
      </c>
      <c r="F528" s="1" t="s">
        <v>51</v>
      </c>
      <c r="G528" s="2">
        <v>33.92</v>
      </c>
      <c r="H528">
        <v>33.92</v>
      </c>
      <c r="I528">
        <v>34.325111</v>
      </c>
      <c r="J528">
        <v>52.33</v>
      </c>
      <c r="K528">
        <v>14</v>
      </c>
      <c r="L528" s="2">
        <v>12</v>
      </c>
      <c r="M528">
        <v>33</v>
      </c>
      <c r="N528" s="2">
        <v>45</v>
      </c>
      <c r="O528">
        <v>1544.63</v>
      </c>
      <c r="P528">
        <v>6</v>
      </c>
      <c r="Q528">
        <v>39</v>
      </c>
      <c r="R528">
        <v>7.58</v>
      </c>
      <c r="S528">
        <v>11</v>
      </c>
      <c r="T528">
        <v>31</v>
      </c>
      <c r="U528" s="2">
        <v>1622.23</v>
      </c>
      <c r="V528">
        <v>0</v>
      </c>
      <c r="W528" t="s">
        <v>29</v>
      </c>
      <c r="X528" t="str">
        <f>IF(Table2[[#This Row],[Qty available]]&gt;Table2[[#This Row],[Qty on hand]],"Check","OK")</f>
        <v>OK</v>
      </c>
    </row>
    <row r="529" spans="1:24" x14ac:dyDescent="0.3">
      <c r="A529" t="s">
        <v>103</v>
      </c>
      <c r="B529" t="s">
        <v>104</v>
      </c>
      <c r="C529" t="s">
        <v>69</v>
      </c>
      <c r="D529" t="s">
        <v>70</v>
      </c>
      <c r="E529" t="s">
        <v>66</v>
      </c>
      <c r="F529" s="1" t="s">
        <v>52</v>
      </c>
      <c r="G529" s="2">
        <v>35.06</v>
      </c>
      <c r="H529">
        <v>35.06</v>
      </c>
      <c r="I529">
        <v>34.551316</v>
      </c>
      <c r="J529">
        <v>52.33</v>
      </c>
      <c r="K529">
        <v>14</v>
      </c>
      <c r="L529" s="2">
        <v>12</v>
      </c>
      <c r="M529">
        <v>20</v>
      </c>
      <c r="N529" s="2">
        <v>38</v>
      </c>
      <c r="O529">
        <v>1312.95</v>
      </c>
      <c r="P529">
        <v>2</v>
      </c>
      <c r="Q529">
        <v>36</v>
      </c>
      <c r="R529">
        <v>5.81</v>
      </c>
      <c r="S529">
        <v>0</v>
      </c>
      <c r="T529">
        <v>27</v>
      </c>
      <c r="U529" s="2">
        <v>1412.91</v>
      </c>
      <c r="V529">
        <v>0</v>
      </c>
      <c r="W529" t="s">
        <v>29</v>
      </c>
      <c r="X529" t="str">
        <f>IF(Table2[[#This Row],[Qty available]]&gt;Table2[[#This Row],[Qty on hand]],"Check","OK")</f>
        <v>OK</v>
      </c>
    </row>
    <row r="530" spans="1:24" x14ac:dyDescent="0.3">
      <c r="A530" t="s">
        <v>105</v>
      </c>
      <c r="B530" t="s">
        <v>106</v>
      </c>
      <c r="C530" t="s">
        <v>77</v>
      </c>
      <c r="D530" t="s">
        <v>78</v>
      </c>
      <c r="E530" t="s">
        <v>27</v>
      </c>
      <c r="F530" s="1" t="s">
        <v>28</v>
      </c>
      <c r="G530" s="2">
        <v>4.41</v>
      </c>
      <c r="H530">
        <v>4.41</v>
      </c>
      <c r="I530">
        <v>4.29</v>
      </c>
      <c r="J530">
        <v>5.89</v>
      </c>
      <c r="K530">
        <v>59</v>
      </c>
      <c r="M530">
        <v>0</v>
      </c>
      <c r="N530" s="2">
        <v>655</v>
      </c>
      <c r="O530">
        <v>2809.95</v>
      </c>
      <c r="P530">
        <v>186</v>
      </c>
      <c r="Q530">
        <v>469</v>
      </c>
      <c r="R530">
        <v>4.96</v>
      </c>
      <c r="S530">
        <v>1</v>
      </c>
      <c r="T530">
        <v>1027</v>
      </c>
      <c r="U530" s="2">
        <v>6049.03</v>
      </c>
      <c r="V530">
        <v>0</v>
      </c>
      <c r="W530" t="s">
        <v>29</v>
      </c>
      <c r="X530" t="str">
        <f>IF(Table2[[#This Row],[Qty available]]&gt;Table2[[#This Row],[Qty on hand]],"Check","OK")</f>
        <v>OK</v>
      </c>
    </row>
    <row r="531" spans="1:24" x14ac:dyDescent="0.3">
      <c r="A531" t="s">
        <v>105</v>
      </c>
      <c r="B531" t="s">
        <v>106</v>
      </c>
      <c r="C531" t="s">
        <v>77</v>
      </c>
      <c r="D531" t="s">
        <v>78</v>
      </c>
      <c r="E531" t="s">
        <v>27</v>
      </c>
      <c r="F531" s="1" t="s">
        <v>30</v>
      </c>
      <c r="G531" s="2">
        <v>4.24</v>
      </c>
      <c r="H531">
        <v>4.24</v>
      </c>
      <c r="I531">
        <v>4.2682250000000002</v>
      </c>
      <c r="J531">
        <v>5.89</v>
      </c>
      <c r="K531">
        <v>59</v>
      </c>
      <c r="L531" s="2">
        <v>54</v>
      </c>
      <c r="M531">
        <v>505</v>
      </c>
      <c r="N531" s="2">
        <v>648</v>
      </c>
      <c r="O531">
        <v>2765.81</v>
      </c>
      <c r="P531">
        <v>47</v>
      </c>
      <c r="Q531">
        <v>601</v>
      </c>
      <c r="R531">
        <v>4.08</v>
      </c>
      <c r="S531">
        <v>1</v>
      </c>
      <c r="T531">
        <v>512</v>
      </c>
      <c r="U531" s="2">
        <v>3015.68</v>
      </c>
      <c r="V531">
        <v>0</v>
      </c>
      <c r="W531" t="s">
        <v>29</v>
      </c>
      <c r="X531" t="str">
        <f>IF(Table2[[#This Row],[Qty available]]&gt;Table2[[#This Row],[Qty on hand]],"Check","OK")</f>
        <v>OK</v>
      </c>
    </row>
    <row r="532" spans="1:24" x14ac:dyDescent="0.3">
      <c r="A532" t="s">
        <v>105</v>
      </c>
      <c r="B532" t="s">
        <v>106</v>
      </c>
      <c r="C532" t="s">
        <v>77</v>
      </c>
      <c r="D532" t="s">
        <v>78</v>
      </c>
      <c r="E532" t="s">
        <v>27</v>
      </c>
      <c r="F532" s="1" t="s">
        <v>31</v>
      </c>
      <c r="G532" s="2">
        <v>4.42</v>
      </c>
      <c r="H532">
        <v>4.42</v>
      </c>
      <c r="I532">
        <v>4.3748699999999996</v>
      </c>
      <c r="J532">
        <v>5.89</v>
      </c>
      <c r="K532">
        <v>59</v>
      </c>
      <c r="L532" s="2">
        <v>59</v>
      </c>
      <c r="M532">
        <v>1531</v>
      </c>
      <c r="N532" s="2">
        <v>885</v>
      </c>
      <c r="O532">
        <v>3871.76</v>
      </c>
      <c r="P532">
        <v>117</v>
      </c>
      <c r="Q532">
        <v>768</v>
      </c>
      <c r="R532">
        <v>4.0599999999999996</v>
      </c>
      <c r="S532">
        <v>0</v>
      </c>
      <c r="T532">
        <v>1294</v>
      </c>
      <c r="U532" s="2">
        <v>7621.66</v>
      </c>
      <c r="V532">
        <v>0</v>
      </c>
      <c r="W532" t="s">
        <v>29</v>
      </c>
      <c r="X532" t="str">
        <f>IF(Table2[[#This Row],[Qty available]]&gt;Table2[[#This Row],[Qty on hand]],"Check","OK")</f>
        <v>OK</v>
      </c>
    </row>
    <row r="533" spans="1:24" x14ac:dyDescent="0.3">
      <c r="A533" t="s">
        <v>105</v>
      </c>
      <c r="B533" t="s">
        <v>106</v>
      </c>
      <c r="C533" t="s">
        <v>77</v>
      </c>
      <c r="D533" t="s">
        <v>78</v>
      </c>
      <c r="E533" t="s">
        <v>27</v>
      </c>
      <c r="F533" s="1" t="s">
        <v>32</v>
      </c>
      <c r="G533" s="2">
        <v>4.3099999999999996</v>
      </c>
      <c r="H533">
        <v>4.3099999999999996</v>
      </c>
      <c r="I533">
        <v>4.3593630000000001</v>
      </c>
      <c r="J533">
        <v>5.89</v>
      </c>
      <c r="K533">
        <v>59</v>
      </c>
      <c r="L533" s="2">
        <v>56</v>
      </c>
      <c r="M533">
        <v>278</v>
      </c>
      <c r="N533" s="2">
        <v>487</v>
      </c>
      <c r="O533">
        <v>2123.0100000000002</v>
      </c>
      <c r="P533">
        <v>70</v>
      </c>
      <c r="Q533">
        <v>417</v>
      </c>
      <c r="R533">
        <v>2.58</v>
      </c>
      <c r="S533">
        <v>3</v>
      </c>
      <c r="T533">
        <v>676</v>
      </c>
      <c r="U533" s="2">
        <v>3981.64</v>
      </c>
      <c r="V533">
        <v>0</v>
      </c>
      <c r="W533" t="s">
        <v>29</v>
      </c>
      <c r="X533" t="str">
        <f>IF(Table2[[#This Row],[Qty available]]&gt;Table2[[#This Row],[Qty on hand]],"Check","OK")</f>
        <v>OK</v>
      </c>
    </row>
    <row r="534" spans="1:24" x14ac:dyDescent="0.3">
      <c r="A534" t="s">
        <v>105</v>
      </c>
      <c r="B534" t="s">
        <v>106</v>
      </c>
      <c r="C534" t="s">
        <v>77</v>
      </c>
      <c r="D534" t="s">
        <v>78</v>
      </c>
      <c r="E534" t="s">
        <v>27</v>
      </c>
      <c r="F534" s="1" t="s">
        <v>33</v>
      </c>
      <c r="G534" s="2">
        <v>4.3899999999999997</v>
      </c>
      <c r="H534">
        <v>4.3899999999999997</v>
      </c>
      <c r="I534">
        <v>4.3793959999999998</v>
      </c>
      <c r="J534">
        <v>5.89</v>
      </c>
      <c r="K534">
        <v>59</v>
      </c>
      <c r="L534" s="2">
        <v>51</v>
      </c>
      <c r="M534">
        <v>921</v>
      </c>
      <c r="N534" s="2">
        <v>563</v>
      </c>
      <c r="O534">
        <v>2465.6</v>
      </c>
      <c r="P534">
        <v>233</v>
      </c>
      <c r="Q534">
        <v>330</v>
      </c>
      <c r="R534">
        <v>2.63</v>
      </c>
      <c r="S534">
        <v>1</v>
      </c>
      <c r="T534">
        <v>845</v>
      </c>
      <c r="U534" s="2">
        <v>4977.05</v>
      </c>
      <c r="V534">
        <v>0</v>
      </c>
      <c r="W534" t="s">
        <v>29</v>
      </c>
      <c r="X534" t="str">
        <f>IF(Table2[[#This Row],[Qty available]]&gt;Table2[[#This Row],[Qty on hand]],"Check","OK")</f>
        <v>OK</v>
      </c>
    </row>
    <row r="535" spans="1:24" x14ac:dyDescent="0.3">
      <c r="A535" t="s">
        <v>105</v>
      </c>
      <c r="B535" t="s">
        <v>106</v>
      </c>
      <c r="C535" t="s">
        <v>77</v>
      </c>
      <c r="D535" t="s">
        <v>78</v>
      </c>
      <c r="E535" t="s">
        <v>27</v>
      </c>
      <c r="F535" s="1" t="s">
        <v>34</v>
      </c>
      <c r="G535" s="2">
        <v>4.34</v>
      </c>
      <c r="H535">
        <v>4.34</v>
      </c>
      <c r="I535">
        <v>4.3793959999999998</v>
      </c>
      <c r="J535">
        <v>6.07</v>
      </c>
      <c r="K535">
        <v>59</v>
      </c>
      <c r="M535">
        <v>0</v>
      </c>
      <c r="N535" s="2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563</v>
      </c>
      <c r="U535" s="2">
        <v>3417.41</v>
      </c>
      <c r="V535">
        <v>231</v>
      </c>
      <c r="W535" t="s">
        <v>59</v>
      </c>
      <c r="X535" t="str">
        <f>IF(Table2[[#This Row],[Qty available]]&gt;Table2[[#This Row],[Qty on hand]],"Check","OK")</f>
        <v>OK</v>
      </c>
    </row>
    <row r="536" spans="1:24" x14ac:dyDescent="0.3">
      <c r="A536" t="s">
        <v>105</v>
      </c>
      <c r="B536" t="s">
        <v>106</v>
      </c>
      <c r="C536" t="s">
        <v>77</v>
      </c>
      <c r="D536" t="s">
        <v>78</v>
      </c>
      <c r="E536" t="s">
        <v>27</v>
      </c>
      <c r="F536" s="1" t="s">
        <v>35</v>
      </c>
      <c r="G536" s="2">
        <v>4.58</v>
      </c>
      <c r="H536">
        <v>4.58</v>
      </c>
      <c r="I536">
        <v>4.58</v>
      </c>
      <c r="J536">
        <v>6.07</v>
      </c>
      <c r="K536">
        <v>59</v>
      </c>
      <c r="L536" s="2">
        <v>80</v>
      </c>
      <c r="M536">
        <v>2128</v>
      </c>
      <c r="N536" s="2">
        <v>1515</v>
      </c>
      <c r="O536">
        <v>6938.7</v>
      </c>
      <c r="P536">
        <v>210</v>
      </c>
      <c r="Q536">
        <v>1305</v>
      </c>
      <c r="R536">
        <v>9.64</v>
      </c>
      <c r="S536">
        <v>4</v>
      </c>
      <c r="T536">
        <v>613</v>
      </c>
      <c r="U536" s="2">
        <v>3720.91</v>
      </c>
      <c r="V536">
        <v>0</v>
      </c>
      <c r="W536" t="s">
        <v>29</v>
      </c>
      <c r="X536" t="str">
        <f>IF(Table2[[#This Row],[Qty available]]&gt;Table2[[#This Row],[Qty on hand]],"Check","OK")</f>
        <v>OK</v>
      </c>
    </row>
    <row r="537" spans="1:24" x14ac:dyDescent="0.3">
      <c r="A537" t="s">
        <v>105</v>
      </c>
      <c r="B537" t="s">
        <v>106</v>
      </c>
      <c r="C537" t="s">
        <v>77</v>
      </c>
      <c r="D537" t="s">
        <v>78</v>
      </c>
      <c r="E537" t="s">
        <v>27</v>
      </c>
      <c r="F537" s="1" t="s">
        <v>36</v>
      </c>
      <c r="G537" s="2">
        <v>4.53</v>
      </c>
      <c r="H537">
        <v>4.53</v>
      </c>
      <c r="I537">
        <v>4.58</v>
      </c>
      <c r="J537">
        <v>6.07</v>
      </c>
      <c r="K537">
        <v>59</v>
      </c>
      <c r="M537">
        <v>0</v>
      </c>
      <c r="N537" s="2">
        <v>1243</v>
      </c>
      <c r="O537">
        <v>5692.94</v>
      </c>
      <c r="P537">
        <v>70</v>
      </c>
      <c r="Q537">
        <v>1173</v>
      </c>
      <c r="R537">
        <v>10.91</v>
      </c>
      <c r="S537">
        <v>0</v>
      </c>
      <c r="T537">
        <v>272</v>
      </c>
      <c r="U537" s="2">
        <v>1651.04</v>
      </c>
      <c r="V537">
        <v>0</v>
      </c>
      <c r="W537" t="s">
        <v>29</v>
      </c>
      <c r="X537" t="str">
        <f>IF(Table2[[#This Row],[Qty available]]&gt;Table2[[#This Row],[Qty on hand]],"Check","OK")</f>
        <v>OK</v>
      </c>
    </row>
    <row r="538" spans="1:24" x14ac:dyDescent="0.3">
      <c r="A538" t="s">
        <v>105</v>
      </c>
      <c r="B538" t="s">
        <v>106</v>
      </c>
      <c r="C538" t="s">
        <v>77</v>
      </c>
      <c r="D538" t="s">
        <v>78</v>
      </c>
      <c r="E538" t="s">
        <v>27</v>
      </c>
      <c r="F538" s="1" t="s">
        <v>37</v>
      </c>
      <c r="G538" s="2">
        <v>4.5999999999999996</v>
      </c>
      <c r="H538">
        <v>4.5999999999999996</v>
      </c>
      <c r="I538">
        <v>4.5917940000000002</v>
      </c>
      <c r="J538">
        <v>6.07</v>
      </c>
      <c r="K538">
        <v>59</v>
      </c>
      <c r="L538" s="2">
        <v>91</v>
      </c>
      <c r="M538">
        <v>1787</v>
      </c>
      <c r="N538" s="2">
        <v>2034</v>
      </c>
      <c r="O538">
        <v>9339.7099999999991</v>
      </c>
      <c r="P538">
        <v>210</v>
      </c>
      <c r="Q538">
        <v>1824</v>
      </c>
      <c r="R538">
        <v>14.21</v>
      </c>
      <c r="S538">
        <v>1</v>
      </c>
      <c r="T538">
        <v>996</v>
      </c>
      <c r="U538" s="2">
        <v>6045.72</v>
      </c>
      <c r="V538">
        <v>0</v>
      </c>
      <c r="W538" t="s">
        <v>29</v>
      </c>
      <c r="X538" t="str">
        <f>IF(Table2[[#This Row],[Qty available]]&gt;Table2[[#This Row],[Qty on hand]],"Check","OK")</f>
        <v>OK</v>
      </c>
    </row>
    <row r="539" spans="1:24" x14ac:dyDescent="0.3">
      <c r="A539" t="s">
        <v>105</v>
      </c>
      <c r="B539" t="s">
        <v>106</v>
      </c>
      <c r="C539" t="s">
        <v>77</v>
      </c>
      <c r="D539" t="s">
        <v>78</v>
      </c>
      <c r="E539" t="s">
        <v>27</v>
      </c>
      <c r="F539" s="1" t="s">
        <v>38</v>
      </c>
      <c r="G539" s="2">
        <v>4.66</v>
      </c>
      <c r="H539">
        <v>4.66</v>
      </c>
      <c r="I539">
        <v>4.5917969999999997</v>
      </c>
      <c r="J539">
        <v>6.07</v>
      </c>
      <c r="K539">
        <v>59</v>
      </c>
      <c r="M539">
        <v>0</v>
      </c>
      <c r="N539" s="2">
        <v>1681</v>
      </c>
      <c r="O539">
        <v>7718.81</v>
      </c>
      <c r="P539">
        <v>140</v>
      </c>
      <c r="Q539">
        <v>1541</v>
      </c>
      <c r="R539">
        <v>13.48</v>
      </c>
      <c r="S539">
        <v>0</v>
      </c>
      <c r="T539">
        <v>353</v>
      </c>
      <c r="U539" s="2">
        <v>2142.71</v>
      </c>
      <c r="V539">
        <v>0</v>
      </c>
      <c r="W539" t="s">
        <v>29</v>
      </c>
      <c r="X539" t="str">
        <f>IF(Table2[[#This Row],[Qty available]]&gt;Table2[[#This Row],[Qty on hand]],"Check","OK")</f>
        <v>OK</v>
      </c>
    </row>
    <row r="540" spans="1:24" x14ac:dyDescent="0.3">
      <c r="A540" t="s">
        <v>105</v>
      </c>
      <c r="B540" t="s">
        <v>106</v>
      </c>
      <c r="C540" t="s">
        <v>77</v>
      </c>
      <c r="D540" t="s">
        <v>78</v>
      </c>
      <c r="E540" t="s">
        <v>27</v>
      </c>
      <c r="F540" s="1" t="s">
        <v>39</v>
      </c>
      <c r="G540" s="2">
        <v>4.6100000000000003</v>
      </c>
      <c r="H540">
        <v>4.6100000000000003</v>
      </c>
      <c r="I540">
        <v>4.5980480000000004</v>
      </c>
      <c r="J540">
        <v>6.07</v>
      </c>
      <c r="K540">
        <v>59</v>
      </c>
      <c r="L540" s="2">
        <v>51</v>
      </c>
      <c r="M540">
        <v>879</v>
      </c>
      <c r="N540" s="2">
        <v>2188</v>
      </c>
      <c r="O540">
        <v>10060.530000000001</v>
      </c>
      <c r="P540">
        <v>186</v>
      </c>
      <c r="Q540">
        <v>2002</v>
      </c>
      <c r="R540">
        <v>16.71</v>
      </c>
      <c r="S540">
        <v>4</v>
      </c>
      <c r="T540">
        <v>372</v>
      </c>
      <c r="U540" s="2">
        <v>2258.04</v>
      </c>
      <c r="V540">
        <v>0</v>
      </c>
      <c r="W540" t="s">
        <v>29</v>
      </c>
      <c r="X540" t="str">
        <f>IF(Table2[[#This Row],[Qty available]]&gt;Table2[[#This Row],[Qty on hand]],"Check","OK")</f>
        <v>OK</v>
      </c>
    </row>
    <row r="541" spans="1:24" x14ac:dyDescent="0.3">
      <c r="A541" t="s">
        <v>105</v>
      </c>
      <c r="B541" t="s">
        <v>106</v>
      </c>
      <c r="C541" t="s">
        <v>77</v>
      </c>
      <c r="D541" t="s">
        <v>78</v>
      </c>
      <c r="E541" t="s">
        <v>27</v>
      </c>
      <c r="F541" s="1" t="s">
        <v>40</v>
      </c>
      <c r="G541" s="2">
        <v>4.57</v>
      </c>
      <c r="H541">
        <v>4.57</v>
      </c>
      <c r="I541">
        <v>4.5980499999999997</v>
      </c>
      <c r="J541">
        <v>6.07</v>
      </c>
      <c r="K541">
        <v>59</v>
      </c>
      <c r="M541">
        <v>0</v>
      </c>
      <c r="N541" s="2">
        <v>1795</v>
      </c>
      <c r="O541">
        <v>8253.5</v>
      </c>
      <c r="P541">
        <v>70</v>
      </c>
      <c r="Q541">
        <v>1725</v>
      </c>
      <c r="R541">
        <v>21.1</v>
      </c>
      <c r="S541">
        <v>3</v>
      </c>
      <c r="T541">
        <v>393</v>
      </c>
      <c r="U541" s="2">
        <v>2385.5100000000002</v>
      </c>
      <c r="V541">
        <v>0</v>
      </c>
      <c r="W541" t="s">
        <v>29</v>
      </c>
      <c r="X541" t="str">
        <f>IF(Table2[[#This Row],[Qty available]]&gt;Table2[[#This Row],[Qty on hand]],"Check","OK")</f>
        <v>OK</v>
      </c>
    </row>
    <row r="542" spans="1:24" x14ac:dyDescent="0.3">
      <c r="A542" t="s">
        <v>105</v>
      </c>
      <c r="B542" t="s">
        <v>106</v>
      </c>
      <c r="C542" t="s">
        <v>77</v>
      </c>
      <c r="D542" t="s">
        <v>78</v>
      </c>
      <c r="E542" t="s">
        <v>27</v>
      </c>
      <c r="F542" s="1" t="s">
        <v>41</v>
      </c>
      <c r="G542" s="2">
        <v>4.54</v>
      </c>
      <c r="H542">
        <v>4.54</v>
      </c>
      <c r="I542">
        <v>4.5872960000000003</v>
      </c>
      <c r="J542">
        <v>6.07</v>
      </c>
      <c r="K542">
        <v>59</v>
      </c>
      <c r="L542" s="2">
        <v>57</v>
      </c>
      <c r="M542">
        <v>408</v>
      </c>
      <c r="N542" s="2">
        <v>1235</v>
      </c>
      <c r="O542">
        <v>5665.31</v>
      </c>
      <c r="P542">
        <v>210</v>
      </c>
      <c r="Q542">
        <v>1025</v>
      </c>
      <c r="R542">
        <v>9.3699999999999992</v>
      </c>
      <c r="S542">
        <v>0</v>
      </c>
      <c r="T542">
        <v>968</v>
      </c>
      <c r="U542" s="2">
        <v>5875.76</v>
      </c>
      <c r="V542">
        <v>0</v>
      </c>
      <c r="W542" t="s">
        <v>29</v>
      </c>
      <c r="X542" t="str">
        <f>IF(Table2[[#This Row],[Qty available]]&gt;Table2[[#This Row],[Qty on hand]],"Check","OK")</f>
        <v>OK</v>
      </c>
    </row>
    <row r="543" spans="1:24" x14ac:dyDescent="0.3">
      <c r="A543" t="s">
        <v>105</v>
      </c>
      <c r="B543" t="s">
        <v>106</v>
      </c>
      <c r="C543" t="s">
        <v>77</v>
      </c>
      <c r="D543" t="s">
        <v>78</v>
      </c>
      <c r="E543" t="s">
        <v>27</v>
      </c>
      <c r="F543" s="1" t="s">
        <v>42</v>
      </c>
      <c r="G543" s="2">
        <v>4.68</v>
      </c>
      <c r="H543">
        <v>4.68</v>
      </c>
      <c r="I543">
        <v>4.6277200000000001</v>
      </c>
      <c r="J543">
        <v>6.07</v>
      </c>
      <c r="K543">
        <v>59</v>
      </c>
      <c r="L543" s="2">
        <v>50</v>
      </c>
      <c r="M543">
        <v>955</v>
      </c>
      <c r="N543" s="2">
        <v>1386</v>
      </c>
      <c r="O543">
        <v>6414.02</v>
      </c>
      <c r="P543">
        <v>117</v>
      </c>
      <c r="Q543">
        <v>1269</v>
      </c>
      <c r="R543">
        <v>8.41</v>
      </c>
      <c r="S543">
        <v>1</v>
      </c>
      <c r="T543">
        <v>804</v>
      </c>
      <c r="U543" s="2">
        <v>4880.28</v>
      </c>
      <c r="V543">
        <v>0</v>
      </c>
      <c r="W543" t="s">
        <v>29</v>
      </c>
      <c r="X543" t="str">
        <f>IF(Table2[[#This Row],[Qty available]]&gt;Table2[[#This Row],[Qty on hand]],"Check","OK")</f>
        <v>OK</v>
      </c>
    </row>
    <row r="544" spans="1:24" x14ac:dyDescent="0.3">
      <c r="A544" t="s">
        <v>105</v>
      </c>
      <c r="B544" t="s">
        <v>106</v>
      </c>
      <c r="C544" t="s">
        <v>77</v>
      </c>
      <c r="D544" t="s">
        <v>78</v>
      </c>
      <c r="E544" t="s">
        <v>27</v>
      </c>
      <c r="F544" s="1" t="s">
        <v>43</v>
      </c>
      <c r="G544" s="2">
        <v>4.6500000000000004</v>
      </c>
      <c r="H544">
        <v>4.6500000000000004</v>
      </c>
      <c r="I544">
        <v>4.6277179999999998</v>
      </c>
      <c r="J544">
        <v>6.07</v>
      </c>
      <c r="K544">
        <v>59</v>
      </c>
      <c r="M544">
        <v>0</v>
      </c>
      <c r="N544" s="2">
        <v>745</v>
      </c>
      <c r="O544">
        <v>3447.65</v>
      </c>
      <c r="P544">
        <v>210</v>
      </c>
      <c r="Q544">
        <v>535</v>
      </c>
      <c r="R544">
        <v>4.01</v>
      </c>
      <c r="S544">
        <v>1</v>
      </c>
      <c r="T544">
        <v>641</v>
      </c>
      <c r="U544" s="2">
        <v>3890.87</v>
      </c>
      <c r="V544">
        <v>0</v>
      </c>
      <c r="W544" t="s">
        <v>29</v>
      </c>
      <c r="X544" t="str">
        <f>IF(Table2[[#This Row],[Qty available]]&gt;Table2[[#This Row],[Qty on hand]],"Check","OK")</f>
        <v>OK</v>
      </c>
    </row>
    <row r="545" spans="1:24" x14ac:dyDescent="0.3">
      <c r="A545" t="s">
        <v>105</v>
      </c>
      <c r="B545" t="s">
        <v>106</v>
      </c>
      <c r="C545" t="s">
        <v>77</v>
      </c>
      <c r="D545" t="s">
        <v>78</v>
      </c>
      <c r="E545" t="s">
        <v>27</v>
      </c>
      <c r="F545" s="1" t="s">
        <v>44</v>
      </c>
      <c r="G545" s="2">
        <v>4.6399999999999997</v>
      </c>
      <c r="H545">
        <v>4.6399999999999997</v>
      </c>
      <c r="I545">
        <v>4.6357049999999997</v>
      </c>
      <c r="J545">
        <v>6.07</v>
      </c>
      <c r="K545">
        <v>59</v>
      </c>
      <c r="L545" s="2">
        <v>76</v>
      </c>
      <c r="M545">
        <v>1385</v>
      </c>
      <c r="N545" s="2">
        <v>1695</v>
      </c>
      <c r="O545">
        <v>7857.52</v>
      </c>
      <c r="P545">
        <v>186</v>
      </c>
      <c r="Q545">
        <v>1509</v>
      </c>
      <c r="R545">
        <v>11.85</v>
      </c>
      <c r="S545">
        <v>1</v>
      </c>
      <c r="T545">
        <v>435</v>
      </c>
      <c r="U545" s="2">
        <v>2640.45</v>
      </c>
      <c r="V545">
        <v>0</v>
      </c>
      <c r="W545" t="s">
        <v>29</v>
      </c>
      <c r="X545" t="str">
        <f>IF(Table2[[#This Row],[Qty available]]&gt;Table2[[#This Row],[Qty on hand]],"Check","OK")</f>
        <v>OK</v>
      </c>
    </row>
    <row r="546" spans="1:24" x14ac:dyDescent="0.3">
      <c r="A546" t="s">
        <v>105</v>
      </c>
      <c r="B546" t="s">
        <v>106</v>
      </c>
      <c r="C546" t="s">
        <v>77</v>
      </c>
      <c r="D546" t="s">
        <v>78</v>
      </c>
      <c r="E546" t="s">
        <v>27</v>
      </c>
      <c r="F546" s="1" t="s">
        <v>45</v>
      </c>
      <c r="G546" s="2">
        <v>4.57</v>
      </c>
      <c r="H546">
        <v>4.57</v>
      </c>
      <c r="I546">
        <v>4.6174910000000002</v>
      </c>
      <c r="J546">
        <v>6.07</v>
      </c>
      <c r="K546">
        <v>59</v>
      </c>
      <c r="L546" s="2">
        <v>58</v>
      </c>
      <c r="M546">
        <v>650</v>
      </c>
      <c r="N546" s="2">
        <v>1447</v>
      </c>
      <c r="O546">
        <v>6681.51</v>
      </c>
      <c r="P546">
        <v>117</v>
      </c>
      <c r="Q546">
        <v>1330</v>
      </c>
      <c r="R546">
        <v>9.6300000000000008</v>
      </c>
      <c r="S546">
        <v>1</v>
      </c>
      <c r="T546">
        <v>898</v>
      </c>
      <c r="U546" s="2">
        <v>5450.86</v>
      </c>
      <c r="V546">
        <v>0</v>
      </c>
      <c r="W546" t="s">
        <v>29</v>
      </c>
      <c r="X546" t="str">
        <f>IF(Table2[[#This Row],[Qty available]]&gt;Table2[[#This Row],[Qty on hand]],"Check","OK")</f>
        <v>OK</v>
      </c>
    </row>
    <row r="547" spans="1:24" x14ac:dyDescent="0.3">
      <c r="A547" t="s">
        <v>105</v>
      </c>
      <c r="B547" t="s">
        <v>106</v>
      </c>
      <c r="C547" t="s">
        <v>77</v>
      </c>
      <c r="D547" t="s">
        <v>78</v>
      </c>
      <c r="E547" t="s">
        <v>27</v>
      </c>
      <c r="F547" s="1" t="s">
        <v>46</v>
      </c>
      <c r="G547" s="2">
        <v>4.5999999999999996</v>
      </c>
      <c r="H547">
        <v>4.5999999999999996</v>
      </c>
      <c r="I547">
        <v>4.6159400000000002</v>
      </c>
      <c r="J547">
        <v>6.26</v>
      </c>
      <c r="K547">
        <v>59</v>
      </c>
      <c r="L547" s="2">
        <v>57</v>
      </c>
      <c r="M547">
        <v>141</v>
      </c>
      <c r="N547" s="2">
        <v>803</v>
      </c>
      <c r="O547">
        <v>3706.6</v>
      </c>
      <c r="P547">
        <v>70</v>
      </c>
      <c r="Q547">
        <v>733</v>
      </c>
      <c r="R547">
        <v>4.87</v>
      </c>
      <c r="S547">
        <v>0</v>
      </c>
      <c r="T547">
        <v>785</v>
      </c>
      <c r="U547" s="2">
        <v>4914.1000000000004</v>
      </c>
      <c r="V547">
        <v>0</v>
      </c>
      <c r="W547" t="s">
        <v>29</v>
      </c>
      <c r="X547" t="str">
        <f>IF(Table2[[#This Row],[Qty available]]&gt;Table2[[#This Row],[Qty on hand]],"Check","OK")</f>
        <v>OK</v>
      </c>
    </row>
    <row r="548" spans="1:24" x14ac:dyDescent="0.3">
      <c r="A548" t="s">
        <v>105</v>
      </c>
      <c r="B548" t="s">
        <v>106</v>
      </c>
      <c r="C548" t="s">
        <v>77</v>
      </c>
      <c r="D548" t="s">
        <v>78</v>
      </c>
      <c r="E548" t="s">
        <v>27</v>
      </c>
      <c r="F548" s="1" t="s">
        <v>47</v>
      </c>
      <c r="G548" s="2">
        <v>4.79</v>
      </c>
      <c r="H548">
        <v>4.79</v>
      </c>
      <c r="I548">
        <v>4.6159319999999999</v>
      </c>
      <c r="J548">
        <v>6.26</v>
      </c>
      <c r="K548">
        <v>59</v>
      </c>
      <c r="M548">
        <v>0</v>
      </c>
      <c r="N548" s="2">
        <v>295</v>
      </c>
      <c r="O548">
        <v>1361.7</v>
      </c>
      <c r="P548">
        <v>140</v>
      </c>
      <c r="Q548">
        <v>155</v>
      </c>
      <c r="R548">
        <v>1.73</v>
      </c>
      <c r="S548">
        <v>0</v>
      </c>
      <c r="T548">
        <v>508</v>
      </c>
      <c r="U548" s="2">
        <v>3180.08</v>
      </c>
      <c r="V548">
        <v>0</v>
      </c>
      <c r="W548" t="s">
        <v>29</v>
      </c>
      <c r="X548" t="str">
        <f>IF(Table2[[#This Row],[Qty available]]&gt;Table2[[#This Row],[Qty on hand]],"Check","OK")</f>
        <v>OK</v>
      </c>
    </row>
    <row r="549" spans="1:24" x14ac:dyDescent="0.3">
      <c r="A549" t="s">
        <v>105</v>
      </c>
      <c r="B549" t="s">
        <v>106</v>
      </c>
      <c r="C549" t="s">
        <v>77</v>
      </c>
      <c r="D549" t="s">
        <v>78</v>
      </c>
      <c r="E549" t="s">
        <v>27</v>
      </c>
      <c r="F549" s="1" t="s">
        <v>48</v>
      </c>
      <c r="G549" s="2">
        <v>4.78</v>
      </c>
      <c r="H549">
        <v>4.78</v>
      </c>
      <c r="I549">
        <v>4.7587380000000001</v>
      </c>
      <c r="J549">
        <v>6.26</v>
      </c>
      <c r="K549">
        <v>59</v>
      </c>
      <c r="L549" s="2">
        <v>54</v>
      </c>
      <c r="M549">
        <v>1981</v>
      </c>
      <c r="N549" s="2">
        <v>1434</v>
      </c>
      <c r="O549">
        <v>6824.03</v>
      </c>
      <c r="P549">
        <v>70</v>
      </c>
      <c r="Q549">
        <v>1364</v>
      </c>
      <c r="R549">
        <v>8.5399999999999991</v>
      </c>
      <c r="S549">
        <v>3</v>
      </c>
      <c r="T549">
        <v>842</v>
      </c>
      <c r="U549" s="2">
        <v>5270.92</v>
      </c>
      <c r="V549">
        <v>0</v>
      </c>
      <c r="W549" t="s">
        <v>29</v>
      </c>
      <c r="X549" t="str">
        <f>IF(Table2[[#This Row],[Qty available]]&gt;Table2[[#This Row],[Qty on hand]],"Check","OK")</f>
        <v>OK</v>
      </c>
    </row>
    <row r="550" spans="1:24" x14ac:dyDescent="0.3">
      <c r="A550" t="s">
        <v>105</v>
      </c>
      <c r="B550" t="s">
        <v>106</v>
      </c>
      <c r="C550" t="s">
        <v>77</v>
      </c>
      <c r="D550" t="s">
        <v>78</v>
      </c>
      <c r="E550" t="s">
        <v>27</v>
      </c>
      <c r="F550" s="1" t="s">
        <v>49</v>
      </c>
      <c r="G550" s="2">
        <v>4.79</v>
      </c>
      <c r="H550">
        <v>4.79</v>
      </c>
      <c r="I550">
        <v>4.7660150000000003</v>
      </c>
      <c r="J550">
        <v>6.26</v>
      </c>
      <c r="K550">
        <v>59</v>
      </c>
      <c r="L550" s="2">
        <v>51</v>
      </c>
      <c r="M550">
        <v>435</v>
      </c>
      <c r="N550" s="2">
        <v>1049</v>
      </c>
      <c r="O550">
        <v>4999.55</v>
      </c>
      <c r="P550">
        <v>93</v>
      </c>
      <c r="Q550">
        <v>956</v>
      </c>
      <c r="R550">
        <v>6.35</v>
      </c>
      <c r="S550">
        <v>0</v>
      </c>
      <c r="T550">
        <v>820</v>
      </c>
      <c r="U550" s="2">
        <v>5133.2</v>
      </c>
      <c r="V550">
        <v>0</v>
      </c>
      <c r="W550" t="s">
        <v>29</v>
      </c>
      <c r="X550" t="str">
        <f>IF(Table2[[#This Row],[Qty available]]&gt;Table2[[#This Row],[Qty on hand]],"Check","OK")</f>
        <v>OK</v>
      </c>
    </row>
    <row r="551" spans="1:24" x14ac:dyDescent="0.3">
      <c r="A551" t="s">
        <v>105</v>
      </c>
      <c r="B551" t="s">
        <v>106</v>
      </c>
      <c r="C551" t="s">
        <v>77</v>
      </c>
      <c r="D551" t="s">
        <v>78</v>
      </c>
      <c r="E551" t="s">
        <v>27</v>
      </c>
      <c r="F551" s="1" t="s">
        <v>50</v>
      </c>
      <c r="G551" s="2">
        <v>4.8499999999999996</v>
      </c>
      <c r="H551">
        <v>4.8499999999999996</v>
      </c>
      <c r="I551">
        <v>4.7660090000000004</v>
      </c>
      <c r="J551">
        <v>6.26</v>
      </c>
      <c r="K551">
        <v>59</v>
      </c>
      <c r="M551">
        <v>0</v>
      </c>
      <c r="N551" s="2">
        <v>456</v>
      </c>
      <c r="O551">
        <v>2173.3000000000002</v>
      </c>
      <c r="P551">
        <v>117</v>
      </c>
      <c r="Q551">
        <v>339</v>
      </c>
      <c r="R551">
        <v>2.63</v>
      </c>
      <c r="S551">
        <v>0</v>
      </c>
      <c r="T551">
        <v>593</v>
      </c>
      <c r="U551" s="2">
        <v>3712.18</v>
      </c>
      <c r="V551">
        <v>0</v>
      </c>
      <c r="W551" t="s">
        <v>29</v>
      </c>
      <c r="X551" t="str">
        <f>IF(Table2[[#This Row],[Qty available]]&gt;Table2[[#This Row],[Qty on hand]],"Check","OK")</f>
        <v>OK</v>
      </c>
    </row>
    <row r="552" spans="1:24" x14ac:dyDescent="0.3">
      <c r="A552" t="s">
        <v>105</v>
      </c>
      <c r="B552" t="s">
        <v>106</v>
      </c>
      <c r="C552" t="s">
        <v>77</v>
      </c>
      <c r="D552" t="s">
        <v>78</v>
      </c>
      <c r="E552" t="s">
        <v>27</v>
      </c>
      <c r="F552" s="1" t="s">
        <v>51</v>
      </c>
      <c r="G552" s="2">
        <v>4.82</v>
      </c>
      <c r="H552">
        <v>4.82</v>
      </c>
      <c r="I552">
        <v>4.7844220000000002</v>
      </c>
      <c r="J552">
        <v>6.26</v>
      </c>
      <c r="K552">
        <v>59</v>
      </c>
      <c r="L552" s="2">
        <v>57</v>
      </c>
      <c r="M552">
        <v>236</v>
      </c>
      <c r="N552" s="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692</v>
      </c>
      <c r="U552" s="2">
        <v>4331.92</v>
      </c>
      <c r="V552">
        <v>445</v>
      </c>
      <c r="W552" t="s">
        <v>59</v>
      </c>
      <c r="X552" t="str">
        <f>IF(Table2[[#This Row],[Qty available]]&gt;Table2[[#This Row],[Qty on hand]],"Check","OK")</f>
        <v>OK</v>
      </c>
    </row>
    <row r="553" spans="1:24" x14ac:dyDescent="0.3">
      <c r="A553" t="s">
        <v>105</v>
      </c>
      <c r="B553" t="s">
        <v>106</v>
      </c>
      <c r="C553" t="s">
        <v>77</v>
      </c>
      <c r="D553" t="s">
        <v>78</v>
      </c>
      <c r="E553" t="s">
        <v>27</v>
      </c>
      <c r="F553" s="1" t="s">
        <v>52</v>
      </c>
      <c r="G553" s="2">
        <v>4.9000000000000004</v>
      </c>
      <c r="H553">
        <v>4.9000000000000004</v>
      </c>
      <c r="I553">
        <v>4.9000000000000004</v>
      </c>
      <c r="J553">
        <v>6.26</v>
      </c>
      <c r="K553">
        <v>59</v>
      </c>
      <c r="L553" s="2">
        <v>53</v>
      </c>
      <c r="M553">
        <v>1508</v>
      </c>
      <c r="N553" s="2">
        <v>1069</v>
      </c>
      <c r="O553">
        <v>5238.1000000000004</v>
      </c>
      <c r="P553">
        <v>233</v>
      </c>
      <c r="Q553">
        <v>836</v>
      </c>
      <c r="R553">
        <v>8.15</v>
      </c>
      <c r="S553">
        <v>3</v>
      </c>
      <c r="T553">
        <v>439</v>
      </c>
      <c r="U553" s="2">
        <v>2748.14</v>
      </c>
      <c r="V553">
        <v>0</v>
      </c>
      <c r="W553" t="s">
        <v>29</v>
      </c>
      <c r="X553" t="str">
        <f>IF(Table2[[#This Row],[Qty available]]&gt;Table2[[#This Row],[Qty on hand]],"Check","OK")</f>
        <v>OK</v>
      </c>
    </row>
    <row r="554" spans="1:24" x14ac:dyDescent="0.3">
      <c r="A554" t="s">
        <v>107</v>
      </c>
      <c r="B554" t="s">
        <v>108</v>
      </c>
      <c r="C554" t="s">
        <v>77</v>
      </c>
      <c r="D554" t="s">
        <v>78</v>
      </c>
      <c r="E554" t="s">
        <v>66</v>
      </c>
      <c r="F554" s="1" t="s">
        <v>28</v>
      </c>
      <c r="G554" s="2">
        <v>165.74</v>
      </c>
      <c r="H554">
        <v>176.65</v>
      </c>
      <c r="I554">
        <v>174.028987</v>
      </c>
      <c r="J554">
        <v>233.69</v>
      </c>
      <c r="K554">
        <v>49</v>
      </c>
      <c r="L554" s="2">
        <v>46</v>
      </c>
      <c r="M554">
        <v>22</v>
      </c>
      <c r="N554" s="2">
        <v>79</v>
      </c>
      <c r="O554">
        <v>13748.29</v>
      </c>
      <c r="P554">
        <v>5</v>
      </c>
      <c r="Q554">
        <v>74</v>
      </c>
      <c r="R554">
        <v>15.05</v>
      </c>
      <c r="S554">
        <v>0</v>
      </c>
      <c r="T554">
        <v>26</v>
      </c>
      <c r="U554" s="2">
        <v>6075.94</v>
      </c>
      <c r="V554">
        <v>0</v>
      </c>
      <c r="W554" t="s">
        <v>29</v>
      </c>
      <c r="X554" t="str">
        <f>IF(Table2[[#This Row],[Qty available]]&gt;Table2[[#This Row],[Qty on hand]],"Check","OK")</f>
        <v>OK</v>
      </c>
    </row>
    <row r="555" spans="1:24" x14ac:dyDescent="0.3">
      <c r="A555" t="s">
        <v>107</v>
      </c>
      <c r="B555" t="s">
        <v>108</v>
      </c>
      <c r="C555" t="s">
        <v>77</v>
      </c>
      <c r="D555" t="s">
        <v>78</v>
      </c>
      <c r="E555" t="s">
        <v>66</v>
      </c>
      <c r="F555" s="1" t="s">
        <v>30</v>
      </c>
      <c r="G555" s="2">
        <v>166.68</v>
      </c>
      <c r="H555">
        <v>177.65</v>
      </c>
      <c r="I555">
        <v>174.028909</v>
      </c>
      <c r="J555">
        <v>233.69</v>
      </c>
      <c r="K555">
        <v>49</v>
      </c>
      <c r="M555">
        <v>0</v>
      </c>
      <c r="N555" s="2">
        <v>55</v>
      </c>
      <c r="O555">
        <v>9571.59</v>
      </c>
      <c r="P555">
        <v>7</v>
      </c>
      <c r="Q555">
        <v>48</v>
      </c>
      <c r="R555">
        <v>11.12</v>
      </c>
      <c r="S555">
        <v>5</v>
      </c>
      <c r="T555">
        <v>24</v>
      </c>
      <c r="U555" s="2">
        <v>5608.56</v>
      </c>
      <c r="V555">
        <v>0</v>
      </c>
      <c r="W555" t="s">
        <v>29</v>
      </c>
      <c r="X555" t="str">
        <f>IF(Table2[[#This Row],[Qty available]]&gt;Table2[[#This Row],[Qty on hand]],"Check","OK")</f>
        <v>OK</v>
      </c>
    </row>
    <row r="556" spans="1:24" x14ac:dyDescent="0.3">
      <c r="A556" t="s">
        <v>107</v>
      </c>
      <c r="B556" t="s">
        <v>108</v>
      </c>
      <c r="C556" t="s">
        <v>77</v>
      </c>
      <c r="D556" t="s">
        <v>78</v>
      </c>
      <c r="E556" t="s">
        <v>66</v>
      </c>
      <c r="F556" s="1" t="s">
        <v>31</v>
      </c>
      <c r="G556" s="2">
        <v>163.69</v>
      </c>
      <c r="H556">
        <v>174.46</v>
      </c>
      <c r="I556">
        <v>174.18100000000001</v>
      </c>
      <c r="J556">
        <v>233.69</v>
      </c>
      <c r="K556">
        <v>49</v>
      </c>
      <c r="L556" s="2">
        <v>43</v>
      </c>
      <c r="M556">
        <v>30</v>
      </c>
      <c r="N556" s="2">
        <v>50</v>
      </c>
      <c r="O556">
        <v>8709.0499999999993</v>
      </c>
      <c r="P556">
        <v>9</v>
      </c>
      <c r="Q556">
        <v>41</v>
      </c>
      <c r="R556">
        <v>7.65</v>
      </c>
      <c r="S556">
        <v>0</v>
      </c>
      <c r="T556">
        <v>35</v>
      </c>
      <c r="U556" s="2">
        <v>8179.15</v>
      </c>
      <c r="V556">
        <v>0</v>
      </c>
      <c r="W556" t="s">
        <v>29</v>
      </c>
      <c r="X556" t="str">
        <f>IF(Table2[[#This Row],[Qty available]]&gt;Table2[[#This Row],[Qty on hand]],"Check","OK")</f>
        <v>OK</v>
      </c>
    </row>
    <row r="557" spans="1:24" x14ac:dyDescent="0.3">
      <c r="A557" t="s">
        <v>107</v>
      </c>
      <c r="B557" t="s">
        <v>108</v>
      </c>
      <c r="C557" t="s">
        <v>77</v>
      </c>
      <c r="D557" t="s">
        <v>78</v>
      </c>
      <c r="E557" t="s">
        <v>66</v>
      </c>
      <c r="F557" s="1" t="s">
        <v>32</v>
      </c>
      <c r="G557" s="2">
        <v>165.09</v>
      </c>
      <c r="H557">
        <v>175.96</v>
      </c>
      <c r="I557">
        <v>174.18087</v>
      </c>
      <c r="J557">
        <v>233.69</v>
      </c>
      <c r="K557">
        <v>49</v>
      </c>
      <c r="M557">
        <v>0</v>
      </c>
      <c r="N557" s="2">
        <v>23</v>
      </c>
      <c r="O557">
        <v>4006.16</v>
      </c>
      <c r="P557">
        <v>7</v>
      </c>
      <c r="Q557">
        <v>16</v>
      </c>
      <c r="R557">
        <v>3.51</v>
      </c>
      <c r="S557">
        <v>4</v>
      </c>
      <c r="T557">
        <v>27</v>
      </c>
      <c r="U557" s="2">
        <v>6309.63</v>
      </c>
      <c r="V557">
        <v>0</v>
      </c>
      <c r="W557" t="s">
        <v>29</v>
      </c>
      <c r="X557" t="str">
        <f>IF(Table2[[#This Row],[Qty available]]&gt;Table2[[#This Row],[Qty on hand]],"Check","OK")</f>
        <v>OK</v>
      </c>
    </row>
    <row r="558" spans="1:24" x14ac:dyDescent="0.3">
      <c r="A558" t="s">
        <v>107</v>
      </c>
      <c r="B558" t="s">
        <v>108</v>
      </c>
      <c r="C558" t="s">
        <v>77</v>
      </c>
      <c r="D558" t="s">
        <v>78</v>
      </c>
      <c r="E558" t="s">
        <v>66</v>
      </c>
      <c r="F558" s="1" t="s">
        <v>33</v>
      </c>
      <c r="G558" s="2">
        <v>164.45</v>
      </c>
      <c r="H558">
        <v>175.27</v>
      </c>
      <c r="I558">
        <v>174.83812499999999</v>
      </c>
      <c r="J558">
        <v>233.69</v>
      </c>
      <c r="K558">
        <v>49</v>
      </c>
      <c r="L558" s="2">
        <v>83</v>
      </c>
      <c r="M558">
        <v>35</v>
      </c>
      <c r="N558" s="2">
        <v>48</v>
      </c>
      <c r="O558">
        <v>8392.23</v>
      </c>
      <c r="P558">
        <v>5</v>
      </c>
      <c r="Q558">
        <v>43</v>
      </c>
      <c r="R558">
        <v>8.76</v>
      </c>
      <c r="S558">
        <v>1</v>
      </c>
      <c r="T558">
        <v>10</v>
      </c>
      <c r="U558" s="2">
        <v>2336.9</v>
      </c>
      <c r="V558">
        <v>0</v>
      </c>
      <c r="W558" t="s">
        <v>29</v>
      </c>
      <c r="X558" t="str">
        <f>IF(Table2[[#This Row],[Qty available]]&gt;Table2[[#This Row],[Qty on hand]],"Check","OK")</f>
        <v>OK</v>
      </c>
    </row>
    <row r="559" spans="1:24" x14ac:dyDescent="0.3">
      <c r="A559" t="s">
        <v>107</v>
      </c>
      <c r="B559" t="s">
        <v>108</v>
      </c>
      <c r="C559" t="s">
        <v>77</v>
      </c>
      <c r="D559" t="s">
        <v>78</v>
      </c>
      <c r="E559" t="s">
        <v>66</v>
      </c>
      <c r="F559" s="1" t="s">
        <v>34</v>
      </c>
      <c r="G559" s="2">
        <v>166.83</v>
      </c>
      <c r="H559">
        <v>177.81</v>
      </c>
      <c r="I559">
        <v>176.52492799999999</v>
      </c>
      <c r="J559">
        <v>240.13</v>
      </c>
      <c r="K559">
        <v>49</v>
      </c>
      <c r="L559" s="2">
        <v>48</v>
      </c>
      <c r="M559">
        <v>63</v>
      </c>
      <c r="N559" s="2">
        <v>69</v>
      </c>
      <c r="O559">
        <v>12180.22</v>
      </c>
      <c r="P559">
        <v>2</v>
      </c>
      <c r="Q559">
        <v>67</v>
      </c>
      <c r="R559">
        <v>11.23</v>
      </c>
      <c r="S559">
        <v>4</v>
      </c>
      <c r="T559">
        <v>42</v>
      </c>
      <c r="U559" s="2">
        <v>10085.459999999999</v>
      </c>
      <c r="V559">
        <v>0</v>
      </c>
      <c r="W559" t="s">
        <v>29</v>
      </c>
      <c r="X559" t="str">
        <f>IF(Table2[[#This Row],[Qty available]]&gt;Table2[[#This Row],[Qty on hand]],"Check","OK")</f>
        <v>OK</v>
      </c>
    </row>
    <row r="560" spans="1:24" x14ac:dyDescent="0.3">
      <c r="A560" t="s">
        <v>107</v>
      </c>
      <c r="B560" t="s">
        <v>108</v>
      </c>
      <c r="C560" t="s">
        <v>77</v>
      </c>
      <c r="D560" t="s">
        <v>78</v>
      </c>
      <c r="E560" t="s">
        <v>66</v>
      </c>
      <c r="F560" s="1" t="s">
        <v>35</v>
      </c>
      <c r="G560" s="2">
        <v>176.65</v>
      </c>
      <c r="H560">
        <v>188.28</v>
      </c>
      <c r="I560">
        <v>179.26777799999999</v>
      </c>
      <c r="J560">
        <v>240.13</v>
      </c>
      <c r="K560">
        <v>49</v>
      </c>
      <c r="L560" s="2">
        <v>45</v>
      </c>
      <c r="M560">
        <v>21</v>
      </c>
      <c r="N560" s="2">
        <v>63</v>
      </c>
      <c r="O560">
        <v>11293.87</v>
      </c>
      <c r="P560">
        <v>5</v>
      </c>
      <c r="Q560">
        <v>58</v>
      </c>
      <c r="R560">
        <v>10.25</v>
      </c>
      <c r="S560">
        <v>2</v>
      </c>
      <c r="T560">
        <v>27</v>
      </c>
      <c r="U560" s="2">
        <v>6483.51</v>
      </c>
      <c r="V560">
        <v>0</v>
      </c>
      <c r="W560" t="s">
        <v>29</v>
      </c>
      <c r="X560" t="str">
        <f>IF(Table2[[#This Row],[Qty available]]&gt;Table2[[#This Row],[Qty on hand]],"Check","OK")</f>
        <v>OK</v>
      </c>
    </row>
    <row r="561" spans="1:24" x14ac:dyDescent="0.3">
      <c r="A561" t="s">
        <v>107</v>
      </c>
      <c r="B561" t="s">
        <v>108</v>
      </c>
      <c r="C561" t="s">
        <v>77</v>
      </c>
      <c r="D561" t="s">
        <v>78</v>
      </c>
      <c r="E561" t="s">
        <v>66</v>
      </c>
      <c r="F561" s="1" t="s">
        <v>36</v>
      </c>
      <c r="G561" s="2">
        <v>173.96</v>
      </c>
      <c r="H561">
        <v>185.41</v>
      </c>
      <c r="I561">
        <v>179.26766699999999</v>
      </c>
      <c r="J561">
        <v>240.13</v>
      </c>
      <c r="K561">
        <v>49</v>
      </c>
      <c r="M561">
        <v>0</v>
      </c>
      <c r="N561" s="2">
        <v>30</v>
      </c>
      <c r="O561">
        <v>5378.03</v>
      </c>
      <c r="P561">
        <v>6</v>
      </c>
      <c r="Q561">
        <v>24</v>
      </c>
      <c r="R561">
        <v>3.74</v>
      </c>
      <c r="S561">
        <v>5</v>
      </c>
      <c r="T561">
        <v>33</v>
      </c>
      <c r="U561" s="2">
        <v>7924.29</v>
      </c>
      <c r="V561">
        <v>0</v>
      </c>
      <c r="W561" t="s">
        <v>29</v>
      </c>
      <c r="X561" t="str">
        <f>IF(Table2[[#This Row],[Qty available]]&gt;Table2[[#This Row],[Qty on hand]],"Check","OK")</f>
        <v>OK</v>
      </c>
    </row>
    <row r="562" spans="1:24" x14ac:dyDescent="0.3">
      <c r="A562" t="s">
        <v>107</v>
      </c>
      <c r="B562" t="s">
        <v>108</v>
      </c>
      <c r="C562" t="s">
        <v>77</v>
      </c>
      <c r="D562" t="s">
        <v>78</v>
      </c>
      <c r="E562" t="s">
        <v>66</v>
      </c>
      <c r="F562" s="1" t="s">
        <v>37</v>
      </c>
      <c r="G562" s="2">
        <v>172.37</v>
      </c>
      <c r="H562">
        <v>183.72</v>
      </c>
      <c r="I562">
        <v>182.29896600000001</v>
      </c>
      <c r="J562">
        <v>240.13</v>
      </c>
      <c r="K562">
        <v>49</v>
      </c>
      <c r="L562" s="2">
        <v>47</v>
      </c>
      <c r="M562">
        <v>64</v>
      </c>
      <c r="N562" s="2">
        <v>58</v>
      </c>
      <c r="O562">
        <v>10573.34</v>
      </c>
      <c r="P562">
        <v>5</v>
      </c>
      <c r="Q562">
        <v>53</v>
      </c>
      <c r="R562">
        <v>7.94</v>
      </c>
      <c r="S562">
        <v>1</v>
      </c>
      <c r="T562">
        <v>36</v>
      </c>
      <c r="U562" s="2">
        <v>8644.68</v>
      </c>
      <c r="V562">
        <v>0</v>
      </c>
      <c r="W562" t="s">
        <v>29</v>
      </c>
      <c r="X562" t="str">
        <f>IF(Table2[[#This Row],[Qty available]]&gt;Table2[[#This Row],[Qty on hand]],"Check","OK")</f>
        <v>OK</v>
      </c>
    </row>
    <row r="563" spans="1:24" x14ac:dyDescent="0.3">
      <c r="A563" t="s">
        <v>107</v>
      </c>
      <c r="B563" t="s">
        <v>108</v>
      </c>
      <c r="C563" t="s">
        <v>77</v>
      </c>
      <c r="D563" t="s">
        <v>78</v>
      </c>
      <c r="E563" t="s">
        <v>66</v>
      </c>
      <c r="F563" s="1" t="s">
        <v>38</v>
      </c>
      <c r="G563" s="2">
        <v>175.71</v>
      </c>
      <c r="H563">
        <v>187.28</v>
      </c>
      <c r="I563">
        <v>183.88124999999999</v>
      </c>
      <c r="J563">
        <v>240.13</v>
      </c>
      <c r="K563">
        <v>49</v>
      </c>
      <c r="L563" s="2">
        <v>45</v>
      </c>
      <c r="M563">
        <v>27</v>
      </c>
      <c r="N563" s="2">
        <v>48</v>
      </c>
      <c r="O563">
        <v>8826.2999999999993</v>
      </c>
      <c r="P563">
        <v>8</v>
      </c>
      <c r="Q563">
        <v>40</v>
      </c>
      <c r="R563">
        <v>5.89</v>
      </c>
      <c r="S563">
        <v>4</v>
      </c>
      <c r="T563">
        <v>37</v>
      </c>
      <c r="U563" s="2">
        <v>8884.81</v>
      </c>
      <c r="V563">
        <v>0</v>
      </c>
      <c r="W563" t="s">
        <v>29</v>
      </c>
      <c r="X563" t="str">
        <f>IF(Table2[[#This Row],[Qty available]]&gt;Table2[[#This Row],[Qty on hand]],"Check","OK")</f>
        <v>OK</v>
      </c>
    </row>
    <row r="564" spans="1:24" x14ac:dyDescent="0.3">
      <c r="A564" t="s">
        <v>107</v>
      </c>
      <c r="B564" t="s">
        <v>108</v>
      </c>
      <c r="C564" t="s">
        <v>77</v>
      </c>
      <c r="D564" t="s">
        <v>78</v>
      </c>
      <c r="E564" t="s">
        <v>66</v>
      </c>
      <c r="F564" s="1" t="s">
        <v>39</v>
      </c>
      <c r="G564" s="2">
        <v>172.37</v>
      </c>
      <c r="H564">
        <v>183.72</v>
      </c>
      <c r="I564">
        <v>183.776489</v>
      </c>
      <c r="J564">
        <v>240.13</v>
      </c>
      <c r="K564">
        <v>49</v>
      </c>
      <c r="L564" s="2">
        <v>45</v>
      </c>
      <c r="M564">
        <v>89</v>
      </c>
      <c r="N564" s="2">
        <v>131</v>
      </c>
      <c r="O564">
        <v>24074.720000000001</v>
      </c>
      <c r="P564">
        <v>5</v>
      </c>
      <c r="Q564">
        <v>126</v>
      </c>
      <c r="R564">
        <v>21.79</v>
      </c>
      <c r="S564">
        <v>11</v>
      </c>
      <c r="T564">
        <v>6</v>
      </c>
      <c r="U564" s="2">
        <v>1440.78</v>
      </c>
      <c r="V564">
        <v>0</v>
      </c>
      <c r="W564" t="s">
        <v>29</v>
      </c>
      <c r="X564" t="str">
        <f>IF(Table2[[#This Row],[Qty available]]&gt;Table2[[#This Row],[Qty on hand]],"Check","OK")</f>
        <v>OK</v>
      </c>
    </row>
    <row r="565" spans="1:24" x14ac:dyDescent="0.3">
      <c r="A565" t="s">
        <v>107</v>
      </c>
      <c r="B565" t="s">
        <v>108</v>
      </c>
      <c r="C565" t="s">
        <v>77</v>
      </c>
      <c r="D565" t="s">
        <v>78</v>
      </c>
      <c r="E565" t="s">
        <v>66</v>
      </c>
      <c r="F565" s="1" t="s">
        <v>40</v>
      </c>
      <c r="G565" s="2">
        <v>172.19</v>
      </c>
      <c r="H565">
        <v>183.52</v>
      </c>
      <c r="I565">
        <v>183.776522</v>
      </c>
      <c r="J565">
        <v>240.13</v>
      </c>
      <c r="K565">
        <v>49</v>
      </c>
      <c r="M565">
        <v>0</v>
      </c>
      <c r="N565" s="2">
        <v>92</v>
      </c>
      <c r="O565">
        <v>16907.439999999999</v>
      </c>
      <c r="P565">
        <v>5</v>
      </c>
      <c r="Q565">
        <v>87</v>
      </c>
      <c r="R565">
        <v>14.75</v>
      </c>
      <c r="S565">
        <v>1</v>
      </c>
      <c r="T565">
        <v>39</v>
      </c>
      <c r="U565" s="2">
        <v>9365.07</v>
      </c>
      <c r="V565">
        <v>0</v>
      </c>
      <c r="W565" t="s">
        <v>29</v>
      </c>
      <c r="X565" t="str">
        <f>IF(Table2[[#This Row],[Qty available]]&gt;Table2[[#This Row],[Qty on hand]],"Check","OK")</f>
        <v>OK</v>
      </c>
    </row>
    <row r="566" spans="1:24" x14ac:dyDescent="0.3">
      <c r="A566" t="s">
        <v>107</v>
      </c>
      <c r="B566" t="s">
        <v>108</v>
      </c>
      <c r="C566" t="s">
        <v>77</v>
      </c>
      <c r="D566" t="s">
        <v>78</v>
      </c>
      <c r="E566" t="s">
        <v>66</v>
      </c>
      <c r="F566" s="1" t="s">
        <v>41</v>
      </c>
      <c r="G566" s="2">
        <v>175.13</v>
      </c>
      <c r="H566">
        <v>186.66</v>
      </c>
      <c r="I566">
        <v>183.77656300000001</v>
      </c>
      <c r="J566">
        <v>240.13</v>
      </c>
      <c r="K566">
        <v>49</v>
      </c>
      <c r="M566">
        <v>0</v>
      </c>
      <c r="N566" s="2">
        <v>64</v>
      </c>
      <c r="O566">
        <v>11761.7</v>
      </c>
      <c r="P566">
        <v>7</v>
      </c>
      <c r="Q566">
        <v>57</v>
      </c>
      <c r="R566">
        <v>11.52</v>
      </c>
      <c r="S566">
        <v>11</v>
      </c>
      <c r="T566">
        <v>28</v>
      </c>
      <c r="U566" s="2">
        <v>6723.64</v>
      </c>
      <c r="V566">
        <v>0</v>
      </c>
      <c r="W566" t="s">
        <v>29</v>
      </c>
      <c r="X566" t="str">
        <f>IF(Table2[[#This Row],[Qty available]]&gt;Table2[[#This Row],[Qty on hand]],"Check","OK")</f>
        <v>OK</v>
      </c>
    </row>
    <row r="567" spans="1:24" x14ac:dyDescent="0.3">
      <c r="A567" t="s">
        <v>107</v>
      </c>
      <c r="B567" t="s">
        <v>108</v>
      </c>
      <c r="C567" t="s">
        <v>77</v>
      </c>
      <c r="D567" t="s">
        <v>78</v>
      </c>
      <c r="E567" t="s">
        <v>66</v>
      </c>
      <c r="F567" s="1" t="s">
        <v>42</v>
      </c>
      <c r="G567" s="2">
        <v>173.34</v>
      </c>
      <c r="H567">
        <v>184.75</v>
      </c>
      <c r="I567">
        <v>184.217477</v>
      </c>
      <c r="J567">
        <v>240.13</v>
      </c>
      <c r="K567">
        <v>49</v>
      </c>
      <c r="L567" s="2">
        <v>42</v>
      </c>
      <c r="M567">
        <v>53</v>
      </c>
      <c r="N567" s="2">
        <v>111</v>
      </c>
      <c r="O567">
        <v>20448.14</v>
      </c>
      <c r="P567">
        <v>4</v>
      </c>
      <c r="Q567">
        <v>107</v>
      </c>
      <c r="R567">
        <v>19.98</v>
      </c>
      <c r="S567">
        <v>2</v>
      </c>
      <c r="T567">
        <v>6</v>
      </c>
      <c r="U567" s="2">
        <v>1440.78</v>
      </c>
      <c r="V567">
        <v>0</v>
      </c>
      <c r="W567" t="s">
        <v>29</v>
      </c>
      <c r="X567" t="str">
        <f>IF(Table2[[#This Row],[Qty available]]&gt;Table2[[#This Row],[Qty on hand]],"Check","OK")</f>
        <v>OK</v>
      </c>
    </row>
    <row r="568" spans="1:24" x14ac:dyDescent="0.3">
      <c r="A568" t="s">
        <v>107</v>
      </c>
      <c r="B568" t="s">
        <v>108</v>
      </c>
      <c r="C568" t="s">
        <v>77</v>
      </c>
      <c r="D568" t="s">
        <v>78</v>
      </c>
      <c r="E568" t="s">
        <v>66</v>
      </c>
      <c r="F568" s="1" t="s">
        <v>43</v>
      </c>
      <c r="G568" s="2">
        <v>176.71</v>
      </c>
      <c r="H568">
        <v>188.34</v>
      </c>
      <c r="I568">
        <v>185.16219000000001</v>
      </c>
      <c r="J568">
        <v>240.13</v>
      </c>
      <c r="K568">
        <v>49</v>
      </c>
      <c r="L568" s="2">
        <v>45</v>
      </c>
      <c r="M568">
        <v>33</v>
      </c>
      <c r="N568" s="2">
        <v>137</v>
      </c>
      <c r="O568">
        <v>25367.22</v>
      </c>
      <c r="P568">
        <v>7</v>
      </c>
      <c r="Q568">
        <v>130</v>
      </c>
      <c r="R568">
        <v>43.44</v>
      </c>
      <c r="S568">
        <v>3</v>
      </c>
      <c r="T568">
        <v>7</v>
      </c>
      <c r="U568" s="2">
        <v>1680.91</v>
      </c>
      <c r="V568">
        <v>0</v>
      </c>
      <c r="W568" t="s">
        <v>29</v>
      </c>
      <c r="X568" t="str">
        <f>IF(Table2[[#This Row],[Qty available]]&gt;Table2[[#This Row],[Qty on hand]],"Check","OK")</f>
        <v>OK</v>
      </c>
    </row>
    <row r="569" spans="1:24" x14ac:dyDescent="0.3">
      <c r="A569" t="s">
        <v>107</v>
      </c>
      <c r="B569" t="s">
        <v>108</v>
      </c>
      <c r="C569" t="s">
        <v>77</v>
      </c>
      <c r="D569" t="s">
        <v>78</v>
      </c>
      <c r="E569" t="s">
        <v>66</v>
      </c>
      <c r="F569" s="1" t="s">
        <v>44</v>
      </c>
      <c r="G569" s="2">
        <v>174.76</v>
      </c>
      <c r="H569">
        <v>186.26</v>
      </c>
      <c r="I569">
        <v>185.162193</v>
      </c>
      <c r="J569">
        <v>240.13</v>
      </c>
      <c r="K569">
        <v>49</v>
      </c>
      <c r="M569">
        <v>0</v>
      </c>
      <c r="N569" s="2">
        <v>114</v>
      </c>
      <c r="O569">
        <v>21108.49</v>
      </c>
      <c r="P569">
        <v>3</v>
      </c>
      <c r="Q569">
        <v>111</v>
      </c>
      <c r="R569">
        <v>41.62</v>
      </c>
      <c r="S569">
        <v>0</v>
      </c>
      <c r="T569">
        <v>23</v>
      </c>
      <c r="U569" s="2">
        <v>5522.99</v>
      </c>
      <c r="V569">
        <v>0</v>
      </c>
      <c r="W569" t="s">
        <v>29</v>
      </c>
      <c r="X569" t="str">
        <f>IF(Table2[[#This Row],[Qty available]]&gt;Table2[[#This Row],[Qty on hand]],"Check","OK")</f>
        <v>OK</v>
      </c>
    </row>
    <row r="570" spans="1:24" x14ac:dyDescent="0.3">
      <c r="A570" t="s">
        <v>107</v>
      </c>
      <c r="B570" t="s">
        <v>108</v>
      </c>
      <c r="C570" t="s">
        <v>77</v>
      </c>
      <c r="D570" t="s">
        <v>78</v>
      </c>
      <c r="E570" t="s">
        <v>66</v>
      </c>
      <c r="F570" s="1" t="s">
        <v>45</v>
      </c>
      <c r="G570" s="2">
        <v>176.54</v>
      </c>
      <c r="H570">
        <v>188.16</v>
      </c>
      <c r="I570">
        <v>185.40393299999999</v>
      </c>
      <c r="J570">
        <v>240.13</v>
      </c>
      <c r="K570">
        <v>49</v>
      </c>
      <c r="L570" s="2">
        <v>43</v>
      </c>
      <c r="M570">
        <v>10</v>
      </c>
      <c r="N570" s="2">
        <v>89</v>
      </c>
      <c r="O570">
        <v>16500.95</v>
      </c>
      <c r="P570">
        <v>4</v>
      </c>
      <c r="Q570">
        <v>85</v>
      </c>
      <c r="R570">
        <v>18</v>
      </c>
      <c r="S570">
        <v>2</v>
      </c>
      <c r="T570">
        <v>35</v>
      </c>
      <c r="U570" s="2">
        <v>8404.5499999999993</v>
      </c>
      <c r="V570">
        <v>0</v>
      </c>
      <c r="W570" t="s">
        <v>29</v>
      </c>
      <c r="X570" t="str">
        <f>IF(Table2[[#This Row],[Qty available]]&gt;Table2[[#This Row],[Qty on hand]],"Check","OK")</f>
        <v>OK</v>
      </c>
    </row>
    <row r="571" spans="1:24" x14ac:dyDescent="0.3">
      <c r="A571" t="s">
        <v>107</v>
      </c>
      <c r="B571" t="s">
        <v>108</v>
      </c>
      <c r="C571" t="s">
        <v>77</v>
      </c>
      <c r="D571" t="s">
        <v>78</v>
      </c>
      <c r="E571" t="s">
        <v>66</v>
      </c>
      <c r="F571" s="1" t="s">
        <v>46</v>
      </c>
      <c r="G571" s="2">
        <v>174.87</v>
      </c>
      <c r="H571">
        <v>186.38</v>
      </c>
      <c r="I571">
        <v>185.403966</v>
      </c>
      <c r="J571">
        <v>246.75</v>
      </c>
      <c r="K571">
        <v>49</v>
      </c>
      <c r="M571">
        <v>0</v>
      </c>
      <c r="N571" s="2">
        <v>58</v>
      </c>
      <c r="O571">
        <v>10753.43</v>
      </c>
      <c r="P571">
        <v>3</v>
      </c>
      <c r="Q571">
        <v>55</v>
      </c>
      <c r="R571">
        <v>8.3800000000000008</v>
      </c>
      <c r="S571">
        <v>3</v>
      </c>
      <c r="T571">
        <v>31</v>
      </c>
      <c r="U571" s="2">
        <v>7649.25</v>
      </c>
      <c r="V571">
        <v>0</v>
      </c>
      <c r="W571" t="s">
        <v>29</v>
      </c>
      <c r="X571" t="str">
        <f>IF(Table2[[#This Row],[Qty available]]&gt;Table2[[#This Row],[Qty on hand]],"Check","OK")</f>
        <v>OK</v>
      </c>
    </row>
    <row r="572" spans="1:24" x14ac:dyDescent="0.3">
      <c r="A572" t="s">
        <v>107</v>
      </c>
      <c r="B572" t="s">
        <v>108</v>
      </c>
      <c r="C572" t="s">
        <v>77</v>
      </c>
      <c r="D572" t="s">
        <v>78</v>
      </c>
      <c r="E572" t="s">
        <v>66</v>
      </c>
      <c r="F572" s="1" t="s">
        <v>47</v>
      </c>
      <c r="G572" s="2">
        <v>181.5</v>
      </c>
      <c r="H572">
        <v>193.45</v>
      </c>
      <c r="I572">
        <v>187.467097</v>
      </c>
      <c r="J572">
        <v>246.75</v>
      </c>
      <c r="K572">
        <v>49</v>
      </c>
      <c r="L572" s="2">
        <v>43</v>
      </c>
      <c r="M572">
        <v>20</v>
      </c>
      <c r="N572" s="2">
        <v>31</v>
      </c>
      <c r="O572">
        <v>5811.48</v>
      </c>
      <c r="P572">
        <v>3</v>
      </c>
      <c r="Q572">
        <v>28</v>
      </c>
      <c r="R572">
        <v>3.53</v>
      </c>
      <c r="S572">
        <v>4</v>
      </c>
      <c r="T572">
        <v>47</v>
      </c>
      <c r="U572" s="2">
        <v>11597.25</v>
      </c>
      <c r="V572">
        <v>0</v>
      </c>
      <c r="W572" t="s">
        <v>29</v>
      </c>
      <c r="X572" t="str">
        <f>IF(Table2[[#This Row],[Qty available]]&gt;Table2[[#This Row],[Qty on hand]],"Check","OK")</f>
        <v>OK</v>
      </c>
    </row>
    <row r="573" spans="1:24" x14ac:dyDescent="0.3">
      <c r="A573" t="s">
        <v>107</v>
      </c>
      <c r="B573" t="s">
        <v>108</v>
      </c>
      <c r="C573" t="s">
        <v>77</v>
      </c>
      <c r="D573" t="s">
        <v>78</v>
      </c>
      <c r="E573" t="s">
        <v>66</v>
      </c>
      <c r="F573" s="1" t="s">
        <v>48</v>
      </c>
      <c r="G573" s="2">
        <v>187.08</v>
      </c>
      <c r="H573">
        <v>199.39</v>
      </c>
      <c r="I573">
        <v>196.119111</v>
      </c>
      <c r="J573">
        <v>246.75</v>
      </c>
      <c r="K573">
        <v>49</v>
      </c>
      <c r="L573" s="2">
        <v>42</v>
      </c>
      <c r="M573">
        <v>82</v>
      </c>
      <c r="N573" s="2">
        <v>90</v>
      </c>
      <c r="O573">
        <v>17650.72</v>
      </c>
      <c r="P573">
        <v>5</v>
      </c>
      <c r="Q573">
        <v>85</v>
      </c>
      <c r="R573">
        <v>11.33</v>
      </c>
      <c r="S573">
        <v>5</v>
      </c>
      <c r="T573">
        <v>23</v>
      </c>
      <c r="U573" s="2">
        <v>5675.25</v>
      </c>
      <c r="V573">
        <v>0</v>
      </c>
      <c r="W573" t="s">
        <v>29</v>
      </c>
      <c r="X573" t="str">
        <f>IF(Table2[[#This Row],[Qty available]]&gt;Table2[[#This Row],[Qty on hand]],"Check","OK")</f>
        <v>OK</v>
      </c>
    </row>
    <row r="574" spans="1:24" x14ac:dyDescent="0.3">
      <c r="A574" t="s">
        <v>107</v>
      </c>
      <c r="B574" t="s">
        <v>108</v>
      </c>
      <c r="C574" t="s">
        <v>77</v>
      </c>
      <c r="D574" t="s">
        <v>78</v>
      </c>
      <c r="E574" t="s">
        <v>66</v>
      </c>
      <c r="F574" s="1" t="s">
        <v>49</v>
      </c>
      <c r="G574" s="2">
        <v>184.62</v>
      </c>
      <c r="H574">
        <v>196.77</v>
      </c>
      <c r="I574">
        <v>196.119032</v>
      </c>
      <c r="J574">
        <v>246.75</v>
      </c>
      <c r="K574">
        <v>49</v>
      </c>
      <c r="M574">
        <v>0</v>
      </c>
      <c r="N574" s="2">
        <v>62</v>
      </c>
      <c r="O574">
        <v>12159.38</v>
      </c>
      <c r="P574">
        <v>5</v>
      </c>
      <c r="Q574">
        <v>57</v>
      </c>
      <c r="R574">
        <v>8.31</v>
      </c>
      <c r="S574">
        <v>10</v>
      </c>
      <c r="T574">
        <v>28</v>
      </c>
      <c r="U574" s="2">
        <v>6909</v>
      </c>
      <c r="V574">
        <v>0</v>
      </c>
      <c r="W574" t="s">
        <v>29</v>
      </c>
      <c r="X574" t="str">
        <f>IF(Table2[[#This Row],[Qty available]]&gt;Table2[[#This Row],[Qty on hand]],"Check","OK")</f>
        <v>OK</v>
      </c>
    </row>
    <row r="575" spans="1:24" x14ac:dyDescent="0.3">
      <c r="A575" t="s">
        <v>107</v>
      </c>
      <c r="B575" t="s">
        <v>108</v>
      </c>
      <c r="C575" t="s">
        <v>77</v>
      </c>
      <c r="D575" t="s">
        <v>78</v>
      </c>
      <c r="E575" t="s">
        <v>66</v>
      </c>
      <c r="F575" s="1" t="s">
        <v>50</v>
      </c>
      <c r="G575" s="2">
        <v>181.95</v>
      </c>
      <c r="H575">
        <v>193.93</v>
      </c>
      <c r="I575">
        <v>196.118889</v>
      </c>
      <c r="J575">
        <v>246.75</v>
      </c>
      <c r="K575">
        <v>49</v>
      </c>
      <c r="M575">
        <v>0</v>
      </c>
      <c r="N575" s="2">
        <v>18</v>
      </c>
      <c r="O575">
        <v>3530.14</v>
      </c>
      <c r="P575">
        <v>4</v>
      </c>
      <c r="Q575">
        <v>14</v>
      </c>
      <c r="R575">
        <v>2.46</v>
      </c>
      <c r="S575">
        <v>5</v>
      </c>
      <c r="T575">
        <v>44</v>
      </c>
      <c r="U575" s="2">
        <v>10857</v>
      </c>
      <c r="V575">
        <v>0</v>
      </c>
      <c r="W575" t="s">
        <v>29</v>
      </c>
      <c r="X575" t="str">
        <f>IF(Table2[[#This Row],[Qty available]]&gt;Table2[[#This Row],[Qty on hand]],"Check","OK")</f>
        <v>OK</v>
      </c>
    </row>
    <row r="576" spans="1:24" x14ac:dyDescent="0.3">
      <c r="A576" t="s">
        <v>107</v>
      </c>
      <c r="B576" t="s">
        <v>108</v>
      </c>
      <c r="C576" t="s">
        <v>77</v>
      </c>
      <c r="D576" t="s">
        <v>78</v>
      </c>
      <c r="E576" t="s">
        <v>66</v>
      </c>
      <c r="F576" s="1" t="s">
        <v>51</v>
      </c>
      <c r="G576" s="2">
        <v>186.01</v>
      </c>
      <c r="H576">
        <v>198.25</v>
      </c>
      <c r="I576">
        <v>197.89805999999999</v>
      </c>
      <c r="J576">
        <v>246.75</v>
      </c>
      <c r="K576">
        <v>49</v>
      </c>
      <c r="L576" s="2">
        <v>46</v>
      </c>
      <c r="M576">
        <v>91</v>
      </c>
      <c r="N576" s="2">
        <v>67</v>
      </c>
      <c r="O576">
        <v>13259.17</v>
      </c>
      <c r="P576">
        <v>4</v>
      </c>
      <c r="Q576">
        <v>63</v>
      </c>
      <c r="R576">
        <v>7.72</v>
      </c>
      <c r="S576">
        <v>7</v>
      </c>
      <c r="T576">
        <v>42</v>
      </c>
      <c r="U576" s="2">
        <v>10363.5</v>
      </c>
      <c r="V576">
        <v>0</v>
      </c>
      <c r="W576" t="s">
        <v>29</v>
      </c>
      <c r="X576" t="str">
        <f>IF(Table2[[#This Row],[Qty available]]&gt;Table2[[#This Row],[Qty on hand]],"Check","OK")</f>
        <v>OK</v>
      </c>
    </row>
    <row r="577" spans="1:24" x14ac:dyDescent="0.3">
      <c r="A577" t="s">
        <v>107</v>
      </c>
      <c r="B577" t="s">
        <v>108</v>
      </c>
      <c r="C577" t="s">
        <v>77</v>
      </c>
      <c r="D577" t="s">
        <v>78</v>
      </c>
      <c r="E577" t="s">
        <v>66</v>
      </c>
      <c r="F577" s="1" t="s">
        <v>52</v>
      </c>
      <c r="G577" s="2">
        <v>184.56</v>
      </c>
      <c r="H577">
        <v>196.71</v>
      </c>
      <c r="I577">
        <v>197.897955</v>
      </c>
      <c r="J577">
        <v>246.75</v>
      </c>
      <c r="K577">
        <v>49</v>
      </c>
      <c r="M577">
        <v>0</v>
      </c>
      <c r="N577" s="2">
        <v>44</v>
      </c>
      <c r="O577">
        <v>8707.51</v>
      </c>
      <c r="P577">
        <v>6</v>
      </c>
      <c r="Q577">
        <v>38</v>
      </c>
      <c r="R577">
        <v>5.31</v>
      </c>
      <c r="S577">
        <v>5</v>
      </c>
      <c r="T577">
        <v>23</v>
      </c>
      <c r="U577" s="2">
        <v>5675.25</v>
      </c>
      <c r="V577">
        <v>0</v>
      </c>
      <c r="W577" t="s">
        <v>29</v>
      </c>
      <c r="X577" t="str">
        <f>IF(Table2[[#This Row],[Qty available]]&gt;Table2[[#This Row],[Qty on hand]],"Check","OK")</f>
        <v>OK</v>
      </c>
    </row>
    <row r="578" spans="1:24" x14ac:dyDescent="0.3">
      <c r="A578" t="s">
        <v>109</v>
      </c>
      <c r="B578" t="s">
        <v>110</v>
      </c>
      <c r="C578" t="s">
        <v>91</v>
      </c>
      <c r="D578" t="s">
        <v>92</v>
      </c>
      <c r="E578" t="s">
        <v>66</v>
      </c>
      <c r="F578" s="1" t="s">
        <v>28</v>
      </c>
      <c r="G578" s="2">
        <v>222.21</v>
      </c>
      <c r="H578">
        <v>222.21</v>
      </c>
      <c r="I578">
        <v>218.35</v>
      </c>
      <c r="J578">
        <v>320.12</v>
      </c>
      <c r="K578">
        <v>14</v>
      </c>
      <c r="M578">
        <v>0</v>
      </c>
      <c r="N578" s="2">
        <v>31</v>
      </c>
      <c r="O578">
        <v>6768.85</v>
      </c>
      <c r="P578">
        <v>12</v>
      </c>
      <c r="Q578">
        <v>19</v>
      </c>
      <c r="R578">
        <v>3.11</v>
      </c>
      <c r="S578">
        <v>2</v>
      </c>
      <c r="T578">
        <v>36</v>
      </c>
      <c r="U578" s="2">
        <v>11524.32</v>
      </c>
      <c r="V578">
        <v>0</v>
      </c>
      <c r="W578" t="s">
        <v>29</v>
      </c>
      <c r="X578" t="str">
        <f>IF(Table2[[#This Row],[Qty available]]&gt;Table2[[#This Row],[Qty on hand]],"Check","OK")</f>
        <v>OK</v>
      </c>
    </row>
    <row r="579" spans="1:24" x14ac:dyDescent="0.3">
      <c r="A579" t="s">
        <v>109</v>
      </c>
      <c r="B579" t="s">
        <v>110</v>
      </c>
      <c r="C579" t="s">
        <v>91</v>
      </c>
      <c r="D579" t="s">
        <v>92</v>
      </c>
      <c r="E579" t="s">
        <v>66</v>
      </c>
      <c r="F579" s="1" t="s">
        <v>30</v>
      </c>
      <c r="G579" s="2">
        <v>233.98</v>
      </c>
      <c r="H579">
        <v>233.98</v>
      </c>
      <c r="I579">
        <v>225.767674</v>
      </c>
      <c r="J579">
        <v>320.12</v>
      </c>
      <c r="K579">
        <v>14</v>
      </c>
      <c r="L579" s="2">
        <v>13</v>
      </c>
      <c r="M579">
        <v>28</v>
      </c>
      <c r="N579" s="2">
        <v>43</v>
      </c>
      <c r="O579">
        <v>9708.01</v>
      </c>
      <c r="P579">
        <v>5</v>
      </c>
      <c r="Q579">
        <v>38</v>
      </c>
      <c r="R579">
        <v>5.65</v>
      </c>
      <c r="S579">
        <v>8</v>
      </c>
      <c r="T579">
        <v>16</v>
      </c>
      <c r="U579" s="2">
        <v>5121.92</v>
      </c>
      <c r="V579">
        <v>0</v>
      </c>
      <c r="W579" t="s">
        <v>29</v>
      </c>
      <c r="X579" t="str">
        <f>IF(Table2[[#This Row],[Qty available]]&gt;Table2[[#This Row],[Qty on hand]],"Check","OK")</f>
        <v>OK</v>
      </c>
    </row>
    <row r="580" spans="1:24" x14ac:dyDescent="0.3">
      <c r="A580" t="s">
        <v>109</v>
      </c>
      <c r="B580" t="s">
        <v>110</v>
      </c>
      <c r="C580" t="s">
        <v>91</v>
      </c>
      <c r="D580" t="s">
        <v>92</v>
      </c>
      <c r="E580" t="s">
        <v>66</v>
      </c>
      <c r="F580" s="1" t="s">
        <v>31</v>
      </c>
      <c r="G580" s="2">
        <v>234.51</v>
      </c>
      <c r="H580">
        <v>234.51</v>
      </c>
      <c r="I580">
        <v>226.83846199999999</v>
      </c>
      <c r="J580">
        <v>320.12</v>
      </c>
      <c r="K580">
        <v>14</v>
      </c>
      <c r="L580" s="2">
        <v>13</v>
      </c>
      <c r="M580">
        <v>6</v>
      </c>
      <c r="N580" s="2">
        <v>13</v>
      </c>
      <c r="O580">
        <v>2948.9</v>
      </c>
      <c r="P580">
        <v>9</v>
      </c>
      <c r="Q580">
        <v>4</v>
      </c>
      <c r="R580">
        <v>1.92</v>
      </c>
      <c r="S580">
        <v>0</v>
      </c>
      <c r="T580">
        <v>36</v>
      </c>
      <c r="U580" s="2">
        <v>11524.32</v>
      </c>
      <c r="V580">
        <v>0</v>
      </c>
      <c r="W580" t="s">
        <v>29</v>
      </c>
      <c r="X580" t="str">
        <f>IF(Table2[[#This Row],[Qty available]]&gt;Table2[[#This Row],[Qty on hand]],"Check","OK")</f>
        <v>OK</v>
      </c>
    </row>
    <row r="581" spans="1:24" x14ac:dyDescent="0.3">
      <c r="A581" t="s">
        <v>109</v>
      </c>
      <c r="B581" t="s">
        <v>110</v>
      </c>
      <c r="C581" t="s">
        <v>91</v>
      </c>
      <c r="D581" t="s">
        <v>92</v>
      </c>
      <c r="E581" t="s">
        <v>66</v>
      </c>
      <c r="F581" s="1" t="s">
        <v>32</v>
      </c>
      <c r="G581" s="2">
        <v>234.68</v>
      </c>
      <c r="H581">
        <v>234.68</v>
      </c>
      <c r="I581">
        <v>233.451731</v>
      </c>
      <c r="J581">
        <v>320.12</v>
      </c>
      <c r="K581">
        <v>14</v>
      </c>
      <c r="L581" s="2">
        <v>20</v>
      </c>
      <c r="M581">
        <v>70</v>
      </c>
      <c r="N581" s="2">
        <v>52</v>
      </c>
      <c r="O581">
        <v>12139.49</v>
      </c>
      <c r="P581">
        <v>4</v>
      </c>
      <c r="Q581">
        <v>48</v>
      </c>
      <c r="R581">
        <v>8.23</v>
      </c>
      <c r="S581">
        <v>4</v>
      </c>
      <c r="T581">
        <v>31</v>
      </c>
      <c r="U581" s="2">
        <v>9923.7199999999993</v>
      </c>
      <c r="V581">
        <v>0</v>
      </c>
      <c r="W581" t="s">
        <v>29</v>
      </c>
      <c r="X581" t="str">
        <f>IF(Table2[[#This Row],[Qty available]]&gt;Table2[[#This Row],[Qty on hand]],"Check","OK")</f>
        <v>OK</v>
      </c>
    </row>
    <row r="582" spans="1:24" x14ac:dyDescent="0.3">
      <c r="A582" t="s">
        <v>109</v>
      </c>
      <c r="B582" t="s">
        <v>110</v>
      </c>
      <c r="C582" t="s">
        <v>91</v>
      </c>
      <c r="D582" t="s">
        <v>92</v>
      </c>
      <c r="E582" t="s">
        <v>66</v>
      </c>
      <c r="F582" s="1" t="s">
        <v>33</v>
      </c>
      <c r="G582" s="2">
        <v>231.02</v>
      </c>
      <c r="H582">
        <v>231.02</v>
      </c>
      <c r="I582">
        <v>233.238125</v>
      </c>
      <c r="J582">
        <v>320.12</v>
      </c>
      <c r="K582">
        <v>14</v>
      </c>
      <c r="L582" s="2">
        <v>14</v>
      </c>
      <c r="M582">
        <v>5</v>
      </c>
      <c r="N582" s="2">
        <v>16</v>
      </c>
      <c r="O582">
        <v>3731.81</v>
      </c>
      <c r="P582">
        <v>5</v>
      </c>
      <c r="Q582">
        <v>11</v>
      </c>
      <c r="R582">
        <v>1.95</v>
      </c>
      <c r="S582">
        <v>5</v>
      </c>
      <c r="T582">
        <v>41</v>
      </c>
      <c r="U582" s="2">
        <v>13124.92</v>
      </c>
      <c r="V582">
        <v>0</v>
      </c>
      <c r="W582" t="s">
        <v>29</v>
      </c>
      <c r="X582" t="str">
        <f>IF(Table2[[#This Row],[Qty available]]&gt;Table2[[#This Row],[Qty on hand]],"Check","OK")</f>
        <v>OK</v>
      </c>
    </row>
    <row r="583" spans="1:24" x14ac:dyDescent="0.3">
      <c r="A583" t="s">
        <v>109</v>
      </c>
      <c r="B583" t="s">
        <v>110</v>
      </c>
      <c r="C583" t="s">
        <v>91</v>
      </c>
      <c r="D583" t="s">
        <v>92</v>
      </c>
      <c r="E583" t="s">
        <v>66</v>
      </c>
      <c r="F583" s="1" t="s">
        <v>34</v>
      </c>
      <c r="G583" s="2">
        <v>233.45</v>
      </c>
      <c r="H583">
        <v>233.45</v>
      </c>
      <c r="I583">
        <v>233.40589700000001</v>
      </c>
      <c r="J583">
        <v>335.13</v>
      </c>
      <c r="K583">
        <v>14</v>
      </c>
      <c r="L583" s="2">
        <v>19</v>
      </c>
      <c r="M583">
        <v>61</v>
      </c>
      <c r="N583" s="2">
        <v>39</v>
      </c>
      <c r="O583">
        <v>9102.83</v>
      </c>
      <c r="P583">
        <v>7</v>
      </c>
      <c r="Q583">
        <v>32</v>
      </c>
      <c r="R583">
        <v>4.5599999999999996</v>
      </c>
      <c r="S583">
        <v>0</v>
      </c>
      <c r="T583">
        <v>38</v>
      </c>
      <c r="U583" s="2">
        <v>12734.94</v>
      </c>
      <c r="V583">
        <v>0</v>
      </c>
      <c r="W583" t="s">
        <v>29</v>
      </c>
      <c r="X583" t="str">
        <f>IF(Table2[[#This Row],[Qty available]]&gt;Table2[[#This Row],[Qty on hand]],"Check","OK")</f>
        <v>OK</v>
      </c>
    </row>
    <row r="584" spans="1:24" x14ac:dyDescent="0.3">
      <c r="A584" t="s">
        <v>109</v>
      </c>
      <c r="B584" t="s">
        <v>110</v>
      </c>
      <c r="C584" t="s">
        <v>91</v>
      </c>
      <c r="D584" t="s">
        <v>92</v>
      </c>
      <c r="E584" t="s">
        <v>66</v>
      </c>
      <c r="F584" s="1" t="s">
        <v>35</v>
      </c>
      <c r="G584" s="2">
        <v>233.76</v>
      </c>
      <c r="H584">
        <v>233.76</v>
      </c>
      <c r="I584">
        <v>233.60984099999999</v>
      </c>
      <c r="J584">
        <v>335.13</v>
      </c>
      <c r="K584">
        <v>14</v>
      </c>
      <c r="L584" s="2">
        <v>13</v>
      </c>
      <c r="M584">
        <v>53</v>
      </c>
      <c r="N584" s="2">
        <v>63</v>
      </c>
      <c r="O584">
        <v>14717.42</v>
      </c>
      <c r="P584">
        <v>4</v>
      </c>
      <c r="Q584">
        <v>59</v>
      </c>
      <c r="R584">
        <v>7.5</v>
      </c>
      <c r="S584">
        <v>4</v>
      </c>
      <c r="T584">
        <v>29</v>
      </c>
      <c r="U584" s="2">
        <v>9718.77</v>
      </c>
      <c r="V584">
        <v>0</v>
      </c>
      <c r="W584" t="s">
        <v>29</v>
      </c>
      <c r="X584" t="str">
        <f>IF(Table2[[#This Row],[Qty available]]&gt;Table2[[#This Row],[Qty on hand]],"Check","OK")</f>
        <v>OK</v>
      </c>
    </row>
    <row r="585" spans="1:24" x14ac:dyDescent="0.3">
      <c r="A585" t="s">
        <v>109</v>
      </c>
      <c r="B585" t="s">
        <v>110</v>
      </c>
      <c r="C585" t="s">
        <v>91</v>
      </c>
      <c r="D585" t="s">
        <v>92</v>
      </c>
      <c r="E585" t="s">
        <v>66</v>
      </c>
      <c r="F585" s="1" t="s">
        <v>36</v>
      </c>
      <c r="G585" s="2">
        <v>237.53</v>
      </c>
      <c r="H585">
        <v>237.53</v>
      </c>
      <c r="I585">
        <v>233.61</v>
      </c>
      <c r="J585">
        <v>335.13</v>
      </c>
      <c r="K585">
        <v>14</v>
      </c>
      <c r="M585">
        <v>0</v>
      </c>
      <c r="N585" s="2">
        <v>25</v>
      </c>
      <c r="O585">
        <v>5840.25</v>
      </c>
      <c r="P585">
        <v>3</v>
      </c>
      <c r="Q585">
        <v>22</v>
      </c>
      <c r="R585">
        <v>3.03</v>
      </c>
      <c r="S585">
        <v>9</v>
      </c>
      <c r="T585">
        <v>38</v>
      </c>
      <c r="U585" s="2">
        <v>12734.94</v>
      </c>
      <c r="V585">
        <v>0</v>
      </c>
      <c r="W585" t="s">
        <v>29</v>
      </c>
      <c r="X585" t="str">
        <f>IF(Table2[[#This Row],[Qty available]]&gt;Table2[[#This Row],[Qty on hand]],"Check","OK")</f>
        <v>OK</v>
      </c>
    </row>
    <row r="586" spans="1:24" x14ac:dyDescent="0.3">
      <c r="A586" t="s">
        <v>109</v>
      </c>
      <c r="B586" t="s">
        <v>110</v>
      </c>
      <c r="C586" t="s">
        <v>91</v>
      </c>
      <c r="D586" t="s">
        <v>92</v>
      </c>
      <c r="E586" t="s">
        <v>66</v>
      </c>
      <c r="F586" s="1" t="s">
        <v>37</v>
      </c>
      <c r="G586" s="2">
        <v>232.73</v>
      </c>
      <c r="H586">
        <v>232.73</v>
      </c>
      <c r="I586">
        <v>232.95222200000001</v>
      </c>
      <c r="J586">
        <v>335.13</v>
      </c>
      <c r="K586">
        <v>14</v>
      </c>
      <c r="L586" s="2">
        <v>13</v>
      </c>
      <c r="M586">
        <v>74</v>
      </c>
      <c r="N586" s="2">
        <v>63</v>
      </c>
      <c r="O586">
        <v>14675.99</v>
      </c>
      <c r="P586">
        <v>4</v>
      </c>
      <c r="Q586">
        <v>59</v>
      </c>
      <c r="R586">
        <v>8.0399999999999991</v>
      </c>
      <c r="S586">
        <v>1</v>
      </c>
      <c r="T586">
        <v>36</v>
      </c>
      <c r="U586" s="2">
        <v>12064.68</v>
      </c>
      <c r="V586">
        <v>0</v>
      </c>
      <c r="W586" t="s">
        <v>29</v>
      </c>
      <c r="X586" t="str">
        <f>IF(Table2[[#This Row],[Qty available]]&gt;Table2[[#This Row],[Qty on hand]],"Check","OK")</f>
        <v>OK</v>
      </c>
    </row>
    <row r="587" spans="1:24" x14ac:dyDescent="0.3">
      <c r="A587" t="s">
        <v>109</v>
      </c>
      <c r="B587" t="s">
        <v>110</v>
      </c>
      <c r="C587" t="s">
        <v>91</v>
      </c>
      <c r="D587" t="s">
        <v>92</v>
      </c>
      <c r="E587" t="s">
        <v>66</v>
      </c>
      <c r="F587" s="1" t="s">
        <v>38</v>
      </c>
      <c r="G587" s="2">
        <v>232.5</v>
      </c>
      <c r="H587">
        <v>232.5</v>
      </c>
      <c r="I587">
        <v>232.823667</v>
      </c>
      <c r="J587">
        <v>335.13</v>
      </c>
      <c r="K587">
        <v>14</v>
      </c>
      <c r="L587" s="2">
        <v>13</v>
      </c>
      <c r="M587">
        <v>25</v>
      </c>
      <c r="N587" s="2">
        <v>60</v>
      </c>
      <c r="O587">
        <v>13969.42</v>
      </c>
      <c r="P587">
        <v>5</v>
      </c>
      <c r="Q587">
        <v>55</v>
      </c>
      <c r="R587">
        <v>7.65</v>
      </c>
      <c r="S587">
        <v>4</v>
      </c>
      <c r="T587">
        <v>28</v>
      </c>
      <c r="U587" s="2">
        <v>9383.64</v>
      </c>
      <c r="V587">
        <v>0</v>
      </c>
      <c r="W587" t="s">
        <v>29</v>
      </c>
      <c r="X587" t="str">
        <f>IF(Table2[[#This Row],[Qty available]]&gt;Table2[[#This Row],[Qty on hand]],"Check","OK")</f>
        <v>OK</v>
      </c>
    </row>
    <row r="588" spans="1:24" x14ac:dyDescent="0.3">
      <c r="A588" t="s">
        <v>109</v>
      </c>
      <c r="B588" t="s">
        <v>110</v>
      </c>
      <c r="C588" t="s">
        <v>91</v>
      </c>
      <c r="D588" t="s">
        <v>92</v>
      </c>
      <c r="E588" t="s">
        <v>66</v>
      </c>
      <c r="F588" s="1" t="s">
        <v>39</v>
      </c>
      <c r="G588" s="2">
        <v>234.76</v>
      </c>
      <c r="H588">
        <v>234.76</v>
      </c>
      <c r="I588">
        <v>233.07612900000001</v>
      </c>
      <c r="J588">
        <v>335.13</v>
      </c>
      <c r="K588">
        <v>14</v>
      </c>
      <c r="L588" s="2">
        <v>13</v>
      </c>
      <c r="M588">
        <v>9</v>
      </c>
      <c r="N588" s="2">
        <v>31</v>
      </c>
      <c r="O588">
        <v>7225.36</v>
      </c>
      <c r="P588">
        <v>10</v>
      </c>
      <c r="Q588">
        <v>21</v>
      </c>
      <c r="R588">
        <v>3.99</v>
      </c>
      <c r="S588">
        <v>5</v>
      </c>
      <c r="T588">
        <v>38</v>
      </c>
      <c r="U588" s="2">
        <v>12734.94</v>
      </c>
      <c r="V588">
        <v>0</v>
      </c>
      <c r="W588" t="s">
        <v>29</v>
      </c>
      <c r="X588" t="str">
        <f>IF(Table2[[#This Row],[Qty available]]&gt;Table2[[#This Row],[Qty on hand]],"Check","OK")</f>
        <v>OK</v>
      </c>
    </row>
    <row r="589" spans="1:24" x14ac:dyDescent="0.3">
      <c r="A589" t="s">
        <v>109</v>
      </c>
      <c r="B589" t="s">
        <v>110</v>
      </c>
      <c r="C589" t="s">
        <v>91</v>
      </c>
      <c r="D589" t="s">
        <v>92</v>
      </c>
      <c r="E589" t="s">
        <v>66</v>
      </c>
      <c r="F589" s="1" t="s">
        <v>40</v>
      </c>
      <c r="G589" s="2">
        <v>230.42</v>
      </c>
      <c r="H589">
        <v>230.42</v>
      </c>
      <c r="I589">
        <v>232.29166699999999</v>
      </c>
      <c r="J589">
        <v>335.13</v>
      </c>
      <c r="K589">
        <v>14</v>
      </c>
      <c r="L589" s="2">
        <v>12</v>
      </c>
      <c r="M589">
        <v>13</v>
      </c>
      <c r="N589" s="2">
        <v>12</v>
      </c>
      <c r="O589">
        <v>2787.5</v>
      </c>
      <c r="P589">
        <v>7</v>
      </c>
      <c r="Q589">
        <v>5</v>
      </c>
      <c r="R589">
        <v>1.61</v>
      </c>
      <c r="S589">
        <v>9</v>
      </c>
      <c r="T589">
        <v>32</v>
      </c>
      <c r="U589" s="2">
        <v>10724.16</v>
      </c>
      <c r="V589">
        <v>0</v>
      </c>
      <c r="W589" t="s">
        <v>29</v>
      </c>
      <c r="X589" t="str">
        <f>IF(Table2[[#This Row],[Qty available]]&gt;Table2[[#This Row],[Qty on hand]],"Check","OK")</f>
        <v>OK</v>
      </c>
    </row>
    <row r="590" spans="1:24" x14ac:dyDescent="0.3">
      <c r="A590" t="s">
        <v>109</v>
      </c>
      <c r="B590" t="s">
        <v>110</v>
      </c>
      <c r="C590" t="s">
        <v>91</v>
      </c>
      <c r="D590" t="s">
        <v>92</v>
      </c>
      <c r="E590" t="s">
        <v>66</v>
      </c>
      <c r="F590" s="1" t="s">
        <v>41</v>
      </c>
      <c r="G590" s="2">
        <v>230.73</v>
      </c>
      <c r="H590">
        <v>230.73</v>
      </c>
      <c r="I590">
        <v>230.990217</v>
      </c>
      <c r="J590">
        <v>335.13</v>
      </c>
      <c r="K590">
        <v>14</v>
      </c>
      <c r="L590" s="2">
        <v>13</v>
      </c>
      <c r="M590">
        <v>60</v>
      </c>
      <c r="N590" s="2">
        <v>46</v>
      </c>
      <c r="O590">
        <v>10625.55</v>
      </c>
      <c r="P590">
        <v>4</v>
      </c>
      <c r="Q590">
        <v>42</v>
      </c>
      <c r="R590">
        <v>6.3</v>
      </c>
      <c r="S590">
        <v>5</v>
      </c>
      <c r="T590">
        <v>26</v>
      </c>
      <c r="U590" s="2">
        <v>8713.3799999999992</v>
      </c>
      <c r="V590">
        <v>0</v>
      </c>
      <c r="W590" t="s">
        <v>29</v>
      </c>
      <c r="X590" t="str">
        <f>IF(Table2[[#This Row],[Qty available]]&gt;Table2[[#This Row],[Qty on hand]],"Check","OK")</f>
        <v>OK</v>
      </c>
    </row>
    <row r="591" spans="1:24" x14ac:dyDescent="0.3">
      <c r="A591" t="s">
        <v>109</v>
      </c>
      <c r="B591" t="s">
        <v>110</v>
      </c>
      <c r="C591" t="s">
        <v>91</v>
      </c>
      <c r="D591" t="s">
        <v>92</v>
      </c>
      <c r="E591" t="s">
        <v>66</v>
      </c>
      <c r="F591" s="1" t="s">
        <v>42</v>
      </c>
      <c r="G591" s="2">
        <v>244.47</v>
      </c>
      <c r="H591">
        <v>244.47</v>
      </c>
      <c r="I591">
        <v>235.611818</v>
      </c>
      <c r="J591">
        <v>335.13</v>
      </c>
      <c r="K591">
        <v>14</v>
      </c>
      <c r="L591" s="2">
        <v>23</v>
      </c>
      <c r="M591">
        <v>24</v>
      </c>
      <c r="N591" s="2">
        <v>22</v>
      </c>
      <c r="O591">
        <v>5183.46</v>
      </c>
      <c r="P591">
        <v>3</v>
      </c>
      <c r="Q591">
        <v>19</v>
      </c>
      <c r="R591">
        <v>2.73</v>
      </c>
      <c r="S591">
        <v>5</v>
      </c>
      <c r="T591">
        <v>48</v>
      </c>
      <c r="U591" s="2">
        <v>16086.24</v>
      </c>
      <c r="V591">
        <v>0</v>
      </c>
      <c r="W591" t="s">
        <v>29</v>
      </c>
      <c r="X591" t="str">
        <f>IF(Table2[[#This Row],[Qty available]]&gt;Table2[[#This Row],[Qty on hand]],"Check","OK")</f>
        <v>OK</v>
      </c>
    </row>
    <row r="592" spans="1:24" x14ac:dyDescent="0.3">
      <c r="A592" t="s">
        <v>109</v>
      </c>
      <c r="B592" t="s">
        <v>110</v>
      </c>
      <c r="C592" t="s">
        <v>91</v>
      </c>
      <c r="D592" t="s">
        <v>92</v>
      </c>
      <c r="E592" t="s">
        <v>66</v>
      </c>
      <c r="F592" s="1" t="s">
        <v>43</v>
      </c>
      <c r="G592" s="2">
        <v>245.07</v>
      </c>
      <c r="H592">
        <v>245.07</v>
      </c>
      <c r="I592">
        <v>243.17824999999999</v>
      </c>
      <c r="J592">
        <v>335.13</v>
      </c>
      <c r="K592">
        <v>14</v>
      </c>
      <c r="L592" s="2">
        <v>12</v>
      </c>
      <c r="M592">
        <v>88</v>
      </c>
      <c r="N592" s="2">
        <v>40</v>
      </c>
      <c r="O592">
        <v>9727.1299999999992</v>
      </c>
      <c r="P592">
        <v>3</v>
      </c>
      <c r="Q592">
        <v>37</v>
      </c>
      <c r="R592">
        <v>3.61</v>
      </c>
      <c r="S592">
        <v>2</v>
      </c>
      <c r="T592">
        <v>70</v>
      </c>
      <c r="U592" s="2">
        <v>23459.1</v>
      </c>
      <c r="V592">
        <v>0</v>
      </c>
      <c r="W592" t="s">
        <v>29</v>
      </c>
      <c r="X592" t="str">
        <f>IF(Table2[[#This Row],[Qty available]]&gt;Table2[[#This Row],[Qty on hand]],"Check","OK")</f>
        <v>OK</v>
      </c>
    </row>
    <row r="593" spans="1:24" x14ac:dyDescent="0.3">
      <c r="A593" t="s">
        <v>109</v>
      </c>
      <c r="B593" t="s">
        <v>110</v>
      </c>
      <c r="C593" t="s">
        <v>91</v>
      </c>
      <c r="D593" t="s">
        <v>92</v>
      </c>
      <c r="E593" t="s">
        <v>66</v>
      </c>
      <c r="F593" s="1" t="s">
        <v>44</v>
      </c>
      <c r="G593" s="2">
        <v>247.24</v>
      </c>
      <c r="H593">
        <v>247.24</v>
      </c>
      <c r="I593">
        <v>245.23425499999999</v>
      </c>
      <c r="J593">
        <v>335.13</v>
      </c>
      <c r="K593">
        <v>14</v>
      </c>
      <c r="L593" s="2">
        <v>12</v>
      </c>
      <c r="M593">
        <v>41</v>
      </c>
      <c r="N593" s="2">
        <v>47</v>
      </c>
      <c r="O593">
        <v>11526.01</v>
      </c>
      <c r="P593">
        <v>9</v>
      </c>
      <c r="Q593">
        <v>38</v>
      </c>
      <c r="R593">
        <v>4.0599999999999996</v>
      </c>
      <c r="S593">
        <v>1</v>
      </c>
      <c r="T593">
        <v>34</v>
      </c>
      <c r="U593" s="2">
        <v>11394.42</v>
      </c>
      <c r="V593">
        <v>0</v>
      </c>
      <c r="W593" t="s">
        <v>29</v>
      </c>
      <c r="X593" t="str">
        <f>IF(Table2[[#This Row],[Qty available]]&gt;Table2[[#This Row],[Qty on hand]],"Check","OK")</f>
        <v>OK</v>
      </c>
    </row>
    <row r="594" spans="1:24" x14ac:dyDescent="0.3">
      <c r="A594" t="s">
        <v>109</v>
      </c>
      <c r="B594" t="s">
        <v>110</v>
      </c>
      <c r="C594" t="s">
        <v>91</v>
      </c>
      <c r="D594" t="s">
        <v>92</v>
      </c>
      <c r="E594" t="s">
        <v>66</v>
      </c>
      <c r="F594" s="1" t="s">
        <v>45</v>
      </c>
      <c r="G594" s="2">
        <v>251.2</v>
      </c>
      <c r="H594">
        <v>251.2</v>
      </c>
      <c r="I594">
        <v>246.95133300000001</v>
      </c>
      <c r="J594">
        <v>335.13</v>
      </c>
      <c r="K594">
        <v>14</v>
      </c>
      <c r="L594" s="2">
        <v>13</v>
      </c>
      <c r="M594">
        <v>19</v>
      </c>
      <c r="N594" s="2">
        <v>15</v>
      </c>
      <c r="O594">
        <v>3704.27</v>
      </c>
      <c r="P594">
        <v>8</v>
      </c>
      <c r="Q594">
        <v>7</v>
      </c>
      <c r="R594">
        <v>1.27</v>
      </c>
      <c r="S594">
        <v>4</v>
      </c>
      <c r="T594">
        <v>51</v>
      </c>
      <c r="U594" s="2">
        <v>17091.63</v>
      </c>
      <c r="V594">
        <v>0</v>
      </c>
      <c r="W594" t="s">
        <v>29</v>
      </c>
      <c r="X594" t="str">
        <f>IF(Table2[[#This Row],[Qty available]]&gt;Table2[[#This Row],[Qty on hand]],"Check","OK")</f>
        <v>OK</v>
      </c>
    </row>
    <row r="595" spans="1:24" x14ac:dyDescent="0.3">
      <c r="A595" t="s">
        <v>109</v>
      </c>
      <c r="B595" t="s">
        <v>110</v>
      </c>
      <c r="C595" t="s">
        <v>91</v>
      </c>
      <c r="D595" t="s">
        <v>92</v>
      </c>
      <c r="E595" t="s">
        <v>66</v>
      </c>
      <c r="F595" s="1" t="s">
        <v>46</v>
      </c>
      <c r="G595" s="2">
        <v>245.88</v>
      </c>
      <c r="H595">
        <v>245.88</v>
      </c>
      <c r="I595">
        <v>246.245227</v>
      </c>
      <c r="J595">
        <v>350.85</v>
      </c>
      <c r="K595">
        <v>14</v>
      </c>
      <c r="L595" s="2">
        <v>20</v>
      </c>
      <c r="M595">
        <v>29</v>
      </c>
      <c r="N595" s="2">
        <v>0</v>
      </c>
      <c r="O595">
        <v>0</v>
      </c>
      <c r="P595">
        <v>0</v>
      </c>
      <c r="Q595">
        <v>0</v>
      </c>
      <c r="R595">
        <v>0</v>
      </c>
      <c r="S595">
        <v>7</v>
      </c>
      <c r="T595">
        <v>44</v>
      </c>
      <c r="U595" s="2">
        <v>15437.4</v>
      </c>
      <c r="V595">
        <v>15</v>
      </c>
      <c r="W595" t="s">
        <v>59</v>
      </c>
      <c r="X595" t="str">
        <f>IF(Table2[[#This Row],[Qty available]]&gt;Table2[[#This Row],[Qty on hand]],"Check","OK")</f>
        <v>OK</v>
      </c>
    </row>
    <row r="596" spans="1:24" x14ac:dyDescent="0.3">
      <c r="A596" t="s">
        <v>109</v>
      </c>
      <c r="B596" t="s">
        <v>110</v>
      </c>
      <c r="C596" t="s">
        <v>91</v>
      </c>
      <c r="D596" t="s">
        <v>92</v>
      </c>
      <c r="E596" t="s">
        <v>66</v>
      </c>
      <c r="F596" s="1" t="s">
        <v>47</v>
      </c>
      <c r="G596" s="2">
        <v>248.29</v>
      </c>
      <c r="H596">
        <v>248.29</v>
      </c>
      <c r="I596">
        <v>248.29</v>
      </c>
      <c r="J596">
        <v>350.85</v>
      </c>
      <c r="K596">
        <v>14</v>
      </c>
      <c r="L596" s="2">
        <v>19</v>
      </c>
      <c r="M596">
        <v>55</v>
      </c>
      <c r="N596" s="2">
        <v>37</v>
      </c>
      <c r="O596">
        <v>9186.73</v>
      </c>
      <c r="P596">
        <v>4</v>
      </c>
      <c r="Q596">
        <v>33</v>
      </c>
      <c r="R596">
        <v>4.21</v>
      </c>
      <c r="S596">
        <v>1</v>
      </c>
      <c r="T596">
        <v>18</v>
      </c>
      <c r="U596" s="2">
        <v>6315.3</v>
      </c>
      <c r="V596">
        <v>0</v>
      </c>
      <c r="W596" t="s">
        <v>29</v>
      </c>
      <c r="X596" t="str">
        <f>IF(Table2[[#This Row],[Qty available]]&gt;Table2[[#This Row],[Qty on hand]],"Check","OK")</f>
        <v>OK</v>
      </c>
    </row>
    <row r="597" spans="1:24" x14ac:dyDescent="0.3">
      <c r="A597" t="s">
        <v>109</v>
      </c>
      <c r="B597" t="s">
        <v>110</v>
      </c>
      <c r="C597" t="s">
        <v>91</v>
      </c>
      <c r="D597" t="s">
        <v>92</v>
      </c>
      <c r="E597" t="s">
        <v>66</v>
      </c>
      <c r="F597" s="1" t="s">
        <v>48</v>
      </c>
      <c r="G597" s="2">
        <v>248.19</v>
      </c>
      <c r="H597">
        <v>248.19</v>
      </c>
      <c r="I597">
        <v>248.270455</v>
      </c>
      <c r="J597">
        <v>350.85</v>
      </c>
      <c r="K597">
        <v>14</v>
      </c>
      <c r="L597" s="2">
        <v>12</v>
      </c>
      <c r="M597">
        <v>9</v>
      </c>
      <c r="N597" s="2">
        <v>22</v>
      </c>
      <c r="O597">
        <v>5461.95</v>
      </c>
      <c r="P597">
        <v>10</v>
      </c>
      <c r="Q597">
        <v>12</v>
      </c>
      <c r="R597">
        <v>3.25</v>
      </c>
      <c r="S597">
        <v>9</v>
      </c>
      <c r="T597">
        <v>24</v>
      </c>
      <c r="U597" s="2">
        <v>8420.4</v>
      </c>
      <c r="V597">
        <v>0</v>
      </c>
      <c r="W597" t="s">
        <v>29</v>
      </c>
      <c r="X597" t="str">
        <f>IF(Table2[[#This Row],[Qty available]]&gt;Table2[[#This Row],[Qty on hand]],"Check","OK")</f>
        <v>OK</v>
      </c>
    </row>
    <row r="598" spans="1:24" x14ac:dyDescent="0.3">
      <c r="A598" t="s">
        <v>109</v>
      </c>
      <c r="B598" t="s">
        <v>110</v>
      </c>
      <c r="C598" t="s">
        <v>91</v>
      </c>
      <c r="D598" t="s">
        <v>92</v>
      </c>
      <c r="E598" t="s">
        <v>66</v>
      </c>
      <c r="F598" s="1" t="s">
        <v>49</v>
      </c>
      <c r="G598" s="2">
        <v>245.19</v>
      </c>
      <c r="H598">
        <v>245.19</v>
      </c>
      <c r="I598">
        <v>246.13124999999999</v>
      </c>
      <c r="J598">
        <v>350.85</v>
      </c>
      <c r="K598">
        <v>14</v>
      </c>
      <c r="L598" s="2">
        <v>16</v>
      </c>
      <c r="M598">
        <v>50</v>
      </c>
      <c r="N598" s="2">
        <v>24</v>
      </c>
      <c r="O598">
        <v>5907.15</v>
      </c>
      <c r="P598">
        <v>9</v>
      </c>
      <c r="Q598">
        <v>15</v>
      </c>
      <c r="R598">
        <v>3.5</v>
      </c>
      <c r="S598">
        <v>9</v>
      </c>
      <c r="T598">
        <v>48</v>
      </c>
      <c r="U598" s="2">
        <v>16840.8</v>
      </c>
      <c r="V598">
        <v>0</v>
      </c>
      <c r="W598" t="s">
        <v>29</v>
      </c>
      <c r="X598" t="str">
        <f>IF(Table2[[#This Row],[Qty available]]&gt;Table2[[#This Row],[Qty on hand]],"Check","OK")</f>
        <v>OK</v>
      </c>
    </row>
    <row r="599" spans="1:24" x14ac:dyDescent="0.3">
      <c r="A599" t="s">
        <v>109</v>
      </c>
      <c r="B599" t="s">
        <v>110</v>
      </c>
      <c r="C599" t="s">
        <v>91</v>
      </c>
      <c r="D599" t="s">
        <v>92</v>
      </c>
      <c r="E599" t="s">
        <v>66</v>
      </c>
      <c r="F599" s="1" t="s">
        <v>50</v>
      </c>
      <c r="G599" s="2">
        <v>249.44</v>
      </c>
      <c r="H599">
        <v>249.44</v>
      </c>
      <c r="I599">
        <v>248.59525400000001</v>
      </c>
      <c r="J599">
        <v>350.85</v>
      </c>
      <c r="K599">
        <v>14</v>
      </c>
      <c r="L599" s="2">
        <v>13</v>
      </c>
      <c r="M599">
        <v>70</v>
      </c>
      <c r="N599" s="2">
        <v>59</v>
      </c>
      <c r="O599">
        <v>14667.12</v>
      </c>
      <c r="P599">
        <v>4</v>
      </c>
      <c r="Q599">
        <v>55</v>
      </c>
      <c r="R599">
        <v>7.17</v>
      </c>
      <c r="S599">
        <v>10</v>
      </c>
      <c r="T599">
        <v>35</v>
      </c>
      <c r="U599" s="2">
        <v>12279.75</v>
      </c>
      <c r="V599">
        <v>0</v>
      </c>
      <c r="W599" t="s">
        <v>29</v>
      </c>
      <c r="X599" t="str">
        <f>IF(Table2[[#This Row],[Qty available]]&gt;Table2[[#This Row],[Qty on hand]],"Check","OK")</f>
        <v>OK</v>
      </c>
    </row>
    <row r="600" spans="1:24" x14ac:dyDescent="0.3">
      <c r="A600" t="s">
        <v>109</v>
      </c>
      <c r="B600" t="s">
        <v>110</v>
      </c>
      <c r="C600" t="s">
        <v>91</v>
      </c>
      <c r="D600" t="s">
        <v>92</v>
      </c>
      <c r="E600" t="s">
        <v>66</v>
      </c>
      <c r="F600" s="1" t="s">
        <v>51</v>
      </c>
      <c r="G600" s="2">
        <v>250.55</v>
      </c>
      <c r="H600">
        <v>250.55</v>
      </c>
      <c r="I600">
        <v>248.59520000000001</v>
      </c>
      <c r="J600">
        <v>350.85</v>
      </c>
      <c r="K600">
        <v>14</v>
      </c>
      <c r="M600">
        <v>0</v>
      </c>
      <c r="N600" s="2">
        <v>25</v>
      </c>
      <c r="O600">
        <v>6214.88</v>
      </c>
      <c r="P600">
        <v>10</v>
      </c>
      <c r="Q600">
        <v>15</v>
      </c>
      <c r="R600">
        <v>2.81</v>
      </c>
      <c r="S600">
        <v>6</v>
      </c>
      <c r="T600">
        <v>34</v>
      </c>
      <c r="U600" s="2">
        <v>11928.9</v>
      </c>
      <c r="V600">
        <v>0</v>
      </c>
      <c r="W600" t="s">
        <v>29</v>
      </c>
      <c r="X600" t="str">
        <f>IF(Table2[[#This Row],[Qty available]]&gt;Table2[[#This Row],[Qty on hand]],"Check","OK")</f>
        <v>OK</v>
      </c>
    </row>
    <row r="601" spans="1:24" x14ac:dyDescent="0.3">
      <c r="A601" t="s">
        <v>109</v>
      </c>
      <c r="B601" t="s">
        <v>110</v>
      </c>
      <c r="C601" t="s">
        <v>91</v>
      </c>
      <c r="D601" t="s">
        <v>92</v>
      </c>
      <c r="E601" t="s">
        <v>66</v>
      </c>
      <c r="F601" s="1" t="s">
        <v>52</v>
      </c>
      <c r="G601" s="2">
        <v>250.26</v>
      </c>
      <c r="H601">
        <v>250.26</v>
      </c>
      <c r="I601">
        <v>249.68184199999999</v>
      </c>
      <c r="J601">
        <v>350.85</v>
      </c>
      <c r="K601">
        <v>14</v>
      </c>
      <c r="L601" s="2">
        <v>13</v>
      </c>
      <c r="M601">
        <v>47</v>
      </c>
      <c r="N601" s="2">
        <v>38</v>
      </c>
      <c r="O601">
        <v>9487.91</v>
      </c>
      <c r="P601">
        <v>7</v>
      </c>
      <c r="Q601">
        <v>31</v>
      </c>
      <c r="R601">
        <v>4.8499999999999996</v>
      </c>
      <c r="S601">
        <v>8</v>
      </c>
      <c r="T601">
        <v>34</v>
      </c>
      <c r="U601" s="2">
        <v>11928.9</v>
      </c>
      <c r="V601">
        <v>0</v>
      </c>
      <c r="W601" t="s">
        <v>29</v>
      </c>
      <c r="X601" t="str">
        <f>IF(Table2[[#This Row],[Qty available]]&gt;Table2[[#This Row],[Qty on hand]],"Check","OK")</f>
        <v>OK</v>
      </c>
    </row>
    <row r="602" spans="1:24" x14ac:dyDescent="0.3">
      <c r="A602" t="s">
        <v>111</v>
      </c>
      <c r="B602" t="s">
        <v>112</v>
      </c>
      <c r="C602" t="s">
        <v>57</v>
      </c>
      <c r="D602" t="s">
        <v>58</v>
      </c>
      <c r="E602" t="s">
        <v>27</v>
      </c>
      <c r="F602" s="1" t="s">
        <v>28</v>
      </c>
      <c r="G602" s="2">
        <v>41.73</v>
      </c>
      <c r="H602">
        <v>41.73</v>
      </c>
      <c r="I602">
        <v>41.674498</v>
      </c>
      <c r="J602">
        <v>59.46</v>
      </c>
      <c r="K602">
        <v>16</v>
      </c>
      <c r="M602">
        <v>0</v>
      </c>
      <c r="N602" s="2">
        <v>598</v>
      </c>
      <c r="O602">
        <v>24921.35</v>
      </c>
      <c r="P602">
        <v>36</v>
      </c>
      <c r="Q602">
        <v>562</v>
      </c>
      <c r="R602">
        <v>9.35</v>
      </c>
      <c r="S602">
        <v>0</v>
      </c>
      <c r="T602">
        <v>278</v>
      </c>
      <c r="U602" s="2">
        <v>16529.88</v>
      </c>
      <c r="V602">
        <v>0</v>
      </c>
      <c r="W602" t="s">
        <v>29</v>
      </c>
      <c r="X602" t="str">
        <f>IF(Table2[[#This Row],[Qty available]]&gt;Table2[[#This Row],[Qty on hand]],"Check","OK")</f>
        <v>OK</v>
      </c>
    </row>
    <row r="603" spans="1:24" x14ac:dyDescent="0.3">
      <c r="A603" t="s">
        <v>111</v>
      </c>
      <c r="B603" t="s">
        <v>112</v>
      </c>
      <c r="C603" t="s">
        <v>57</v>
      </c>
      <c r="D603" t="s">
        <v>58</v>
      </c>
      <c r="E603" t="s">
        <v>27</v>
      </c>
      <c r="F603" s="1" t="s">
        <v>30</v>
      </c>
      <c r="G603" s="2">
        <v>41.12</v>
      </c>
      <c r="H603">
        <v>41.12</v>
      </c>
      <c r="I603">
        <v>41.512875000000001</v>
      </c>
      <c r="J603">
        <v>59.46</v>
      </c>
      <c r="K603">
        <v>16</v>
      </c>
      <c r="L603" s="2">
        <v>16</v>
      </c>
      <c r="M603">
        <v>246</v>
      </c>
      <c r="N603" s="2">
        <v>480</v>
      </c>
      <c r="O603">
        <v>19926.18</v>
      </c>
      <c r="P603">
        <v>27</v>
      </c>
      <c r="Q603">
        <v>453</v>
      </c>
      <c r="R603">
        <v>8.19</v>
      </c>
      <c r="S603">
        <v>0</v>
      </c>
      <c r="T603">
        <v>364</v>
      </c>
      <c r="U603" s="2">
        <v>21643.439999999999</v>
      </c>
      <c r="V603">
        <v>0</v>
      </c>
      <c r="W603" t="s">
        <v>29</v>
      </c>
      <c r="X603" t="str">
        <f>IF(Table2[[#This Row],[Qty available]]&gt;Table2[[#This Row],[Qty on hand]],"Check","OK")</f>
        <v>OK</v>
      </c>
    </row>
    <row r="604" spans="1:24" x14ac:dyDescent="0.3">
      <c r="A604" t="s">
        <v>111</v>
      </c>
      <c r="B604" t="s">
        <v>112</v>
      </c>
      <c r="C604" t="s">
        <v>57</v>
      </c>
      <c r="D604" t="s">
        <v>58</v>
      </c>
      <c r="E604" t="s">
        <v>27</v>
      </c>
      <c r="F604" s="1" t="s">
        <v>31</v>
      </c>
      <c r="G604" s="2">
        <v>41.17</v>
      </c>
      <c r="H604">
        <v>41.17</v>
      </c>
      <c r="I604">
        <v>41.352260000000001</v>
      </c>
      <c r="J604">
        <v>59.46</v>
      </c>
      <c r="K604">
        <v>16</v>
      </c>
      <c r="L604" s="2">
        <v>22</v>
      </c>
      <c r="M604">
        <v>423</v>
      </c>
      <c r="N604" s="2">
        <v>677</v>
      </c>
      <c r="O604">
        <v>27995.48</v>
      </c>
      <c r="P604">
        <v>80</v>
      </c>
      <c r="Q604">
        <v>597</v>
      </c>
      <c r="R604">
        <v>10.14</v>
      </c>
      <c r="S604">
        <v>0</v>
      </c>
      <c r="T604">
        <v>226</v>
      </c>
      <c r="U604" s="2">
        <v>13437.96</v>
      </c>
      <c r="V604">
        <v>0</v>
      </c>
      <c r="W604" t="s">
        <v>29</v>
      </c>
      <c r="X604" t="str">
        <f>IF(Table2[[#This Row],[Qty available]]&gt;Table2[[#This Row],[Qty on hand]],"Check","OK")</f>
        <v>OK</v>
      </c>
    </row>
    <row r="605" spans="1:24" x14ac:dyDescent="0.3">
      <c r="A605" t="s">
        <v>111</v>
      </c>
      <c r="B605" t="s">
        <v>112</v>
      </c>
      <c r="C605" t="s">
        <v>57</v>
      </c>
      <c r="D605" t="s">
        <v>58</v>
      </c>
      <c r="E605" t="s">
        <v>27</v>
      </c>
      <c r="F605" s="1" t="s">
        <v>32</v>
      </c>
      <c r="G605" s="2">
        <v>41.37</v>
      </c>
      <c r="H605">
        <v>41.37</v>
      </c>
      <c r="I605">
        <v>41.358412999999999</v>
      </c>
      <c r="J605">
        <v>59.46</v>
      </c>
      <c r="K605">
        <v>16</v>
      </c>
      <c r="L605" s="2">
        <v>22</v>
      </c>
      <c r="M605">
        <v>359</v>
      </c>
      <c r="N605" s="2">
        <v>731</v>
      </c>
      <c r="O605">
        <v>30233</v>
      </c>
      <c r="P605">
        <v>89</v>
      </c>
      <c r="Q605">
        <v>642</v>
      </c>
      <c r="R605">
        <v>10.73</v>
      </c>
      <c r="S605">
        <v>0</v>
      </c>
      <c r="T605">
        <v>305</v>
      </c>
      <c r="U605" s="2">
        <v>18135.3</v>
      </c>
      <c r="V605">
        <v>0</v>
      </c>
      <c r="W605" t="s">
        <v>29</v>
      </c>
      <c r="X605" t="str">
        <f>IF(Table2[[#This Row],[Qty available]]&gt;Table2[[#This Row],[Qty on hand]],"Check","OK")</f>
        <v>OK</v>
      </c>
    </row>
    <row r="606" spans="1:24" x14ac:dyDescent="0.3">
      <c r="A606" t="s">
        <v>111</v>
      </c>
      <c r="B606" t="s">
        <v>112</v>
      </c>
      <c r="C606" t="s">
        <v>57</v>
      </c>
      <c r="D606" t="s">
        <v>58</v>
      </c>
      <c r="E606" t="s">
        <v>27</v>
      </c>
      <c r="F606" s="1" t="s">
        <v>33</v>
      </c>
      <c r="G606" s="2">
        <v>43</v>
      </c>
      <c r="H606">
        <v>43</v>
      </c>
      <c r="I606">
        <v>41.697066</v>
      </c>
      <c r="J606">
        <v>59.46</v>
      </c>
      <c r="K606">
        <v>16</v>
      </c>
      <c r="L606" s="2">
        <v>15</v>
      </c>
      <c r="M606">
        <v>190</v>
      </c>
      <c r="N606" s="2">
        <v>542</v>
      </c>
      <c r="O606">
        <v>22599.81</v>
      </c>
      <c r="P606">
        <v>44</v>
      </c>
      <c r="Q606">
        <v>498</v>
      </c>
      <c r="R606">
        <v>7.83</v>
      </c>
      <c r="S606">
        <v>0</v>
      </c>
      <c r="T606">
        <v>379</v>
      </c>
      <c r="U606" s="2">
        <v>22535.34</v>
      </c>
      <c r="V606">
        <v>0</v>
      </c>
      <c r="W606" t="s">
        <v>29</v>
      </c>
      <c r="X606" t="str">
        <f>IF(Table2[[#This Row],[Qty available]]&gt;Table2[[#This Row],[Qty on hand]],"Check","OK")</f>
        <v>OK</v>
      </c>
    </row>
    <row r="607" spans="1:24" x14ac:dyDescent="0.3">
      <c r="A607" t="s">
        <v>111</v>
      </c>
      <c r="B607" t="s">
        <v>112</v>
      </c>
      <c r="C607" t="s">
        <v>57</v>
      </c>
      <c r="D607" t="s">
        <v>58</v>
      </c>
      <c r="E607" t="s">
        <v>27</v>
      </c>
      <c r="F607" s="1" t="s">
        <v>34</v>
      </c>
      <c r="G607" s="2">
        <v>42.97</v>
      </c>
      <c r="H607">
        <v>42.97</v>
      </c>
      <c r="I607">
        <v>41.888598000000002</v>
      </c>
      <c r="J607">
        <v>62.53</v>
      </c>
      <c r="K607">
        <v>16</v>
      </c>
      <c r="L607" s="2">
        <v>15</v>
      </c>
      <c r="M607">
        <v>96</v>
      </c>
      <c r="N607" s="2">
        <v>164</v>
      </c>
      <c r="O607">
        <v>6869.73</v>
      </c>
      <c r="P607">
        <v>53</v>
      </c>
      <c r="Q607">
        <v>111</v>
      </c>
      <c r="R607">
        <v>1.82</v>
      </c>
      <c r="S607">
        <v>0</v>
      </c>
      <c r="T607">
        <v>474</v>
      </c>
      <c r="U607" s="2">
        <v>29639.22</v>
      </c>
      <c r="V607">
        <v>0</v>
      </c>
      <c r="W607" t="s">
        <v>29</v>
      </c>
      <c r="X607" t="str">
        <f>IF(Table2[[#This Row],[Qty available]]&gt;Table2[[#This Row],[Qty on hand]],"Check","OK")</f>
        <v>OK</v>
      </c>
    </row>
    <row r="608" spans="1:24" x14ac:dyDescent="0.3">
      <c r="A608" t="s">
        <v>111</v>
      </c>
      <c r="B608" t="s">
        <v>112</v>
      </c>
      <c r="C608" t="s">
        <v>57</v>
      </c>
      <c r="D608" t="s">
        <v>58</v>
      </c>
      <c r="E608" t="s">
        <v>27</v>
      </c>
      <c r="F608" s="1" t="s">
        <v>35</v>
      </c>
      <c r="G608" s="2">
        <v>43.78</v>
      </c>
      <c r="H608">
        <v>43.78</v>
      </c>
      <c r="I608">
        <v>43.398941999999998</v>
      </c>
      <c r="J608">
        <v>62.53</v>
      </c>
      <c r="K608">
        <v>16</v>
      </c>
      <c r="L608" s="2">
        <v>15</v>
      </c>
      <c r="M608">
        <v>650</v>
      </c>
      <c r="N608" s="2">
        <v>463</v>
      </c>
      <c r="O608">
        <v>20093.71</v>
      </c>
      <c r="P608">
        <v>89</v>
      </c>
      <c r="Q608">
        <v>374</v>
      </c>
      <c r="R608">
        <v>4.9400000000000004</v>
      </c>
      <c r="S608">
        <v>2</v>
      </c>
      <c r="T608">
        <v>351</v>
      </c>
      <c r="U608" s="2">
        <v>21948.03</v>
      </c>
      <c r="V608">
        <v>0</v>
      </c>
      <c r="W608" t="s">
        <v>29</v>
      </c>
      <c r="X608" t="str">
        <f>IF(Table2[[#This Row],[Qty available]]&gt;Table2[[#This Row],[Qty on hand]],"Check","OK")</f>
        <v>OK</v>
      </c>
    </row>
    <row r="609" spans="1:24" x14ac:dyDescent="0.3">
      <c r="A609" t="s">
        <v>111</v>
      </c>
      <c r="B609" t="s">
        <v>112</v>
      </c>
      <c r="C609" t="s">
        <v>57</v>
      </c>
      <c r="D609" t="s">
        <v>58</v>
      </c>
      <c r="E609" t="s">
        <v>27</v>
      </c>
      <c r="F609" s="1" t="s">
        <v>36</v>
      </c>
      <c r="G609" s="2">
        <v>42.7</v>
      </c>
      <c r="H609">
        <v>42.7</v>
      </c>
      <c r="I609">
        <v>43.056005999999996</v>
      </c>
      <c r="J609">
        <v>62.53</v>
      </c>
      <c r="K609">
        <v>16</v>
      </c>
      <c r="L609" s="2">
        <v>16</v>
      </c>
      <c r="M609">
        <v>446</v>
      </c>
      <c r="N609" s="2">
        <v>666</v>
      </c>
      <c r="O609">
        <v>28675.3</v>
      </c>
      <c r="P609">
        <v>71</v>
      </c>
      <c r="Q609">
        <v>595</v>
      </c>
      <c r="R609">
        <v>7.93</v>
      </c>
      <c r="S609">
        <v>0</v>
      </c>
      <c r="T609">
        <v>243</v>
      </c>
      <c r="U609" s="2">
        <v>15194.79</v>
      </c>
      <c r="V609">
        <v>0</v>
      </c>
      <c r="W609" t="s">
        <v>29</v>
      </c>
      <c r="X609" t="str">
        <f>IF(Table2[[#This Row],[Qty available]]&gt;Table2[[#This Row],[Qty on hand]],"Check","OK")</f>
        <v>OK</v>
      </c>
    </row>
    <row r="610" spans="1:24" x14ac:dyDescent="0.3">
      <c r="A610" t="s">
        <v>111</v>
      </c>
      <c r="B610" t="s">
        <v>112</v>
      </c>
      <c r="C610" t="s">
        <v>57</v>
      </c>
      <c r="D610" t="s">
        <v>58</v>
      </c>
      <c r="E610" t="s">
        <v>27</v>
      </c>
      <c r="F610" s="1" t="s">
        <v>37</v>
      </c>
      <c r="G610" s="2">
        <v>43.66</v>
      </c>
      <c r="H610">
        <v>43.66</v>
      </c>
      <c r="I610">
        <v>43.219411999999998</v>
      </c>
      <c r="J610">
        <v>62.53</v>
      </c>
      <c r="K610">
        <v>16</v>
      </c>
      <c r="L610" s="2">
        <v>14</v>
      </c>
      <c r="M610">
        <v>247</v>
      </c>
      <c r="N610" s="2">
        <v>697</v>
      </c>
      <c r="O610">
        <v>30123.93</v>
      </c>
      <c r="P610">
        <v>18</v>
      </c>
      <c r="Q610">
        <v>679</v>
      </c>
      <c r="R610">
        <v>11.31</v>
      </c>
      <c r="S610">
        <v>1</v>
      </c>
      <c r="T610">
        <v>216</v>
      </c>
      <c r="U610" s="2">
        <v>13506.48</v>
      </c>
      <c r="V610">
        <v>0</v>
      </c>
      <c r="W610" t="s">
        <v>29</v>
      </c>
      <c r="X610" t="str">
        <f>IF(Table2[[#This Row],[Qty available]]&gt;Table2[[#This Row],[Qty on hand]],"Check","OK")</f>
        <v>OK</v>
      </c>
    </row>
    <row r="611" spans="1:24" x14ac:dyDescent="0.3">
      <c r="A611" t="s">
        <v>111</v>
      </c>
      <c r="B611" t="s">
        <v>112</v>
      </c>
      <c r="C611" t="s">
        <v>57</v>
      </c>
      <c r="D611" t="s">
        <v>58</v>
      </c>
      <c r="E611" t="s">
        <v>27</v>
      </c>
      <c r="F611" s="1" t="s">
        <v>38</v>
      </c>
      <c r="G611" s="2">
        <v>43.41</v>
      </c>
      <c r="H611">
        <v>43.41</v>
      </c>
      <c r="I611">
        <v>43.253895</v>
      </c>
      <c r="J611">
        <v>62.53</v>
      </c>
      <c r="K611">
        <v>16</v>
      </c>
      <c r="L611" s="2">
        <v>28</v>
      </c>
      <c r="M611">
        <v>154</v>
      </c>
      <c r="N611" s="2">
        <v>665</v>
      </c>
      <c r="O611">
        <v>28763.84</v>
      </c>
      <c r="P611">
        <v>36</v>
      </c>
      <c r="Q611">
        <v>629</v>
      </c>
      <c r="R611">
        <v>13.4</v>
      </c>
      <c r="S611">
        <v>1</v>
      </c>
      <c r="T611">
        <v>186</v>
      </c>
      <c r="U611" s="2">
        <v>11630.58</v>
      </c>
      <c r="V611">
        <v>0</v>
      </c>
      <c r="W611" t="s">
        <v>29</v>
      </c>
      <c r="X611" t="str">
        <f>IF(Table2[[#This Row],[Qty available]]&gt;Table2[[#This Row],[Qty on hand]],"Check","OK")</f>
        <v>OK</v>
      </c>
    </row>
    <row r="612" spans="1:24" x14ac:dyDescent="0.3">
      <c r="A612" t="s">
        <v>111</v>
      </c>
      <c r="B612" t="s">
        <v>112</v>
      </c>
      <c r="C612" t="s">
        <v>57</v>
      </c>
      <c r="D612" t="s">
        <v>58</v>
      </c>
      <c r="E612" t="s">
        <v>27</v>
      </c>
      <c r="F612" s="1" t="s">
        <v>39</v>
      </c>
      <c r="G612" s="2">
        <v>44.03</v>
      </c>
      <c r="H612">
        <v>44.03</v>
      </c>
      <c r="I612">
        <v>43.511823999999997</v>
      </c>
      <c r="J612">
        <v>62.53</v>
      </c>
      <c r="K612">
        <v>16</v>
      </c>
      <c r="L612" s="2">
        <v>16</v>
      </c>
      <c r="M612">
        <v>331</v>
      </c>
      <c r="N612" s="2">
        <v>658</v>
      </c>
      <c r="O612">
        <v>28630.78</v>
      </c>
      <c r="P612">
        <v>89</v>
      </c>
      <c r="Q612">
        <v>569</v>
      </c>
      <c r="R612">
        <v>11.69</v>
      </c>
      <c r="S612">
        <v>0</v>
      </c>
      <c r="T612">
        <v>338</v>
      </c>
      <c r="U612" s="2">
        <v>21135.14</v>
      </c>
      <c r="V612">
        <v>0</v>
      </c>
      <c r="W612" t="s">
        <v>29</v>
      </c>
      <c r="X612" t="str">
        <f>IF(Table2[[#This Row],[Qty available]]&gt;Table2[[#This Row],[Qty on hand]],"Check","OK")</f>
        <v>OK</v>
      </c>
    </row>
    <row r="613" spans="1:24" x14ac:dyDescent="0.3">
      <c r="A613" t="s">
        <v>111</v>
      </c>
      <c r="B613" t="s">
        <v>112</v>
      </c>
      <c r="C613" t="s">
        <v>57</v>
      </c>
      <c r="D613" t="s">
        <v>58</v>
      </c>
      <c r="E613" t="s">
        <v>27</v>
      </c>
      <c r="F613" s="1" t="s">
        <v>40</v>
      </c>
      <c r="G613" s="2">
        <v>42.86</v>
      </c>
      <c r="H613">
        <v>42.86</v>
      </c>
      <c r="I613">
        <v>43.316761</v>
      </c>
      <c r="J613">
        <v>62.53</v>
      </c>
      <c r="K613">
        <v>16</v>
      </c>
      <c r="L613" s="2">
        <v>23</v>
      </c>
      <c r="M613">
        <v>281</v>
      </c>
      <c r="N613" s="2">
        <v>710</v>
      </c>
      <c r="O613">
        <v>30754.9</v>
      </c>
      <c r="P613">
        <v>89</v>
      </c>
      <c r="Q613">
        <v>621</v>
      </c>
      <c r="R613">
        <v>12.39</v>
      </c>
      <c r="S613">
        <v>2</v>
      </c>
      <c r="T613">
        <v>229</v>
      </c>
      <c r="U613" s="2">
        <v>14319.37</v>
      </c>
      <c r="V613">
        <v>0</v>
      </c>
      <c r="W613" t="s">
        <v>29</v>
      </c>
      <c r="X613" t="str">
        <f>IF(Table2[[#This Row],[Qty available]]&gt;Table2[[#This Row],[Qty on hand]],"Check","OK")</f>
        <v>OK</v>
      </c>
    </row>
    <row r="614" spans="1:24" x14ac:dyDescent="0.3">
      <c r="A614" t="s">
        <v>111</v>
      </c>
      <c r="B614" t="s">
        <v>112</v>
      </c>
      <c r="C614" t="s">
        <v>57</v>
      </c>
      <c r="D614" t="s">
        <v>58</v>
      </c>
      <c r="E614" t="s">
        <v>27</v>
      </c>
      <c r="F614" s="1" t="s">
        <v>41</v>
      </c>
      <c r="G614" s="2">
        <v>43.51</v>
      </c>
      <c r="H614">
        <v>43.51</v>
      </c>
      <c r="I614">
        <v>43.386285000000001</v>
      </c>
      <c r="J614">
        <v>62.53</v>
      </c>
      <c r="K614">
        <v>16</v>
      </c>
      <c r="L614" s="2">
        <v>15</v>
      </c>
      <c r="M614">
        <v>399</v>
      </c>
      <c r="N614" s="2">
        <v>926</v>
      </c>
      <c r="O614">
        <v>40175.699999999997</v>
      </c>
      <c r="P614">
        <v>62</v>
      </c>
      <c r="Q614">
        <v>864</v>
      </c>
      <c r="R614">
        <v>16.23</v>
      </c>
      <c r="S614">
        <v>0</v>
      </c>
      <c r="T614">
        <v>183</v>
      </c>
      <c r="U614" s="2">
        <v>11442.99</v>
      </c>
      <c r="V614">
        <v>0</v>
      </c>
      <c r="W614" t="s">
        <v>29</v>
      </c>
      <c r="X614" t="str">
        <f>IF(Table2[[#This Row],[Qty available]]&gt;Table2[[#This Row],[Qty on hand]],"Check","OK")</f>
        <v>OK</v>
      </c>
    </row>
    <row r="615" spans="1:24" x14ac:dyDescent="0.3">
      <c r="A615" t="s">
        <v>111</v>
      </c>
      <c r="B615" t="s">
        <v>112</v>
      </c>
      <c r="C615" t="s">
        <v>57</v>
      </c>
      <c r="D615" t="s">
        <v>58</v>
      </c>
      <c r="E615" t="s">
        <v>27</v>
      </c>
      <c r="F615" s="1" t="s">
        <v>42</v>
      </c>
      <c r="G615" s="2">
        <v>44.08</v>
      </c>
      <c r="H615">
        <v>44.08</v>
      </c>
      <c r="I615">
        <v>43.409452999999999</v>
      </c>
      <c r="J615">
        <v>62.53</v>
      </c>
      <c r="K615">
        <v>16</v>
      </c>
      <c r="L615" s="2">
        <v>15</v>
      </c>
      <c r="M615">
        <v>32</v>
      </c>
      <c r="N615" s="2">
        <v>749</v>
      </c>
      <c r="O615">
        <v>32513.68</v>
      </c>
      <c r="P615">
        <v>71</v>
      </c>
      <c r="Q615">
        <v>678</v>
      </c>
      <c r="R615">
        <v>15.85</v>
      </c>
      <c r="S615">
        <v>3</v>
      </c>
      <c r="T615">
        <v>209</v>
      </c>
      <c r="U615" s="2">
        <v>13068.77</v>
      </c>
      <c r="V615">
        <v>0</v>
      </c>
      <c r="W615" t="s">
        <v>29</v>
      </c>
      <c r="X615" t="str">
        <f>IF(Table2[[#This Row],[Qty available]]&gt;Table2[[#This Row],[Qty on hand]],"Check","OK")</f>
        <v>OK</v>
      </c>
    </row>
    <row r="616" spans="1:24" x14ac:dyDescent="0.3">
      <c r="A616" t="s">
        <v>111</v>
      </c>
      <c r="B616" t="s">
        <v>112</v>
      </c>
      <c r="C616" t="s">
        <v>57</v>
      </c>
      <c r="D616" t="s">
        <v>58</v>
      </c>
      <c r="E616" t="s">
        <v>27</v>
      </c>
      <c r="F616" s="1" t="s">
        <v>43</v>
      </c>
      <c r="G616" s="2">
        <v>43.24</v>
      </c>
      <c r="H616">
        <v>43.24</v>
      </c>
      <c r="I616">
        <v>43.394024000000002</v>
      </c>
      <c r="J616">
        <v>62.53</v>
      </c>
      <c r="K616">
        <v>16</v>
      </c>
      <c r="L616" s="2">
        <v>14</v>
      </c>
      <c r="M616">
        <v>75</v>
      </c>
      <c r="N616" s="2">
        <v>574</v>
      </c>
      <c r="O616">
        <v>24908.17</v>
      </c>
      <c r="P616">
        <v>36</v>
      </c>
      <c r="Q616">
        <v>538</v>
      </c>
      <c r="R616">
        <v>11.62</v>
      </c>
      <c r="S616">
        <v>2</v>
      </c>
      <c r="T616">
        <v>250</v>
      </c>
      <c r="U616" s="2">
        <v>15632.5</v>
      </c>
      <c r="V616">
        <v>0</v>
      </c>
      <c r="W616" t="s">
        <v>29</v>
      </c>
      <c r="X616" t="str">
        <f>IF(Table2[[#This Row],[Qty available]]&gt;Table2[[#This Row],[Qty on hand]],"Check","OK")</f>
        <v>OK</v>
      </c>
    </row>
    <row r="617" spans="1:24" x14ac:dyDescent="0.3">
      <c r="A617" t="s">
        <v>111</v>
      </c>
      <c r="B617" t="s">
        <v>112</v>
      </c>
      <c r="C617" t="s">
        <v>57</v>
      </c>
      <c r="D617" t="s">
        <v>58</v>
      </c>
      <c r="E617" t="s">
        <v>27</v>
      </c>
      <c r="F617" s="1" t="s">
        <v>44</v>
      </c>
      <c r="G617" s="2">
        <v>42.96</v>
      </c>
      <c r="H617">
        <v>42.96</v>
      </c>
      <c r="I617">
        <v>43.155085</v>
      </c>
      <c r="J617">
        <v>62.53</v>
      </c>
      <c r="K617">
        <v>16</v>
      </c>
      <c r="L617" s="2">
        <v>27</v>
      </c>
      <c r="M617">
        <v>703</v>
      </c>
      <c r="N617" s="2">
        <v>942</v>
      </c>
      <c r="O617">
        <v>40652.089999999997</v>
      </c>
      <c r="P617">
        <v>80</v>
      </c>
      <c r="Q617">
        <v>862</v>
      </c>
      <c r="R617">
        <v>15.59</v>
      </c>
      <c r="S617">
        <v>2</v>
      </c>
      <c r="T617">
        <v>335</v>
      </c>
      <c r="U617" s="2">
        <v>20947.55</v>
      </c>
      <c r="V617">
        <v>0</v>
      </c>
      <c r="W617" t="s">
        <v>29</v>
      </c>
      <c r="X617" t="str">
        <f>IF(Table2[[#This Row],[Qty available]]&gt;Table2[[#This Row],[Qty on hand]],"Check","OK")</f>
        <v>OK</v>
      </c>
    </row>
    <row r="618" spans="1:24" x14ac:dyDescent="0.3">
      <c r="A618" t="s">
        <v>111</v>
      </c>
      <c r="B618" t="s">
        <v>112</v>
      </c>
      <c r="C618" t="s">
        <v>57</v>
      </c>
      <c r="D618" t="s">
        <v>58</v>
      </c>
      <c r="E618" t="s">
        <v>27</v>
      </c>
      <c r="F618" s="1" t="s">
        <v>45</v>
      </c>
      <c r="G618" s="2">
        <v>45.06</v>
      </c>
      <c r="H618">
        <v>45.06</v>
      </c>
      <c r="I618">
        <v>43.155078000000003</v>
      </c>
      <c r="J618">
        <v>62.53</v>
      </c>
      <c r="K618">
        <v>16</v>
      </c>
      <c r="M618">
        <v>0</v>
      </c>
      <c r="N618" s="2">
        <v>703</v>
      </c>
      <c r="O618">
        <v>30338.02</v>
      </c>
      <c r="P618">
        <v>80</v>
      </c>
      <c r="Q618">
        <v>623</v>
      </c>
      <c r="R618">
        <v>11.21</v>
      </c>
      <c r="S618">
        <v>1</v>
      </c>
      <c r="T618">
        <v>239</v>
      </c>
      <c r="U618" s="2">
        <v>14944.67</v>
      </c>
      <c r="V618">
        <v>0</v>
      </c>
      <c r="W618" t="s">
        <v>29</v>
      </c>
      <c r="X618" t="str">
        <f>IF(Table2[[#This Row],[Qty available]]&gt;Table2[[#This Row],[Qty on hand]],"Check","OK")</f>
        <v>OK</v>
      </c>
    </row>
    <row r="619" spans="1:24" x14ac:dyDescent="0.3">
      <c r="A619" t="s">
        <v>111</v>
      </c>
      <c r="B619" t="s">
        <v>112</v>
      </c>
      <c r="C619" t="s">
        <v>57</v>
      </c>
      <c r="D619" t="s">
        <v>58</v>
      </c>
      <c r="E619" t="s">
        <v>27</v>
      </c>
      <c r="F619" s="1" t="s">
        <v>46</v>
      </c>
      <c r="G619" s="2">
        <v>44.7</v>
      </c>
      <c r="H619">
        <v>44.7</v>
      </c>
      <c r="I619">
        <v>43.155071999999997</v>
      </c>
      <c r="J619">
        <v>65.75</v>
      </c>
      <c r="K619">
        <v>16</v>
      </c>
      <c r="M619">
        <v>0</v>
      </c>
      <c r="N619" s="2">
        <v>483</v>
      </c>
      <c r="O619">
        <v>20843.900000000001</v>
      </c>
      <c r="P619">
        <v>80</v>
      </c>
      <c r="Q619">
        <v>403</v>
      </c>
      <c r="R619">
        <v>7.82</v>
      </c>
      <c r="S619">
        <v>0</v>
      </c>
      <c r="T619">
        <v>220</v>
      </c>
      <c r="U619" s="2">
        <v>14465</v>
      </c>
      <c r="V619">
        <v>0</v>
      </c>
      <c r="W619" t="s">
        <v>29</v>
      </c>
      <c r="X619" t="str">
        <f>IF(Table2[[#This Row],[Qty available]]&gt;Table2[[#This Row],[Qty on hand]],"Check","OK")</f>
        <v>OK</v>
      </c>
    </row>
    <row r="620" spans="1:24" x14ac:dyDescent="0.3">
      <c r="A620" t="s">
        <v>111</v>
      </c>
      <c r="B620" t="s">
        <v>112</v>
      </c>
      <c r="C620" t="s">
        <v>57</v>
      </c>
      <c r="D620" t="s">
        <v>58</v>
      </c>
      <c r="E620" t="s">
        <v>27</v>
      </c>
      <c r="F620" s="1" t="s">
        <v>47</v>
      </c>
      <c r="G620" s="2">
        <v>44.6</v>
      </c>
      <c r="H620">
        <v>44.6</v>
      </c>
      <c r="I620">
        <v>43.759149000000001</v>
      </c>
      <c r="J620">
        <v>65.75</v>
      </c>
      <c r="K620">
        <v>16</v>
      </c>
      <c r="L620" s="2">
        <v>14</v>
      </c>
      <c r="M620">
        <v>347</v>
      </c>
      <c r="N620" s="2">
        <v>517</v>
      </c>
      <c r="O620">
        <v>22623.48</v>
      </c>
      <c r="P620">
        <v>89</v>
      </c>
      <c r="Q620">
        <v>428</v>
      </c>
      <c r="R620">
        <v>8.61</v>
      </c>
      <c r="S620">
        <v>0</v>
      </c>
      <c r="T620">
        <v>313</v>
      </c>
      <c r="U620" s="2">
        <v>20579.75</v>
      </c>
      <c r="V620">
        <v>0</v>
      </c>
      <c r="W620" t="s">
        <v>29</v>
      </c>
      <c r="X620" t="str">
        <f>IF(Table2[[#This Row],[Qty available]]&gt;Table2[[#This Row],[Qty on hand]],"Check","OK")</f>
        <v>OK</v>
      </c>
    </row>
    <row r="621" spans="1:24" x14ac:dyDescent="0.3">
      <c r="A621" t="s">
        <v>111</v>
      </c>
      <c r="B621" t="s">
        <v>112</v>
      </c>
      <c r="C621" t="s">
        <v>57</v>
      </c>
      <c r="D621" t="s">
        <v>58</v>
      </c>
      <c r="E621" t="s">
        <v>27</v>
      </c>
      <c r="F621" s="1" t="s">
        <v>48</v>
      </c>
      <c r="G621" s="2">
        <v>44.29</v>
      </c>
      <c r="H621">
        <v>44.29</v>
      </c>
      <c r="I621">
        <v>43.824824999999997</v>
      </c>
      <c r="J621">
        <v>65.75</v>
      </c>
      <c r="K621">
        <v>16</v>
      </c>
      <c r="L621" s="2">
        <v>15</v>
      </c>
      <c r="M621">
        <v>73</v>
      </c>
      <c r="N621" s="2">
        <v>458</v>
      </c>
      <c r="O621">
        <v>20071.77</v>
      </c>
      <c r="P621">
        <v>80</v>
      </c>
      <c r="Q621">
        <v>378</v>
      </c>
      <c r="R621">
        <v>8.76</v>
      </c>
      <c r="S621">
        <v>0</v>
      </c>
      <c r="T621">
        <v>132</v>
      </c>
      <c r="U621" s="2">
        <v>8679</v>
      </c>
      <c r="V621">
        <v>0</v>
      </c>
      <c r="W621" t="s">
        <v>29</v>
      </c>
      <c r="X621" t="str">
        <f>IF(Table2[[#This Row],[Qty available]]&gt;Table2[[#This Row],[Qty on hand]],"Check","OK")</f>
        <v>OK</v>
      </c>
    </row>
    <row r="622" spans="1:24" x14ac:dyDescent="0.3">
      <c r="A622" t="s">
        <v>111</v>
      </c>
      <c r="B622" t="s">
        <v>112</v>
      </c>
      <c r="C622" t="s">
        <v>57</v>
      </c>
      <c r="D622" t="s">
        <v>58</v>
      </c>
      <c r="E622" t="s">
        <v>27</v>
      </c>
      <c r="F622" s="1" t="s">
        <v>49</v>
      </c>
      <c r="G622" s="2">
        <v>44.24</v>
      </c>
      <c r="H622">
        <v>44.24</v>
      </c>
      <c r="I622">
        <v>43.999606</v>
      </c>
      <c r="J622">
        <v>65.75</v>
      </c>
      <c r="K622">
        <v>16</v>
      </c>
      <c r="L622" s="2">
        <v>15</v>
      </c>
      <c r="M622">
        <v>333</v>
      </c>
      <c r="N622" s="2">
        <v>584</v>
      </c>
      <c r="O622">
        <v>25695.77</v>
      </c>
      <c r="P622">
        <v>80</v>
      </c>
      <c r="Q622">
        <v>504</v>
      </c>
      <c r="R622">
        <v>11.77</v>
      </c>
      <c r="S622">
        <v>0</v>
      </c>
      <c r="T622">
        <v>207</v>
      </c>
      <c r="U622" s="2">
        <v>13610.25</v>
      </c>
      <c r="V622">
        <v>0</v>
      </c>
      <c r="W622" t="s">
        <v>29</v>
      </c>
      <c r="X622" t="str">
        <f>IF(Table2[[#This Row],[Qty available]]&gt;Table2[[#This Row],[Qty on hand]],"Check","OK")</f>
        <v>OK</v>
      </c>
    </row>
    <row r="623" spans="1:24" x14ac:dyDescent="0.3">
      <c r="A623" t="s">
        <v>111</v>
      </c>
      <c r="B623" t="s">
        <v>112</v>
      </c>
      <c r="C623" t="s">
        <v>57</v>
      </c>
      <c r="D623" t="s">
        <v>58</v>
      </c>
      <c r="E623" t="s">
        <v>27</v>
      </c>
      <c r="F623" s="1" t="s">
        <v>50</v>
      </c>
      <c r="G623" s="2">
        <v>45.59</v>
      </c>
      <c r="H623">
        <v>45.59</v>
      </c>
      <c r="I623">
        <v>44.511274</v>
      </c>
      <c r="J623">
        <v>65.75</v>
      </c>
      <c r="K623">
        <v>16</v>
      </c>
      <c r="L623" s="2">
        <v>16</v>
      </c>
      <c r="M623">
        <v>277</v>
      </c>
      <c r="N623" s="2">
        <v>471</v>
      </c>
      <c r="O623">
        <v>20964.810000000001</v>
      </c>
      <c r="P623">
        <v>71</v>
      </c>
      <c r="Q623">
        <v>400</v>
      </c>
      <c r="R623">
        <v>8.4</v>
      </c>
      <c r="S623">
        <v>0</v>
      </c>
      <c r="T623">
        <v>390</v>
      </c>
      <c r="U623" s="2">
        <v>25642.5</v>
      </c>
      <c r="V623">
        <v>0</v>
      </c>
      <c r="W623" t="s">
        <v>29</v>
      </c>
      <c r="X623" t="str">
        <f>IF(Table2[[#This Row],[Qty available]]&gt;Table2[[#This Row],[Qty on hand]],"Check","OK")</f>
        <v>OK</v>
      </c>
    </row>
    <row r="624" spans="1:24" x14ac:dyDescent="0.3">
      <c r="A624" t="s">
        <v>111</v>
      </c>
      <c r="B624" t="s">
        <v>112</v>
      </c>
      <c r="C624" t="s">
        <v>57</v>
      </c>
      <c r="D624" t="s">
        <v>58</v>
      </c>
      <c r="E624" t="s">
        <v>27</v>
      </c>
      <c r="F624" s="1" t="s">
        <v>51</v>
      </c>
      <c r="G624" s="2">
        <v>44.47</v>
      </c>
      <c r="H624">
        <v>44.47</v>
      </c>
      <c r="I624">
        <v>44.490478000000003</v>
      </c>
      <c r="J624">
        <v>65.75</v>
      </c>
      <c r="K624">
        <v>16</v>
      </c>
      <c r="L624" s="2">
        <v>14</v>
      </c>
      <c r="M624">
        <v>478</v>
      </c>
      <c r="N624" s="2">
        <v>565</v>
      </c>
      <c r="O624">
        <v>25137.119999999999</v>
      </c>
      <c r="P624">
        <v>44</v>
      </c>
      <c r="Q624">
        <v>521</v>
      </c>
      <c r="R624">
        <v>7.57</v>
      </c>
      <c r="S624">
        <v>2</v>
      </c>
      <c r="T624">
        <v>384</v>
      </c>
      <c r="U624" s="2">
        <v>25248</v>
      </c>
      <c r="V624">
        <v>0</v>
      </c>
      <c r="W624" t="s">
        <v>29</v>
      </c>
      <c r="X624" t="str">
        <f>IF(Table2[[#This Row],[Qty available]]&gt;Table2[[#This Row],[Qty on hand]],"Check","OK")</f>
        <v>OK</v>
      </c>
    </row>
    <row r="625" spans="1:24" x14ac:dyDescent="0.3">
      <c r="A625" t="s">
        <v>111</v>
      </c>
      <c r="B625" t="s">
        <v>112</v>
      </c>
      <c r="C625" t="s">
        <v>57</v>
      </c>
      <c r="D625" t="s">
        <v>58</v>
      </c>
      <c r="E625" t="s">
        <v>27</v>
      </c>
      <c r="F625" s="1" t="s">
        <v>52</v>
      </c>
      <c r="G625" s="2">
        <v>45.83</v>
      </c>
      <c r="H625">
        <v>45.83</v>
      </c>
      <c r="I625">
        <v>45.017083</v>
      </c>
      <c r="J625">
        <v>65.75</v>
      </c>
      <c r="K625">
        <v>16</v>
      </c>
      <c r="L625" s="2">
        <v>18</v>
      </c>
      <c r="M625">
        <v>366</v>
      </c>
      <c r="N625" s="2">
        <v>576</v>
      </c>
      <c r="O625">
        <v>25929.84</v>
      </c>
      <c r="P625">
        <v>89</v>
      </c>
      <c r="Q625">
        <v>487</v>
      </c>
      <c r="R625">
        <v>6.71</v>
      </c>
      <c r="S625">
        <v>2</v>
      </c>
      <c r="T625">
        <v>355</v>
      </c>
      <c r="U625" s="2">
        <v>23341.25</v>
      </c>
      <c r="V625">
        <v>0</v>
      </c>
      <c r="W625" t="s">
        <v>29</v>
      </c>
      <c r="X625" t="str">
        <f>IF(Table2[[#This Row],[Qty available]]&gt;Table2[[#This Row],[Qty on hand]],"Check","OK")</f>
        <v>OK</v>
      </c>
    </row>
    <row r="626" spans="1:24" x14ac:dyDescent="0.3">
      <c r="A626" t="s">
        <v>113</v>
      </c>
      <c r="B626" t="s">
        <v>114</v>
      </c>
      <c r="C626" t="s">
        <v>57</v>
      </c>
      <c r="D626" t="s">
        <v>58</v>
      </c>
      <c r="E626" t="s">
        <v>66</v>
      </c>
      <c r="F626" s="1" t="s">
        <v>28</v>
      </c>
      <c r="G626" s="2">
        <v>62.14</v>
      </c>
      <c r="H626">
        <v>68.260000000000005</v>
      </c>
      <c r="I626">
        <v>66.965439000000003</v>
      </c>
      <c r="J626">
        <v>93.99</v>
      </c>
      <c r="K626">
        <v>32</v>
      </c>
      <c r="M626">
        <v>0</v>
      </c>
      <c r="N626" s="2">
        <v>57</v>
      </c>
      <c r="O626">
        <v>3817.03</v>
      </c>
      <c r="P626">
        <v>3</v>
      </c>
      <c r="Q626">
        <v>54</v>
      </c>
      <c r="R626">
        <v>6.81</v>
      </c>
      <c r="S626">
        <v>3</v>
      </c>
      <c r="T626">
        <v>26</v>
      </c>
      <c r="U626" s="2">
        <v>2443.7399999999998</v>
      </c>
      <c r="V626">
        <v>0</v>
      </c>
      <c r="W626" t="s">
        <v>29</v>
      </c>
      <c r="X626" t="str">
        <f>IF(Table2[[#This Row],[Qty available]]&gt;Table2[[#This Row],[Qty on hand]],"Check","OK")</f>
        <v>OK</v>
      </c>
    </row>
    <row r="627" spans="1:24" x14ac:dyDescent="0.3">
      <c r="A627" t="s">
        <v>113</v>
      </c>
      <c r="B627" t="s">
        <v>114</v>
      </c>
      <c r="C627" t="s">
        <v>57</v>
      </c>
      <c r="D627" t="s">
        <v>58</v>
      </c>
      <c r="E627" t="s">
        <v>66</v>
      </c>
      <c r="F627" s="1" t="s">
        <v>30</v>
      </c>
      <c r="G627" s="2">
        <v>61.56</v>
      </c>
      <c r="H627">
        <v>67.62</v>
      </c>
      <c r="I627">
        <v>67.335205000000002</v>
      </c>
      <c r="J627">
        <v>93.99</v>
      </c>
      <c r="K627">
        <v>32</v>
      </c>
      <c r="L627" s="2">
        <v>30</v>
      </c>
      <c r="M627">
        <v>74</v>
      </c>
      <c r="N627" s="2">
        <v>73</v>
      </c>
      <c r="O627">
        <v>4915.47</v>
      </c>
      <c r="P627">
        <v>13</v>
      </c>
      <c r="Q627">
        <v>60</v>
      </c>
      <c r="R627">
        <v>6.95</v>
      </c>
      <c r="S627">
        <v>1</v>
      </c>
      <c r="T627">
        <v>58</v>
      </c>
      <c r="U627" s="2">
        <v>5451.42</v>
      </c>
      <c r="V627">
        <v>0</v>
      </c>
      <c r="W627" t="s">
        <v>29</v>
      </c>
      <c r="X627" t="str">
        <f>IF(Table2[[#This Row],[Qty available]]&gt;Table2[[#This Row],[Qty on hand]],"Check","OK")</f>
        <v>OK</v>
      </c>
    </row>
    <row r="628" spans="1:24" x14ac:dyDescent="0.3">
      <c r="A628" t="s">
        <v>113</v>
      </c>
      <c r="B628" t="s">
        <v>114</v>
      </c>
      <c r="C628" t="s">
        <v>57</v>
      </c>
      <c r="D628" t="s">
        <v>58</v>
      </c>
      <c r="E628" t="s">
        <v>66</v>
      </c>
      <c r="F628" s="1" t="s">
        <v>31</v>
      </c>
      <c r="G628" s="2">
        <v>62.09</v>
      </c>
      <c r="H628">
        <v>68.209999999999994</v>
      </c>
      <c r="I628">
        <v>67.682254999999998</v>
      </c>
      <c r="J628">
        <v>93.99</v>
      </c>
      <c r="K628">
        <v>32</v>
      </c>
      <c r="L628" s="2">
        <v>29</v>
      </c>
      <c r="M628">
        <v>48</v>
      </c>
      <c r="N628" s="2">
        <v>102</v>
      </c>
      <c r="O628">
        <v>6903.59</v>
      </c>
      <c r="P628">
        <v>8</v>
      </c>
      <c r="Q628">
        <v>94</v>
      </c>
      <c r="R628">
        <v>12.87</v>
      </c>
      <c r="S628">
        <v>2</v>
      </c>
      <c r="T628">
        <v>19</v>
      </c>
      <c r="U628" s="2">
        <v>1785.81</v>
      </c>
      <c r="V628">
        <v>0</v>
      </c>
      <c r="W628" t="s">
        <v>29</v>
      </c>
      <c r="X628" t="str">
        <f>IF(Table2[[#This Row],[Qty available]]&gt;Table2[[#This Row],[Qty on hand]],"Check","OK")</f>
        <v>OK</v>
      </c>
    </row>
    <row r="629" spans="1:24" x14ac:dyDescent="0.3">
      <c r="A629" t="s">
        <v>113</v>
      </c>
      <c r="B629" t="s">
        <v>114</v>
      </c>
      <c r="C629" t="s">
        <v>57</v>
      </c>
      <c r="D629" t="s">
        <v>58</v>
      </c>
      <c r="E629" t="s">
        <v>66</v>
      </c>
      <c r="F629" s="1" t="s">
        <v>32</v>
      </c>
      <c r="G629" s="2">
        <v>61.83</v>
      </c>
      <c r="H629">
        <v>67.92</v>
      </c>
      <c r="I629">
        <v>67.682308000000006</v>
      </c>
      <c r="J629">
        <v>93.99</v>
      </c>
      <c r="K629">
        <v>32</v>
      </c>
      <c r="M629">
        <v>0</v>
      </c>
      <c r="N629" s="2">
        <v>65</v>
      </c>
      <c r="O629">
        <v>4399.3500000000004</v>
      </c>
      <c r="P629">
        <v>11</v>
      </c>
      <c r="Q629">
        <v>54</v>
      </c>
      <c r="R629">
        <v>7.49</v>
      </c>
      <c r="S629">
        <v>3</v>
      </c>
      <c r="T629">
        <v>37</v>
      </c>
      <c r="U629" s="2">
        <v>3477.63</v>
      </c>
      <c r="V629">
        <v>0</v>
      </c>
      <c r="W629" t="s">
        <v>29</v>
      </c>
      <c r="X629" t="str">
        <f>IF(Table2[[#This Row],[Qty available]]&gt;Table2[[#This Row],[Qty on hand]],"Check","OK")</f>
        <v>OK</v>
      </c>
    </row>
    <row r="630" spans="1:24" x14ac:dyDescent="0.3">
      <c r="A630" t="s">
        <v>113</v>
      </c>
      <c r="B630" t="s">
        <v>114</v>
      </c>
      <c r="C630" t="s">
        <v>57</v>
      </c>
      <c r="D630" t="s">
        <v>58</v>
      </c>
      <c r="E630" t="s">
        <v>66</v>
      </c>
      <c r="F630" s="1" t="s">
        <v>33</v>
      </c>
      <c r="G630" s="2">
        <v>64.53</v>
      </c>
      <c r="H630">
        <v>70.89</v>
      </c>
      <c r="I630">
        <v>67.682105000000007</v>
      </c>
      <c r="J630">
        <v>93.99</v>
      </c>
      <c r="K630">
        <v>32</v>
      </c>
      <c r="M630">
        <v>0</v>
      </c>
      <c r="N630" s="2">
        <v>19</v>
      </c>
      <c r="O630">
        <v>1285.96</v>
      </c>
      <c r="P630">
        <v>10</v>
      </c>
      <c r="Q630">
        <v>9</v>
      </c>
      <c r="R630">
        <v>2.4500000000000002</v>
      </c>
      <c r="S630">
        <v>0</v>
      </c>
      <c r="T630">
        <v>46</v>
      </c>
      <c r="U630" s="2">
        <v>4323.54</v>
      </c>
      <c r="V630">
        <v>0</v>
      </c>
      <c r="W630" t="s">
        <v>29</v>
      </c>
      <c r="X630" t="str">
        <f>IF(Table2[[#This Row],[Qty available]]&gt;Table2[[#This Row],[Qty on hand]],"Check","OK")</f>
        <v>OK</v>
      </c>
    </row>
    <row r="631" spans="1:24" x14ac:dyDescent="0.3">
      <c r="A631" t="s">
        <v>113</v>
      </c>
      <c r="B631" t="s">
        <v>114</v>
      </c>
      <c r="C631" t="s">
        <v>57</v>
      </c>
      <c r="D631" t="s">
        <v>58</v>
      </c>
      <c r="E631" t="s">
        <v>66</v>
      </c>
      <c r="F631" s="1" t="s">
        <v>34</v>
      </c>
      <c r="G631" s="2">
        <v>64.510000000000005</v>
      </c>
      <c r="H631">
        <v>70.86</v>
      </c>
      <c r="I631">
        <v>70.189231000000007</v>
      </c>
      <c r="J631">
        <v>98.96</v>
      </c>
      <c r="K631">
        <v>32</v>
      </c>
      <c r="L631" s="2">
        <v>39</v>
      </c>
      <c r="M631">
        <v>71</v>
      </c>
      <c r="N631" s="2">
        <v>39</v>
      </c>
      <c r="O631">
        <v>2737.38</v>
      </c>
      <c r="P631">
        <v>15</v>
      </c>
      <c r="Q631">
        <v>24</v>
      </c>
      <c r="R631">
        <v>3.74</v>
      </c>
      <c r="S631">
        <v>5</v>
      </c>
      <c r="T631">
        <v>51</v>
      </c>
      <c r="U631" s="2">
        <v>5046.96</v>
      </c>
      <c r="V631">
        <v>0</v>
      </c>
      <c r="W631" t="s">
        <v>29</v>
      </c>
      <c r="X631" t="str">
        <f>IF(Table2[[#This Row],[Qty available]]&gt;Table2[[#This Row],[Qty on hand]],"Check","OK")</f>
        <v>OK</v>
      </c>
    </row>
    <row r="632" spans="1:24" x14ac:dyDescent="0.3">
      <c r="A632" t="s">
        <v>113</v>
      </c>
      <c r="B632" t="s">
        <v>114</v>
      </c>
      <c r="C632" t="s">
        <v>57</v>
      </c>
      <c r="D632" t="s">
        <v>58</v>
      </c>
      <c r="E632" t="s">
        <v>66</v>
      </c>
      <c r="F632" s="1" t="s">
        <v>35</v>
      </c>
      <c r="G632" s="2">
        <v>63.19</v>
      </c>
      <c r="H632">
        <v>69.41</v>
      </c>
      <c r="I632">
        <v>69.672033999999996</v>
      </c>
      <c r="J632">
        <v>98.96</v>
      </c>
      <c r="K632">
        <v>32</v>
      </c>
      <c r="L632" s="2">
        <v>37</v>
      </c>
      <c r="M632">
        <v>77</v>
      </c>
      <c r="N632" s="2">
        <v>59</v>
      </c>
      <c r="O632">
        <v>4110.6499999999996</v>
      </c>
      <c r="P632">
        <v>10</v>
      </c>
      <c r="Q632">
        <v>49</v>
      </c>
      <c r="R632">
        <v>4.93</v>
      </c>
      <c r="S632">
        <v>0</v>
      </c>
      <c r="T632">
        <v>57</v>
      </c>
      <c r="U632" s="2">
        <v>5640.72</v>
      </c>
      <c r="V632">
        <v>0</v>
      </c>
      <c r="W632" t="s">
        <v>29</v>
      </c>
      <c r="X632" t="str">
        <f>IF(Table2[[#This Row],[Qty available]]&gt;Table2[[#This Row],[Qty on hand]],"Check","OK")</f>
        <v>OK</v>
      </c>
    </row>
    <row r="633" spans="1:24" x14ac:dyDescent="0.3">
      <c r="A633" t="s">
        <v>113</v>
      </c>
      <c r="B633" t="s">
        <v>114</v>
      </c>
      <c r="C633" t="s">
        <v>57</v>
      </c>
      <c r="D633" t="s">
        <v>58</v>
      </c>
      <c r="E633" t="s">
        <v>66</v>
      </c>
      <c r="F633" s="1" t="s">
        <v>36</v>
      </c>
      <c r="G633" s="2">
        <v>63.68</v>
      </c>
      <c r="H633">
        <v>69.95</v>
      </c>
      <c r="I633">
        <v>69.671923000000007</v>
      </c>
      <c r="J633">
        <v>98.96</v>
      </c>
      <c r="K633">
        <v>32</v>
      </c>
      <c r="M633">
        <v>0</v>
      </c>
      <c r="N633" s="2">
        <v>26</v>
      </c>
      <c r="O633">
        <v>1811.47</v>
      </c>
      <c r="P633">
        <v>13</v>
      </c>
      <c r="Q633">
        <v>13</v>
      </c>
      <c r="R633">
        <v>2.34</v>
      </c>
      <c r="S633">
        <v>2</v>
      </c>
      <c r="T633">
        <v>33</v>
      </c>
      <c r="U633" s="2">
        <v>3265.68</v>
      </c>
      <c r="V633">
        <v>0</v>
      </c>
      <c r="W633" t="s">
        <v>29</v>
      </c>
      <c r="X633" t="str">
        <f>IF(Table2[[#This Row],[Qty available]]&gt;Table2[[#This Row],[Qty on hand]],"Check","OK")</f>
        <v>OK</v>
      </c>
    </row>
    <row r="634" spans="1:24" x14ac:dyDescent="0.3">
      <c r="A634" t="s">
        <v>113</v>
      </c>
      <c r="B634" t="s">
        <v>114</v>
      </c>
      <c r="C634" t="s">
        <v>57</v>
      </c>
      <c r="D634" t="s">
        <v>58</v>
      </c>
      <c r="E634" t="s">
        <v>66</v>
      </c>
      <c r="F634" s="1" t="s">
        <v>37</v>
      </c>
      <c r="G634" s="2">
        <v>64.16</v>
      </c>
      <c r="H634">
        <v>70.48</v>
      </c>
      <c r="I634">
        <v>70.322000000000003</v>
      </c>
      <c r="J634">
        <v>98.96</v>
      </c>
      <c r="K634">
        <v>32</v>
      </c>
      <c r="L634" s="2">
        <v>32</v>
      </c>
      <c r="M634">
        <v>107</v>
      </c>
      <c r="N634" s="2">
        <v>110</v>
      </c>
      <c r="O634">
        <v>7735.42</v>
      </c>
      <c r="P634">
        <v>3</v>
      </c>
      <c r="Q634">
        <v>107</v>
      </c>
      <c r="R634">
        <v>12.79</v>
      </c>
      <c r="S634">
        <v>1</v>
      </c>
      <c r="T634">
        <v>23</v>
      </c>
      <c r="U634" s="2">
        <v>2276.08</v>
      </c>
      <c r="V634">
        <v>0</v>
      </c>
      <c r="W634" t="s">
        <v>29</v>
      </c>
      <c r="X634" t="str">
        <f>IF(Table2[[#This Row],[Qty available]]&gt;Table2[[#This Row],[Qty on hand]],"Check","OK")</f>
        <v>OK</v>
      </c>
    </row>
    <row r="635" spans="1:24" x14ac:dyDescent="0.3">
      <c r="A635" t="s">
        <v>113</v>
      </c>
      <c r="B635" t="s">
        <v>114</v>
      </c>
      <c r="C635" t="s">
        <v>57</v>
      </c>
      <c r="D635" t="s">
        <v>58</v>
      </c>
      <c r="E635" t="s">
        <v>66</v>
      </c>
      <c r="F635" s="1" t="s">
        <v>38</v>
      </c>
      <c r="G635" s="2">
        <v>63.34</v>
      </c>
      <c r="H635">
        <v>69.58</v>
      </c>
      <c r="I635">
        <v>70.322023999999999</v>
      </c>
      <c r="J635">
        <v>98.96</v>
      </c>
      <c r="K635">
        <v>32</v>
      </c>
      <c r="M635">
        <v>0</v>
      </c>
      <c r="N635" s="2">
        <v>84</v>
      </c>
      <c r="O635">
        <v>5907.05</v>
      </c>
      <c r="P635">
        <v>5</v>
      </c>
      <c r="Q635">
        <v>79</v>
      </c>
      <c r="R635">
        <v>13.32</v>
      </c>
      <c r="S635">
        <v>2</v>
      </c>
      <c r="T635">
        <v>26</v>
      </c>
      <c r="U635" s="2">
        <v>2572.96</v>
      </c>
      <c r="V635">
        <v>0</v>
      </c>
      <c r="W635" t="s">
        <v>29</v>
      </c>
      <c r="X635" t="str">
        <f>IF(Table2[[#This Row],[Qty available]]&gt;Table2[[#This Row],[Qty on hand]],"Check","OK")</f>
        <v>OK</v>
      </c>
    </row>
    <row r="636" spans="1:24" x14ac:dyDescent="0.3">
      <c r="A636" t="s">
        <v>113</v>
      </c>
      <c r="B636" t="s">
        <v>114</v>
      </c>
      <c r="C636" t="s">
        <v>57</v>
      </c>
      <c r="D636" t="s">
        <v>58</v>
      </c>
      <c r="E636" t="s">
        <v>66</v>
      </c>
      <c r="F636" s="1" t="s">
        <v>39</v>
      </c>
      <c r="G636" s="2">
        <v>63.3</v>
      </c>
      <c r="H636">
        <v>69.540000000000006</v>
      </c>
      <c r="I636">
        <v>70.037647000000007</v>
      </c>
      <c r="J636">
        <v>98.96</v>
      </c>
      <c r="K636">
        <v>32</v>
      </c>
      <c r="L636" s="2">
        <v>30</v>
      </c>
      <c r="M636">
        <v>48</v>
      </c>
      <c r="N636" s="2">
        <v>102</v>
      </c>
      <c r="O636">
        <v>7143.84</v>
      </c>
      <c r="P636">
        <v>10</v>
      </c>
      <c r="Q636">
        <v>92</v>
      </c>
      <c r="R636">
        <v>16.97</v>
      </c>
      <c r="S636">
        <v>13</v>
      </c>
      <c r="T636">
        <v>30</v>
      </c>
      <c r="U636" s="2">
        <v>2968.8</v>
      </c>
      <c r="V636">
        <v>0</v>
      </c>
      <c r="W636" t="s">
        <v>29</v>
      </c>
      <c r="X636" t="str">
        <f>IF(Table2[[#This Row],[Qty available]]&gt;Table2[[#This Row],[Qty on hand]],"Check","OK")</f>
        <v>OK</v>
      </c>
    </row>
    <row r="637" spans="1:24" x14ac:dyDescent="0.3">
      <c r="A637" t="s">
        <v>113</v>
      </c>
      <c r="B637" t="s">
        <v>114</v>
      </c>
      <c r="C637" t="s">
        <v>57</v>
      </c>
      <c r="D637" t="s">
        <v>58</v>
      </c>
      <c r="E637" t="s">
        <v>66</v>
      </c>
      <c r="F637" s="1" t="s">
        <v>40</v>
      </c>
      <c r="G637" s="2">
        <v>62.87</v>
      </c>
      <c r="H637">
        <v>69.06</v>
      </c>
      <c r="I637">
        <v>70.037825999999995</v>
      </c>
      <c r="J637">
        <v>98.96</v>
      </c>
      <c r="K637">
        <v>32</v>
      </c>
      <c r="M637">
        <v>0</v>
      </c>
      <c r="N637" s="2">
        <v>23</v>
      </c>
      <c r="O637">
        <v>1610.87</v>
      </c>
      <c r="P637">
        <v>11</v>
      </c>
      <c r="Q637">
        <v>12</v>
      </c>
      <c r="R637">
        <v>2.2400000000000002</v>
      </c>
      <c r="S637">
        <v>2</v>
      </c>
      <c r="T637">
        <v>79</v>
      </c>
      <c r="U637" s="2">
        <v>7817.84</v>
      </c>
      <c r="V637">
        <v>0</v>
      </c>
      <c r="W637" t="s">
        <v>29</v>
      </c>
      <c r="X637" t="str">
        <f>IF(Table2[[#This Row],[Qty available]]&gt;Table2[[#This Row],[Qty on hand]],"Check","OK")</f>
        <v>OK</v>
      </c>
    </row>
    <row r="638" spans="1:24" x14ac:dyDescent="0.3">
      <c r="A638" t="s">
        <v>113</v>
      </c>
      <c r="B638" t="s">
        <v>114</v>
      </c>
      <c r="C638" t="s">
        <v>57</v>
      </c>
      <c r="D638" t="s">
        <v>58</v>
      </c>
      <c r="E638" t="s">
        <v>66</v>
      </c>
      <c r="F638" s="1" t="s">
        <v>41</v>
      </c>
      <c r="G638" s="2">
        <v>64.819999999999993</v>
      </c>
      <c r="H638">
        <v>71.2</v>
      </c>
      <c r="I638">
        <v>70.037825999999995</v>
      </c>
      <c r="J638">
        <v>98.96</v>
      </c>
      <c r="K638">
        <v>32</v>
      </c>
      <c r="M638">
        <v>0</v>
      </c>
      <c r="N638" s="2">
        <v>0</v>
      </c>
      <c r="O638">
        <v>0</v>
      </c>
      <c r="P638">
        <v>0</v>
      </c>
      <c r="Q638">
        <v>0</v>
      </c>
      <c r="R638">
        <v>0</v>
      </c>
      <c r="S638">
        <v>6</v>
      </c>
      <c r="T638">
        <v>23</v>
      </c>
      <c r="U638" s="2">
        <v>2276.08</v>
      </c>
      <c r="V638">
        <v>19</v>
      </c>
      <c r="W638" t="s">
        <v>59</v>
      </c>
      <c r="X638" t="str">
        <f>IF(Table2[[#This Row],[Qty available]]&gt;Table2[[#This Row],[Qty on hand]],"Check","OK")</f>
        <v>OK</v>
      </c>
    </row>
    <row r="639" spans="1:24" x14ac:dyDescent="0.3">
      <c r="A639" t="s">
        <v>113</v>
      </c>
      <c r="B639" t="s">
        <v>114</v>
      </c>
      <c r="C639" t="s">
        <v>57</v>
      </c>
      <c r="D639" t="s">
        <v>58</v>
      </c>
      <c r="E639" t="s">
        <v>66</v>
      </c>
      <c r="F639" s="1" t="s">
        <v>42</v>
      </c>
      <c r="G639" s="2">
        <v>65</v>
      </c>
      <c r="H639">
        <v>71.400000000000006</v>
      </c>
      <c r="I639">
        <v>71.400000000000006</v>
      </c>
      <c r="J639">
        <v>98.96</v>
      </c>
      <c r="K639">
        <v>32</v>
      </c>
      <c r="L639" s="2">
        <v>29</v>
      </c>
      <c r="M639">
        <v>106</v>
      </c>
      <c r="N639" s="2">
        <v>6</v>
      </c>
      <c r="O639">
        <v>428.4</v>
      </c>
      <c r="P639">
        <v>6</v>
      </c>
      <c r="Q639">
        <v>0</v>
      </c>
      <c r="R639">
        <v>0.39</v>
      </c>
      <c r="S639">
        <v>5</v>
      </c>
      <c r="T639">
        <v>100</v>
      </c>
      <c r="U639" s="2">
        <v>9896</v>
      </c>
      <c r="V639">
        <v>0</v>
      </c>
      <c r="W639" t="s">
        <v>29</v>
      </c>
      <c r="X639" t="str">
        <f>IF(Table2[[#This Row],[Qty available]]&gt;Table2[[#This Row],[Qty on hand]],"Check","OK")</f>
        <v>OK</v>
      </c>
    </row>
    <row r="640" spans="1:24" x14ac:dyDescent="0.3">
      <c r="A640" t="s">
        <v>113</v>
      </c>
      <c r="B640" t="s">
        <v>114</v>
      </c>
      <c r="C640" t="s">
        <v>57</v>
      </c>
      <c r="D640" t="s">
        <v>58</v>
      </c>
      <c r="E640" t="s">
        <v>66</v>
      </c>
      <c r="F640" s="1" t="s">
        <v>43</v>
      </c>
      <c r="G640" s="2">
        <v>63.42</v>
      </c>
      <c r="H640">
        <v>69.67</v>
      </c>
      <c r="I640">
        <v>71.400000000000006</v>
      </c>
      <c r="J640">
        <v>98.96</v>
      </c>
      <c r="K640">
        <v>32</v>
      </c>
      <c r="M640">
        <v>0</v>
      </c>
      <c r="N640" s="2">
        <v>0</v>
      </c>
      <c r="O640">
        <v>0</v>
      </c>
      <c r="P640">
        <v>0</v>
      </c>
      <c r="Q640">
        <v>0</v>
      </c>
      <c r="R640">
        <v>0</v>
      </c>
      <c r="S640">
        <v>5</v>
      </c>
      <c r="T640">
        <v>6</v>
      </c>
      <c r="U640" s="2">
        <v>593.76</v>
      </c>
      <c r="V640">
        <v>53</v>
      </c>
      <c r="W640" t="s">
        <v>59</v>
      </c>
      <c r="X640" t="str">
        <f>IF(Table2[[#This Row],[Qty available]]&gt;Table2[[#This Row],[Qty on hand]],"Check","OK")</f>
        <v>OK</v>
      </c>
    </row>
    <row r="641" spans="1:24" x14ac:dyDescent="0.3">
      <c r="A641" t="s">
        <v>113</v>
      </c>
      <c r="B641" t="s">
        <v>114</v>
      </c>
      <c r="C641" t="s">
        <v>57</v>
      </c>
      <c r="D641" t="s">
        <v>58</v>
      </c>
      <c r="E641" t="s">
        <v>66</v>
      </c>
      <c r="F641" s="1" t="s">
        <v>44</v>
      </c>
      <c r="G641" s="2">
        <v>64.67</v>
      </c>
      <c r="H641">
        <v>71.040000000000006</v>
      </c>
      <c r="I641">
        <v>71.040000000000006</v>
      </c>
      <c r="J641">
        <v>98.96</v>
      </c>
      <c r="K641">
        <v>32</v>
      </c>
      <c r="L641" s="2">
        <v>43</v>
      </c>
      <c r="M641">
        <v>78</v>
      </c>
      <c r="N641" s="2">
        <v>42</v>
      </c>
      <c r="O641">
        <v>2983.68</v>
      </c>
      <c r="P641">
        <v>16</v>
      </c>
      <c r="Q641">
        <v>26</v>
      </c>
      <c r="R641">
        <v>3.89</v>
      </c>
      <c r="S641">
        <v>0</v>
      </c>
      <c r="T641">
        <v>36</v>
      </c>
      <c r="U641" s="2">
        <v>3562.56</v>
      </c>
      <c r="V641">
        <v>0</v>
      </c>
      <c r="W641" t="s">
        <v>29</v>
      </c>
      <c r="X641" t="str">
        <f>IF(Table2[[#This Row],[Qty available]]&gt;Table2[[#This Row],[Qty on hand]],"Check","OK")</f>
        <v>OK</v>
      </c>
    </row>
    <row r="642" spans="1:24" x14ac:dyDescent="0.3">
      <c r="A642" t="s">
        <v>113</v>
      </c>
      <c r="B642" t="s">
        <v>114</v>
      </c>
      <c r="C642" t="s">
        <v>57</v>
      </c>
      <c r="D642" t="s">
        <v>58</v>
      </c>
      <c r="E642" t="s">
        <v>66</v>
      </c>
      <c r="F642" s="1" t="s">
        <v>45</v>
      </c>
      <c r="G642" s="2">
        <v>67.510000000000005</v>
      </c>
      <c r="H642">
        <v>74.16</v>
      </c>
      <c r="I642">
        <v>72.703939000000005</v>
      </c>
      <c r="J642">
        <v>98.96</v>
      </c>
      <c r="K642">
        <v>32</v>
      </c>
      <c r="L642" s="2">
        <v>52</v>
      </c>
      <c r="M642">
        <v>48</v>
      </c>
      <c r="N642" s="2">
        <v>33</v>
      </c>
      <c r="O642">
        <v>2399.23</v>
      </c>
      <c r="P642">
        <v>6</v>
      </c>
      <c r="Q642">
        <v>27</v>
      </c>
      <c r="R642">
        <v>4.38</v>
      </c>
      <c r="S642">
        <v>2</v>
      </c>
      <c r="T642">
        <v>57</v>
      </c>
      <c r="U642" s="2">
        <v>5640.72</v>
      </c>
      <c r="V642">
        <v>0</v>
      </c>
      <c r="W642" t="s">
        <v>29</v>
      </c>
      <c r="X642" t="str">
        <f>IF(Table2[[#This Row],[Qty available]]&gt;Table2[[#This Row],[Qty on hand]],"Check","OK")</f>
        <v>OK</v>
      </c>
    </row>
    <row r="643" spans="1:24" x14ac:dyDescent="0.3">
      <c r="A643" t="s">
        <v>113</v>
      </c>
      <c r="B643" t="s">
        <v>114</v>
      </c>
      <c r="C643" t="s">
        <v>57</v>
      </c>
      <c r="D643" t="s">
        <v>58</v>
      </c>
      <c r="E643" t="s">
        <v>66</v>
      </c>
      <c r="F643" s="1" t="s">
        <v>46</v>
      </c>
      <c r="G643" s="2">
        <v>65.62</v>
      </c>
      <c r="H643">
        <v>72.08</v>
      </c>
      <c r="I643">
        <v>72.334118000000004</v>
      </c>
      <c r="J643">
        <v>104.2</v>
      </c>
      <c r="K643">
        <v>32</v>
      </c>
      <c r="L643" s="2">
        <v>28</v>
      </c>
      <c r="M643">
        <v>48</v>
      </c>
      <c r="N643" s="2">
        <v>51</v>
      </c>
      <c r="O643">
        <v>3689.04</v>
      </c>
      <c r="P643">
        <v>3</v>
      </c>
      <c r="Q643">
        <v>48</v>
      </c>
      <c r="R643">
        <v>5.33</v>
      </c>
      <c r="S643">
        <v>2</v>
      </c>
      <c r="T643">
        <v>30</v>
      </c>
      <c r="U643" s="2">
        <v>3126</v>
      </c>
      <c r="V643">
        <v>0</v>
      </c>
      <c r="W643" t="s">
        <v>29</v>
      </c>
      <c r="X643" t="str">
        <f>IF(Table2[[#This Row],[Qty available]]&gt;Table2[[#This Row],[Qty on hand]],"Check","OK")</f>
        <v>OK</v>
      </c>
    </row>
    <row r="644" spans="1:24" x14ac:dyDescent="0.3">
      <c r="A644" t="s">
        <v>113</v>
      </c>
      <c r="B644" t="s">
        <v>114</v>
      </c>
      <c r="C644" t="s">
        <v>57</v>
      </c>
      <c r="D644" t="s">
        <v>58</v>
      </c>
      <c r="E644" t="s">
        <v>66</v>
      </c>
      <c r="F644" s="1" t="s">
        <v>47</v>
      </c>
      <c r="G644" s="2">
        <v>67.459999999999994</v>
      </c>
      <c r="H644">
        <v>74.099999999999994</v>
      </c>
      <c r="I644">
        <v>73.361859999999993</v>
      </c>
      <c r="J644">
        <v>104.2</v>
      </c>
      <c r="K644">
        <v>32</v>
      </c>
      <c r="L644" s="2">
        <v>31</v>
      </c>
      <c r="M644">
        <v>71</v>
      </c>
      <c r="N644" s="2">
        <v>86</v>
      </c>
      <c r="O644">
        <v>6309.12</v>
      </c>
      <c r="P644">
        <v>5</v>
      </c>
      <c r="Q644">
        <v>81</v>
      </c>
      <c r="R644">
        <v>8.99</v>
      </c>
      <c r="S644">
        <v>2</v>
      </c>
      <c r="T644">
        <v>36</v>
      </c>
      <c r="U644" s="2">
        <v>3751.2</v>
      </c>
      <c r="V644">
        <v>0</v>
      </c>
      <c r="W644" t="s">
        <v>29</v>
      </c>
      <c r="X644" t="str">
        <f>IF(Table2[[#This Row],[Qty available]]&gt;Table2[[#This Row],[Qty on hand]],"Check","OK")</f>
        <v>OK</v>
      </c>
    </row>
    <row r="645" spans="1:24" x14ac:dyDescent="0.3">
      <c r="A645" t="s">
        <v>113</v>
      </c>
      <c r="B645" t="s">
        <v>114</v>
      </c>
      <c r="C645" t="s">
        <v>57</v>
      </c>
      <c r="D645" t="s">
        <v>58</v>
      </c>
      <c r="E645" t="s">
        <v>66</v>
      </c>
      <c r="F645" s="1" t="s">
        <v>48</v>
      </c>
      <c r="G645" s="2">
        <v>65.959999999999994</v>
      </c>
      <c r="H645">
        <v>72.459999999999994</v>
      </c>
      <c r="I645">
        <v>73.361999999999995</v>
      </c>
      <c r="J645">
        <v>104.2</v>
      </c>
      <c r="K645">
        <v>32</v>
      </c>
      <c r="M645">
        <v>0</v>
      </c>
      <c r="N645" s="2">
        <v>30</v>
      </c>
      <c r="O645">
        <v>2200.86</v>
      </c>
      <c r="P645">
        <v>5</v>
      </c>
      <c r="Q645">
        <v>25</v>
      </c>
      <c r="R645">
        <v>3.13</v>
      </c>
      <c r="S645">
        <v>3</v>
      </c>
      <c r="T645">
        <v>56</v>
      </c>
      <c r="U645" s="2">
        <v>5835.2</v>
      </c>
      <c r="V645">
        <v>0</v>
      </c>
      <c r="W645" t="s">
        <v>29</v>
      </c>
      <c r="X645" t="str">
        <f>IF(Table2[[#This Row],[Qty available]]&gt;Table2[[#This Row],[Qty on hand]],"Check","OK")</f>
        <v>OK</v>
      </c>
    </row>
    <row r="646" spans="1:24" x14ac:dyDescent="0.3">
      <c r="A646" t="s">
        <v>113</v>
      </c>
      <c r="B646" t="s">
        <v>114</v>
      </c>
      <c r="C646" t="s">
        <v>57</v>
      </c>
      <c r="D646" t="s">
        <v>58</v>
      </c>
      <c r="E646" t="s">
        <v>66</v>
      </c>
      <c r="F646" s="1" t="s">
        <v>49</v>
      </c>
      <c r="G646" s="2">
        <v>65.33</v>
      </c>
      <c r="H646">
        <v>71.77</v>
      </c>
      <c r="I646">
        <v>72.382390999999998</v>
      </c>
      <c r="J646">
        <v>104.2</v>
      </c>
      <c r="K646">
        <v>32</v>
      </c>
      <c r="L646" s="2">
        <v>31</v>
      </c>
      <c r="M646">
        <v>48</v>
      </c>
      <c r="N646" s="2">
        <v>46</v>
      </c>
      <c r="O646">
        <v>3329.59</v>
      </c>
      <c r="P646">
        <v>3</v>
      </c>
      <c r="Q646">
        <v>43</v>
      </c>
      <c r="R646">
        <v>4.88</v>
      </c>
      <c r="S646">
        <v>0</v>
      </c>
      <c r="T646">
        <v>32</v>
      </c>
      <c r="U646" s="2">
        <v>3334.4</v>
      </c>
      <c r="V646">
        <v>0</v>
      </c>
      <c r="W646" t="s">
        <v>29</v>
      </c>
      <c r="X646" t="str">
        <f>IF(Table2[[#This Row],[Qty available]]&gt;Table2[[#This Row],[Qty on hand]],"Check","OK")</f>
        <v>OK</v>
      </c>
    </row>
    <row r="647" spans="1:24" x14ac:dyDescent="0.3">
      <c r="A647" t="s">
        <v>113</v>
      </c>
      <c r="B647" t="s">
        <v>114</v>
      </c>
      <c r="C647" t="s">
        <v>57</v>
      </c>
      <c r="D647" t="s">
        <v>58</v>
      </c>
      <c r="E647" t="s">
        <v>66</v>
      </c>
      <c r="F647" s="1" t="s">
        <v>50</v>
      </c>
      <c r="G647" s="2">
        <v>67.34</v>
      </c>
      <c r="H647">
        <v>73.97</v>
      </c>
      <c r="I647">
        <v>73.193124999999995</v>
      </c>
      <c r="J647">
        <v>104.2</v>
      </c>
      <c r="K647">
        <v>32</v>
      </c>
      <c r="L647" s="2">
        <v>32</v>
      </c>
      <c r="M647">
        <v>48</v>
      </c>
      <c r="N647" s="2">
        <v>64</v>
      </c>
      <c r="O647">
        <v>4684.3599999999997</v>
      </c>
      <c r="P647">
        <v>16</v>
      </c>
      <c r="Q647">
        <v>48</v>
      </c>
      <c r="R647">
        <v>7.05</v>
      </c>
      <c r="S647">
        <v>12</v>
      </c>
      <c r="T647">
        <v>30</v>
      </c>
      <c r="U647" s="2">
        <v>3126</v>
      </c>
      <c r="V647">
        <v>0</v>
      </c>
      <c r="W647" t="s">
        <v>29</v>
      </c>
      <c r="X647" t="str">
        <f>IF(Table2[[#This Row],[Qty available]]&gt;Table2[[#This Row],[Qty on hand]],"Check","OK")</f>
        <v>OK</v>
      </c>
    </row>
    <row r="648" spans="1:24" x14ac:dyDescent="0.3">
      <c r="A648" t="s">
        <v>113</v>
      </c>
      <c r="B648" t="s">
        <v>114</v>
      </c>
      <c r="C648" t="s">
        <v>57</v>
      </c>
      <c r="D648" t="s">
        <v>58</v>
      </c>
      <c r="E648" t="s">
        <v>66</v>
      </c>
      <c r="F648" s="1" t="s">
        <v>51</v>
      </c>
      <c r="G648" s="2">
        <v>67.400000000000006</v>
      </c>
      <c r="H648">
        <v>74.040000000000006</v>
      </c>
      <c r="I648">
        <v>73.733813999999995</v>
      </c>
      <c r="J648">
        <v>104.2</v>
      </c>
      <c r="K648">
        <v>32</v>
      </c>
      <c r="L648" s="2">
        <v>29</v>
      </c>
      <c r="M648">
        <v>113</v>
      </c>
      <c r="N648" s="2">
        <v>118</v>
      </c>
      <c r="O648">
        <v>8700.59</v>
      </c>
      <c r="P648">
        <v>8</v>
      </c>
      <c r="Q648">
        <v>110</v>
      </c>
      <c r="R648">
        <v>12.82</v>
      </c>
      <c r="S648">
        <v>5</v>
      </c>
      <c r="T648">
        <v>59</v>
      </c>
      <c r="U648" s="2">
        <v>6147.8</v>
      </c>
      <c r="V648">
        <v>0</v>
      </c>
      <c r="W648" t="s">
        <v>29</v>
      </c>
      <c r="X648" t="str">
        <f>IF(Table2[[#This Row],[Qty available]]&gt;Table2[[#This Row],[Qty on hand]],"Check","OK")</f>
        <v>OK</v>
      </c>
    </row>
    <row r="649" spans="1:24" x14ac:dyDescent="0.3">
      <c r="A649" t="s">
        <v>113</v>
      </c>
      <c r="B649" t="s">
        <v>114</v>
      </c>
      <c r="C649" t="s">
        <v>57</v>
      </c>
      <c r="D649" t="s">
        <v>58</v>
      </c>
      <c r="E649" t="s">
        <v>66</v>
      </c>
      <c r="F649" s="1" t="s">
        <v>52</v>
      </c>
      <c r="G649" s="2">
        <v>67.17</v>
      </c>
      <c r="H649">
        <v>73.790000000000006</v>
      </c>
      <c r="I649">
        <v>73.733793000000006</v>
      </c>
      <c r="J649">
        <v>104.2</v>
      </c>
      <c r="K649">
        <v>32</v>
      </c>
      <c r="M649">
        <v>0</v>
      </c>
      <c r="N649" s="2">
        <v>29</v>
      </c>
      <c r="O649">
        <v>2138.2800000000002</v>
      </c>
      <c r="P649">
        <v>16</v>
      </c>
      <c r="Q649">
        <v>13</v>
      </c>
      <c r="R649">
        <v>2.14</v>
      </c>
      <c r="S649">
        <v>1</v>
      </c>
      <c r="T649">
        <v>89</v>
      </c>
      <c r="U649" s="2">
        <v>9273.7999999999993</v>
      </c>
      <c r="V649">
        <v>0</v>
      </c>
      <c r="W649" t="s">
        <v>29</v>
      </c>
      <c r="X649" t="str">
        <f>IF(Table2[[#This Row],[Qty available]]&gt;Table2[[#This Row],[Qty on hand]],"Check","OK")</f>
        <v>OK</v>
      </c>
    </row>
    <row r="650" spans="1:24" x14ac:dyDescent="0.3">
      <c r="A650" t="s">
        <v>115</v>
      </c>
      <c r="B650" t="s">
        <v>116</v>
      </c>
      <c r="C650" t="s">
        <v>69</v>
      </c>
      <c r="D650" t="s">
        <v>70</v>
      </c>
      <c r="E650" t="s">
        <v>27</v>
      </c>
      <c r="F650" s="1" t="s">
        <v>28</v>
      </c>
      <c r="G650" s="2">
        <v>182.27</v>
      </c>
      <c r="H650">
        <v>182.27</v>
      </c>
      <c r="I650">
        <v>181.56045499999999</v>
      </c>
      <c r="J650">
        <v>245.9</v>
      </c>
      <c r="K650">
        <v>30</v>
      </c>
      <c r="L650" s="2">
        <v>48</v>
      </c>
      <c r="M650">
        <v>27</v>
      </c>
      <c r="N650" s="2">
        <v>22</v>
      </c>
      <c r="O650">
        <v>3994.33</v>
      </c>
      <c r="P650">
        <v>4</v>
      </c>
      <c r="Q650">
        <v>18</v>
      </c>
      <c r="R650">
        <v>3.29</v>
      </c>
      <c r="S650">
        <v>0</v>
      </c>
      <c r="T650">
        <v>32</v>
      </c>
      <c r="U650" s="2">
        <v>7868.8</v>
      </c>
      <c r="V650">
        <v>0</v>
      </c>
      <c r="W650" t="s">
        <v>29</v>
      </c>
      <c r="X650" t="str">
        <f>IF(Table2[[#This Row],[Qty available]]&gt;Table2[[#This Row],[Qty on hand]],"Check","OK")</f>
        <v>OK</v>
      </c>
    </row>
    <row r="651" spans="1:24" x14ac:dyDescent="0.3">
      <c r="A651" t="s">
        <v>115</v>
      </c>
      <c r="B651" t="s">
        <v>116</v>
      </c>
      <c r="C651" t="s">
        <v>69</v>
      </c>
      <c r="D651" t="s">
        <v>70</v>
      </c>
      <c r="E651" t="s">
        <v>27</v>
      </c>
      <c r="F651" s="1" t="s">
        <v>30</v>
      </c>
      <c r="G651" s="2">
        <v>184.26</v>
      </c>
      <c r="H651">
        <v>184.26</v>
      </c>
      <c r="I651">
        <v>183.50830199999999</v>
      </c>
      <c r="J651">
        <v>245.9</v>
      </c>
      <c r="K651">
        <v>30</v>
      </c>
      <c r="L651" s="2">
        <v>27</v>
      </c>
      <c r="M651">
        <v>57</v>
      </c>
      <c r="N651" s="2">
        <v>53</v>
      </c>
      <c r="O651">
        <v>9725.94</v>
      </c>
      <c r="P651">
        <v>4</v>
      </c>
      <c r="Q651">
        <v>49</v>
      </c>
      <c r="R651">
        <v>8.19</v>
      </c>
      <c r="S651">
        <v>5</v>
      </c>
      <c r="T651">
        <v>26</v>
      </c>
      <c r="U651" s="2">
        <v>6393.4</v>
      </c>
      <c r="V651">
        <v>0</v>
      </c>
      <c r="W651" t="s">
        <v>29</v>
      </c>
      <c r="X651" t="str">
        <f>IF(Table2[[#This Row],[Qty available]]&gt;Table2[[#This Row],[Qty on hand]],"Check","OK")</f>
        <v>OK</v>
      </c>
    </row>
    <row r="652" spans="1:24" x14ac:dyDescent="0.3">
      <c r="A652" t="s">
        <v>115</v>
      </c>
      <c r="B652" t="s">
        <v>116</v>
      </c>
      <c r="C652" t="s">
        <v>69</v>
      </c>
      <c r="D652" t="s">
        <v>70</v>
      </c>
      <c r="E652" t="s">
        <v>27</v>
      </c>
      <c r="F652" s="1" t="s">
        <v>31</v>
      </c>
      <c r="G652" s="2">
        <v>180.75</v>
      </c>
      <c r="H652">
        <v>180.75</v>
      </c>
      <c r="I652">
        <v>183.50749999999999</v>
      </c>
      <c r="J652">
        <v>245.9</v>
      </c>
      <c r="K652">
        <v>30</v>
      </c>
      <c r="M652">
        <v>0</v>
      </c>
      <c r="N652" s="2">
        <v>4</v>
      </c>
      <c r="O652">
        <v>734.03</v>
      </c>
      <c r="P652">
        <v>3</v>
      </c>
      <c r="Q652">
        <v>1</v>
      </c>
      <c r="R652">
        <v>0.49</v>
      </c>
      <c r="S652">
        <v>0</v>
      </c>
      <c r="T652">
        <v>49</v>
      </c>
      <c r="U652" s="2">
        <v>12049.1</v>
      </c>
      <c r="V652">
        <v>0</v>
      </c>
      <c r="W652" t="s">
        <v>29</v>
      </c>
      <c r="X652" t="str">
        <f>IF(Table2[[#This Row],[Qty available]]&gt;Table2[[#This Row],[Qty on hand]],"Check","OK")</f>
        <v>OK</v>
      </c>
    </row>
    <row r="653" spans="1:24" x14ac:dyDescent="0.3">
      <c r="A653" t="s">
        <v>115</v>
      </c>
      <c r="B653" t="s">
        <v>116</v>
      </c>
      <c r="C653" t="s">
        <v>69</v>
      </c>
      <c r="D653" t="s">
        <v>70</v>
      </c>
      <c r="E653" t="s">
        <v>27</v>
      </c>
      <c r="F653" s="1" t="s">
        <v>32</v>
      </c>
      <c r="G653" s="2">
        <v>187.09</v>
      </c>
      <c r="H653">
        <v>187.09</v>
      </c>
      <c r="I653">
        <v>183.50749999999999</v>
      </c>
      <c r="J653">
        <v>245.9</v>
      </c>
      <c r="K653">
        <v>30</v>
      </c>
      <c r="M653">
        <v>0</v>
      </c>
      <c r="N653" s="2">
        <v>0</v>
      </c>
      <c r="O653">
        <v>0</v>
      </c>
      <c r="P653">
        <v>0</v>
      </c>
      <c r="Q653">
        <v>0</v>
      </c>
      <c r="R653">
        <v>0</v>
      </c>
      <c r="S653">
        <v>6</v>
      </c>
      <c r="T653">
        <v>4</v>
      </c>
      <c r="U653" s="2">
        <v>983.6</v>
      </c>
      <c r="V653">
        <v>31</v>
      </c>
      <c r="W653" t="s">
        <v>59</v>
      </c>
      <c r="X653" t="str">
        <f>IF(Table2[[#This Row],[Qty available]]&gt;Table2[[#This Row],[Qty on hand]],"Check","OK")</f>
        <v>OK</v>
      </c>
    </row>
    <row r="654" spans="1:24" x14ac:dyDescent="0.3">
      <c r="A654" t="s">
        <v>115</v>
      </c>
      <c r="B654" t="s">
        <v>116</v>
      </c>
      <c r="C654" t="s">
        <v>69</v>
      </c>
      <c r="D654" t="s">
        <v>70</v>
      </c>
      <c r="E654" t="s">
        <v>27</v>
      </c>
      <c r="F654" s="1" t="s">
        <v>33</v>
      </c>
      <c r="G654" s="2">
        <v>188.86</v>
      </c>
      <c r="H654">
        <v>188.86</v>
      </c>
      <c r="I654">
        <v>188.86</v>
      </c>
      <c r="J654">
        <v>245.9</v>
      </c>
      <c r="K654">
        <v>30</v>
      </c>
      <c r="L654" s="2">
        <v>29</v>
      </c>
      <c r="M654">
        <v>91</v>
      </c>
      <c r="N654" s="2">
        <v>61</v>
      </c>
      <c r="O654">
        <v>11520.46</v>
      </c>
      <c r="P654">
        <v>4</v>
      </c>
      <c r="Q654">
        <v>57</v>
      </c>
      <c r="R654">
        <v>9.66</v>
      </c>
      <c r="S654">
        <v>1</v>
      </c>
      <c r="T654">
        <v>30</v>
      </c>
      <c r="U654" s="2">
        <v>7377</v>
      </c>
      <c r="V654">
        <v>0</v>
      </c>
      <c r="W654" t="s">
        <v>29</v>
      </c>
      <c r="X654" t="str">
        <f>IF(Table2[[#This Row],[Qty available]]&gt;Table2[[#This Row],[Qty on hand]],"Check","OK")</f>
        <v>OK</v>
      </c>
    </row>
    <row r="655" spans="1:24" x14ac:dyDescent="0.3">
      <c r="A655" t="s">
        <v>115</v>
      </c>
      <c r="B655" t="s">
        <v>116</v>
      </c>
      <c r="C655" t="s">
        <v>69</v>
      </c>
      <c r="D655" t="s">
        <v>70</v>
      </c>
      <c r="E655" t="s">
        <v>27</v>
      </c>
      <c r="F655" s="1" t="s">
        <v>34</v>
      </c>
      <c r="G655" s="2">
        <v>185.57</v>
      </c>
      <c r="H655">
        <v>185.57</v>
      </c>
      <c r="I655">
        <v>188.86</v>
      </c>
      <c r="J655">
        <v>253.56</v>
      </c>
      <c r="K655">
        <v>30</v>
      </c>
      <c r="M655">
        <v>0</v>
      </c>
      <c r="N655" s="2">
        <v>48</v>
      </c>
      <c r="O655">
        <v>9065.2800000000007</v>
      </c>
      <c r="P655">
        <v>5</v>
      </c>
      <c r="Q655">
        <v>43</v>
      </c>
      <c r="R655">
        <v>13.13</v>
      </c>
      <c r="S655">
        <v>3</v>
      </c>
      <c r="T655">
        <v>13</v>
      </c>
      <c r="U655" s="2">
        <v>3296.28</v>
      </c>
      <c r="V655">
        <v>0</v>
      </c>
      <c r="W655" t="s">
        <v>29</v>
      </c>
      <c r="X655" t="str">
        <f>IF(Table2[[#This Row],[Qty available]]&gt;Table2[[#This Row],[Qty on hand]],"Check","OK")</f>
        <v>OK</v>
      </c>
    </row>
    <row r="656" spans="1:24" x14ac:dyDescent="0.3">
      <c r="A656" t="s">
        <v>115</v>
      </c>
      <c r="B656" t="s">
        <v>116</v>
      </c>
      <c r="C656" t="s">
        <v>69</v>
      </c>
      <c r="D656" t="s">
        <v>70</v>
      </c>
      <c r="E656" t="s">
        <v>27</v>
      </c>
      <c r="F656" s="1" t="s">
        <v>35</v>
      </c>
      <c r="G656" s="2">
        <v>183.68</v>
      </c>
      <c r="H656">
        <v>183.68</v>
      </c>
      <c r="I656">
        <v>186.44263900000001</v>
      </c>
      <c r="J656">
        <v>253.56</v>
      </c>
      <c r="K656">
        <v>30</v>
      </c>
      <c r="L656" s="2">
        <v>36</v>
      </c>
      <c r="M656">
        <v>42</v>
      </c>
      <c r="N656" s="2">
        <v>72</v>
      </c>
      <c r="O656">
        <v>13423.87</v>
      </c>
      <c r="P656">
        <v>7</v>
      </c>
      <c r="Q656">
        <v>65</v>
      </c>
      <c r="R656">
        <v>15.18</v>
      </c>
      <c r="S656">
        <v>7</v>
      </c>
      <c r="T656">
        <v>18</v>
      </c>
      <c r="U656" s="2">
        <v>4564.08</v>
      </c>
      <c r="V656">
        <v>0</v>
      </c>
      <c r="W656" t="s">
        <v>29</v>
      </c>
      <c r="X656" t="str">
        <f>IF(Table2[[#This Row],[Qty available]]&gt;Table2[[#This Row],[Qty on hand]],"Check","OK")</f>
        <v>OK</v>
      </c>
    </row>
    <row r="657" spans="1:24" x14ac:dyDescent="0.3">
      <c r="A657" t="s">
        <v>115</v>
      </c>
      <c r="B657" t="s">
        <v>116</v>
      </c>
      <c r="C657" t="s">
        <v>69</v>
      </c>
      <c r="D657" t="s">
        <v>70</v>
      </c>
      <c r="E657" t="s">
        <v>27</v>
      </c>
      <c r="F657" s="1" t="s">
        <v>36</v>
      </c>
      <c r="G657" s="2">
        <v>188.56</v>
      </c>
      <c r="H657">
        <v>188.56</v>
      </c>
      <c r="I657">
        <v>186.44274999999999</v>
      </c>
      <c r="J657">
        <v>253.56</v>
      </c>
      <c r="K657">
        <v>30</v>
      </c>
      <c r="M657">
        <v>0</v>
      </c>
      <c r="N657" s="2">
        <v>40</v>
      </c>
      <c r="O657">
        <v>7457.71</v>
      </c>
      <c r="P657">
        <v>5</v>
      </c>
      <c r="Q657">
        <v>35</v>
      </c>
      <c r="R657">
        <v>8.07</v>
      </c>
      <c r="S657">
        <v>7</v>
      </c>
      <c r="T657">
        <v>32</v>
      </c>
      <c r="U657" s="2">
        <v>8113.92</v>
      </c>
      <c r="V657">
        <v>0</v>
      </c>
      <c r="W657" t="s">
        <v>29</v>
      </c>
      <c r="X657" t="str">
        <f>IF(Table2[[#This Row],[Qty available]]&gt;Table2[[#This Row],[Qty on hand]],"Check","OK")</f>
        <v>OK</v>
      </c>
    </row>
    <row r="658" spans="1:24" x14ac:dyDescent="0.3">
      <c r="A658" t="s">
        <v>115</v>
      </c>
      <c r="B658" t="s">
        <v>116</v>
      </c>
      <c r="C658" t="s">
        <v>69</v>
      </c>
      <c r="D658" t="s">
        <v>70</v>
      </c>
      <c r="E658" t="s">
        <v>27</v>
      </c>
      <c r="F658" s="1" t="s">
        <v>37</v>
      </c>
      <c r="G658" s="2">
        <v>186.36</v>
      </c>
      <c r="H658">
        <v>186.36</v>
      </c>
      <c r="I658">
        <v>186.4425</v>
      </c>
      <c r="J658">
        <v>253.56</v>
      </c>
      <c r="K658">
        <v>30</v>
      </c>
      <c r="M658">
        <v>0</v>
      </c>
      <c r="N658" s="2">
        <v>12</v>
      </c>
      <c r="O658">
        <v>2237.31</v>
      </c>
      <c r="P658">
        <v>3</v>
      </c>
      <c r="Q658">
        <v>9</v>
      </c>
      <c r="R658">
        <v>2.02</v>
      </c>
      <c r="S658">
        <v>2</v>
      </c>
      <c r="T658">
        <v>28</v>
      </c>
      <c r="U658" s="2">
        <v>7099.68</v>
      </c>
      <c r="V658">
        <v>0</v>
      </c>
      <c r="W658" t="s">
        <v>29</v>
      </c>
      <c r="X658" t="str">
        <f>IF(Table2[[#This Row],[Qty available]]&gt;Table2[[#This Row],[Qty on hand]],"Check","OK")</f>
        <v>OK</v>
      </c>
    </row>
    <row r="659" spans="1:24" x14ac:dyDescent="0.3">
      <c r="A659" t="s">
        <v>115</v>
      </c>
      <c r="B659" t="s">
        <v>116</v>
      </c>
      <c r="C659" t="s">
        <v>69</v>
      </c>
      <c r="D659" t="s">
        <v>70</v>
      </c>
      <c r="E659" t="s">
        <v>27</v>
      </c>
      <c r="F659" s="1" t="s">
        <v>38</v>
      </c>
      <c r="G659" s="2">
        <v>187.53</v>
      </c>
      <c r="H659">
        <v>187.53</v>
      </c>
      <c r="I659">
        <v>187.39125000000001</v>
      </c>
      <c r="J659">
        <v>253.56</v>
      </c>
      <c r="K659">
        <v>30</v>
      </c>
      <c r="L659" s="2">
        <v>26</v>
      </c>
      <c r="M659">
        <v>82</v>
      </c>
      <c r="N659" s="2">
        <v>48</v>
      </c>
      <c r="O659">
        <v>8994.7800000000007</v>
      </c>
      <c r="P659">
        <v>5</v>
      </c>
      <c r="Q659">
        <v>43</v>
      </c>
      <c r="R659">
        <v>5.89</v>
      </c>
      <c r="S659">
        <v>4</v>
      </c>
      <c r="T659">
        <v>46</v>
      </c>
      <c r="U659" s="2">
        <v>11663.76</v>
      </c>
      <c r="V659">
        <v>0</v>
      </c>
      <c r="W659" t="s">
        <v>29</v>
      </c>
      <c r="X659" t="str">
        <f>IF(Table2[[#This Row],[Qty available]]&gt;Table2[[#This Row],[Qty on hand]],"Check","OK")</f>
        <v>OK</v>
      </c>
    </row>
    <row r="660" spans="1:24" x14ac:dyDescent="0.3">
      <c r="A660" t="s">
        <v>115</v>
      </c>
      <c r="B660" t="s">
        <v>116</v>
      </c>
      <c r="C660" t="s">
        <v>69</v>
      </c>
      <c r="D660" t="s">
        <v>70</v>
      </c>
      <c r="E660" t="s">
        <v>27</v>
      </c>
      <c r="F660" s="1" t="s">
        <v>39</v>
      </c>
      <c r="G660" s="2">
        <v>188.6</v>
      </c>
      <c r="H660">
        <v>188.6</v>
      </c>
      <c r="I660">
        <v>187.391111</v>
      </c>
      <c r="J660">
        <v>253.56</v>
      </c>
      <c r="K660">
        <v>30</v>
      </c>
      <c r="M660">
        <v>0</v>
      </c>
      <c r="N660" s="2">
        <v>27</v>
      </c>
      <c r="O660">
        <v>5059.5600000000004</v>
      </c>
      <c r="P660">
        <v>2</v>
      </c>
      <c r="Q660">
        <v>25</v>
      </c>
      <c r="R660">
        <v>3.74</v>
      </c>
      <c r="S660">
        <v>0</v>
      </c>
      <c r="T660">
        <v>21</v>
      </c>
      <c r="U660" s="2">
        <v>5324.76</v>
      </c>
      <c r="V660">
        <v>0</v>
      </c>
      <c r="W660" t="s">
        <v>29</v>
      </c>
      <c r="X660" t="str">
        <f>IF(Table2[[#This Row],[Qty available]]&gt;Table2[[#This Row],[Qty on hand]],"Check","OK")</f>
        <v>OK</v>
      </c>
    </row>
    <row r="661" spans="1:24" x14ac:dyDescent="0.3">
      <c r="A661" t="s">
        <v>115</v>
      </c>
      <c r="B661" t="s">
        <v>116</v>
      </c>
      <c r="C661" t="s">
        <v>69</v>
      </c>
      <c r="D661" t="s">
        <v>70</v>
      </c>
      <c r="E661" t="s">
        <v>27</v>
      </c>
      <c r="F661" s="1" t="s">
        <v>40</v>
      </c>
      <c r="G661" s="2">
        <v>188.01</v>
      </c>
      <c r="H661">
        <v>188.01</v>
      </c>
      <c r="I661">
        <v>187.70046500000001</v>
      </c>
      <c r="J661">
        <v>253.56</v>
      </c>
      <c r="K661">
        <v>30</v>
      </c>
      <c r="L661" s="2">
        <v>40</v>
      </c>
      <c r="M661">
        <v>27</v>
      </c>
      <c r="N661" s="2">
        <v>43</v>
      </c>
      <c r="O661">
        <v>8071.12</v>
      </c>
      <c r="P661">
        <v>8</v>
      </c>
      <c r="Q661">
        <v>35</v>
      </c>
      <c r="R661">
        <v>7.25</v>
      </c>
      <c r="S661">
        <v>0</v>
      </c>
      <c r="T661">
        <v>11</v>
      </c>
      <c r="U661" s="2">
        <v>2789.16</v>
      </c>
      <c r="V661">
        <v>0</v>
      </c>
      <c r="W661" t="s">
        <v>29</v>
      </c>
      <c r="X661" t="str">
        <f>IF(Table2[[#This Row],[Qty available]]&gt;Table2[[#This Row],[Qty on hand]],"Check","OK")</f>
        <v>OK</v>
      </c>
    </row>
    <row r="662" spans="1:24" x14ac:dyDescent="0.3">
      <c r="A662" t="s">
        <v>115</v>
      </c>
      <c r="B662" t="s">
        <v>116</v>
      </c>
      <c r="C662" t="s">
        <v>69</v>
      </c>
      <c r="D662" t="s">
        <v>70</v>
      </c>
      <c r="E662" t="s">
        <v>27</v>
      </c>
      <c r="F662" s="1" t="s">
        <v>41</v>
      </c>
      <c r="G662" s="2">
        <v>189.06</v>
      </c>
      <c r="H662">
        <v>189.06</v>
      </c>
      <c r="I662">
        <v>188.224884</v>
      </c>
      <c r="J662">
        <v>253.56</v>
      </c>
      <c r="K662">
        <v>30</v>
      </c>
      <c r="L662" s="2">
        <v>27</v>
      </c>
      <c r="M662">
        <v>27</v>
      </c>
      <c r="N662" s="2">
        <v>43</v>
      </c>
      <c r="O662">
        <v>8093.67</v>
      </c>
      <c r="P662">
        <v>9</v>
      </c>
      <c r="Q662">
        <v>34</v>
      </c>
      <c r="R662">
        <v>9.58</v>
      </c>
      <c r="S662">
        <v>2</v>
      </c>
      <c r="T662">
        <v>27</v>
      </c>
      <c r="U662" s="2">
        <v>6846.12</v>
      </c>
      <c r="V662">
        <v>0</v>
      </c>
      <c r="W662" t="s">
        <v>29</v>
      </c>
      <c r="X662" t="str">
        <f>IF(Table2[[#This Row],[Qty available]]&gt;Table2[[#This Row],[Qty on hand]],"Check","OK")</f>
        <v>OK</v>
      </c>
    </row>
    <row r="663" spans="1:24" x14ac:dyDescent="0.3">
      <c r="A663" t="s">
        <v>115</v>
      </c>
      <c r="B663" t="s">
        <v>116</v>
      </c>
      <c r="C663" t="s">
        <v>69</v>
      </c>
      <c r="D663" t="s">
        <v>70</v>
      </c>
      <c r="E663" t="s">
        <v>27</v>
      </c>
      <c r="F663" s="1" t="s">
        <v>42</v>
      </c>
      <c r="G663" s="2">
        <v>189.36</v>
      </c>
      <c r="H663">
        <v>189.36</v>
      </c>
      <c r="I663">
        <v>188.80534499999999</v>
      </c>
      <c r="J663">
        <v>253.56</v>
      </c>
      <c r="K663">
        <v>30</v>
      </c>
      <c r="L663" s="2">
        <v>30</v>
      </c>
      <c r="M663">
        <v>45</v>
      </c>
      <c r="N663" s="2">
        <v>58</v>
      </c>
      <c r="O663">
        <v>10950.71</v>
      </c>
      <c r="P663">
        <v>9</v>
      </c>
      <c r="Q663">
        <v>49</v>
      </c>
      <c r="R663">
        <v>11.21</v>
      </c>
      <c r="S663">
        <v>11</v>
      </c>
      <c r="T663">
        <v>30</v>
      </c>
      <c r="U663" s="2">
        <v>7606.8</v>
      </c>
      <c r="V663">
        <v>0</v>
      </c>
      <c r="W663" t="s">
        <v>29</v>
      </c>
      <c r="X663" t="str">
        <f>IF(Table2[[#This Row],[Qty available]]&gt;Table2[[#This Row],[Qty on hand]],"Check","OK")</f>
        <v>OK</v>
      </c>
    </row>
    <row r="664" spans="1:24" x14ac:dyDescent="0.3">
      <c r="A664" t="s">
        <v>115</v>
      </c>
      <c r="B664" t="s">
        <v>116</v>
      </c>
      <c r="C664" t="s">
        <v>69</v>
      </c>
      <c r="D664" t="s">
        <v>70</v>
      </c>
      <c r="E664" t="s">
        <v>27</v>
      </c>
      <c r="F664" s="1" t="s">
        <v>43</v>
      </c>
      <c r="G664" s="2">
        <v>190.28</v>
      </c>
      <c r="H664">
        <v>190.28</v>
      </c>
      <c r="I664">
        <v>189.27370400000001</v>
      </c>
      <c r="J664">
        <v>253.56</v>
      </c>
      <c r="K664">
        <v>30</v>
      </c>
      <c r="L664" s="2">
        <v>30</v>
      </c>
      <c r="M664">
        <v>27</v>
      </c>
      <c r="N664" s="2">
        <v>54</v>
      </c>
      <c r="O664">
        <v>10220.780000000001</v>
      </c>
      <c r="P664">
        <v>2</v>
      </c>
      <c r="Q664">
        <v>52</v>
      </c>
      <c r="R664">
        <v>7.98</v>
      </c>
      <c r="S664">
        <v>10</v>
      </c>
      <c r="T664">
        <v>31</v>
      </c>
      <c r="U664" s="2">
        <v>7860.36</v>
      </c>
      <c r="V664">
        <v>0</v>
      </c>
      <c r="W664" t="s">
        <v>29</v>
      </c>
      <c r="X664" t="str">
        <f>IF(Table2[[#This Row],[Qty available]]&gt;Table2[[#This Row],[Qty on hand]],"Check","OK")</f>
        <v>OK</v>
      </c>
    </row>
    <row r="665" spans="1:24" x14ac:dyDescent="0.3">
      <c r="A665" t="s">
        <v>115</v>
      </c>
      <c r="B665" t="s">
        <v>116</v>
      </c>
      <c r="C665" t="s">
        <v>69</v>
      </c>
      <c r="D665" t="s">
        <v>70</v>
      </c>
      <c r="E665" t="s">
        <v>27</v>
      </c>
      <c r="F665" s="1" t="s">
        <v>44</v>
      </c>
      <c r="G665" s="2">
        <v>191.56</v>
      </c>
      <c r="H665">
        <v>191.56</v>
      </c>
      <c r="I665">
        <v>189.27378400000001</v>
      </c>
      <c r="J665">
        <v>253.56</v>
      </c>
      <c r="K665">
        <v>30</v>
      </c>
      <c r="M665">
        <v>0</v>
      </c>
      <c r="N665" s="2">
        <v>37</v>
      </c>
      <c r="O665">
        <v>7003.13</v>
      </c>
      <c r="P665">
        <v>6</v>
      </c>
      <c r="Q665">
        <v>31</v>
      </c>
      <c r="R665">
        <v>6.23</v>
      </c>
      <c r="S665">
        <v>0</v>
      </c>
      <c r="T665">
        <v>17</v>
      </c>
      <c r="U665" s="2">
        <v>4310.5200000000004</v>
      </c>
      <c r="V665">
        <v>0</v>
      </c>
      <c r="W665" t="s">
        <v>29</v>
      </c>
      <c r="X665" t="str">
        <f>IF(Table2[[#This Row],[Qty available]]&gt;Table2[[#This Row],[Qty on hand]],"Check","OK")</f>
        <v>OK</v>
      </c>
    </row>
    <row r="666" spans="1:24" x14ac:dyDescent="0.3">
      <c r="A666" t="s">
        <v>115</v>
      </c>
      <c r="B666" t="s">
        <v>116</v>
      </c>
      <c r="C666" t="s">
        <v>69</v>
      </c>
      <c r="D666" t="s">
        <v>70</v>
      </c>
      <c r="E666" t="s">
        <v>27</v>
      </c>
      <c r="F666" s="1" t="s">
        <v>45</v>
      </c>
      <c r="G666" s="2">
        <v>194.16</v>
      </c>
      <c r="H666">
        <v>194.16</v>
      </c>
      <c r="I666">
        <v>191.335263</v>
      </c>
      <c r="J666">
        <v>253.56</v>
      </c>
      <c r="K666">
        <v>30</v>
      </c>
      <c r="L666" s="2">
        <v>28</v>
      </c>
      <c r="M666">
        <v>27</v>
      </c>
      <c r="N666" s="2">
        <v>38</v>
      </c>
      <c r="O666">
        <v>7270.74</v>
      </c>
      <c r="P666">
        <v>6</v>
      </c>
      <c r="Q666">
        <v>32</v>
      </c>
      <c r="R666">
        <v>6.75</v>
      </c>
      <c r="S666">
        <v>2</v>
      </c>
      <c r="T666">
        <v>26</v>
      </c>
      <c r="U666" s="2">
        <v>6592.56</v>
      </c>
      <c r="V666">
        <v>0</v>
      </c>
      <c r="W666" t="s">
        <v>29</v>
      </c>
      <c r="X666" t="str">
        <f>IF(Table2[[#This Row],[Qty available]]&gt;Table2[[#This Row],[Qty on hand]],"Check","OK")</f>
        <v>OK</v>
      </c>
    </row>
    <row r="667" spans="1:24" x14ac:dyDescent="0.3">
      <c r="A667" t="s">
        <v>115</v>
      </c>
      <c r="B667" t="s">
        <v>116</v>
      </c>
      <c r="C667" t="s">
        <v>69</v>
      </c>
      <c r="D667" t="s">
        <v>70</v>
      </c>
      <c r="E667" t="s">
        <v>27</v>
      </c>
      <c r="F667" s="1" t="s">
        <v>46</v>
      </c>
      <c r="G667" s="2">
        <v>189.02</v>
      </c>
      <c r="H667">
        <v>189.02</v>
      </c>
      <c r="I667">
        <v>191.33500000000001</v>
      </c>
      <c r="J667">
        <v>261.45999999999998</v>
      </c>
      <c r="K667">
        <v>30</v>
      </c>
      <c r="M667">
        <v>0</v>
      </c>
      <c r="N667" s="2">
        <v>2</v>
      </c>
      <c r="O667">
        <v>382.67</v>
      </c>
      <c r="P667">
        <v>2</v>
      </c>
      <c r="Q667">
        <v>0</v>
      </c>
      <c r="R667">
        <v>0.33</v>
      </c>
      <c r="S667">
        <v>1</v>
      </c>
      <c r="T667">
        <v>36</v>
      </c>
      <c r="U667" s="2">
        <v>9412.56</v>
      </c>
      <c r="V667">
        <v>0</v>
      </c>
      <c r="W667" t="s">
        <v>29</v>
      </c>
      <c r="X667" t="str">
        <f>IF(Table2[[#This Row],[Qty available]]&gt;Table2[[#This Row],[Qty on hand]],"Check","OK")</f>
        <v>OK</v>
      </c>
    </row>
    <row r="668" spans="1:24" x14ac:dyDescent="0.3">
      <c r="A668" t="s">
        <v>115</v>
      </c>
      <c r="B668" t="s">
        <v>116</v>
      </c>
      <c r="C668" t="s">
        <v>69</v>
      </c>
      <c r="D668" t="s">
        <v>70</v>
      </c>
      <c r="E668" t="s">
        <v>27</v>
      </c>
      <c r="F668" s="1" t="s">
        <v>47</v>
      </c>
      <c r="G668" s="2">
        <v>194.85</v>
      </c>
      <c r="H668">
        <v>194.85</v>
      </c>
      <c r="I668">
        <v>194.77355600000001</v>
      </c>
      <c r="J668">
        <v>261.45999999999998</v>
      </c>
      <c r="K668">
        <v>30</v>
      </c>
      <c r="L668" s="2">
        <v>28</v>
      </c>
      <c r="M668">
        <v>90</v>
      </c>
      <c r="N668" s="2">
        <v>45</v>
      </c>
      <c r="O668">
        <v>8764.81</v>
      </c>
      <c r="P668">
        <v>7</v>
      </c>
      <c r="Q668">
        <v>38</v>
      </c>
      <c r="R668">
        <v>5.31</v>
      </c>
      <c r="S668">
        <v>2</v>
      </c>
      <c r="T668">
        <v>47</v>
      </c>
      <c r="U668" s="2">
        <v>12288.62</v>
      </c>
      <c r="V668">
        <v>0</v>
      </c>
      <c r="W668" t="s">
        <v>29</v>
      </c>
      <c r="X668" t="str">
        <f>IF(Table2[[#This Row],[Qty available]]&gt;Table2[[#This Row],[Qty on hand]],"Check","OK")</f>
        <v>OK</v>
      </c>
    </row>
    <row r="669" spans="1:24" x14ac:dyDescent="0.3">
      <c r="A669" t="s">
        <v>115</v>
      </c>
      <c r="B669" t="s">
        <v>116</v>
      </c>
      <c r="C669" t="s">
        <v>69</v>
      </c>
      <c r="D669" t="s">
        <v>70</v>
      </c>
      <c r="E669" t="s">
        <v>27</v>
      </c>
      <c r="F669" s="1" t="s">
        <v>48</v>
      </c>
      <c r="G669" s="2">
        <v>191.23</v>
      </c>
      <c r="H669">
        <v>191.23</v>
      </c>
      <c r="I669">
        <v>193.300962</v>
      </c>
      <c r="J669">
        <v>261.45999999999998</v>
      </c>
      <c r="K669">
        <v>30</v>
      </c>
      <c r="L669" s="2">
        <v>26</v>
      </c>
      <c r="M669">
        <v>32</v>
      </c>
      <c r="N669" s="2">
        <v>52</v>
      </c>
      <c r="O669">
        <v>10051.65</v>
      </c>
      <c r="P669">
        <v>3</v>
      </c>
      <c r="Q669">
        <v>49</v>
      </c>
      <c r="R669">
        <v>6.12</v>
      </c>
      <c r="S669">
        <v>0</v>
      </c>
      <c r="T669">
        <v>25</v>
      </c>
      <c r="U669" s="2">
        <v>6536.5</v>
      </c>
      <c r="V669">
        <v>0</v>
      </c>
      <c r="W669" t="s">
        <v>29</v>
      </c>
      <c r="X669" t="str">
        <f>IF(Table2[[#This Row],[Qty available]]&gt;Table2[[#This Row],[Qty on hand]],"Check","OK")</f>
        <v>OK</v>
      </c>
    </row>
    <row r="670" spans="1:24" x14ac:dyDescent="0.3">
      <c r="A670" t="s">
        <v>115</v>
      </c>
      <c r="B670" t="s">
        <v>116</v>
      </c>
      <c r="C670" t="s">
        <v>69</v>
      </c>
      <c r="D670" t="s">
        <v>70</v>
      </c>
      <c r="E670" t="s">
        <v>27</v>
      </c>
      <c r="F670" s="1" t="s">
        <v>49</v>
      </c>
      <c r="G670" s="2">
        <v>191.02</v>
      </c>
      <c r="H670">
        <v>191.02</v>
      </c>
      <c r="I670">
        <v>193.30099999999999</v>
      </c>
      <c r="J670">
        <v>261.45999999999998</v>
      </c>
      <c r="K670">
        <v>30</v>
      </c>
      <c r="M670">
        <v>0</v>
      </c>
      <c r="N670" s="2">
        <v>30</v>
      </c>
      <c r="O670">
        <v>5799.03</v>
      </c>
      <c r="P670">
        <v>7</v>
      </c>
      <c r="Q670">
        <v>23</v>
      </c>
      <c r="R670">
        <v>4.1900000000000004</v>
      </c>
      <c r="S670">
        <v>3</v>
      </c>
      <c r="T670">
        <v>22</v>
      </c>
      <c r="U670" s="2">
        <v>5752.12</v>
      </c>
      <c r="V670">
        <v>0</v>
      </c>
      <c r="W670" t="s">
        <v>29</v>
      </c>
      <c r="X670" t="str">
        <f>IF(Table2[[#This Row],[Qty available]]&gt;Table2[[#This Row],[Qty on hand]],"Check","OK")</f>
        <v>OK</v>
      </c>
    </row>
    <row r="671" spans="1:24" x14ac:dyDescent="0.3">
      <c r="A671" t="s">
        <v>115</v>
      </c>
      <c r="B671" t="s">
        <v>116</v>
      </c>
      <c r="C671" t="s">
        <v>69</v>
      </c>
      <c r="D671" t="s">
        <v>70</v>
      </c>
      <c r="E671" t="s">
        <v>27</v>
      </c>
      <c r="F671" s="1" t="s">
        <v>50</v>
      </c>
      <c r="G671" s="2">
        <v>191.36</v>
      </c>
      <c r="H671">
        <v>191.36</v>
      </c>
      <c r="I671">
        <v>192.38172399999999</v>
      </c>
      <c r="J671">
        <v>261.45999999999998</v>
      </c>
      <c r="K671">
        <v>30</v>
      </c>
      <c r="L671" s="2">
        <v>33</v>
      </c>
      <c r="M671">
        <v>27</v>
      </c>
      <c r="N671" s="2">
        <v>29</v>
      </c>
      <c r="O671">
        <v>5579.07</v>
      </c>
      <c r="P671">
        <v>6</v>
      </c>
      <c r="Q671">
        <v>23</v>
      </c>
      <c r="R671">
        <v>5.03</v>
      </c>
      <c r="S671">
        <v>11</v>
      </c>
      <c r="T671">
        <v>28</v>
      </c>
      <c r="U671" s="2">
        <v>7320.88</v>
      </c>
      <c r="V671">
        <v>0</v>
      </c>
      <c r="W671" t="s">
        <v>29</v>
      </c>
      <c r="X671" t="str">
        <f>IF(Table2[[#This Row],[Qty available]]&gt;Table2[[#This Row],[Qty on hand]],"Check","OK")</f>
        <v>OK</v>
      </c>
    </row>
    <row r="672" spans="1:24" x14ac:dyDescent="0.3">
      <c r="A672" t="s">
        <v>115</v>
      </c>
      <c r="B672" t="s">
        <v>116</v>
      </c>
      <c r="C672" t="s">
        <v>69</v>
      </c>
      <c r="D672" t="s">
        <v>70</v>
      </c>
      <c r="E672" t="s">
        <v>27</v>
      </c>
      <c r="F672" s="1" t="s">
        <v>51</v>
      </c>
      <c r="G672" s="2">
        <v>195.28</v>
      </c>
      <c r="H672">
        <v>195.28</v>
      </c>
      <c r="I672">
        <v>192.38172399999999</v>
      </c>
      <c r="J672">
        <v>261.45999999999998</v>
      </c>
      <c r="K672">
        <v>30</v>
      </c>
      <c r="M672">
        <v>0</v>
      </c>
      <c r="N672" s="2">
        <v>0</v>
      </c>
      <c r="O672">
        <v>0</v>
      </c>
      <c r="P672">
        <v>0</v>
      </c>
      <c r="Q672">
        <v>0</v>
      </c>
      <c r="R672">
        <v>0</v>
      </c>
      <c r="S672">
        <v>4</v>
      </c>
      <c r="T672">
        <v>29</v>
      </c>
      <c r="U672" s="2">
        <v>7582.34</v>
      </c>
      <c r="V672">
        <v>1</v>
      </c>
      <c r="W672" t="s">
        <v>59</v>
      </c>
      <c r="X672" t="str">
        <f>IF(Table2[[#This Row],[Qty available]]&gt;Table2[[#This Row],[Qty on hand]],"Check","OK")</f>
        <v>OK</v>
      </c>
    </row>
    <row r="673" spans="1:24" x14ac:dyDescent="0.3">
      <c r="A673" t="s">
        <v>115</v>
      </c>
      <c r="B673" t="s">
        <v>116</v>
      </c>
      <c r="C673" t="s">
        <v>69</v>
      </c>
      <c r="D673" t="s">
        <v>70</v>
      </c>
      <c r="E673" t="s">
        <v>27</v>
      </c>
      <c r="F673" s="1" t="s">
        <v>52</v>
      </c>
      <c r="G673" s="2">
        <v>192.9</v>
      </c>
      <c r="H673">
        <v>192.9</v>
      </c>
      <c r="I673">
        <v>192.9</v>
      </c>
      <c r="J673">
        <v>261.45999999999998</v>
      </c>
      <c r="K673">
        <v>30</v>
      </c>
      <c r="L673" s="2">
        <v>27</v>
      </c>
      <c r="M673">
        <v>78</v>
      </c>
      <c r="N673" s="2">
        <v>43</v>
      </c>
      <c r="O673">
        <v>8294.7000000000007</v>
      </c>
      <c r="P673">
        <v>5</v>
      </c>
      <c r="Q673">
        <v>38</v>
      </c>
      <c r="R673">
        <v>6.14</v>
      </c>
      <c r="S673">
        <v>7</v>
      </c>
      <c r="T673">
        <v>35</v>
      </c>
      <c r="U673" s="2">
        <v>9151.1</v>
      </c>
      <c r="V673">
        <v>0</v>
      </c>
      <c r="W673" t="s">
        <v>29</v>
      </c>
      <c r="X673" t="str">
        <f>IF(Table2[[#This Row],[Qty available]]&gt;Table2[[#This Row],[Qty on hand]],"Check","OK")</f>
        <v>OK</v>
      </c>
    </row>
    <row r="674" spans="1:24" x14ac:dyDescent="0.3">
      <c r="A674" t="s">
        <v>117</v>
      </c>
      <c r="B674" t="s">
        <v>118</v>
      </c>
      <c r="C674" t="s">
        <v>57</v>
      </c>
      <c r="D674" t="s">
        <v>58</v>
      </c>
      <c r="E674" t="s">
        <v>66</v>
      </c>
      <c r="F674" s="1" t="s">
        <v>28</v>
      </c>
      <c r="G674" s="2">
        <v>5.74</v>
      </c>
      <c r="H674">
        <v>5.74</v>
      </c>
      <c r="I674">
        <v>5.6896789999999999</v>
      </c>
      <c r="J674">
        <v>7.92</v>
      </c>
      <c r="K674">
        <v>29</v>
      </c>
      <c r="L674" s="2">
        <v>25</v>
      </c>
      <c r="M674">
        <v>574</v>
      </c>
      <c r="N674" s="2">
        <v>1618</v>
      </c>
      <c r="O674">
        <v>9205.9</v>
      </c>
      <c r="P674">
        <v>133</v>
      </c>
      <c r="Q674">
        <v>1485</v>
      </c>
      <c r="R674">
        <v>8.59</v>
      </c>
      <c r="S674">
        <v>0</v>
      </c>
      <c r="T674">
        <v>642</v>
      </c>
      <c r="U674" s="2">
        <v>5084.6400000000003</v>
      </c>
      <c r="V674">
        <v>0</v>
      </c>
      <c r="W674" t="s">
        <v>29</v>
      </c>
      <c r="X674" t="str">
        <f>IF(Table2[[#This Row],[Qty available]]&gt;Table2[[#This Row],[Qty on hand]],"Check","OK")</f>
        <v>OK</v>
      </c>
    </row>
    <row r="675" spans="1:24" x14ac:dyDescent="0.3">
      <c r="A675" t="s">
        <v>117</v>
      </c>
      <c r="B675" t="s">
        <v>118</v>
      </c>
      <c r="C675" t="s">
        <v>57</v>
      </c>
      <c r="D675" t="s">
        <v>58</v>
      </c>
      <c r="E675" t="s">
        <v>66</v>
      </c>
      <c r="F675" s="1" t="s">
        <v>30</v>
      </c>
      <c r="G675" s="2">
        <v>5.74</v>
      </c>
      <c r="H675">
        <v>5.74</v>
      </c>
      <c r="I675">
        <v>5.71455</v>
      </c>
      <c r="J675">
        <v>7.92</v>
      </c>
      <c r="K675">
        <v>29</v>
      </c>
      <c r="L675" s="2">
        <v>28</v>
      </c>
      <c r="M675">
        <v>1581</v>
      </c>
      <c r="N675" s="2">
        <v>2453</v>
      </c>
      <c r="O675">
        <v>14017.79</v>
      </c>
      <c r="P675">
        <v>178</v>
      </c>
      <c r="Q675">
        <v>2275</v>
      </c>
      <c r="R675">
        <v>12.9</v>
      </c>
      <c r="S675">
        <v>0</v>
      </c>
      <c r="T675">
        <v>746</v>
      </c>
      <c r="U675" s="2">
        <v>5908.32</v>
      </c>
      <c r="V675">
        <v>0</v>
      </c>
      <c r="W675" t="s">
        <v>29</v>
      </c>
      <c r="X675" t="str">
        <f>IF(Table2[[#This Row],[Qty available]]&gt;Table2[[#This Row],[Qty on hand]],"Check","OK")</f>
        <v>OK</v>
      </c>
    </row>
    <row r="676" spans="1:24" x14ac:dyDescent="0.3">
      <c r="A676" t="s">
        <v>117</v>
      </c>
      <c r="B676" t="s">
        <v>118</v>
      </c>
      <c r="C676" t="s">
        <v>57</v>
      </c>
      <c r="D676" t="s">
        <v>58</v>
      </c>
      <c r="E676" t="s">
        <v>66</v>
      </c>
      <c r="F676" s="1" t="s">
        <v>31</v>
      </c>
      <c r="G676" s="2">
        <v>5.65</v>
      </c>
      <c r="H676">
        <v>5.65</v>
      </c>
      <c r="I676">
        <v>5.7118010000000004</v>
      </c>
      <c r="J676">
        <v>7.92</v>
      </c>
      <c r="K676">
        <v>29</v>
      </c>
      <c r="L676" s="2">
        <v>29</v>
      </c>
      <c r="M676">
        <v>109</v>
      </c>
      <c r="N676" s="2">
        <v>1649</v>
      </c>
      <c r="O676">
        <v>9418.76</v>
      </c>
      <c r="P676">
        <v>222</v>
      </c>
      <c r="Q676">
        <v>1427</v>
      </c>
      <c r="R676">
        <v>9.32</v>
      </c>
      <c r="S676">
        <v>0</v>
      </c>
      <c r="T676">
        <v>913</v>
      </c>
      <c r="U676" s="2">
        <v>7230.96</v>
      </c>
      <c r="V676">
        <v>0</v>
      </c>
      <c r="W676" t="s">
        <v>29</v>
      </c>
      <c r="X676" t="str">
        <f>IF(Table2[[#This Row],[Qty available]]&gt;Table2[[#This Row],[Qty on hand]],"Check","OK")</f>
        <v>OK</v>
      </c>
    </row>
    <row r="677" spans="1:24" x14ac:dyDescent="0.3">
      <c r="A677" t="s">
        <v>117</v>
      </c>
      <c r="B677" t="s">
        <v>118</v>
      </c>
      <c r="C677" t="s">
        <v>57</v>
      </c>
      <c r="D677" t="s">
        <v>58</v>
      </c>
      <c r="E677" t="s">
        <v>66</v>
      </c>
      <c r="F677" s="1" t="s">
        <v>32</v>
      </c>
      <c r="G677" s="2">
        <v>5.67</v>
      </c>
      <c r="H677">
        <v>5.67</v>
      </c>
      <c r="I677">
        <v>5.6936799999999996</v>
      </c>
      <c r="J677">
        <v>7.92</v>
      </c>
      <c r="K677">
        <v>29</v>
      </c>
      <c r="L677" s="2">
        <v>25</v>
      </c>
      <c r="M677">
        <v>1262</v>
      </c>
      <c r="N677" s="2">
        <v>1992</v>
      </c>
      <c r="O677">
        <v>11341.81</v>
      </c>
      <c r="P677">
        <v>222</v>
      </c>
      <c r="Q677">
        <v>1770</v>
      </c>
      <c r="R677">
        <v>10.16</v>
      </c>
      <c r="S677">
        <v>1</v>
      </c>
      <c r="T677">
        <v>919</v>
      </c>
      <c r="U677" s="2">
        <v>7278.48</v>
      </c>
      <c r="V677">
        <v>0</v>
      </c>
      <c r="W677" t="s">
        <v>29</v>
      </c>
      <c r="X677" t="str">
        <f>IF(Table2[[#This Row],[Qty available]]&gt;Table2[[#This Row],[Qty on hand]],"Check","OK")</f>
        <v>OK</v>
      </c>
    </row>
    <row r="678" spans="1:24" x14ac:dyDescent="0.3">
      <c r="A678" t="s">
        <v>117</v>
      </c>
      <c r="B678" t="s">
        <v>118</v>
      </c>
      <c r="C678" t="s">
        <v>57</v>
      </c>
      <c r="D678" t="s">
        <v>58</v>
      </c>
      <c r="E678" t="s">
        <v>66</v>
      </c>
      <c r="F678" s="1" t="s">
        <v>33</v>
      </c>
      <c r="G678" s="2">
        <v>6.01</v>
      </c>
      <c r="H678">
        <v>6.01</v>
      </c>
      <c r="I678">
        <v>5.7820280000000004</v>
      </c>
      <c r="J678">
        <v>7.92</v>
      </c>
      <c r="K678">
        <v>29</v>
      </c>
      <c r="L678" s="2">
        <v>25</v>
      </c>
      <c r="M678">
        <v>772</v>
      </c>
      <c r="N678" s="2">
        <v>1864</v>
      </c>
      <c r="O678">
        <v>10777.7</v>
      </c>
      <c r="P678">
        <v>67</v>
      </c>
      <c r="Q678">
        <v>1797</v>
      </c>
      <c r="R678">
        <v>8.9700000000000006</v>
      </c>
      <c r="S678">
        <v>0</v>
      </c>
      <c r="T678">
        <v>900</v>
      </c>
      <c r="U678" s="2">
        <v>7128</v>
      </c>
      <c r="V678">
        <v>0</v>
      </c>
      <c r="W678" t="s">
        <v>29</v>
      </c>
      <c r="X678" t="str">
        <f>IF(Table2[[#This Row],[Qty available]]&gt;Table2[[#This Row],[Qty on hand]],"Check","OK")</f>
        <v>OK</v>
      </c>
    </row>
    <row r="679" spans="1:24" x14ac:dyDescent="0.3">
      <c r="A679" t="s">
        <v>117</v>
      </c>
      <c r="B679" t="s">
        <v>118</v>
      </c>
      <c r="C679" t="s">
        <v>57</v>
      </c>
      <c r="D679" t="s">
        <v>58</v>
      </c>
      <c r="E679" t="s">
        <v>66</v>
      </c>
      <c r="F679" s="1" t="s">
        <v>34</v>
      </c>
      <c r="G679" s="2">
        <v>5.94</v>
      </c>
      <c r="H679">
        <v>5.94</v>
      </c>
      <c r="I679">
        <v>5.7820299999999998</v>
      </c>
      <c r="J679">
        <v>8.2100000000000009</v>
      </c>
      <c r="K679">
        <v>29</v>
      </c>
      <c r="M679">
        <v>0</v>
      </c>
      <c r="N679" s="2">
        <v>1680</v>
      </c>
      <c r="O679">
        <v>9713.81</v>
      </c>
      <c r="P679">
        <v>111</v>
      </c>
      <c r="Q679">
        <v>1569</v>
      </c>
      <c r="R679">
        <v>10.78</v>
      </c>
      <c r="S679">
        <v>0</v>
      </c>
      <c r="T679">
        <v>184</v>
      </c>
      <c r="U679" s="2">
        <v>1510.64</v>
      </c>
      <c r="V679">
        <v>0</v>
      </c>
      <c r="W679" t="s">
        <v>29</v>
      </c>
      <c r="X679" t="str">
        <f>IF(Table2[[#This Row],[Qty available]]&gt;Table2[[#This Row],[Qty on hand]],"Check","OK")</f>
        <v>OK</v>
      </c>
    </row>
    <row r="680" spans="1:24" x14ac:dyDescent="0.3">
      <c r="A680" t="s">
        <v>117</v>
      </c>
      <c r="B680" t="s">
        <v>118</v>
      </c>
      <c r="C680" t="s">
        <v>57</v>
      </c>
      <c r="D680" t="s">
        <v>58</v>
      </c>
      <c r="E680" t="s">
        <v>66</v>
      </c>
      <c r="F680" s="1" t="s">
        <v>35</v>
      </c>
      <c r="G680" s="2">
        <v>5.92</v>
      </c>
      <c r="H680">
        <v>5.92</v>
      </c>
      <c r="I680">
        <v>5.8375700000000004</v>
      </c>
      <c r="J680">
        <v>8.2100000000000009</v>
      </c>
      <c r="K680">
        <v>29</v>
      </c>
      <c r="L680" s="2">
        <v>50</v>
      </c>
      <c r="M680">
        <v>1132</v>
      </c>
      <c r="N680" s="2">
        <v>2296</v>
      </c>
      <c r="O680">
        <v>13403.06</v>
      </c>
      <c r="P680">
        <v>67</v>
      </c>
      <c r="Q680">
        <v>2229</v>
      </c>
      <c r="R680">
        <v>18.45</v>
      </c>
      <c r="S680">
        <v>0</v>
      </c>
      <c r="T680">
        <v>516</v>
      </c>
      <c r="U680" s="2">
        <v>4236.3599999999997</v>
      </c>
      <c r="V680">
        <v>0</v>
      </c>
      <c r="W680" t="s">
        <v>29</v>
      </c>
      <c r="X680" t="str">
        <f>IF(Table2[[#This Row],[Qty available]]&gt;Table2[[#This Row],[Qty on hand]],"Check","OK")</f>
        <v>OK</v>
      </c>
    </row>
    <row r="681" spans="1:24" x14ac:dyDescent="0.3">
      <c r="A681" t="s">
        <v>117</v>
      </c>
      <c r="B681" t="s">
        <v>118</v>
      </c>
      <c r="C681" t="s">
        <v>57</v>
      </c>
      <c r="D681" t="s">
        <v>58</v>
      </c>
      <c r="E681" t="s">
        <v>66</v>
      </c>
      <c r="F681" s="1" t="s">
        <v>36</v>
      </c>
      <c r="G681" s="2">
        <v>5.96</v>
      </c>
      <c r="H681">
        <v>5.96</v>
      </c>
      <c r="I681">
        <v>5.8751540000000002</v>
      </c>
      <c r="J681">
        <v>8.2100000000000009</v>
      </c>
      <c r="K681">
        <v>29</v>
      </c>
      <c r="L681" s="2">
        <v>26</v>
      </c>
      <c r="M681">
        <v>1017</v>
      </c>
      <c r="N681" s="2">
        <v>2726</v>
      </c>
      <c r="O681">
        <v>16015.67</v>
      </c>
      <c r="P681">
        <v>200</v>
      </c>
      <c r="Q681">
        <v>2526</v>
      </c>
      <c r="R681">
        <v>26.93</v>
      </c>
      <c r="S681">
        <v>0</v>
      </c>
      <c r="T681">
        <v>587</v>
      </c>
      <c r="U681" s="2">
        <v>4819.2700000000004</v>
      </c>
      <c r="V681">
        <v>0</v>
      </c>
      <c r="W681" t="s">
        <v>29</v>
      </c>
      <c r="X681" t="str">
        <f>IF(Table2[[#This Row],[Qty available]]&gt;Table2[[#This Row],[Qty on hand]],"Check","OK")</f>
        <v>OK</v>
      </c>
    </row>
    <row r="682" spans="1:24" x14ac:dyDescent="0.3">
      <c r="A682" t="s">
        <v>117</v>
      </c>
      <c r="B682" t="s">
        <v>118</v>
      </c>
      <c r="C682" t="s">
        <v>57</v>
      </c>
      <c r="D682" t="s">
        <v>58</v>
      </c>
      <c r="E682" t="s">
        <v>66</v>
      </c>
      <c r="F682" s="1" t="s">
        <v>37</v>
      </c>
      <c r="G682" s="2">
        <v>5.99</v>
      </c>
      <c r="H682">
        <v>5.99</v>
      </c>
      <c r="I682">
        <v>5.8898169999999999</v>
      </c>
      <c r="J682">
        <v>8.2100000000000009</v>
      </c>
      <c r="K682">
        <v>29</v>
      </c>
      <c r="L682" s="2">
        <v>26</v>
      </c>
      <c r="M682">
        <v>399</v>
      </c>
      <c r="N682" s="2">
        <v>2836</v>
      </c>
      <c r="O682">
        <v>16703.52</v>
      </c>
      <c r="P682">
        <v>44</v>
      </c>
      <c r="Q682">
        <v>2792</v>
      </c>
      <c r="R682">
        <v>26.78</v>
      </c>
      <c r="S682">
        <v>2</v>
      </c>
      <c r="T682">
        <v>289</v>
      </c>
      <c r="U682" s="2">
        <v>2372.69</v>
      </c>
      <c r="V682">
        <v>0</v>
      </c>
      <c r="W682" t="s">
        <v>29</v>
      </c>
      <c r="X682" t="str">
        <f>IF(Table2[[#This Row],[Qty available]]&gt;Table2[[#This Row],[Qty on hand]],"Check","OK")</f>
        <v>OK</v>
      </c>
    </row>
    <row r="683" spans="1:24" x14ac:dyDescent="0.3">
      <c r="A683" t="s">
        <v>117</v>
      </c>
      <c r="B683" t="s">
        <v>118</v>
      </c>
      <c r="C683" t="s">
        <v>57</v>
      </c>
      <c r="D683" t="s">
        <v>58</v>
      </c>
      <c r="E683" t="s">
        <v>66</v>
      </c>
      <c r="F683" s="1" t="s">
        <v>38</v>
      </c>
      <c r="G683" s="2">
        <v>5.93</v>
      </c>
      <c r="H683">
        <v>5.93</v>
      </c>
      <c r="I683">
        <v>5.898034</v>
      </c>
      <c r="J683">
        <v>8.2100000000000009</v>
      </c>
      <c r="K683">
        <v>29</v>
      </c>
      <c r="L683" s="2">
        <v>26</v>
      </c>
      <c r="M683">
        <v>729</v>
      </c>
      <c r="N683" s="2">
        <v>3088</v>
      </c>
      <c r="O683">
        <v>18213.13</v>
      </c>
      <c r="P683">
        <v>111</v>
      </c>
      <c r="Q683">
        <v>2977</v>
      </c>
      <c r="R683">
        <v>29.67</v>
      </c>
      <c r="S683">
        <v>0</v>
      </c>
      <c r="T683">
        <v>477</v>
      </c>
      <c r="U683" s="2">
        <v>3916.17</v>
      </c>
      <c r="V683">
        <v>0</v>
      </c>
      <c r="W683" t="s">
        <v>29</v>
      </c>
      <c r="X683" t="str">
        <f>IF(Table2[[#This Row],[Qty available]]&gt;Table2[[#This Row],[Qty on hand]],"Check","OK")</f>
        <v>OK</v>
      </c>
    </row>
    <row r="684" spans="1:24" x14ac:dyDescent="0.3">
      <c r="A684" t="s">
        <v>117</v>
      </c>
      <c r="B684" t="s">
        <v>118</v>
      </c>
      <c r="C684" t="s">
        <v>57</v>
      </c>
      <c r="D684" t="s">
        <v>58</v>
      </c>
      <c r="E684" t="s">
        <v>66</v>
      </c>
      <c r="F684" s="1" t="s">
        <v>39</v>
      </c>
      <c r="G684" s="2">
        <v>5.84</v>
      </c>
      <c r="H684">
        <v>5.84</v>
      </c>
      <c r="I684">
        <v>5.883006</v>
      </c>
      <c r="J684">
        <v>8.2100000000000009</v>
      </c>
      <c r="K684">
        <v>29</v>
      </c>
      <c r="L684" s="2">
        <v>25</v>
      </c>
      <c r="M684">
        <v>1079</v>
      </c>
      <c r="N684" s="2">
        <v>3596</v>
      </c>
      <c r="O684">
        <v>21155.29</v>
      </c>
      <c r="P684">
        <v>133</v>
      </c>
      <c r="Q684">
        <v>3463</v>
      </c>
      <c r="R684">
        <v>35.35</v>
      </c>
      <c r="S684">
        <v>0</v>
      </c>
      <c r="T684">
        <v>571</v>
      </c>
      <c r="U684" s="2">
        <v>4687.91</v>
      </c>
      <c r="V684">
        <v>0</v>
      </c>
      <c r="W684" t="s">
        <v>29</v>
      </c>
      <c r="X684" t="str">
        <f>IF(Table2[[#This Row],[Qty available]]&gt;Table2[[#This Row],[Qty on hand]],"Check","OK")</f>
        <v>OK</v>
      </c>
    </row>
    <row r="685" spans="1:24" x14ac:dyDescent="0.3">
      <c r="A685" t="s">
        <v>117</v>
      </c>
      <c r="B685" t="s">
        <v>118</v>
      </c>
      <c r="C685" t="s">
        <v>57</v>
      </c>
      <c r="D685" t="s">
        <v>58</v>
      </c>
      <c r="E685" t="s">
        <v>66</v>
      </c>
      <c r="F685" s="1" t="s">
        <v>40</v>
      </c>
      <c r="G685" s="2">
        <v>5.79</v>
      </c>
      <c r="H685">
        <v>5.79</v>
      </c>
      <c r="I685">
        <v>5.8830039999999997</v>
      </c>
      <c r="J685">
        <v>8.2100000000000009</v>
      </c>
      <c r="K685">
        <v>29</v>
      </c>
      <c r="M685">
        <v>0</v>
      </c>
      <c r="N685" s="2">
        <v>2563</v>
      </c>
      <c r="O685">
        <v>15078.14</v>
      </c>
      <c r="P685">
        <v>200</v>
      </c>
      <c r="Q685">
        <v>2363</v>
      </c>
      <c r="R685">
        <v>16.190000000000001</v>
      </c>
      <c r="S685">
        <v>1</v>
      </c>
      <c r="T685">
        <v>1033</v>
      </c>
      <c r="U685" s="2">
        <v>8480.93</v>
      </c>
      <c r="V685">
        <v>0</v>
      </c>
      <c r="W685" t="s">
        <v>29</v>
      </c>
      <c r="X685" t="str">
        <f>IF(Table2[[#This Row],[Qty available]]&gt;Table2[[#This Row],[Qty on hand]],"Check","OK")</f>
        <v>OK</v>
      </c>
    </row>
    <row r="686" spans="1:24" x14ac:dyDescent="0.3">
      <c r="A686" t="s">
        <v>117</v>
      </c>
      <c r="B686" t="s">
        <v>118</v>
      </c>
      <c r="C686" t="s">
        <v>57</v>
      </c>
      <c r="D686" t="s">
        <v>58</v>
      </c>
      <c r="E686" t="s">
        <v>66</v>
      </c>
      <c r="F686" s="1" t="s">
        <v>41</v>
      </c>
      <c r="G686" s="2">
        <v>5.94</v>
      </c>
      <c r="H686">
        <v>5.94</v>
      </c>
      <c r="I686">
        <v>5.8830030000000004</v>
      </c>
      <c r="J686">
        <v>8.2100000000000009</v>
      </c>
      <c r="K686">
        <v>29</v>
      </c>
      <c r="M686">
        <v>0</v>
      </c>
      <c r="N686" s="2">
        <v>2198</v>
      </c>
      <c r="O686">
        <v>12930.84</v>
      </c>
      <c r="P686">
        <v>200</v>
      </c>
      <c r="Q686">
        <v>1998</v>
      </c>
      <c r="R686">
        <v>14.67</v>
      </c>
      <c r="S686">
        <v>0</v>
      </c>
      <c r="T686">
        <v>365</v>
      </c>
      <c r="U686" s="2">
        <v>2996.65</v>
      </c>
      <c r="V686">
        <v>0</v>
      </c>
      <c r="W686" t="s">
        <v>29</v>
      </c>
      <c r="X686" t="str">
        <f>IF(Table2[[#This Row],[Qty available]]&gt;Table2[[#This Row],[Qty on hand]],"Check","OK")</f>
        <v>OK</v>
      </c>
    </row>
    <row r="687" spans="1:24" x14ac:dyDescent="0.3">
      <c r="A687" t="s">
        <v>117</v>
      </c>
      <c r="B687" t="s">
        <v>118</v>
      </c>
      <c r="C687" t="s">
        <v>57</v>
      </c>
      <c r="D687" t="s">
        <v>58</v>
      </c>
      <c r="E687" t="s">
        <v>66</v>
      </c>
      <c r="F687" s="1" t="s">
        <v>42</v>
      </c>
      <c r="G687" s="2">
        <v>5.81</v>
      </c>
      <c r="H687">
        <v>5.81</v>
      </c>
      <c r="I687">
        <v>5.8618110000000003</v>
      </c>
      <c r="J687">
        <v>8.2100000000000009</v>
      </c>
      <c r="K687">
        <v>29</v>
      </c>
      <c r="L687" s="2">
        <v>27</v>
      </c>
      <c r="M687">
        <v>899</v>
      </c>
      <c r="N687" s="2">
        <v>2629</v>
      </c>
      <c r="O687">
        <v>15410.7</v>
      </c>
      <c r="P687">
        <v>155</v>
      </c>
      <c r="Q687">
        <v>2474</v>
      </c>
      <c r="R687">
        <v>18.52</v>
      </c>
      <c r="S687">
        <v>1</v>
      </c>
      <c r="T687">
        <v>468</v>
      </c>
      <c r="U687" s="2">
        <v>3842.28</v>
      </c>
      <c r="V687">
        <v>0</v>
      </c>
      <c r="W687" t="s">
        <v>29</v>
      </c>
      <c r="X687" t="str">
        <f>IF(Table2[[#This Row],[Qty available]]&gt;Table2[[#This Row],[Qty on hand]],"Check","OK")</f>
        <v>OK</v>
      </c>
    </row>
    <row r="688" spans="1:24" x14ac:dyDescent="0.3">
      <c r="A688" t="s">
        <v>117</v>
      </c>
      <c r="B688" t="s">
        <v>118</v>
      </c>
      <c r="C688" t="s">
        <v>57</v>
      </c>
      <c r="D688" t="s">
        <v>58</v>
      </c>
      <c r="E688" t="s">
        <v>66</v>
      </c>
      <c r="F688" s="1" t="s">
        <v>43</v>
      </c>
      <c r="G688" s="2">
        <v>5.96</v>
      </c>
      <c r="H688">
        <v>5.96</v>
      </c>
      <c r="I688">
        <v>5.8618129999999997</v>
      </c>
      <c r="J688">
        <v>8.2100000000000009</v>
      </c>
      <c r="K688">
        <v>29</v>
      </c>
      <c r="M688">
        <v>0</v>
      </c>
      <c r="N688" s="2">
        <v>1616</v>
      </c>
      <c r="O688">
        <v>9472.69</v>
      </c>
      <c r="P688">
        <v>133</v>
      </c>
      <c r="Q688">
        <v>1483</v>
      </c>
      <c r="R688">
        <v>11.38</v>
      </c>
      <c r="S688">
        <v>0</v>
      </c>
      <c r="T688">
        <v>1013</v>
      </c>
      <c r="U688" s="2">
        <v>8316.73</v>
      </c>
      <c r="V688">
        <v>0</v>
      </c>
      <c r="W688" t="s">
        <v>29</v>
      </c>
      <c r="X688" t="str">
        <f>IF(Table2[[#This Row],[Qty available]]&gt;Table2[[#This Row],[Qty on hand]],"Check","OK")</f>
        <v>OK</v>
      </c>
    </row>
    <row r="689" spans="1:24" x14ac:dyDescent="0.3">
      <c r="A689" t="s">
        <v>117</v>
      </c>
      <c r="B689" t="s">
        <v>118</v>
      </c>
      <c r="C689" t="s">
        <v>57</v>
      </c>
      <c r="D689" t="s">
        <v>58</v>
      </c>
      <c r="E689" t="s">
        <v>66</v>
      </c>
      <c r="F689" s="1" t="s">
        <v>44</v>
      </c>
      <c r="G689" s="2">
        <v>5.89</v>
      </c>
      <c r="H689">
        <v>5.89</v>
      </c>
      <c r="I689">
        <v>5.8743610000000004</v>
      </c>
      <c r="J689">
        <v>8.2100000000000009</v>
      </c>
      <c r="K689">
        <v>29</v>
      </c>
      <c r="L689" s="2">
        <v>28</v>
      </c>
      <c r="M689">
        <v>1297</v>
      </c>
      <c r="N689" s="2">
        <v>1924</v>
      </c>
      <c r="O689">
        <v>11302.27</v>
      </c>
      <c r="P689">
        <v>178</v>
      </c>
      <c r="Q689">
        <v>1746</v>
      </c>
      <c r="R689">
        <v>10.24</v>
      </c>
      <c r="S689">
        <v>0</v>
      </c>
      <c r="T689">
        <v>989</v>
      </c>
      <c r="U689" s="2">
        <v>8119.69</v>
      </c>
      <c r="V689">
        <v>0</v>
      </c>
      <c r="W689" t="s">
        <v>29</v>
      </c>
      <c r="X689" t="str">
        <f>IF(Table2[[#This Row],[Qty available]]&gt;Table2[[#This Row],[Qty on hand]],"Check","OK")</f>
        <v>OK</v>
      </c>
    </row>
    <row r="690" spans="1:24" x14ac:dyDescent="0.3">
      <c r="A690" t="s">
        <v>117</v>
      </c>
      <c r="B690" t="s">
        <v>118</v>
      </c>
      <c r="C690" t="s">
        <v>57</v>
      </c>
      <c r="D690" t="s">
        <v>58</v>
      </c>
      <c r="E690" t="s">
        <v>66</v>
      </c>
      <c r="F690" s="1" t="s">
        <v>45</v>
      </c>
      <c r="G690" s="2">
        <v>6.15</v>
      </c>
      <c r="H690">
        <v>6.15</v>
      </c>
      <c r="I690">
        <v>5.8743600000000002</v>
      </c>
      <c r="J690">
        <v>8.2100000000000009</v>
      </c>
      <c r="K690">
        <v>29</v>
      </c>
      <c r="M690">
        <v>0</v>
      </c>
      <c r="N690" s="2">
        <v>828</v>
      </c>
      <c r="O690">
        <v>4863.97</v>
      </c>
      <c r="P690">
        <v>222</v>
      </c>
      <c r="Q690">
        <v>606</v>
      </c>
      <c r="R690">
        <v>3.51</v>
      </c>
      <c r="S690">
        <v>1</v>
      </c>
      <c r="T690">
        <v>1096</v>
      </c>
      <c r="U690" s="2">
        <v>8998.16</v>
      </c>
      <c r="V690">
        <v>0</v>
      </c>
      <c r="W690" t="s">
        <v>29</v>
      </c>
      <c r="X690" t="str">
        <f>IF(Table2[[#This Row],[Qty available]]&gt;Table2[[#This Row],[Qty on hand]],"Check","OK")</f>
        <v>OK</v>
      </c>
    </row>
    <row r="691" spans="1:24" x14ac:dyDescent="0.3">
      <c r="A691" t="s">
        <v>117</v>
      </c>
      <c r="B691" t="s">
        <v>118</v>
      </c>
      <c r="C691" t="s">
        <v>57</v>
      </c>
      <c r="D691" t="s">
        <v>58</v>
      </c>
      <c r="E691" t="s">
        <v>66</v>
      </c>
      <c r="F691" s="1" t="s">
        <v>46</v>
      </c>
      <c r="G691" s="2">
        <v>6.16</v>
      </c>
      <c r="H691">
        <v>6.16</v>
      </c>
      <c r="I691">
        <v>5.982971</v>
      </c>
      <c r="J691">
        <v>8.51</v>
      </c>
      <c r="K691">
        <v>29</v>
      </c>
      <c r="L691" s="2">
        <v>43</v>
      </c>
      <c r="M691">
        <v>508</v>
      </c>
      <c r="N691" s="2">
        <v>653</v>
      </c>
      <c r="O691">
        <v>3906.88</v>
      </c>
      <c r="P691">
        <v>67</v>
      </c>
      <c r="Q691">
        <v>586</v>
      </c>
      <c r="R691">
        <v>3.03</v>
      </c>
      <c r="S691">
        <v>0</v>
      </c>
      <c r="T691">
        <v>683</v>
      </c>
      <c r="U691" s="2">
        <v>5812.33</v>
      </c>
      <c r="V691">
        <v>0</v>
      </c>
      <c r="W691" t="s">
        <v>29</v>
      </c>
      <c r="X691" t="str">
        <f>IF(Table2[[#This Row],[Qty available]]&gt;Table2[[#This Row],[Qty on hand]],"Check","OK")</f>
        <v>OK</v>
      </c>
    </row>
    <row r="692" spans="1:24" x14ac:dyDescent="0.3">
      <c r="A692" t="s">
        <v>117</v>
      </c>
      <c r="B692" t="s">
        <v>118</v>
      </c>
      <c r="C692" t="s">
        <v>57</v>
      </c>
      <c r="D692" t="s">
        <v>58</v>
      </c>
      <c r="E692" t="s">
        <v>66</v>
      </c>
      <c r="F692" s="1" t="s">
        <v>47</v>
      </c>
      <c r="G692" s="2">
        <v>6.08</v>
      </c>
      <c r="H692">
        <v>6.08</v>
      </c>
      <c r="I692">
        <v>6.0529260000000003</v>
      </c>
      <c r="J692">
        <v>8.51</v>
      </c>
      <c r="K692">
        <v>29</v>
      </c>
      <c r="L692" s="2">
        <v>42</v>
      </c>
      <c r="M692">
        <v>1687</v>
      </c>
      <c r="N692" s="2">
        <v>1521</v>
      </c>
      <c r="O692">
        <v>9206.5</v>
      </c>
      <c r="P692">
        <v>111</v>
      </c>
      <c r="Q692">
        <v>1410</v>
      </c>
      <c r="R692">
        <v>7.53</v>
      </c>
      <c r="S692">
        <v>0</v>
      </c>
      <c r="T692">
        <v>819</v>
      </c>
      <c r="U692" s="2">
        <v>6969.69</v>
      </c>
      <c r="V692">
        <v>0</v>
      </c>
      <c r="W692" t="s">
        <v>29</v>
      </c>
      <c r="X692" t="str">
        <f>IF(Table2[[#This Row],[Qty available]]&gt;Table2[[#This Row],[Qty on hand]],"Check","OK")</f>
        <v>OK</v>
      </c>
    </row>
    <row r="693" spans="1:24" x14ac:dyDescent="0.3">
      <c r="A693" t="s">
        <v>117</v>
      </c>
      <c r="B693" t="s">
        <v>118</v>
      </c>
      <c r="C693" t="s">
        <v>57</v>
      </c>
      <c r="D693" t="s">
        <v>58</v>
      </c>
      <c r="E693" t="s">
        <v>66</v>
      </c>
      <c r="F693" s="1" t="s">
        <v>48</v>
      </c>
      <c r="G693" s="2">
        <v>6.25</v>
      </c>
      <c r="H693">
        <v>6.25</v>
      </c>
      <c r="I693">
        <v>6.1341780000000004</v>
      </c>
      <c r="J693">
        <v>8.51</v>
      </c>
      <c r="K693">
        <v>29</v>
      </c>
      <c r="L693" s="2">
        <v>25</v>
      </c>
      <c r="M693">
        <v>1067</v>
      </c>
      <c r="N693" s="2">
        <v>2506</v>
      </c>
      <c r="O693">
        <v>15372.25</v>
      </c>
      <c r="P693">
        <v>89</v>
      </c>
      <c r="Q693">
        <v>2417</v>
      </c>
      <c r="R693">
        <v>20.11</v>
      </c>
      <c r="S693">
        <v>0</v>
      </c>
      <c r="T693">
        <v>82</v>
      </c>
      <c r="U693" s="2">
        <v>697.82</v>
      </c>
      <c r="V693">
        <v>0</v>
      </c>
      <c r="W693" t="s">
        <v>29</v>
      </c>
      <c r="X693" t="str">
        <f>IF(Table2[[#This Row],[Qty available]]&gt;Table2[[#This Row],[Qty on hand]],"Check","OK")</f>
        <v>OK</v>
      </c>
    </row>
    <row r="694" spans="1:24" x14ac:dyDescent="0.3">
      <c r="A694" t="s">
        <v>117</v>
      </c>
      <c r="B694" t="s">
        <v>118</v>
      </c>
      <c r="C694" t="s">
        <v>57</v>
      </c>
      <c r="D694" t="s">
        <v>58</v>
      </c>
      <c r="E694" t="s">
        <v>66</v>
      </c>
      <c r="F694" s="1" t="s">
        <v>49</v>
      </c>
      <c r="G694" s="2">
        <v>6.26</v>
      </c>
      <c r="H694">
        <v>6.26</v>
      </c>
      <c r="I694">
        <v>6.1341760000000001</v>
      </c>
      <c r="J694">
        <v>8.51</v>
      </c>
      <c r="K694">
        <v>29</v>
      </c>
      <c r="M694">
        <v>0</v>
      </c>
      <c r="N694" s="2">
        <v>1772</v>
      </c>
      <c r="O694">
        <v>10869.76</v>
      </c>
      <c r="P694">
        <v>111</v>
      </c>
      <c r="Q694">
        <v>1661</v>
      </c>
      <c r="R694">
        <v>14.24</v>
      </c>
      <c r="S694">
        <v>5</v>
      </c>
      <c r="T694">
        <v>734</v>
      </c>
      <c r="U694" s="2">
        <v>6246.34</v>
      </c>
      <c r="V694">
        <v>0</v>
      </c>
      <c r="W694" t="s">
        <v>29</v>
      </c>
      <c r="X694" t="str">
        <f>IF(Table2[[#This Row],[Qty available]]&gt;Table2[[#This Row],[Qty on hand]],"Check","OK")</f>
        <v>OK</v>
      </c>
    </row>
    <row r="695" spans="1:24" x14ac:dyDescent="0.3">
      <c r="A695" t="s">
        <v>117</v>
      </c>
      <c r="B695" t="s">
        <v>118</v>
      </c>
      <c r="C695" t="s">
        <v>57</v>
      </c>
      <c r="D695" t="s">
        <v>58</v>
      </c>
      <c r="E695" t="s">
        <v>66</v>
      </c>
      <c r="F695" s="1" t="s">
        <v>50</v>
      </c>
      <c r="G695" s="2">
        <v>6.24</v>
      </c>
      <c r="H695">
        <v>6.24</v>
      </c>
      <c r="I695">
        <v>6.1750910000000001</v>
      </c>
      <c r="J695">
        <v>8.51</v>
      </c>
      <c r="K695">
        <v>29</v>
      </c>
      <c r="L695" s="2">
        <v>26</v>
      </c>
      <c r="M695">
        <v>1117</v>
      </c>
      <c r="N695" s="2">
        <v>2304</v>
      </c>
      <c r="O695">
        <v>14227.41</v>
      </c>
      <c r="P695">
        <v>133</v>
      </c>
      <c r="Q695">
        <v>2171</v>
      </c>
      <c r="R695">
        <v>21.38</v>
      </c>
      <c r="S695">
        <v>0</v>
      </c>
      <c r="T695">
        <v>585</v>
      </c>
      <c r="U695" s="2">
        <v>4978.3500000000004</v>
      </c>
      <c r="V695">
        <v>0</v>
      </c>
      <c r="W695" t="s">
        <v>29</v>
      </c>
      <c r="X695" t="str">
        <f>IF(Table2[[#This Row],[Qty available]]&gt;Table2[[#This Row],[Qty on hand]],"Check","OK")</f>
        <v>OK</v>
      </c>
    </row>
    <row r="696" spans="1:24" x14ac:dyDescent="0.3">
      <c r="A696" t="s">
        <v>117</v>
      </c>
      <c r="B696" t="s">
        <v>118</v>
      </c>
      <c r="C696" t="s">
        <v>57</v>
      </c>
      <c r="D696" t="s">
        <v>58</v>
      </c>
      <c r="E696" t="s">
        <v>66</v>
      </c>
      <c r="F696" s="1" t="s">
        <v>51</v>
      </c>
      <c r="G696" s="2">
        <v>6.04</v>
      </c>
      <c r="H696">
        <v>6.04</v>
      </c>
      <c r="I696">
        <v>6.1661630000000001</v>
      </c>
      <c r="J696">
        <v>8.51</v>
      </c>
      <c r="K696">
        <v>29</v>
      </c>
      <c r="L696" s="2">
        <v>27</v>
      </c>
      <c r="M696">
        <v>163</v>
      </c>
      <c r="N696" s="2">
        <v>1668</v>
      </c>
      <c r="O696">
        <v>10285.16</v>
      </c>
      <c r="P696">
        <v>222</v>
      </c>
      <c r="Q696">
        <v>1446</v>
      </c>
      <c r="R696">
        <v>10.35</v>
      </c>
      <c r="S696">
        <v>0</v>
      </c>
      <c r="T696">
        <v>799</v>
      </c>
      <c r="U696" s="2">
        <v>6799.49</v>
      </c>
      <c r="V696">
        <v>0</v>
      </c>
      <c r="W696" t="s">
        <v>29</v>
      </c>
      <c r="X696" t="str">
        <f>IF(Table2[[#This Row],[Qty available]]&gt;Table2[[#This Row],[Qty on hand]],"Check","OK")</f>
        <v>OK</v>
      </c>
    </row>
    <row r="697" spans="1:24" x14ac:dyDescent="0.3">
      <c r="A697" t="s">
        <v>117</v>
      </c>
      <c r="B697" t="s">
        <v>118</v>
      </c>
      <c r="C697" t="s">
        <v>57</v>
      </c>
      <c r="D697" t="s">
        <v>58</v>
      </c>
      <c r="E697" t="s">
        <v>66</v>
      </c>
      <c r="F697" s="1" t="s">
        <v>52</v>
      </c>
      <c r="G697" s="2">
        <v>6.13</v>
      </c>
      <c r="H697">
        <v>6.13</v>
      </c>
      <c r="I697">
        <v>6.1661669999999997</v>
      </c>
      <c r="J697">
        <v>8.51</v>
      </c>
      <c r="K697">
        <v>29</v>
      </c>
      <c r="M697">
        <v>0</v>
      </c>
      <c r="N697" s="2">
        <v>300</v>
      </c>
      <c r="O697">
        <v>1849.85</v>
      </c>
      <c r="P697">
        <v>67</v>
      </c>
      <c r="Q697">
        <v>233</v>
      </c>
      <c r="R697">
        <v>1.43</v>
      </c>
      <c r="S697">
        <v>0</v>
      </c>
      <c r="T697">
        <v>1368</v>
      </c>
      <c r="U697" s="2">
        <v>11641.68</v>
      </c>
      <c r="V697">
        <v>0</v>
      </c>
      <c r="W697" t="s">
        <v>29</v>
      </c>
      <c r="X697" t="str">
        <f>IF(Table2[[#This Row],[Qty available]]&gt;Table2[[#This Row],[Qty on hand]],"Check","OK")</f>
        <v>OK</v>
      </c>
    </row>
    <row r="698" spans="1:24" x14ac:dyDescent="0.3">
      <c r="A698" t="s">
        <v>119</v>
      </c>
      <c r="B698" t="s">
        <v>120</v>
      </c>
      <c r="C698" t="s">
        <v>25</v>
      </c>
      <c r="D698" t="s">
        <v>26</v>
      </c>
      <c r="E698" t="s">
        <v>27</v>
      </c>
      <c r="F698" s="1" t="s">
        <v>28</v>
      </c>
      <c r="G698" s="2">
        <v>178.53</v>
      </c>
      <c r="H698">
        <v>178.53</v>
      </c>
      <c r="I698">
        <v>171.55</v>
      </c>
      <c r="J698">
        <v>238.21</v>
      </c>
      <c r="K698">
        <v>38</v>
      </c>
      <c r="M698">
        <v>0</v>
      </c>
      <c r="N698" s="2">
        <v>0</v>
      </c>
      <c r="O698">
        <v>0</v>
      </c>
      <c r="P698">
        <v>0</v>
      </c>
      <c r="Q698">
        <v>0</v>
      </c>
      <c r="S698">
        <v>230</v>
      </c>
      <c r="T698">
        <v>0</v>
      </c>
      <c r="U698" s="2">
        <v>0</v>
      </c>
      <c r="V698">
        <v>0</v>
      </c>
      <c r="W698" t="s">
        <v>29</v>
      </c>
      <c r="X698" t="str">
        <f>IF(Table2[[#This Row],[Qty available]]&gt;Table2[[#This Row],[Qty on hand]],"Check","OK")</f>
        <v>OK</v>
      </c>
    </row>
    <row r="699" spans="1:24" x14ac:dyDescent="0.3">
      <c r="A699" t="s">
        <v>119</v>
      </c>
      <c r="B699" t="s">
        <v>120</v>
      </c>
      <c r="C699" t="s">
        <v>25</v>
      </c>
      <c r="D699" t="s">
        <v>26</v>
      </c>
      <c r="E699" t="s">
        <v>27</v>
      </c>
      <c r="F699" s="1" t="s">
        <v>30</v>
      </c>
      <c r="G699" s="2">
        <v>176.42</v>
      </c>
      <c r="H699">
        <v>176.42</v>
      </c>
      <c r="I699">
        <v>171.55</v>
      </c>
      <c r="J699">
        <v>238.21</v>
      </c>
      <c r="K699">
        <v>38</v>
      </c>
      <c r="M699">
        <v>0</v>
      </c>
      <c r="N699" s="2">
        <v>0</v>
      </c>
      <c r="O699">
        <v>0</v>
      </c>
      <c r="P699">
        <v>0</v>
      </c>
      <c r="Q699">
        <v>0</v>
      </c>
      <c r="S699">
        <v>261</v>
      </c>
      <c r="T699">
        <v>0</v>
      </c>
      <c r="U699" s="2">
        <v>0</v>
      </c>
      <c r="V699">
        <v>0</v>
      </c>
      <c r="W699" t="s">
        <v>29</v>
      </c>
      <c r="X699" t="str">
        <f>IF(Table2[[#This Row],[Qty available]]&gt;Table2[[#This Row],[Qty on hand]],"Check","OK")</f>
        <v>OK</v>
      </c>
    </row>
    <row r="700" spans="1:24" x14ac:dyDescent="0.3">
      <c r="A700" t="s">
        <v>119</v>
      </c>
      <c r="B700" t="s">
        <v>120</v>
      </c>
      <c r="C700" t="s">
        <v>25</v>
      </c>
      <c r="D700" t="s">
        <v>26</v>
      </c>
      <c r="E700" t="s">
        <v>27</v>
      </c>
      <c r="F700" s="1" t="s">
        <v>31</v>
      </c>
      <c r="G700" s="2">
        <v>173.75</v>
      </c>
      <c r="H700">
        <v>173.75</v>
      </c>
      <c r="I700">
        <v>171.55</v>
      </c>
      <c r="J700">
        <v>238.21</v>
      </c>
      <c r="K700">
        <v>38</v>
      </c>
      <c r="M700">
        <v>0</v>
      </c>
      <c r="N700" s="2">
        <v>0</v>
      </c>
      <c r="O700">
        <v>0</v>
      </c>
      <c r="P700">
        <v>0</v>
      </c>
      <c r="Q700">
        <v>0</v>
      </c>
      <c r="S700">
        <v>291</v>
      </c>
      <c r="T700">
        <v>0</v>
      </c>
      <c r="U700" s="2">
        <v>0</v>
      </c>
      <c r="V700">
        <v>0</v>
      </c>
      <c r="W700" t="s">
        <v>29</v>
      </c>
      <c r="X700" t="str">
        <f>IF(Table2[[#This Row],[Qty available]]&gt;Table2[[#This Row],[Qty on hand]],"Check","OK")</f>
        <v>OK</v>
      </c>
    </row>
    <row r="701" spans="1:24" x14ac:dyDescent="0.3">
      <c r="A701" t="s">
        <v>119</v>
      </c>
      <c r="B701" t="s">
        <v>120</v>
      </c>
      <c r="C701" t="s">
        <v>25</v>
      </c>
      <c r="D701" t="s">
        <v>26</v>
      </c>
      <c r="E701" t="s">
        <v>27</v>
      </c>
      <c r="F701" s="1" t="s">
        <v>32</v>
      </c>
      <c r="G701" s="2">
        <v>179.64</v>
      </c>
      <c r="H701">
        <v>179.64</v>
      </c>
      <c r="I701">
        <v>171.55</v>
      </c>
      <c r="J701">
        <v>238.21</v>
      </c>
      <c r="K701">
        <v>38</v>
      </c>
      <c r="M701">
        <v>0</v>
      </c>
      <c r="N701" s="2">
        <v>0</v>
      </c>
      <c r="O701">
        <v>0</v>
      </c>
      <c r="P701">
        <v>0</v>
      </c>
      <c r="Q701">
        <v>0</v>
      </c>
      <c r="S701">
        <v>322</v>
      </c>
      <c r="T701">
        <v>0</v>
      </c>
      <c r="U701" s="2">
        <v>0</v>
      </c>
      <c r="V701">
        <v>0</v>
      </c>
      <c r="W701" t="s">
        <v>29</v>
      </c>
      <c r="X701" t="str">
        <f>IF(Table2[[#This Row],[Qty available]]&gt;Table2[[#This Row],[Qty on hand]],"Check","OK")</f>
        <v>OK</v>
      </c>
    </row>
    <row r="702" spans="1:24" x14ac:dyDescent="0.3">
      <c r="A702" t="s">
        <v>119</v>
      </c>
      <c r="B702" t="s">
        <v>120</v>
      </c>
      <c r="C702" t="s">
        <v>25</v>
      </c>
      <c r="D702" t="s">
        <v>26</v>
      </c>
      <c r="E702" t="s">
        <v>27</v>
      </c>
      <c r="F702" s="1" t="s">
        <v>33</v>
      </c>
      <c r="G702" s="2">
        <v>178.16</v>
      </c>
      <c r="H702">
        <v>178.16</v>
      </c>
      <c r="I702">
        <v>171.55</v>
      </c>
      <c r="J702">
        <v>238.21</v>
      </c>
      <c r="K702">
        <v>38</v>
      </c>
      <c r="M702">
        <v>0</v>
      </c>
      <c r="N702" s="2">
        <v>0</v>
      </c>
      <c r="O702">
        <v>0</v>
      </c>
      <c r="P702">
        <v>0</v>
      </c>
      <c r="Q702">
        <v>0</v>
      </c>
      <c r="S702">
        <v>353</v>
      </c>
      <c r="T702">
        <v>0</v>
      </c>
      <c r="U702" s="2">
        <v>0</v>
      </c>
      <c r="V702">
        <v>0</v>
      </c>
      <c r="W702" t="s">
        <v>29</v>
      </c>
      <c r="X702" t="str">
        <f>IF(Table2[[#This Row],[Qty available]]&gt;Table2[[#This Row],[Qty on hand]],"Check","OK")</f>
        <v>OK</v>
      </c>
    </row>
    <row r="703" spans="1:24" x14ac:dyDescent="0.3">
      <c r="A703" t="s">
        <v>119</v>
      </c>
      <c r="B703" t="s">
        <v>120</v>
      </c>
      <c r="C703" t="s">
        <v>25</v>
      </c>
      <c r="D703" t="s">
        <v>26</v>
      </c>
      <c r="E703" t="s">
        <v>27</v>
      </c>
      <c r="F703" s="1" t="s">
        <v>34</v>
      </c>
      <c r="G703" s="2">
        <v>177.94</v>
      </c>
      <c r="H703">
        <v>177.94</v>
      </c>
      <c r="I703">
        <v>171.55</v>
      </c>
      <c r="J703">
        <v>246.49</v>
      </c>
      <c r="K703">
        <v>38</v>
      </c>
      <c r="M703">
        <v>0</v>
      </c>
      <c r="N703" s="2">
        <v>0</v>
      </c>
      <c r="O703">
        <v>0</v>
      </c>
      <c r="P703">
        <v>0</v>
      </c>
      <c r="Q703">
        <v>0</v>
      </c>
      <c r="S703">
        <v>381</v>
      </c>
      <c r="T703">
        <v>0</v>
      </c>
      <c r="U703" s="2">
        <v>0</v>
      </c>
      <c r="V703">
        <v>0</v>
      </c>
      <c r="W703" t="s">
        <v>29</v>
      </c>
      <c r="X703" t="str">
        <f>IF(Table2[[#This Row],[Qty available]]&gt;Table2[[#This Row],[Qty on hand]],"Check","OK")</f>
        <v>OK</v>
      </c>
    </row>
    <row r="704" spans="1:24" x14ac:dyDescent="0.3">
      <c r="A704" t="s">
        <v>119</v>
      </c>
      <c r="B704" t="s">
        <v>120</v>
      </c>
      <c r="C704" t="s">
        <v>25</v>
      </c>
      <c r="D704" t="s">
        <v>26</v>
      </c>
      <c r="E704" t="s">
        <v>27</v>
      </c>
      <c r="F704" s="1" t="s">
        <v>35</v>
      </c>
      <c r="G704" s="2">
        <v>176.13</v>
      </c>
      <c r="H704">
        <v>176.13</v>
      </c>
      <c r="I704">
        <v>176.13</v>
      </c>
      <c r="J704">
        <v>246.49</v>
      </c>
      <c r="K704">
        <v>38</v>
      </c>
      <c r="L704" s="2">
        <v>35</v>
      </c>
      <c r="M704">
        <v>9</v>
      </c>
      <c r="N704" s="2">
        <v>9</v>
      </c>
      <c r="O704">
        <v>1585.17</v>
      </c>
      <c r="P704">
        <v>0</v>
      </c>
      <c r="Q704">
        <v>9</v>
      </c>
      <c r="S704">
        <v>412</v>
      </c>
      <c r="T704">
        <v>0</v>
      </c>
      <c r="U704" s="2">
        <v>0</v>
      </c>
      <c r="V704">
        <v>0</v>
      </c>
      <c r="W704" t="s">
        <v>29</v>
      </c>
      <c r="X704" t="str">
        <f>IF(Table2[[#This Row],[Qty available]]&gt;Table2[[#This Row],[Qty on hand]],"Check","OK")</f>
        <v>OK</v>
      </c>
    </row>
    <row r="705" spans="1:24" x14ac:dyDescent="0.3">
      <c r="A705" t="s">
        <v>119</v>
      </c>
      <c r="B705" t="s">
        <v>120</v>
      </c>
      <c r="C705" t="s">
        <v>25</v>
      </c>
      <c r="D705" t="s">
        <v>26</v>
      </c>
      <c r="E705" t="s">
        <v>27</v>
      </c>
      <c r="F705" s="1" t="s">
        <v>36</v>
      </c>
      <c r="G705" s="2">
        <v>182.05</v>
      </c>
      <c r="H705">
        <v>182.05</v>
      </c>
      <c r="I705">
        <v>179.09</v>
      </c>
      <c r="J705">
        <v>246.49</v>
      </c>
      <c r="K705">
        <v>38</v>
      </c>
      <c r="L705" s="2">
        <v>35</v>
      </c>
      <c r="M705">
        <v>9</v>
      </c>
      <c r="N705" s="2">
        <v>15</v>
      </c>
      <c r="O705">
        <v>2686.35</v>
      </c>
      <c r="P705">
        <v>0</v>
      </c>
      <c r="Q705">
        <v>15</v>
      </c>
      <c r="R705">
        <v>63.57</v>
      </c>
      <c r="S705">
        <v>14</v>
      </c>
      <c r="T705">
        <v>3</v>
      </c>
      <c r="U705" s="2">
        <v>739.47</v>
      </c>
      <c r="V705">
        <v>0</v>
      </c>
      <c r="W705" t="s">
        <v>29</v>
      </c>
      <c r="X705" t="str">
        <f>IF(Table2[[#This Row],[Qty available]]&gt;Table2[[#This Row],[Qty on hand]],"Check","OK")</f>
        <v>OK</v>
      </c>
    </row>
    <row r="706" spans="1:24" x14ac:dyDescent="0.3">
      <c r="A706" t="s">
        <v>119</v>
      </c>
      <c r="B706" t="s">
        <v>120</v>
      </c>
      <c r="C706" t="s">
        <v>25</v>
      </c>
      <c r="D706" t="s">
        <v>26</v>
      </c>
      <c r="E706" t="s">
        <v>27</v>
      </c>
      <c r="F706" s="1" t="s">
        <v>37</v>
      </c>
      <c r="G706" s="2">
        <v>180.95</v>
      </c>
      <c r="H706">
        <v>180.95</v>
      </c>
      <c r="I706">
        <v>179.09</v>
      </c>
      <c r="J706">
        <v>246.49</v>
      </c>
      <c r="K706">
        <v>38</v>
      </c>
      <c r="M706">
        <v>0</v>
      </c>
      <c r="N706" s="2">
        <v>12</v>
      </c>
      <c r="O706">
        <v>2149.08</v>
      </c>
      <c r="P706">
        <v>1</v>
      </c>
      <c r="Q706">
        <v>11</v>
      </c>
      <c r="R706">
        <v>26.29</v>
      </c>
      <c r="S706">
        <v>12</v>
      </c>
      <c r="T706">
        <v>3</v>
      </c>
      <c r="U706" s="2">
        <v>739.47</v>
      </c>
      <c r="V706">
        <v>0</v>
      </c>
      <c r="W706" t="s">
        <v>29</v>
      </c>
      <c r="X706" t="str">
        <f>IF(Table2[[#This Row],[Qty available]]&gt;Table2[[#This Row],[Qty on hand]],"Check","OK")</f>
        <v>OK</v>
      </c>
    </row>
    <row r="707" spans="1:24" x14ac:dyDescent="0.3">
      <c r="A707" t="s">
        <v>119</v>
      </c>
      <c r="B707" t="s">
        <v>120</v>
      </c>
      <c r="C707" t="s">
        <v>25</v>
      </c>
      <c r="D707" t="s">
        <v>26</v>
      </c>
      <c r="E707" t="s">
        <v>27</v>
      </c>
      <c r="F707" s="1" t="s">
        <v>38</v>
      </c>
      <c r="G707" s="2">
        <v>182.59</v>
      </c>
      <c r="H707">
        <v>182.59</v>
      </c>
      <c r="I707">
        <v>180.59</v>
      </c>
      <c r="J707">
        <v>246.49</v>
      </c>
      <c r="K707">
        <v>38</v>
      </c>
      <c r="L707" s="2">
        <v>36</v>
      </c>
      <c r="M707">
        <v>9</v>
      </c>
      <c r="N707" s="2">
        <v>16</v>
      </c>
      <c r="O707">
        <v>2889.44</v>
      </c>
      <c r="P707">
        <v>1</v>
      </c>
      <c r="Q707">
        <v>15</v>
      </c>
      <c r="R707">
        <v>18.91</v>
      </c>
      <c r="S707">
        <v>7</v>
      </c>
      <c r="T707">
        <v>5</v>
      </c>
      <c r="U707" s="2">
        <v>1232.45</v>
      </c>
      <c r="V707">
        <v>0</v>
      </c>
      <c r="W707" t="s">
        <v>29</v>
      </c>
      <c r="X707" t="str">
        <f>IF(Table2[[#This Row],[Qty available]]&gt;Table2[[#This Row],[Qty on hand]],"Check","OK")</f>
        <v>OK</v>
      </c>
    </row>
    <row r="708" spans="1:24" x14ac:dyDescent="0.3">
      <c r="A708" t="s">
        <v>119</v>
      </c>
      <c r="B708" t="s">
        <v>120</v>
      </c>
      <c r="C708" t="s">
        <v>25</v>
      </c>
      <c r="D708" t="s">
        <v>26</v>
      </c>
      <c r="E708" t="s">
        <v>27</v>
      </c>
      <c r="F708" s="1" t="s">
        <v>39</v>
      </c>
      <c r="G708" s="2">
        <v>184.2</v>
      </c>
      <c r="H708">
        <v>184.2</v>
      </c>
      <c r="I708">
        <v>181.889375</v>
      </c>
      <c r="J708">
        <v>246.49</v>
      </c>
      <c r="K708">
        <v>38</v>
      </c>
      <c r="L708" s="2">
        <v>37</v>
      </c>
      <c r="M708">
        <v>9</v>
      </c>
      <c r="N708" s="2">
        <v>16</v>
      </c>
      <c r="O708">
        <v>2910.23</v>
      </c>
      <c r="P708">
        <v>3</v>
      </c>
      <c r="Q708">
        <v>13</v>
      </c>
      <c r="R708">
        <v>12.37</v>
      </c>
      <c r="S708">
        <v>16</v>
      </c>
      <c r="T708">
        <v>9</v>
      </c>
      <c r="U708" s="2">
        <v>2218.41</v>
      </c>
      <c r="V708">
        <v>0</v>
      </c>
      <c r="W708" t="s">
        <v>29</v>
      </c>
      <c r="X708" t="str">
        <f>IF(Table2[[#This Row],[Qty available]]&gt;Table2[[#This Row],[Qty on hand]],"Check","OK")</f>
        <v>OK</v>
      </c>
    </row>
    <row r="709" spans="1:24" x14ac:dyDescent="0.3">
      <c r="A709" t="s">
        <v>119</v>
      </c>
      <c r="B709" t="s">
        <v>120</v>
      </c>
      <c r="C709" t="s">
        <v>25</v>
      </c>
      <c r="D709" t="s">
        <v>26</v>
      </c>
      <c r="E709" t="s">
        <v>27</v>
      </c>
      <c r="F709" s="1" t="s">
        <v>40</v>
      </c>
      <c r="G709" s="2">
        <v>184.46</v>
      </c>
      <c r="H709">
        <v>184.46</v>
      </c>
      <c r="I709">
        <v>182.815</v>
      </c>
      <c r="J709">
        <v>246.49</v>
      </c>
      <c r="K709">
        <v>38</v>
      </c>
      <c r="L709" s="2">
        <v>57</v>
      </c>
      <c r="M709">
        <v>9</v>
      </c>
      <c r="N709" s="2">
        <v>20</v>
      </c>
      <c r="O709">
        <v>3656.3</v>
      </c>
      <c r="P709">
        <v>3</v>
      </c>
      <c r="Q709">
        <v>17</v>
      </c>
      <c r="R709">
        <v>13.83</v>
      </c>
      <c r="S709">
        <v>24</v>
      </c>
      <c r="T709">
        <v>5</v>
      </c>
      <c r="U709" s="2">
        <v>1232.45</v>
      </c>
      <c r="V709">
        <v>0</v>
      </c>
      <c r="W709" t="s">
        <v>29</v>
      </c>
      <c r="X709" t="str">
        <f>IF(Table2[[#This Row],[Qty available]]&gt;Table2[[#This Row],[Qty on hand]],"Check","OK")</f>
        <v>OK</v>
      </c>
    </row>
    <row r="710" spans="1:24" x14ac:dyDescent="0.3">
      <c r="A710" t="s">
        <v>119</v>
      </c>
      <c r="B710" t="s">
        <v>120</v>
      </c>
      <c r="C710" t="s">
        <v>25</v>
      </c>
      <c r="D710" t="s">
        <v>26</v>
      </c>
      <c r="E710" t="s">
        <v>27</v>
      </c>
      <c r="F710" s="1" t="s">
        <v>41</v>
      </c>
      <c r="G710" s="2">
        <v>180.81</v>
      </c>
      <c r="H710">
        <v>180.81</v>
      </c>
      <c r="I710">
        <v>182.10333299999999</v>
      </c>
      <c r="J710">
        <v>246.49</v>
      </c>
      <c r="K710">
        <v>38</v>
      </c>
      <c r="L710" s="2">
        <v>36</v>
      </c>
      <c r="M710">
        <v>11</v>
      </c>
      <c r="N710" s="2">
        <v>21</v>
      </c>
      <c r="O710">
        <v>3824.17</v>
      </c>
      <c r="P710">
        <v>1</v>
      </c>
      <c r="Q710">
        <v>20</v>
      </c>
      <c r="R710">
        <v>11.5</v>
      </c>
      <c r="S710">
        <v>15</v>
      </c>
      <c r="T710">
        <v>10</v>
      </c>
      <c r="U710" s="2">
        <v>2464.9</v>
      </c>
      <c r="V710">
        <v>0</v>
      </c>
      <c r="W710" t="s">
        <v>29</v>
      </c>
      <c r="X710" t="str">
        <f>IF(Table2[[#This Row],[Qty available]]&gt;Table2[[#This Row],[Qty on hand]],"Check","OK")</f>
        <v>OK</v>
      </c>
    </row>
    <row r="711" spans="1:24" x14ac:dyDescent="0.3">
      <c r="A711" t="s">
        <v>119</v>
      </c>
      <c r="B711" t="s">
        <v>120</v>
      </c>
      <c r="C711" t="s">
        <v>25</v>
      </c>
      <c r="D711" t="s">
        <v>26</v>
      </c>
      <c r="E711" t="s">
        <v>27</v>
      </c>
      <c r="F711" s="1" t="s">
        <v>42</v>
      </c>
      <c r="G711" s="2">
        <v>182.91</v>
      </c>
      <c r="H711">
        <v>182.91</v>
      </c>
      <c r="I711">
        <v>182.10374999999999</v>
      </c>
      <c r="J711">
        <v>246.49</v>
      </c>
      <c r="K711">
        <v>38</v>
      </c>
      <c r="M711">
        <v>0</v>
      </c>
      <c r="N711" s="2">
        <v>8</v>
      </c>
      <c r="O711">
        <v>1456.83</v>
      </c>
      <c r="P711">
        <v>1</v>
      </c>
      <c r="Q711">
        <v>7</v>
      </c>
      <c r="R711">
        <v>3.76</v>
      </c>
      <c r="S711">
        <v>0</v>
      </c>
      <c r="T711">
        <v>13</v>
      </c>
      <c r="U711" s="2">
        <v>3204.37</v>
      </c>
      <c r="V711">
        <v>0</v>
      </c>
      <c r="W711" t="s">
        <v>29</v>
      </c>
      <c r="X711" t="str">
        <f>IF(Table2[[#This Row],[Qty available]]&gt;Table2[[#This Row],[Qty on hand]],"Check","OK")</f>
        <v>OK</v>
      </c>
    </row>
    <row r="712" spans="1:24" x14ac:dyDescent="0.3">
      <c r="A712" t="s">
        <v>119</v>
      </c>
      <c r="B712" t="s">
        <v>120</v>
      </c>
      <c r="C712" t="s">
        <v>25</v>
      </c>
      <c r="D712" t="s">
        <v>26</v>
      </c>
      <c r="E712" t="s">
        <v>27</v>
      </c>
      <c r="F712" s="1" t="s">
        <v>43</v>
      </c>
      <c r="G712" s="2">
        <v>184.67</v>
      </c>
      <c r="H712">
        <v>184.67</v>
      </c>
      <c r="I712">
        <v>183.462727</v>
      </c>
      <c r="J712">
        <v>246.49</v>
      </c>
      <c r="K712">
        <v>38</v>
      </c>
      <c r="L712" s="2">
        <v>33</v>
      </c>
      <c r="M712">
        <v>9</v>
      </c>
      <c r="N712" s="2">
        <v>11</v>
      </c>
      <c r="O712">
        <v>2018.09</v>
      </c>
      <c r="P712">
        <v>1</v>
      </c>
      <c r="Q712">
        <v>10</v>
      </c>
      <c r="R712">
        <v>4.93</v>
      </c>
      <c r="S712">
        <v>10</v>
      </c>
      <c r="T712">
        <v>6</v>
      </c>
      <c r="U712" s="2">
        <v>1478.94</v>
      </c>
      <c r="V712">
        <v>0</v>
      </c>
      <c r="W712" t="s">
        <v>29</v>
      </c>
      <c r="X712" t="str">
        <f>IF(Table2[[#This Row],[Qty available]]&gt;Table2[[#This Row],[Qty on hand]],"Check","OK")</f>
        <v>OK</v>
      </c>
    </row>
    <row r="713" spans="1:24" x14ac:dyDescent="0.3">
      <c r="A713" t="s">
        <v>119</v>
      </c>
      <c r="B713" t="s">
        <v>120</v>
      </c>
      <c r="C713" t="s">
        <v>25</v>
      </c>
      <c r="D713" t="s">
        <v>26</v>
      </c>
      <c r="E713" t="s">
        <v>27</v>
      </c>
      <c r="F713" s="1" t="s">
        <v>44</v>
      </c>
      <c r="G713" s="2">
        <v>181.54</v>
      </c>
      <c r="H713">
        <v>181.54</v>
      </c>
      <c r="I713">
        <v>182.353478</v>
      </c>
      <c r="J713">
        <v>246.49</v>
      </c>
      <c r="K713">
        <v>38</v>
      </c>
      <c r="L713" s="2">
        <v>34</v>
      </c>
      <c r="M713">
        <v>15</v>
      </c>
      <c r="N713" s="2">
        <v>23</v>
      </c>
      <c r="O713">
        <v>4194.13</v>
      </c>
      <c r="P713">
        <v>2</v>
      </c>
      <c r="Q713">
        <v>21</v>
      </c>
      <c r="R713">
        <v>13.74</v>
      </c>
      <c r="S713">
        <v>29</v>
      </c>
      <c r="T713">
        <v>3</v>
      </c>
      <c r="U713" s="2">
        <v>739.47</v>
      </c>
      <c r="V713">
        <v>0</v>
      </c>
      <c r="W713" t="s">
        <v>29</v>
      </c>
      <c r="X713" t="str">
        <f>IF(Table2[[#This Row],[Qty available]]&gt;Table2[[#This Row],[Qty on hand]],"Check","OK")</f>
        <v>OK</v>
      </c>
    </row>
    <row r="714" spans="1:24" x14ac:dyDescent="0.3">
      <c r="A714" t="s">
        <v>119</v>
      </c>
      <c r="B714" t="s">
        <v>120</v>
      </c>
      <c r="C714" t="s">
        <v>25</v>
      </c>
      <c r="D714" t="s">
        <v>26</v>
      </c>
      <c r="E714" t="s">
        <v>27</v>
      </c>
      <c r="F714" s="1" t="s">
        <v>45</v>
      </c>
      <c r="G714" s="2">
        <v>178.79</v>
      </c>
      <c r="H714">
        <v>178.79</v>
      </c>
      <c r="I714">
        <v>181.35124999999999</v>
      </c>
      <c r="J714">
        <v>246.49</v>
      </c>
      <c r="K714">
        <v>38</v>
      </c>
      <c r="L714" s="2">
        <v>35</v>
      </c>
      <c r="M714">
        <v>9</v>
      </c>
      <c r="N714" s="2">
        <v>24</v>
      </c>
      <c r="O714">
        <v>4352.43</v>
      </c>
      <c r="P714">
        <v>2</v>
      </c>
      <c r="Q714">
        <v>22</v>
      </c>
      <c r="R714">
        <v>18.55</v>
      </c>
      <c r="S714">
        <v>6</v>
      </c>
      <c r="T714">
        <v>8</v>
      </c>
      <c r="U714" s="2">
        <v>1971.92</v>
      </c>
      <c r="V714">
        <v>0</v>
      </c>
      <c r="W714" t="s">
        <v>29</v>
      </c>
      <c r="X714" t="str">
        <f>IF(Table2[[#This Row],[Qty available]]&gt;Table2[[#This Row],[Qty on hand]],"Check","OK")</f>
        <v>OK</v>
      </c>
    </row>
    <row r="715" spans="1:24" x14ac:dyDescent="0.3">
      <c r="A715" t="s">
        <v>119</v>
      </c>
      <c r="B715" t="s">
        <v>120</v>
      </c>
      <c r="C715" t="s">
        <v>25</v>
      </c>
      <c r="D715" t="s">
        <v>26</v>
      </c>
      <c r="E715" t="s">
        <v>27</v>
      </c>
      <c r="F715" s="1" t="s">
        <v>46</v>
      </c>
      <c r="G715" s="2">
        <v>180.02</v>
      </c>
      <c r="H715">
        <v>180.02</v>
      </c>
      <c r="I715">
        <v>180.988</v>
      </c>
      <c r="J715">
        <v>255.06</v>
      </c>
      <c r="K715">
        <v>38</v>
      </c>
      <c r="L715" s="2">
        <v>34</v>
      </c>
      <c r="M715">
        <v>9</v>
      </c>
      <c r="N715" s="2">
        <v>25</v>
      </c>
      <c r="O715">
        <v>4524.7</v>
      </c>
      <c r="P715">
        <v>3</v>
      </c>
      <c r="Q715">
        <v>22</v>
      </c>
      <c r="R715">
        <v>16.920000000000002</v>
      </c>
      <c r="S715">
        <v>1</v>
      </c>
      <c r="T715">
        <v>8</v>
      </c>
      <c r="U715" s="2">
        <v>2040.48</v>
      </c>
      <c r="V715">
        <v>0</v>
      </c>
      <c r="W715" t="s">
        <v>29</v>
      </c>
      <c r="X715" t="str">
        <f>IF(Table2[[#This Row],[Qty available]]&gt;Table2[[#This Row],[Qty on hand]],"Check","OK")</f>
        <v>OK</v>
      </c>
    </row>
    <row r="716" spans="1:24" x14ac:dyDescent="0.3">
      <c r="A716" t="s">
        <v>119</v>
      </c>
      <c r="B716" t="s">
        <v>120</v>
      </c>
      <c r="C716" t="s">
        <v>25</v>
      </c>
      <c r="D716" t="s">
        <v>26</v>
      </c>
      <c r="E716" t="s">
        <v>27</v>
      </c>
      <c r="F716" s="1" t="s">
        <v>47</v>
      </c>
      <c r="G716" s="2">
        <v>183.78</v>
      </c>
      <c r="H716">
        <v>183.78</v>
      </c>
      <c r="I716">
        <v>180.988</v>
      </c>
      <c r="J716">
        <v>255.06</v>
      </c>
      <c r="K716">
        <v>38</v>
      </c>
      <c r="M716">
        <v>0</v>
      </c>
      <c r="N716" s="2">
        <v>15</v>
      </c>
      <c r="O716">
        <v>2714.82</v>
      </c>
      <c r="P716">
        <v>3</v>
      </c>
      <c r="Q716">
        <v>12</v>
      </c>
      <c r="R716">
        <v>7.42</v>
      </c>
      <c r="S716">
        <v>2</v>
      </c>
      <c r="T716">
        <v>10</v>
      </c>
      <c r="U716" s="2">
        <v>2550.6</v>
      </c>
      <c r="V716">
        <v>0</v>
      </c>
      <c r="W716" t="s">
        <v>29</v>
      </c>
      <c r="X716" t="str">
        <f>IF(Table2[[#This Row],[Qty available]]&gt;Table2[[#This Row],[Qty on hand]],"Check","OK")</f>
        <v>OK</v>
      </c>
    </row>
    <row r="717" spans="1:24" x14ac:dyDescent="0.3">
      <c r="A717" t="s">
        <v>119</v>
      </c>
      <c r="B717" t="s">
        <v>120</v>
      </c>
      <c r="C717" t="s">
        <v>25</v>
      </c>
      <c r="D717" t="s">
        <v>26</v>
      </c>
      <c r="E717" t="s">
        <v>27</v>
      </c>
      <c r="F717" s="1" t="s">
        <v>48</v>
      </c>
      <c r="G717" s="2">
        <v>184.36</v>
      </c>
      <c r="H717">
        <v>184.36</v>
      </c>
      <c r="I717">
        <v>182.2525</v>
      </c>
      <c r="J717">
        <v>255.06</v>
      </c>
      <c r="K717">
        <v>38</v>
      </c>
      <c r="L717" s="2">
        <v>37</v>
      </c>
      <c r="M717">
        <v>9</v>
      </c>
      <c r="N717" s="2">
        <v>20</v>
      </c>
      <c r="O717">
        <v>3645.05</v>
      </c>
      <c r="P717">
        <v>2</v>
      </c>
      <c r="Q717">
        <v>18</v>
      </c>
      <c r="R717">
        <v>11.56</v>
      </c>
      <c r="S717">
        <v>1</v>
      </c>
      <c r="T717">
        <v>4</v>
      </c>
      <c r="U717" s="2">
        <v>1020.24</v>
      </c>
      <c r="V717">
        <v>0</v>
      </c>
      <c r="W717" t="s">
        <v>29</v>
      </c>
      <c r="X717" t="str">
        <f>IF(Table2[[#This Row],[Qty available]]&gt;Table2[[#This Row],[Qty on hand]],"Check","OK")</f>
        <v>OK</v>
      </c>
    </row>
    <row r="718" spans="1:24" x14ac:dyDescent="0.3">
      <c r="A718" t="s">
        <v>119</v>
      </c>
      <c r="B718" t="s">
        <v>120</v>
      </c>
      <c r="C718" t="s">
        <v>25</v>
      </c>
      <c r="D718" t="s">
        <v>26</v>
      </c>
      <c r="E718" t="s">
        <v>27</v>
      </c>
      <c r="F718" s="1" t="s">
        <v>49</v>
      </c>
      <c r="G718" s="2">
        <v>190.87</v>
      </c>
      <c r="H718">
        <v>190.87</v>
      </c>
      <c r="I718">
        <v>182.2525</v>
      </c>
      <c r="J718">
        <v>255.06</v>
      </c>
      <c r="K718">
        <v>38</v>
      </c>
      <c r="M718">
        <v>0</v>
      </c>
      <c r="N718" s="2">
        <v>12</v>
      </c>
      <c r="O718">
        <v>2187.0300000000002</v>
      </c>
      <c r="P718">
        <v>1</v>
      </c>
      <c r="Q718">
        <v>11</v>
      </c>
      <c r="R718">
        <v>7.17</v>
      </c>
      <c r="S718">
        <v>17</v>
      </c>
      <c r="T718">
        <v>8</v>
      </c>
      <c r="U718" s="2">
        <v>2040.48</v>
      </c>
      <c r="V718">
        <v>0</v>
      </c>
      <c r="W718" t="s">
        <v>29</v>
      </c>
      <c r="X718" t="str">
        <f>IF(Table2[[#This Row],[Qty available]]&gt;Table2[[#This Row],[Qty on hand]],"Check","OK")</f>
        <v>OK</v>
      </c>
    </row>
    <row r="719" spans="1:24" x14ac:dyDescent="0.3">
      <c r="A719" t="s">
        <v>119</v>
      </c>
      <c r="B719" t="s">
        <v>120</v>
      </c>
      <c r="C719" t="s">
        <v>25</v>
      </c>
      <c r="D719" t="s">
        <v>26</v>
      </c>
      <c r="E719" t="s">
        <v>27</v>
      </c>
      <c r="F719" s="1" t="s">
        <v>50</v>
      </c>
      <c r="G719" s="2">
        <v>185.7</v>
      </c>
      <c r="H719">
        <v>185.7</v>
      </c>
      <c r="I719">
        <v>183.73</v>
      </c>
      <c r="J719">
        <v>255.06</v>
      </c>
      <c r="K719">
        <v>38</v>
      </c>
      <c r="L719" s="2">
        <v>37</v>
      </c>
      <c r="M719">
        <v>9</v>
      </c>
      <c r="N719" s="2">
        <v>6</v>
      </c>
      <c r="O719">
        <v>1102.3800000000001</v>
      </c>
      <c r="P719">
        <v>2</v>
      </c>
      <c r="Q719">
        <v>4</v>
      </c>
      <c r="R719">
        <v>2.89</v>
      </c>
      <c r="S719">
        <v>0</v>
      </c>
      <c r="T719">
        <v>15</v>
      </c>
      <c r="U719" s="2">
        <v>3825.9</v>
      </c>
      <c r="V719">
        <v>0</v>
      </c>
      <c r="W719" t="s">
        <v>29</v>
      </c>
      <c r="X719" t="str">
        <f>IF(Table2[[#This Row],[Qty available]]&gt;Table2[[#This Row],[Qty on hand]],"Check","OK")</f>
        <v>OK</v>
      </c>
    </row>
    <row r="720" spans="1:24" x14ac:dyDescent="0.3">
      <c r="A720" t="s">
        <v>119</v>
      </c>
      <c r="B720" t="s">
        <v>120</v>
      </c>
      <c r="C720" t="s">
        <v>25</v>
      </c>
      <c r="D720" t="s">
        <v>26</v>
      </c>
      <c r="E720" t="s">
        <v>27</v>
      </c>
      <c r="F720" s="1" t="s">
        <v>51</v>
      </c>
      <c r="G720" s="2">
        <v>190.1</v>
      </c>
      <c r="H720">
        <v>190.1</v>
      </c>
      <c r="I720">
        <v>183.73</v>
      </c>
      <c r="J720">
        <v>255.06</v>
      </c>
      <c r="K720">
        <v>38</v>
      </c>
      <c r="M720">
        <v>0</v>
      </c>
      <c r="N720" s="2">
        <v>0</v>
      </c>
      <c r="O720">
        <v>0</v>
      </c>
      <c r="P720">
        <v>0</v>
      </c>
      <c r="Q720">
        <v>0</v>
      </c>
      <c r="R720">
        <v>0</v>
      </c>
      <c r="S720">
        <v>5</v>
      </c>
      <c r="T720">
        <v>6</v>
      </c>
      <c r="U720" s="2">
        <v>1530.36</v>
      </c>
      <c r="V720">
        <v>8</v>
      </c>
      <c r="W720" t="s">
        <v>59</v>
      </c>
      <c r="X720" t="str">
        <f>IF(Table2[[#This Row],[Qty available]]&gt;Table2[[#This Row],[Qty on hand]],"Check","OK")</f>
        <v>OK</v>
      </c>
    </row>
    <row r="721" spans="1:24" x14ac:dyDescent="0.3">
      <c r="A721" t="s">
        <v>119</v>
      </c>
      <c r="B721" t="s">
        <v>120</v>
      </c>
      <c r="C721" t="s">
        <v>25</v>
      </c>
      <c r="D721" t="s">
        <v>26</v>
      </c>
      <c r="E721" t="s">
        <v>27</v>
      </c>
      <c r="F721" s="1" t="s">
        <v>52</v>
      </c>
      <c r="G721" s="2">
        <v>191.27</v>
      </c>
      <c r="H721">
        <v>191.27</v>
      </c>
      <c r="I721">
        <v>191.27</v>
      </c>
      <c r="J721">
        <v>255.06</v>
      </c>
      <c r="K721">
        <v>38</v>
      </c>
      <c r="L721" s="2">
        <v>49</v>
      </c>
      <c r="M721">
        <v>29</v>
      </c>
      <c r="N721" s="2">
        <v>20</v>
      </c>
      <c r="O721">
        <v>3825.4</v>
      </c>
      <c r="P721">
        <v>2</v>
      </c>
      <c r="Q721">
        <v>18</v>
      </c>
      <c r="R721">
        <v>8.76</v>
      </c>
      <c r="S721">
        <v>0</v>
      </c>
      <c r="T721">
        <v>9</v>
      </c>
      <c r="U721" s="2">
        <v>2295.54</v>
      </c>
      <c r="V721">
        <v>0</v>
      </c>
      <c r="W721" t="s">
        <v>29</v>
      </c>
      <c r="X721" t="str">
        <f>IF(Table2[[#This Row],[Qty available]]&gt;Table2[[#This Row],[Qty on hand]],"Check","OK")</f>
        <v>OK</v>
      </c>
    </row>
    <row r="722" spans="1:24" x14ac:dyDescent="0.3">
      <c r="A722" t="s">
        <v>121</v>
      </c>
      <c r="B722" t="s">
        <v>122</v>
      </c>
      <c r="C722" t="s">
        <v>69</v>
      </c>
      <c r="D722" t="s">
        <v>70</v>
      </c>
      <c r="E722" t="s">
        <v>27</v>
      </c>
      <c r="F722" s="1" t="s">
        <v>28</v>
      </c>
      <c r="G722" s="2">
        <v>9.5</v>
      </c>
      <c r="H722">
        <v>9.5</v>
      </c>
      <c r="I722">
        <v>9.5008750000000006</v>
      </c>
      <c r="J722">
        <v>13.32</v>
      </c>
      <c r="K722">
        <v>28</v>
      </c>
      <c r="L722" s="2">
        <v>27</v>
      </c>
      <c r="M722">
        <v>47</v>
      </c>
      <c r="N722" s="2">
        <v>80</v>
      </c>
      <c r="O722">
        <v>760.07</v>
      </c>
      <c r="P722">
        <v>3</v>
      </c>
      <c r="Q722">
        <v>77</v>
      </c>
      <c r="R722">
        <v>7.62</v>
      </c>
      <c r="S722">
        <v>3</v>
      </c>
      <c r="T722">
        <v>27</v>
      </c>
      <c r="U722" s="2">
        <v>359.64</v>
      </c>
      <c r="V722">
        <v>0</v>
      </c>
      <c r="W722" t="s">
        <v>29</v>
      </c>
      <c r="X722" t="str">
        <f>IF(Table2[[#This Row],[Qty available]]&gt;Table2[[#This Row],[Qty on hand]],"Check","OK")</f>
        <v>OK</v>
      </c>
    </row>
    <row r="723" spans="1:24" x14ac:dyDescent="0.3">
      <c r="A723" t="s">
        <v>121</v>
      </c>
      <c r="B723" t="s">
        <v>122</v>
      </c>
      <c r="C723" t="s">
        <v>69</v>
      </c>
      <c r="D723" t="s">
        <v>70</v>
      </c>
      <c r="E723" t="s">
        <v>27</v>
      </c>
      <c r="F723" s="1" t="s">
        <v>30</v>
      </c>
      <c r="G723" s="2">
        <v>9.41</v>
      </c>
      <c r="H723">
        <v>9.41</v>
      </c>
      <c r="I723">
        <v>9.5008929999999996</v>
      </c>
      <c r="J723">
        <v>13.32</v>
      </c>
      <c r="K723">
        <v>28</v>
      </c>
      <c r="M723">
        <v>0</v>
      </c>
      <c r="N723" s="2">
        <v>56</v>
      </c>
      <c r="O723">
        <v>532.04999999999995</v>
      </c>
      <c r="P723">
        <v>6</v>
      </c>
      <c r="Q723">
        <v>50</v>
      </c>
      <c r="R723">
        <v>6.75</v>
      </c>
      <c r="S723">
        <v>1</v>
      </c>
      <c r="T723">
        <v>24</v>
      </c>
      <c r="U723" s="2">
        <v>319.68</v>
      </c>
      <c r="V723">
        <v>0</v>
      </c>
      <c r="W723" t="s">
        <v>29</v>
      </c>
      <c r="X723" t="str">
        <f>IF(Table2[[#This Row],[Qty available]]&gt;Table2[[#This Row],[Qty on hand]],"Check","OK")</f>
        <v>OK</v>
      </c>
    </row>
    <row r="724" spans="1:24" x14ac:dyDescent="0.3">
      <c r="A724" t="s">
        <v>121</v>
      </c>
      <c r="B724" t="s">
        <v>122</v>
      </c>
      <c r="C724" t="s">
        <v>69</v>
      </c>
      <c r="D724" t="s">
        <v>70</v>
      </c>
      <c r="E724" t="s">
        <v>27</v>
      </c>
      <c r="F724" s="1" t="s">
        <v>31</v>
      </c>
      <c r="G724" s="2">
        <v>9.24</v>
      </c>
      <c r="H724">
        <v>9.24</v>
      </c>
      <c r="I724">
        <v>9.3473950000000006</v>
      </c>
      <c r="J724">
        <v>13.32</v>
      </c>
      <c r="K724">
        <v>28</v>
      </c>
      <c r="L724" s="2">
        <v>40</v>
      </c>
      <c r="M724">
        <v>80</v>
      </c>
      <c r="N724" s="2">
        <v>119</v>
      </c>
      <c r="O724">
        <v>1112.3399999999999</v>
      </c>
      <c r="P724">
        <v>14</v>
      </c>
      <c r="Q724">
        <v>105</v>
      </c>
      <c r="R724">
        <v>22.75</v>
      </c>
      <c r="S724">
        <v>7</v>
      </c>
      <c r="T724">
        <v>17</v>
      </c>
      <c r="U724" s="2">
        <v>226.44</v>
      </c>
      <c r="V724">
        <v>0</v>
      </c>
      <c r="W724" t="s">
        <v>29</v>
      </c>
      <c r="X724" t="str">
        <f>IF(Table2[[#This Row],[Qty available]]&gt;Table2[[#This Row],[Qty on hand]],"Check","OK")</f>
        <v>OK</v>
      </c>
    </row>
    <row r="725" spans="1:24" x14ac:dyDescent="0.3">
      <c r="A725" t="s">
        <v>121</v>
      </c>
      <c r="B725" t="s">
        <v>122</v>
      </c>
      <c r="C725" t="s">
        <v>69</v>
      </c>
      <c r="D725" t="s">
        <v>70</v>
      </c>
      <c r="E725" t="s">
        <v>27</v>
      </c>
      <c r="F725" s="1" t="s">
        <v>32</v>
      </c>
      <c r="G725" s="2">
        <v>9.69</v>
      </c>
      <c r="H725">
        <v>9.69</v>
      </c>
      <c r="I725">
        <v>9.4949399999999997</v>
      </c>
      <c r="J725">
        <v>13.32</v>
      </c>
      <c r="K725">
        <v>28</v>
      </c>
      <c r="L725" s="2">
        <v>27</v>
      </c>
      <c r="M725">
        <v>90</v>
      </c>
      <c r="N725" s="2">
        <v>166</v>
      </c>
      <c r="O725">
        <v>1576.16</v>
      </c>
      <c r="P725">
        <v>6</v>
      </c>
      <c r="Q725">
        <v>160</v>
      </c>
      <c r="R725">
        <v>25.97</v>
      </c>
      <c r="S725">
        <v>0</v>
      </c>
      <c r="T725">
        <v>43</v>
      </c>
      <c r="U725" s="2">
        <v>572.76</v>
      </c>
      <c r="V725">
        <v>0</v>
      </c>
      <c r="W725" t="s">
        <v>29</v>
      </c>
      <c r="X725" t="str">
        <f>IF(Table2[[#This Row],[Qty available]]&gt;Table2[[#This Row],[Qty on hand]],"Check","OK")</f>
        <v>OK</v>
      </c>
    </row>
    <row r="726" spans="1:24" x14ac:dyDescent="0.3">
      <c r="A726" t="s">
        <v>121</v>
      </c>
      <c r="B726" t="s">
        <v>122</v>
      </c>
      <c r="C726" t="s">
        <v>69</v>
      </c>
      <c r="D726" t="s">
        <v>70</v>
      </c>
      <c r="E726" t="s">
        <v>27</v>
      </c>
      <c r="F726" s="1" t="s">
        <v>33</v>
      </c>
      <c r="G726" s="2">
        <v>9.58</v>
      </c>
      <c r="H726">
        <v>9.58</v>
      </c>
      <c r="I726">
        <v>9.4948910000000009</v>
      </c>
      <c r="J726">
        <v>13.32</v>
      </c>
      <c r="K726">
        <v>28</v>
      </c>
      <c r="M726">
        <v>0</v>
      </c>
      <c r="N726" s="2">
        <v>92</v>
      </c>
      <c r="O726">
        <v>873.53</v>
      </c>
      <c r="P726">
        <v>11</v>
      </c>
      <c r="Q726">
        <v>81</v>
      </c>
      <c r="R726">
        <v>9.02</v>
      </c>
      <c r="S726">
        <v>2</v>
      </c>
      <c r="T726">
        <v>74</v>
      </c>
      <c r="U726" s="2">
        <v>985.68</v>
      </c>
      <c r="V726">
        <v>0</v>
      </c>
      <c r="W726" t="s">
        <v>29</v>
      </c>
      <c r="X726" t="str">
        <f>IF(Table2[[#This Row],[Qty available]]&gt;Table2[[#This Row],[Qty on hand]],"Check","OK")</f>
        <v>OK</v>
      </c>
    </row>
    <row r="727" spans="1:24" x14ac:dyDescent="0.3">
      <c r="A727" t="s">
        <v>121</v>
      </c>
      <c r="B727" t="s">
        <v>122</v>
      </c>
      <c r="C727" t="s">
        <v>69</v>
      </c>
      <c r="D727" t="s">
        <v>70</v>
      </c>
      <c r="E727" t="s">
        <v>27</v>
      </c>
      <c r="F727" s="1" t="s">
        <v>34</v>
      </c>
      <c r="G727" s="2">
        <v>9.52</v>
      </c>
      <c r="H727">
        <v>9.52</v>
      </c>
      <c r="I727">
        <v>9.4948610000000002</v>
      </c>
      <c r="J727">
        <v>13.66</v>
      </c>
      <c r="K727">
        <v>28</v>
      </c>
      <c r="M727">
        <v>0</v>
      </c>
      <c r="N727" s="2">
        <v>72</v>
      </c>
      <c r="O727">
        <v>683.63</v>
      </c>
      <c r="P727">
        <v>15</v>
      </c>
      <c r="Q727">
        <v>57</v>
      </c>
      <c r="R727">
        <v>6.76</v>
      </c>
      <c r="S727">
        <v>16</v>
      </c>
      <c r="T727">
        <v>20</v>
      </c>
      <c r="U727" s="2">
        <v>273.2</v>
      </c>
      <c r="V727">
        <v>0</v>
      </c>
      <c r="W727" t="s">
        <v>29</v>
      </c>
      <c r="X727" t="str">
        <f>IF(Table2[[#This Row],[Qty available]]&gt;Table2[[#This Row],[Qty on hand]],"Check","OK")</f>
        <v>OK</v>
      </c>
    </row>
    <row r="728" spans="1:24" x14ac:dyDescent="0.3">
      <c r="A728" t="s">
        <v>121</v>
      </c>
      <c r="B728" t="s">
        <v>122</v>
      </c>
      <c r="C728" t="s">
        <v>69</v>
      </c>
      <c r="D728" t="s">
        <v>70</v>
      </c>
      <c r="E728" t="s">
        <v>27</v>
      </c>
      <c r="F728" s="1" t="s">
        <v>35</v>
      </c>
      <c r="G728" s="2">
        <v>9.6</v>
      </c>
      <c r="H728">
        <v>9.6</v>
      </c>
      <c r="I728">
        <v>9.5384550000000008</v>
      </c>
      <c r="J728">
        <v>13.66</v>
      </c>
      <c r="K728">
        <v>28</v>
      </c>
      <c r="L728" s="2">
        <v>35</v>
      </c>
      <c r="M728">
        <v>51</v>
      </c>
      <c r="N728" s="2">
        <v>123</v>
      </c>
      <c r="O728">
        <v>1173.23</v>
      </c>
      <c r="P728">
        <v>12</v>
      </c>
      <c r="Q728">
        <v>111</v>
      </c>
      <c r="R728">
        <v>16.82</v>
      </c>
      <c r="S728">
        <v>47</v>
      </c>
      <c r="T728">
        <v>0</v>
      </c>
      <c r="U728" s="2">
        <v>0</v>
      </c>
      <c r="V728">
        <v>0</v>
      </c>
      <c r="W728" t="s">
        <v>29</v>
      </c>
      <c r="X728" t="str">
        <f>IF(Table2[[#This Row],[Qty available]]&gt;Table2[[#This Row],[Qty on hand]],"Check","OK")</f>
        <v>OK</v>
      </c>
    </row>
    <row r="729" spans="1:24" x14ac:dyDescent="0.3">
      <c r="A729" t="s">
        <v>121</v>
      </c>
      <c r="B729" t="s">
        <v>122</v>
      </c>
      <c r="C729" t="s">
        <v>69</v>
      </c>
      <c r="D729" t="s">
        <v>70</v>
      </c>
      <c r="E729" t="s">
        <v>27</v>
      </c>
      <c r="F729" s="1" t="s">
        <v>36</v>
      </c>
      <c r="G729" s="2">
        <v>9.77</v>
      </c>
      <c r="H729">
        <v>9.77</v>
      </c>
      <c r="I729">
        <v>9.5384379999999993</v>
      </c>
      <c r="J729">
        <v>13.66</v>
      </c>
      <c r="K729">
        <v>28</v>
      </c>
      <c r="M729">
        <v>0</v>
      </c>
      <c r="N729" s="2">
        <v>64</v>
      </c>
      <c r="O729">
        <v>610.46</v>
      </c>
      <c r="P729">
        <v>14</v>
      </c>
      <c r="Q729">
        <v>50</v>
      </c>
      <c r="R729">
        <v>10.3</v>
      </c>
      <c r="S729">
        <v>3</v>
      </c>
      <c r="T729">
        <v>59</v>
      </c>
      <c r="U729" s="2">
        <v>805.94</v>
      </c>
      <c r="V729">
        <v>0</v>
      </c>
      <c r="W729" t="s">
        <v>29</v>
      </c>
      <c r="X729" t="str">
        <f>IF(Table2[[#This Row],[Qty available]]&gt;Table2[[#This Row],[Qty on hand]],"Check","OK")</f>
        <v>OK</v>
      </c>
    </row>
    <row r="730" spans="1:24" x14ac:dyDescent="0.3">
      <c r="A730" t="s">
        <v>121</v>
      </c>
      <c r="B730" t="s">
        <v>122</v>
      </c>
      <c r="C730" t="s">
        <v>69</v>
      </c>
      <c r="D730" t="s">
        <v>70</v>
      </c>
      <c r="E730" t="s">
        <v>27</v>
      </c>
      <c r="F730" s="1" t="s">
        <v>37</v>
      </c>
      <c r="G730" s="2">
        <v>9.66</v>
      </c>
      <c r="H730">
        <v>9.66</v>
      </c>
      <c r="I730">
        <v>9.5381250000000009</v>
      </c>
      <c r="J730">
        <v>13.66</v>
      </c>
      <c r="K730">
        <v>28</v>
      </c>
      <c r="M730">
        <v>0</v>
      </c>
      <c r="N730" s="2">
        <v>16</v>
      </c>
      <c r="O730">
        <v>152.61000000000001</v>
      </c>
      <c r="P730">
        <v>14</v>
      </c>
      <c r="Q730">
        <v>2</v>
      </c>
      <c r="R730">
        <v>1.97</v>
      </c>
      <c r="S730">
        <v>0</v>
      </c>
      <c r="T730">
        <v>48</v>
      </c>
      <c r="U730" s="2">
        <v>655.68</v>
      </c>
      <c r="V730">
        <v>0</v>
      </c>
      <c r="W730" t="s">
        <v>29</v>
      </c>
      <c r="X730" t="str">
        <f>IF(Table2[[#This Row],[Qty available]]&gt;Table2[[#This Row],[Qty on hand]],"Check","OK")</f>
        <v>OK</v>
      </c>
    </row>
    <row r="731" spans="1:24" x14ac:dyDescent="0.3">
      <c r="A731" t="s">
        <v>121</v>
      </c>
      <c r="B731" t="s">
        <v>122</v>
      </c>
      <c r="C731" t="s">
        <v>69</v>
      </c>
      <c r="D731" t="s">
        <v>70</v>
      </c>
      <c r="E731" t="s">
        <v>27</v>
      </c>
      <c r="F731" s="1" t="s">
        <v>38</v>
      </c>
      <c r="G731" s="2">
        <v>9.58</v>
      </c>
      <c r="H731">
        <v>9.58</v>
      </c>
      <c r="I731">
        <v>9.5712960000000002</v>
      </c>
      <c r="J731">
        <v>13.66</v>
      </c>
      <c r="K731">
        <v>28</v>
      </c>
      <c r="L731" s="2">
        <v>35</v>
      </c>
      <c r="M731">
        <v>61</v>
      </c>
      <c r="N731" s="2">
        <v>54</v>
      </c>
      <c r="O731">
        <v>516.85</v>
      </c>
      <c r="P731">
        <v>12</v>
      </c>
      <c r="Q731">
        <v>42</v>
      </c>
      <c r="R731">
        <v>5.4</v>
      </c>
      <c r="S731">
        <v>2</v>
      </c>
      <c r="T731">
        <v>23</v>
      </c>
      <c r="U731" s="2">
        <v>314.18</v>
      </c>
      <c r="V731">
        <v>0</v>
      </c>
      <c r="W731" t="s">
        <v>29</v>
      </c>
      <c r="X731" t="str">
        <f>IF(Table2[[#This Row],[Qty available]]&gt;Table2[[#This Row],[Qty on hand]],"Check","OK")</f>
        <v>OK</v>
      </c>
    </row>
    <row r="732" spans="1:24" x14ac:dyDescent="0.3">
      <c r="A732" t="s">
        <v>121</v>
      </c>
      <c r="B732" t="s">
        <v>122</v>
      </c>
      <c r="C732" t="s">
        <v>69</v>
      </c>
      <c r="D732" t="s">
        <v>70</v>
      </c>
      <c r="E732" t="s">
        <v>27</v>
      </c>
      <c r="F732" s="1" t="s">
        <v>39</v>
      </c>
      <c r="G732" s="2">
        <v>9.5</v>
      </c>
      <c r="H732">
        <v>9.5</v>
      </c>
      <c r="I732">
        <v>9.5214770000000009</v>
      </c>
      <c r="J732">
        <v>13.66</v>
      </c>
      <c r="K732">
        <v>28</v>
      </c>
      <c r="L732" s="2">
        <v>44</v>
      </c>
      <c r="M732">
        <v>125</v>
      </c>
      <c r="N732" s="2">
        <v>149</v>
      </c>
      <c r="O732">
        <v>1418.7</v>
      </c>
      <c r="P732">
        <v>14</v>
      </c>
      <c r="Q732">
        <v>135</v>
      </c>
      <c r="R732">
        <v>19.39</v>
      </c>
      <c r="S732">
        <v>1</v>
      </c>
      <c r="T732">
        <v>30</v>
      </c>
      <c r="U732" s="2">
        <v>409.8</v>
      </c>
      <c r="V732">
        <v>0</v>
      </c>
      <c r="W732" t="s">
        <v>29</v>
      </c>
      <c r="X732" t="str">
        <f>IF(Table2[[#This Row],[Qty available]]&gt;Table2[[#This Row],[Qty on hand]],"Check","OK")</f>
        <v>OK</v>
      </c>
    </row>
    <row r="733" spans="1:24" x14ac:dyDescent="0.3">
      <c r="A733" t="s">
        <v>121</v>
      </c>
      <c r="B733" t="s">
        <v>122</v>
      </c>
      <c r="C733" t="s">
        <v>69</v>
      </c>
      <c r="D733" t="s">
        <v>70</v>
      </c>
      <c r="E733" t="s">
        <v>27</v>
      </c>
      <c r="F733" s="1" t="s">
        <v>40</v>
      </c>
      <c r="G733" s="2">
        <v>9.75</v>
      </c>
      <c r="H733">
        <v>9.75</v>
      </c>
      <c r="I733">
        <v>9.5358059999999991</v>
      </c>
      <c r="J733">
        <v>13.66</v>
      </c>
      <c r="K733">
        <v>28</v>
      </c>
      <c r="L733" s="2">
        <v>25</v>
      </c>
      <c r="M733">
        <v>10</v>
      </c>
      <c r="N733" s="2">
        <v>93</v>
      </c>
      <c r="O733">
        <v>886.83</v>
      </c>
      <c r="P733">
        <v>6</v>
      </c>
      <c r="Q733">
        <v>87</v>
      </c>
      <c r="R733">
        <v>10.27</v>
      </c>
      <c r="S733">
        <v>4</v>
      </c>
      <c r="T733">
        <v>66</v>
      </c>
      <c r="U733" s="2">
        <v>901.56</v>
      </c>
      <c r="V733">
        <v>0</v>
      </c>
      <c r="W733" t="s">
        <v>29</v>
      </c>
      <c r="X733" t="str">
        <f>IF(Table2[[#This Row],[Qty available]]&gt;Table2[[#This Row],[Qty on hand]],"Check","OK")</f>
        <v>OK</v>
      </c>
    </row>
    <row r="734" spans="1:24" x14ac:dyDescent="0.3">
      <c r="A734" t="s">
        <v>121</v>
      </c>
      <c r="B734" t="s">
        <v>122</v>
      </c>
      <c r="C734" t="s">
        <v>69</v>
      </c>
      <c r="D734" t="s">
        <v>70</v>
      </c>
      <c r="E734" t="s">
        <v>27</v>
      </c>
      <c r="F734" s="1" t="s">
        <v>41</v>
      </c>
      <c r="G734" s="2">
        <v>9.6</v>
      </c>
      <c r="H734">
        <v>9.6</v>
      </c>
      <c r="I734">
        <v>9.5456599999999998</v>
      </c>
      <c r="J734">
        <v>13.66</v>
      </c>
      <c r="K734">
        <v>28</v>
      </c>
      <c r="L734" s="2">
        <v>27</v>
      </c>
      <c r="M734">
        <v>17</v>
      </c>
      <c r="N734" s="2">
        <v>53</v>
      </c>
      <c r="O734">
        <v>505.92</v>
      </c>
      <c r="P734">
        <v>5</v>
      </c>
      <c r="Q734">
        <v>48</v>
      </c>
      <c r="R734">
        <v>4.55</v>
      </c>
      <c r="S734">
        <v>2</v>
      </c>
      <c r="T734">
        <v>57</v>
      </c>
      <c r="U734" s="2">
        <v>778.62</v>
      </c>
      <c r="V734">
        <v>0</v>
      </c>
      <c r="W734" t="s">
        <v>29</v>
      </c>
      <c r="X734" t="str">
        <f>IF(Table2[[#This Row],[Qty available]]&gt;Table2[[#This Row],[Qty on hand]],"Check","OK")</f>
        <v>OK</v>
      </c>
    </row>
    <row r="735" spans="1:24" x14ac:dyDescent="0.3">
      <c r="A735" t="s">
        <v>121</v>
      </c>
      <c r="B735" t="s">
        <v>122</v>
      </c>
      <c r="C735" t="s">
        <v>69</v>
      </c>
      <c r="D735" t="s">
        <v>70</v>
      </c>
      <c r="E735" t="s">
        <v>27</v>
      </c>
      <c r="F735" s="1" t="s">
        <v>42</v>
      </c>
      <c r="G735" s="2">
        <v>9.7799999999999994</v>
      </c>
      <c r="H735">
        <v>9.7799999999999994</v>
      </c>
      <c r="I735">
        <v>9.5449999999999999</v>
      </c>
      <c r="J735">
        <v>13.66</v>
      </c>
      <c r="K735">
        <v>28</v>
      </c>
      <c r="M735">
        <v>0</v>
      </c>
      <c r="N735" s="2">
        <v>6</v>
      </c>
      <c r="O735">
        <v>57.27</v>
      </c>
      <c r="P735">
        <v>6</v>
      </c>
      <c r="Q735">
        <v>0</v>
      </c>
      <c r="R735">
        <v>0.46</v>
      </c>
      <c r="S735">
        <v>12</v>
      </c>
      <c r="T735">
        <v>47</v>
      </c>
      <c r="U735" s="2">
        <v>642.02</v>
      </c>
      <c r="V735">
        <v>0</v>
      </c>
      <c r="W735" t="s">
        <v>29</v>
      </c>
      <c r="X735" t="str">
        <f>IF(Table2[[#This Row],[Qty available]]&gt;Table2[[#This Row],[Qty on hand]],"Check","OK")</f>
        <v>OK</v>
      </c>
    </row>
    <row r="736" spans="1:24" x14ac:dyDescent="0.3">
      <c r="A736" t="s">
        <v>121</v>
      </c>
      <c r="B736" t="s">
        <v>122</v>
      </c>
      <c r="C736" t="s">
        <v>69</v>
      </c>
      <c r="D736" t="s">
        <v>70</v>
      </c>
      <c r="E736" t="s">
        <v>27</v>
      </c>
      <c r="F736" s="1" t="s">
        <v>43</v>
      </c>
      <c r="G736" s="2">
        <v>9.81</v>
      </c>
      <c r="H736">
        <v>9.81</v>
      </c>
      <c r="I736">
        <v>9.7929790000000008</v>
      </c>
      <c r="J736">
        <v>13.66</v>
      </c>
      <c r="K736">
        <v>28</v>
      </c>
      <c r="L736" s="2">
        <v>44</v>
      </c>
      <c r="M736">
        <v>87</v>
      </c>
      <c r="N736" s="2">
        <v>47</v>
      </c>
      <c r="O736">
        <v>460.27</v>
      </c>
      <c r="P736">
        <v>9</v>
      </c>
      <c r="Q736">
        <v>38</v>
      </c>
      <c r="R736">
        <v>4.07</v>
      </c>
      <c r="S736">
        <v>7</v>
      </c>
      <c r="T736">
        <v>46</v>
      </c>
      <c r="U736" s="2">
        <v>628.36</v>
      </c>
      <c r="V736">
        <v>0</v>
      </c>
      <c r="W736" t="s">
        <v>29</v>
      </c>
      <c r="X736" t="str">
        <f>IF(Table2[[#This Row],[Qty available]]&gt;Table2[[#This Row],[Qty on hand]],"Check","OK")</f>
        <v>OK</v>
      </c>
    </row>
    <row r="737" spans="1:24" x14ac:dyDescent="0.3">
      <c r="A737" t="s">
        <v>121</v>
      </c>
      <c r="B737" t="s">
        <v>122</v>
      </c>
      <c r="C737" t="s">
        <v>69</v>
      </c>
      <c r="D737" t="s">
        <v>70</v>
      </c>
      <c r="E737" t="s">
        <v>27</v>
      </c>
      <c r="F737" s="1" t="s">
        <v>44</v>
      </c>
      <c r="G737" s="2">
        <v>10.02</v>
      </c>
      <c r="H737">
        <v>10.02</v>
      </c>
      <c r="I737">
        <v>9.8581479999999999</v>
      </c>
      <c r="J737">
        <v>13.66</v>
      </c>
      <c r="K737">
        <v>28</v>
      </c>
      <c r="L737" s="2">
        <v>46</v>
      </c>
      <c r="M737">
        <v>19</v>
      </c>
      <c r="N737" s="2">
        <v>27</v>
      </c>
      <c r="O737">
        <v>266.17</v>
      </c>
      <c r="P737">
        <v>14</v>
      </c>
      <c r="Q737">
        <v>13</v>
      </c>
      <c r="R737">
        <v>2.69</v>
      </c>
      <c r="S737">
        <v>11</v>
      </c>
      <c r="T737">
        <v>39</v>
      </c>
      <c r="U737" s="2">
        <v>532.74</v>
      </c>
      <c r="V737">
        <v>0</v>
      </c>
      <c r="W737" t="s">
        <v>29</v>
      </c>
      <c r="X737" t="str">
        <f>IF(Table2[[#This Row],[Qty available]]&gt;Table2[[#This Row],[Qty on hand]],"Check","OK")</f>
        <v>OK</v>
      </c>
    </row>
    <row r="738" spans="1:24" x14ac:dyDescent="0.3">
      <c r="A738" t="s">
        <v>121</v>
      </c>
      <c r="B738" t="s">
        <v>122</v>
      </c>
      <c r="C738" t="s">
        <v>69</v>
      </c>
      <c r="D738" t="s">
        <v>70</v>
      </c>
      <c r="E738" t="s">
        <v>27</v>
      </c>
      <c r="F738" s="1" t="s">
        <v>45</v>
      </c>
      <c r="G738" s="2">
        <v>9.9600000000000009</v>
      </c>
      <c r="H738">
        <v>9.9600000000000009</v>
      </c>
      <c r="I738">
        <v>9.9238</v>
      </c>
      <c r="J738">
        <v>13.66</v>
      </c>
      <c r="K738">
        <v>28</v>
      </c>
      <c r="L738" s="2">
        <v>47</v>
      </c>
      <c r="M738">
        <v>49</v>
      </c>
      <c r="N738" s="2">
        <v>50</v>
      </c>
      <c r="O738">
        <v>496.19</v>
      </c>
      <c r="P738">
        <v>5</v>
      </c>
      <c r="Q738">
        <v>45</v>
      </c>
      <c r="R738">
        <v>5.92</v>
      </c>
      <c r="S738">
        <v>1</v>
      </c>
      <c r="T738">
        <v>26</v>
      </c>
      <c r="U738" s="2">
        <v>355.16</v>
      </c>
      <c r="V738">
        <v>0</v>
      </c>
      <c r="W738" t="s">
        <v>29</v>
      </c>
      <c r="X738" t="str">
        <f>IF(Table2[[#This Row],[Qty available]]&gt;Table2[[#This Row],[Qty on hand]],"Check","OK")</f>
        <v>OK</v>
      </c>
    </row>
    <row r="739" spans="1:24" x14ac:dyDescent="0.3">
      <c r="A739" t="s">
        <v>121</v>
      </c>
      <c r="B739" t="s">
        <v>122</v>
      </c>
      <c r="C739" t="s">
        <v>69</v>
      </c>
      <c r="D739" t="s">
        <v>70</v>
      </c>
      <c r="E739" t="s">
        <v>27</v>
      </c>
      <c r="F739" s="1" t="s">
        <v>46</v>
      </c>
      <c r="G739" s="2">
        <v>10.119999999999999</v>
      </c>
      <c r="H739">
        <v>10.119999999999999</v>
      </c>
      <c r="I739">
        <v>10.035500000000001</v>
      </c>
      <c r="J739">
        <v>14.01</v>
      </c>
      <c r="K739">
        <v>28</v>
      </c>
      <c r="L739" s="2">
        <v>45</v>
      </c>
      <c r="M739">
        <v>66</v>
      </c>
      <c r="N739" s="2">
        <v>40</v>
      </c>
      <c r="O739">
        <v>401.42</v>
      </c>
      <c r="P739">
        <v>3</v>
      </c>
      <c r="Q739">
        <v>37</v>
      </c>
      <c r="R739">
        <v>3.65</v>
      </c>
      <c r="S739">
        <v>2</v>
      </c>
      <c r="T739">
        <v>76</v>
      </c>
      <c r="U739" s="2">
        <v>1064.76</v>
      </c>
      <c r="V739">
        <v>0</v>
      </c>
      <c r="W739" t="s">
        <v>29</v>
      </c>
      <c r="X739" t="str">
        <f>IF(Table2[[#This Row],[Qty available]]&gt;Table2[[#This Row],[Qty on hand]],"Check","OK")</f>
        <v>OK</v>
      </c>
    </row>
    <row r="740" spans="1:24" x14ac:dyDescent="0.3">
      <c r="A740" t="s">
        <v>121</v>
      </c>
      <c r="B740" t="s">
        <v>122</v>
      </c>
      <c r="C740" t="s">
        <v>69</v>
      </c>
      <c r="D740" t="s">
        <v>70</v>
      </c>
      <c r="E740" t="s">
        <v>27</v>
      </c>
      <c r="F740" s="1" t="s">
        <v>47</v>
      </c>
      <c r="G740" s="2">
        <v>9.75</v>
      </c>
      <c r="H740">
        <v>9.75</v>
      </c>
      <c r="I740">
        <v>9.973922</v>
      </c>
      <c r="J740">
        <v>14.01</v>
      </c>
      <c r="K740">
        <v>28</v>
      </c>
      <c r="L740" s="2">
        <v>44</v>
      </c>
      <c r="M740">
        <v>11</v>
      </c>
      <c r="N740" s="2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51</v>
      </c>
      <c r="U740" s="2">
        <v>714.51</v>
      </c>
      <c r="V740">
        <v>21</v>
      </c>
      <c r="W740" t="s">
        <v>59</v>
      </c>
      <c r="X740" t="str">
        <f>IF(Table2[[#This Row],[Qty available]]&gt;Table2[[#This Row],[Qty on hand]],"Check","OK")</f>
        <v>OK</v>
      </c>
    </row>
    <row r="741" spans="1:24" x14ac:dyDescent="0.3">
      <c r="A741" t="s">
        <v>121</v>
      </c>
      <c r="B741" t="s">
        <v>122</v>
      </c>
      <c r="C741" t="s">
        <v>69</v>
      </c>
      <c r="D741" t="s">
        <v>70</v>
      </c>
      <c r="E741" t="s">
        <v>27</v>
      </c>
      <c r="F741" s="1" t="s">
        <v>48</v>
      </c>
      <c r="G741" s="2">
        <v>9.86</v>
      </c>
      <c r="H741">
        <v>9.86</v>
      </c>
      <c r="I741">
        <v>9.86</v>
      </c>
      <c r="J741">
        <v>14.01</v>
      </c>
      <c r="K741">
        <v>28</v>
      </c>
      <c r="L741" s="2">
        <v>46</v>
      </c>
      <c r="M741">
        <v>83</v>
      </c>
      <c r="N741" s="2">
        <v>41</v>
      </c>
      <c r="O741">
        <v>404.26</v>
      </c>
      <c r="P741">
        <v>9</v>
      </c>
      <c r="Q741">
        <v>32</v>
      </c>
      <c r="R741">
        <v>3.08</v>
      </c>
      <c r="S741">
        <v>0</v>
      </c>
      <c r="T741">
        <v>42</v>
      </c>
      <c r="U741" s="2">
        <v>588.41999999999996</v>
      </c>
      <c r="V741">
        <v>0</v>
      </c>
      <c r="W741" t="s">
        <v>29</v>
      </c>
      <c r="X741" t="str">
        <f>IF(Table2[[#This Row],[Qty available]]&gt;Table2[[#This Row],[Qty on hand]],"Check","OK")</f>
        <v>OK</v>
      </c>
    </row>
    <row r="742" spans="1:24" x14ac:dyDescent="0.3">
      <c r="A742" t="s">
        <v>121</v>
      </c>
      <c r="B742" t="s">
        <v>122</v>
      </c>
      <c r="C742" t="s">
        <v>69</v>
      </c>
      <c r="D742" t="s">
        <v>70</v>
      </c>
      <c r="E742" t="s">
        <v>27</v>
      </c>
      <c r="F742" s="1" t="s">
        <v>49</v>
      </c>
      <c r="G742" s="2">
        <v>10.02</v>
      </c>
      <c r="H742">
        <v>10.02</v>
      </c>
      <c r="I742">
        <v>9.975104</v>
      </c>
      <c r="J742">
        <v>14.01</v>
      </c>
      <c r="K742">
        <v>28</v>
      </c>
      <c r="L742" s="2">
        <v>24</v>
      </c>
      <c r="M742">
        <v>105</v>
      </c>
      <c r="N742" s="2">
        <v>96</v>
      </c>
      <c r="O742">
        <v>957.61</v>
      </c>
      <c r="P742">
        <v>11</v>
      </c>
      <c r="Q742">
        <v>85</v>
      </c>
      <c r="R742">
        <v>8.82</v>
      </c>
      <c r="S742">
        <v>5</v>
      </c>
      <c r="T742">
        <v>50</v>
      </c>
      <c r="U742" s="2">
        <v>700.5</v>
      </c>
      <c r="V742">
        <v>0</v>
      </c>
      <c r="W742" t="s">
        <v>29</v>
      </c>
      <c r="X742" t="str">
        <f>IF(Table2[[#This Row],[Qty available]]&gt;Table2[[#This Row],[Qty on hand]],"Check","OK")</f>
        <v>OK</v>
      </c>
    </row>
    <row r="743" spans="1:24" x14ac:dyDescent="0.3">
      <c r="A743" t="s">
        <v>121</v>
      </c>
      <c r="B743" t="s">
        <v>122</v>
      </c>
      <c r="C743" t="s">
        <v>69</v>
      </c>
      <c r="D743" t="s">
        <v>70</v>
      </c>
      <c r="E743" t="s">
        <v>27</v>
      </c>
      <c r="F743" s="1" t="s">
        <v>50</v>
      </c>
      <c r="G743" s="2">
        <v>9.8699999999999992</v>
      </c>
      <c r="H743">
        <v>9.8699999999999992</v>
      </c>
      <c r="I743">
        <v>9.9482560000000007</v>
      </c>
      <c r="J743">
        <v>14.01</v>
      </c>
      <c r="K743">
        <v>28</v>
      </c>
      <c r="L743" s="2">
        <v>24</v>
      </c>
      <c r="M743">
        <v>33</v>
      </c>
      <c r="N743" s="2">
        <v>86</v>
      </c>
      <c r="O743">
        <v>855.55</v>
      </c>
      <c r="P743">
        <v>9</v>
      </c>
      <c r="Q743">
        <v>77</v>
      </c>
      <c r="R743">
        <v>8.2799999999999994</v>
      </c>
      <c r="S743">
        <v>2</v>
      </c>
      <c r="T743">
        <v>43</v>
      </c>
      <c r="U743" s="2">
        <v>602.42999999999995</v>
      </c>
      <c r="V743">
        <v>0</v>
      </c>
      <c r="W743" t="s">
        <v>29</v>
      </c>
      <c r="X743" t="str">
        <f>IF(Table2[[#This Row],[Qty available]]&gt;Table2[[#This Row],[Qty on hand]],"Check","OK")</f>
        <v>OK</v>
      </c>
    </row>
    <row r="744" spans="1:24" x14ac:dyDescent="0.3">
      <c r="A744" t="s">
        <v>121</v>
      </c>
      <c r="B744" t="s">
        <v>122</v>
      </c>
      <c r="C744" t="s">
        <v>69</v>
      </c>
      <c r="D744" t="s">
        <v>70</v>
      </c>
      <c r="E744" t="s">
        <v>27</v>
      </c>
      <c r="F744" s="1" t="s">
        <v>51</v>
      </c>
      <c r="G744" s="2">
        <v>10.09</v>
      </c>
      <c r="H744">
        <v>10.09</v>
      </c>
      <c r="I744">
        <v>10.01953</v>
      </c>
      <c r="J744">
        <v>14.01</v>
      </c>
      <c r="K744">
        <v>28</v>
      </c>
      <c r="L744" s="2">
        <v>26</v>
      </c>
      <c r="M744">
        <v>87</v>
      </c>
      <c r="N744" s="2">
        <v>149</v>
      </c>
      <c r="O744">
        <v>1492.91</v>
      </c>
      <c r="P744">
        <v>6</v>
      </c>
      <c r="Q744">
        <v>143</v>
      </c>
      <c r="R744">
        <v>16.739999999999998</v>
      </c>
      <c r="S744">
        <v>8</v>
      </c>
      <c r="T744">
        <v>24</v>
      </c>
      <c r="U744" s="2">
        <v>336.24</v>
      </c>
      <c r="V744">
        <v>0</v>
      </c>
      <c r="W744" t="s">
        <v>29</v>
      </c>
      <c r="X744" t="str">
        <f>IF(Table2[[#This Row],[Qty available]]&gt;Table2[[#This Row],[Qty on hand]],"Check","OK")</f>
        <v>OK</v>
      </c>
    </row>
    <row r="745" spans="1:24" x14ac:dyDescent="0.3">
      <c r="A745" t="s">
        <v>121</v>
      </c>
      <c r="B745" t="s">
        <v>122</v>
      </c>
      <c r="C745" t="s">
        <v>69</v>
      </c>
      <c r="D745" t="s">
        <v>70</v>
      </c>
      <c r="E745" t="s">
        <v>27</v>
      </c>
      <c r="F745" s="1" t="s">
        <v>52</v>
      </c>
      <c r="G745" s="2">
        <v>10.1</v>
      </c>
      <c r="H745">
        <v>10.1</v>
      </c>
      <c r="I745">
        <v>10.019569000000001</v>
      </c>
      <c r="J745">
        <v>14.01</v>
      </c>
      <c r="K745">
        <v>28</v>
      </c>
      <c r="M745">
        <v>0</v>
      </c>
      <c r="N745" s="2">
        <v>116</v>
      </c>
      <c r="O745">
        <v>1162.27</v>
      </c>
      <c r="P745">
        <v>5</v>
      </c>
      <c r="Q745">
        <v>111</v>
      </c>
      <c r="R745">
        <v>15.25</v>
      </c>
      <c r="S745">
        <v>1</v>
      </c>
      <c r="T745">
        <v>33</v>
      </c>
      <c r="U745" s="2">
        <v>462.33</v>
      </c>
      <c r="V745">
        <v>0</v>
      </c>
      <c r="W745" t="s">
        <v>29</v>
      </c>
      <c r="X745" t="str">
        <f>IF(Table2[[#This Row],[Qty available]]&gt;Table2[[#This Row],[Qty on hand]],"Check","OK")</f>
        <v>OK</v>
      </c>
    </row>
    <row r="746" spans="1:24" x14ac:dyDescent="0.3">
      <c r="A746" t="s">
        <v>123</v>
      </c>
      <c r="B746" t="s">
        <v>124</v>
      </c>
      <c r="C746" t="s">
        <v>57</v>
      </c>
      <c r="D746" t="s">
        <v>58</v>
      </c>
      <c r="E746" t="s">
        <v>66</v>
      </c>
      <c r="F746" s="1" t="s">
        <v>28</v>
      </c>
      <c r="G746" s="2">
        <v>32.81</v>
      </c>
      <c r="H746">
        <v>32.81</v>
      </c>
      <c r="I746">
        <v>32.584119999999999</v>
      </c>
      <c r="J746">
        <v>45.81</v>
      </c>
      <c r="K746">
        <v>50</v>
      </c>
      <c r="L746" s="2">
        <v>44</v>
      </c>
      <c r="M746">
        <v>356</v>
      </c>
      <c r="N746" s="2">
        <v>449</v>
      </c>
      <c r="O746">
        <v>14630.27</v>
      </c>
      <c r="P746">
        <v>73</v>
      </c>
      <c r="Q746">
        <v>376</v>
      </c>
      <c r="R746">
        <v>8.43</v>
      </c>
      <c r="S746">
        <v>0</v>
      </c>
      <c r="T746">
        <v>186</v>
      </c>
      <c r="U746" s="2">
        <v>8520.66</v>
      </c>
      <c r="V746">
        <v>0</v>
      </c>
      <c r="W746" t="s">
        <v>29</v>
      </c>
      <c r="X746" t="str">
        <f>IF(Table2[[#This Row],[Qty available]]&gt;Table2[[#This Row],[Qty on hand]],"Check","OK")</f>
        <v>OK</v>
      </c>
    </row>
    <row r="747" spans="1:24" x14ac:dyDescent="0.3">
      <c r="A747" t="s">
        <v>123</v>
      </c>
      <c r="B747" t="s">
        <v>124</v>
      </c>
      <c r="C747" t="s">
        <v>57</v>
      </c>
      <c r="D747" t="s">
        <v>58</v>
      </c>
      <c r="E747" t="s">
        <v>66</v>
      </c>
      <c r="F747" s="1" t="s">
        <v>30</v>
      </c>
      <c r="G747" s="2">
        <v>32.74</v>
      </c>
      <c r="H747">
        <v>32.74</v>
      </c>
      <c r="I747">
        <v>32.584147999999999</v>
      </c>
      <c r="J747">
        <v>45.81</v>
      </c>
      <c r="K747">
        <v>50</v>
      </c>
      <c r="M747">
        <v>0</v>
      </c>
      <c r="N747" s="2">
        <v>176</v>
      </c>
      <c r="O747">
        <v>5734.81</v>
      </c>
      <c r="P747">
        <v>24</v>
      </c>
      <c r="Q747">
        <v>152</v>
      </c>
      <c r="R747">
        <v>3.11</v>
      </c>
      <c r="S747">
        <v>4</v>
      </c>
      <c r="T747">
        <v>273</v>
      </c>
      <c r="U747" s="2">
        <v>12506.13</v>
      </c>
      <c r="V747">
        <v>0</v>
      </c>
      <c r="W747" t="s">
        <v>29</v>
      </c>
      <c r="X747" t="str">
        <f>IF(Table2[[#This Row],[Qty available]]&gt;Table2[[#This Row],[Qty on hand]],"Check","OK")</f>
        <v>OK</v>
      </c>
    </row>
    <row r="748" spans="1:24" x14ac:dyDescent="0.3">
      <c r="A748" t="s">
        <v>123</v>
      </c>
      <c r="B748" t="s">
        <v>124</v>
      </c>
      <c r="C748" t="s">
        <v>57</v>
      </c>
      <c r="D748" t="s">
        <v>58</v>
      </c>
      <c r="E748" t="s">
        <v>66</v>
      </c>
      <c r="F748" s="1" t="s">
        <v>31</v>
      </c>
      <c r="G748" s="2">
        <v>32.130000000000003</v>
      </c>
      <c r="H748">
        <v>32.130000000000003</v>
      </c>
      <c r="I748">
        <v>32.235042</v>
      </c>
      <c r="J748">
        <v>45.81</v>
      </c>
      <c r="K748">
        <v>50</v>
      </c>
      <c r="L748" s="2">
        <v>48</v>
      </c>
      <c r="M748">
        <v>585</v>
      </c>
      <c r="N748" s="2">
        <v>476</v>
      </c>
      <c r="O748">
        <v>15343.88</v>
      </c>
      <c r="P748">
        <v>56</v>
      </c>
      <c r="Q748">
        <v>420</v>
      </c>
      <c r="R748">
        <v>8.32</v>
      </c>
      <c r="S748">
        <v>5</v>
      </c>
      <c r="T748">
        <v>285</v>
      </c>
      <c r="U748" s="2">
        <v>13055.85</v>
      </c>
      <c r="V748">
        <v>0</v>
      </c>
      <c r="W748" t="s">
        <v>29</v>
      </c>
      <c r="X748" t="str">
        <f>IF(Table2[[#This Row],[Qty available]]&gt;Table2[[#This Row],[Qty on hand]],"Check","OK")</f>
        <v>OK</v>
      </c>
    </row>
    <row r="749" spans="1:24" x14ac:dyDescent="0.3">
      <c r="A749" t="s">
        <v>123</v>
      </c>
      <c r="B749" t="s">
        <v>124</v>
      </c>
      <c r="C749" t="s">
        <v>57</v>
      </c>
      <c r="D749" t="s">
        <v>58</v>
      </c>
      <c r="E749" t="s">
        <v>66</v>
      </c>
      <c r="F749" s="1" t="s">
        <v>32</v>
      </c>
      <c r="G749" s="2">
        <v>32.36</v>
      </c>
      <c r="H749">
        <v>32.36</v>
      </c>
      <c r="I749">
        <v>32.296787999999999</v>
      </c>
      <c r="J749">
        <v>45.81</v>
      </c>
      <c r="K749">
        <v>50</v>
      </c>
      <c r="L749" s="2">
        <v>60</v>
      </c>
      <c r="M749">
        <v>465</v>
      </c>
      <c r="N749" s="2">
        <v>685</v>
      </c>
      <c r="O749">
        <v>22123.3</v>
      </c>
      <c r="P749">
        <v>16</v>
      </c>
      <c r="Q749">
        <v>669</v>
      </c>
      <c r="R749">
        <v>11.06</v>
      </c>
      <c r="S749">
        <v>1</v>
      </c>
      <c r="T749">
        <v>256</v>
      </c>
      <c r="U749" s="2">
        <v>11727.36</v>
      </c>
      <c r="V749">
        <v>0</v>
      </c>
      <c r="W749" t="s">
        <v>29</v>
      </c>
      <c r="X749" t="str">
        <f>IF(Table2[[#This Row],[Qty available]]&gt;Table2[[#This Row],[Qty on hand]],"Check","OK")</f>
        <v>OK</v>
      </c>
    </row>
    <row r="750" spans="1:24" x14ac:dyDescent="0.3">
      <c r="A750" t="s">
        <v>123</v>
      </c>
      <c r="B750" t="s">
        <v>124</v>
      </c>
      <c r="C750" t="s">
        <v>57</v>
      </c>
      <c r="D750" t="s">
        <v>58</v>
      </c>
      <c r="E750" t="s">
        <v>66</v>
      </c>
      <c r="F750" s="1" t="s">
        <v>33</v>
      </c>
      <c r="G750" s="2">
        <v>33.61</v>
      </c>
      <c r="H750">
        <v>33.61</v>
      </c>
      <c r="I750">
        <v>32.296782</v>
      </c>
      <c r="J750">
        <v>45.81</v>
      </c>
      <c r="K750">
        <v>50</v>
      </c>
      <c r="M750">
        <v>0</v>
      </c>
      <c r="N750" s="2">
        <v>432</v>
      </c>
      <c r="O750">
        <v>13952.21</v>
      </c>
      <c r="P750">
        <v>56</v>
      </c>
      <c r="Q750">
        <v>376</v>
      </c>
      <c r="R750">
        <v>7.15</v>
      </c>
      <c r="S750">
        <v>0</v>
      </c>
      <c r="T750">
        <v>253</v>
      </c>
      <c r="U750" s="2">
        <v>11589.93</v>
      </c>
      <c r="V750">
        <v>0</v>
      </c>
      <c r="W750" t="s">
        <v>29</v>
      </c>
      <c r="X750" t="str">
        <f>IF(Table2[[#This Row],[Qty available]]&gt;Table2[[#This Row],[Qty on hand]],"Check","OK")</f>
        <v>OK</v>
      </c>
    </row>
    <row r="751" spans="1:24" x14ac:dyDescent="0.3">
      <c r="A751" t="s">
        <v>123</v>
      </c>
      <c r="B751" t="s">
        <v>124</v>
      </c>
      <c r="C751" t="s">
        <v>57</v>
      </c>
      <c r="D751" t="s">
        <v>58</v>
      </c>
      <c r="E751" t="s">
        <v>66</v>
      </c>
      <c r="F751" s="1" t="s">
        <v>34</v>
      </c>
      <c r="G751" s="2">
        <v>33.61</v>
      </c>
      <c r="H751">
        <v>33.61</v>
      </c>
      <c r="I751">
        <v>32.911346000000002</v>
      </c>
      <c r="J751">
        <v>47.34</v>
      </c>
      <c r="K751">
        <v>50</v>
      </c>
      <c r="L751" s="2">
        <v>46</v>
      </c>
      <c r="M751">
        <v>380</v>
      </c>
      <c r="N751" s="2">
        <v>728</v>
      </c>
      <c r="O751">
        <v>23959.46</v>
      </c>
      <c r="P751">
        <v>32</v>
      </c>
      <c r="Q751">
        <v>696</v>
      </c>
      <c r="R751">
        <v>15.78</v>
      </c>
      <c r="S751">
        <v>3</v>
      </c>
      <c r="T751">
        <v>84</v>
      </c>
      <c r="U751" s="2">
        <v>3976.56</v>
      </c>
      <c r="V751">
        <v>0</v>
      </c>
      <c r="W751" t="s">
        <v>29</v>
      </c>
      <c r="X751" t="str">
        <f>IF(Table2[[#This Row],[Qty available]]&gt;Table2[[#This Row],[Qty on hand]],"Check","OK")</f>
        <v>OK</v>
      </c>
    </row>
    <row r="752" spans="1:24" x14ac:dyDescent="0.3">
      <c r="A752" t="s">
        <v>123</v>
      </c>
      <c r="B752" t="s">
        <v>124</v>
      </c>
      <c r="C752" t="s">
        <v>57</v>
      </c>
      <c r="D752" t="s">
        <v>58</v>
      </c>
      <c r="E752" t="s">
        <v>66</v>
      </c>
      <c r="F752" s="1" t="s">
        <v>35</v>
      </c>
      <c r="G752" s="2">
        <v>33.729999999999997</v>
      </c>
      <c r="H752">
        <v>33.729999999999997</v>
      </c>
      <c r="I752">
        <v>32.911349000000001</v>
      </c>
      <c r="J752">
        <v>47.34</v>
      </c>
      <c r="K752">
        <v>50</v>
      </c>
      <c r="M752">
        <v>0</v>
      </c>
      <c r="N752" s="2">
        <v>393</v>
      </c>
      <c r="O752">
        <v>12934.16</v>
      </c>
      <c r="P752">
        <v>81</v>
      </c>
      <c r="Q752">
        <v>312</v>
      </c>
      <c r="R752">
        <v>7.52</v>
      </c>
      <c r="S752">
        <v>1</v>
      </c>
      <c r="T752">
        <v>335</v>
      </c>
      <c r="U752" s="2">
        <v>15858.9</v>
      </c>
      <c r="V752">
        <v>0</v>
      </c>
      <c r="W752" t="s">
        <v>29</v>
      </c>
      <c r="X752" t="str">
        <f>IF(Table2[[#This Row],[Qty available]]&gt;Table2[[#This Row],[Qty on hand]],"Check","OK")</f>
        <v>OK</v>
      </c>
    </row>
    <row r="753" spans="1:24" x14ac:dyDescent="0.3">
      <c r="A753" t="s">
        <v>123</v>
      </c>
      <c r="B753" t="s">
        <v>124</v>
      </c>
      <c r="C753" t="s">
        <v>57</v>
      </c>
      <c r="D753" t="s">
        <v>58</v>
      </c>
      <c r="E753" t="s">
        <v>66</v>
      </c>
      <c r="F753" s="1" t="s">
        <v>36</v>
      </c>
      <c r="G753" s="2">
        <v>33.22</v>
      </c>
      <c r="H753">
        <v>33.22</v>
      </c>
      <c r="I753">
        <v>33.025596</v>
      </c>
      <c r="J753">
        <v>47.34</v>
      </c>
      <c r="K753">
        <v>50</v>
      </c>
      <c r="L753" s="2">
        <v>47</v>
      </c>
      <c r="M753">
        <v>231</v>
      </c>
      <c r="N753" s="2">
        <v>361</v>
      </c>
      <c r="O753">
        <v>11922.24</v>
      </c>
      <c r="P753">
        <v>73</v>
      </c>
      <c r="Q753">
        <v>288</v>
      </c>
      <c r="R753">
        <v>6.73</v>
      </c>
      <c r="S753">
        <v>0</v>
      </c>
      <c r="T753">
        <v>263</v>
      </c>
      <c r="U753" s="2">
        <v>12450.42</v>
      </c>
      <c r="V753">
        <v>0</v>
      </c>
      <c r="W753" t="s">
        <v>29</v>
      </c>
      <c r="X753" t="str">
        <f>IF(Table2[[#This Row],[Qty available]]&gt;Table2[[#This Row],[Qty on hand]],"Check","OK")</f>
        <v>OK</v>
      </c>
    </row>
    <row r="754" spans="1:24" x14ac:dyDescent="0.3">
      <c r="A754" t="s">
        <v>123</v>
      </c>
      <c r="B754" t="s">
        <v>124</v>
      </c>
      <c r="C754" t="s">
        <v>57</v>
      </c>
      <c r="D754" t="s">
        <v>58</v>
      </c>
      <c r="E754" t="s">
        <v>66</v>
      </c>
      <c r="F754" s="1" t="s">
        <v>37</v>
      </c>
      <c r="G754" s="2">
        <v>33.47</v>
      </c>
      <c r="H754">
        <v>33.47</v>
      </c>
      <c r="I754">
        <v>33.183523000000001</v>
      </c>
      <c r="J754">
        <v>47.34</v>
      </c>
      <c r="K754">
        <v>50</v>
      </c>
      <c r="L754" s="2">
        <v>46</v>
      </c>
      <c r="M754">
        <v>199</v>
      </c>
      <c r="N754" s="2">
        <v>491</v>
      </c>
      <c r="O754">
        <v>16293.11</v>
      </c>
      <c r="P754">
        <v>81</v>
      </c>
      <c r="Q754">
        <v>410</v>
      </c>
      <c r="R754">
        <v>9.67</v>
      </c>
      <c r="S754">
        <v>6</v>
      </c>
      <c r="T754">
        <v>69</v>
      </c>
      <c r="U754" s="2">
        <v>3266.46</v>
      </c>
      <c r="V754">
        <v>0</v>
      </c>
      <c r="W754" t="s">
        <v>29</v>
      </c>
      <c r="X754" t="str">
        <f>IF(Table2[[#This Row],[Qty available]]&gt;Table2[[#This Row],[Qty on hand]],"Check","OK")</f>
        <v>OK</v>
      </c>
    </row>
    <row r="755" spans="1:24" x14ac:dyDescent="0.3">
      <c r="A755" t="s">
        <v>123</v>
      </c>
      <c r="B755" t="s">
        <v>124</v>
      </c>
      <c r="C755" t="s">
        <v>57</v>
      </c>
      <c r="D755" t="s">
        <v>58</v>
      </c>
      <c r="E755" t="s">
        <v>66</v>
      </c>
      <c r="F755" s="1" t="s">
        <v>38</v>
      </c>
      <c r="G755" s="2">
        <v>32.909999999999997</v>
      </c>
      <c r="H755">
        <v>32.909999999999997</v>
      </c>
      <c r="I755">
        <v>33.131993999999999</v>
      </c>
      <c r="J755">
        <v>47.34</v>
      </c>
      <c r="K755">
        <v>50</v>
      </c>
      <c r="L755" s="2">
        <v>45</v>
      </c>
      <c r="M755">
        <v>114</v>
      </c>
      <c r="N755" s="2">
        <v>361</v>
      </c>
      <c r="O755">
        <v>11960.65</v>
      </c>
      <c r="P755">
        <v>24</v>
      </c>
      <c r="Q755">
        <v>337</v>
      </c>
      <c r="R755">
        <v>8.15</v>
      </c>
      <c r="S755">
        <v>0</v>
      </c>
      <c r="T755">
        <v>244</v>
      </c>
      <c r="U755" s="2">
        <v>11550.96</v>
      </c>
      <c r="V755">
        <v>0</v>
      </c>
      <c r="W755" t="s">
        <v>29</v>
      </c>
      <c r="X755" t="str">
        <f>IF(Table2[[#This Row],[Qty available]]&gt;Table2[[#This Row],[Qty on hand]],"Check","OK")</f>
        <v>OK</v>
      </c>
    </row>
    <row r="756" spans="1:24" x14ac:dyDescent="0.3">
      <c r="A756" t="s">
        <v>123</v>
      </c>
      <c r="B756" t="s">
        <v>124</v>
      </c>
      <c r="C756" t="s">
        <v>57</v>
      </c>
      <c r="D756" t="s">
        <v>58</v>
      </c>
      <c r="E756" t="s">
        <v>66</v>
      </c>
      <c r="F756" s="1" t="s">
        <v>39</v>
      </c>
      <c r="G756" s="2">
        <v>33.71</v>
      </c>
      <c r="H756">
        <v>33.71</v>
      </c>
      <c r="I756">
        <v>33.131999999999998</v>
      </c>
      <c r="J756">
        <v>47.34</v>
      </c>
      <c r="K756">
        <v>50</v>
      </c>
      <c r="M756">
        <v>0</v>
      </c>
      <c r="N756" s="2">
        <v>160</v>
      </c>
      <c r="O756">
        <v>5301.12</v>
      </c>
      <c r="P756">
        <v>81</v>
      </c>
      <c r="Q756">
        <v>79</v>
      </c>
      <c r="R756">
        <v>4.09</v>
      </c>
      <c r="S756">
        <v>0</v>
      </c>
      <c r="T756">
        <v>201</v>
      </c>
      <c r="U756" s="2">
        <v>9515.34</v>
      </c>
      <c r="V756">
        <v>0</v>
      </c>
      <c r="W756" t="s">
        <v>29</v>
      </c>
      <c r="X756" t="str">
        <f>IF(Table2[[#This Row],[Qty available]]&gt;Table2[[#This Row],[Qty on hand]],"Check","OK")</f>
        <v>OK</v>
      </c>
    </row>
    <row r="757" spans="1:24" x14ac:dyDescent="0.3">
      <c r="A757" t="s">
        <v>123</v>
      </c>
      <c r="B757" t="s">
        <v>124</v>
      </c>
      <c r="C757" t="s">
        <v>57</v>
      </c>
      <c r="D757" t="s">
        <v>58</v>
      </c>
      <c r="E757" t="s">
        <v>66</v>
      </c>
      <c r="F757" s="1" t="s">
        <v>40</v>
      </c>
      <c r="G757" s="2">
        <v>33.06</v>
      </c>
      <c r="H757">
        <v>33.06</v>
      </c>
      <c r="I757">
        <v>33.074581999999999</v>
      </c>
      <c r="J757">
        <v>47.34</v>
      </c>
      <c r="K757">
        <v>50</v>
      </c>
      <c r="L757" s="2">
        <v>44</v>
      </c>
      <c r="M757">
        <v>630</v>
      </c>
      <c r="N757" s="2">
        <v>598</v>
      </c>
      <c r="O757">
        <v>19778.599999999999</v>
      </c>
      <c r="P757">
        <v>48</v>
      </c>
      <c r="Q757">
        <v>550</v>
      </c>
      <c r="R757">
        <v>12.34</v>
      </c>
      <c r="S757">
        <v>1</v>
      </c>
      <c r="T757">
        <v>192</v>
      </c>
      <c r="U757" s="2">
        <v>9089.2800000000007</v>
      </c>
      <c r="V757">
        <v>0</v>
      </c>
      <c r="W757" t="s">
        <v>29</v>
      </c>
      <c r="X757" t="str">
        <f>IF(Table2[[#This Row],[Qty available]]&gt;Table2[[#This Row],[Qty on hand]],"Check","OK")</f>
        <v>OK</v>
      </c>
    </row>
    <row r="758" spans="1:24" x14ac:dyDescent="0.3">
      <c r="A758" t="s">
        <v>123</v>
      </c>
      <c r="B758" t="s">
        <v>124</v>
      </c>
      <c r="C758" t="s">
        <v>57</v>
      </c>
      <c r="D758" t="s">
        <v>58</v>
      </c>
      <c r="E758" t="s">
        <v>66</v>
      </c>
      <c r="F758" s="1" t="s">
        <v>41</v>
      </c>
      <c r="G758" s="2">
        <v>32.82</v>
      </c>
      <c r="H758">
        <v>32.82</v>
      </c>
      <c r="I758">
        <v>33.074596999999997</v>
      </c>
      <c r="J758">
        <v>47.34</v>
      </c>
      <c r="K758">
        <v>50</v>
      </c>
      <c r="M758">
        <v>0</v>
      </c>
      <c r="N758" s="2">
        <v>298</v>
      </c>
      <c r="O758">
        <v>9856.23</v>
      </c>
      <c r="P758">
        <v>24</v>
      </c>
      <c r="Q758">
        <v>274</v>
      </c>
      <c r="R758">
        <v>5.65</v>
      </c>
      <c r="S758">
        <v>0</v>
      </c>
      <c r="T758">
        <v>300</v>
      </c>
      <c r="U758" s="2">
        <v>14202</v>
      </c>
      <c r="V758">
        <v>0</v>
      </c>
      <c r="W758" t="s">
        <v>29</v>
      </c>
      <c r="X758" t="str">
        <f>IF(Table2[[#This Row],[Qty available]]&gt;Table2[[#This Row],[Qty on hand]],"Check","OK")</f>
        <v>OK</v>
      </c>
    </row>
    <row r="759" spans="1:24" x14ac:dyDescent="0.3">
      <c r="A759" t="s">
        <v>123</v>
      </c>
      <c r="B759" t="s">
        <v>124</v>
      </c>
      <c r="C759" t="s">
        <v>57</v>
      </c>
      <c r="D759" t="s">
        <v>58</v>
      </c>
      <c r="E759" t="s">
        <v>66</v>
      </c>
      <c r="F759" s="1" t="s">
        <v>42</v>
      </c>
      <c r="G759" s="2">
        <v>33.340000000000003</v>
      </c>
      <c r="H759">
        <v>33.340000000000003</v>
      </c>
      <c r="I759">
        <v>33.237555999999998</v>
      </c>
      <c r="J759">
        <v>47.34</v>
      </c>
      <c r="K759">
        <v>50</v>
      </c>
      <c r="L759" s="2">
        <v>49</v>
      </c>
      <c r="M759">
        <v>474</v>
      </c>
      <c r="N759" s="2">
        <v>630</v>
      </c>
      <c r="O759">
        <v>20939.66</v>
      </c>
      <c r="P759">
        <v>40</v>
      </c>
      <c r="Q759">
        <v>590</v>
      </c>
      <c r="R759">
        <v>13.06</v>
      </c>
      <c r="S759">
        <v>2</v>
      </c>
      <c r="T759">
        <v>142</v>
      </c>
      <c r="U759" s="2">
        <v>6722.28</v>
      </c>
      <c r="V759">
        <v>0</v>
      </c>
      <c r="W759" t="s">
        <v>29</v>
      </c>
      <c r="X759" t="str">
        <f>IF(Table2[[#This Row],[Qty available]]&gt;Table2[[#This Row],[Qty on hand]],"Check","OK")</f>
        <v>OK</v>
      </c>
    </row>
    <row r="760" spans="1:24" x14ac:dyDescent="0.3">
      <c r="A760" t="s">
        <v>123</v>
      </c>
      <c r="B760" t="s">
        <v>124</v>
      </c>
      <c r="C760" t="s">
        <v>57</v>
      </c>
      <c r="D760" t="s">
        <v>58</v>
      </c>
      <c r="E760" t="s">
        <v>66</v>
      </c>
      <c r="F760" s="1" t="s">
        <v>43</v>
      </c>
      <c r="G760" s="2">
        <v>33.29</v>
      </c>
      <c r="H760">
        <v>33.29</v>
      </c>
      <c r="I760">
        <v>33.248066999999999</v>
      </c>
      <c r="J760">
        <v>47.34</v>
      </c>
      <c r="K760">
        <v>50</v>
      </c>
      <c r="L760" s="2">
        <v>45</v>
      </c>
      <c r="M760">
        <v>158</v>
      </c>
      <c r="N760" s="2">
        <v>569</v>
      </c>
      <c r="O760">
        <v>18918.150000000001</v>
      </c>
      <c r="P760">
        <v>73</v>
      </c>
      <c r="Q760">
        <v>496</v>
      </c>
      <c r="R760">
        <v>11.19</v>
      </c>
      <c r="S760">
        <v>2</v>
      </c>
      <c r="T760">
        <v>219</v>
      </c>
      <c r="U760" s="2">
        <v>10367.459999999999</v>
      </c>
      <c r="V760">
        <v>0</v>
      </c>
      <c r="W760" t="s">
        <v>29</v>
      </c>
      <c r="X760" t="str">
        <f>IF(Table2[[#This Row],[Qty available]]&gt;Table2[[#This Row],[Qty on hand]],"Check","OK")</f>
        <v>OK</v>
      </c>
    </row>
    <row r="761" spans="1:24" x14ac:dyDescent="0.3">
      <c r="A761" t="s">
        <v>123</v>
      </c>
      <c r="B761" t="s">
        <v>124</v>
      </c>
      <c r="C761" t="s">
        <v>57</v>
      </c>
      <c r="D761" t="s">
        <v>58</v>
      </c>
      <c r="E761" t="s">
        <v>66</v>
      </c>
      <c r="F761" s="1" t="s">
        <v>44</v>
      </c>
      <c r="G761" s="2">
        <v>33.54</v>
      </c>
      <c r="H761">
        <v>33.54</v>
      </c>
      <c r="I761">
        <v>33.322581999999997</v>
      </c>
      <c r="J761">
        <v>47.34</v>
      </c>
      <c r="K761">
        <v>50</v>
      </c>
      <c r="L761" s="2">
        <v>44</v>
      </c>
      <c r="M761">
        <v>195</v>
      </c>
      <c r="N761" s="2">
        <v>550</v>
      </c>
      <c r="O761">
        <v>18327.419999999998</v>
      </c>
      <c r="P761">
        <v>65</v>
      </c>
      <c r="Q761">
        <v>485</v>
      </c>
      <c r="R761">
        <v>12.57</v>
      </c>
      <c r="S761">
        <v>0</v>
      </c>
      <c r="T761">
        <v>214</v>
      </c>
      <c r="U761" s="2">
        <v>10130.76</v>
      </c>
      <c r="V761">
        <v>0</v>
      </c>
      <c r="W761" t="s">
        <v>29</v>
      </c>
      <c r="X761" t="str">
        <f>IF(Table2[[#This Row],[Qty available]]&gt;Table2[[#This Row],[Qty on hand]],"Check","OK")</f>
        <v>OK</v>
      </c>
    </row>
    <row r="762" spans="1:24" x14ac:dyDescent="0.3">
      <c r="A762" t="s">
        <v>123</v>
      </c>
      <c r="B762" t="s">
        <v>124</v>
      </c>
      <c r="C762" t="s">
        <v>57</v>
      </c>
      <c r="D762" t="s">
        <v>58</v>
      </c>
      <c r="E762" t="s">
        <v>66</v>
      </c>
      <c r="F762" s="1" t="s">
        <v>45</v>
      </c>
      <c r="G762" s="2">
        <v>35.39</v>
      </c>
      <c r="H762">
        <v>35.39</v>
      </c>
      <c r="I762">
        <v>34.166015000000002</v>
      </c>
      <c r="J762">
        <v>47.34</v>
      </c>
      <c r="K762">
        <v>50</v>
      </c>
      <c r="L762" s="2">
        <v>43</v>
      </c>
      <c r="M762">
        <v>379</v>
      </c>
      <c r="N762" s="2">
        <v>670</v>
      </c>
      <c r="O762">
        <v>22891.23</v>
      </c>
      <c r="P762">
        <v>73</v>
      </c>
      <c r="Q762">
        <v>597</v>
      </c>
      <c r="R762">
        <v>12.73</v>
      </c>
      <c r="S762">
        <v>1</v>
      </c>
      <c r="T762">
        <v>259</v>
      </c>
      <c r="U762" s="2">
        <v>12261.06</v>
      </c>
      <c r="V762">
        <v>0</v>
      </c>
      <c r="W762" t="s">
        <v>29</v>
      </c>
      <c r="X762" t="str">
        <f>IF(Table2[[#This Row],[Qty available]]&gt;Table2[[#This Row],[Qty on hand]],"Check","OK")</f>
        <v>OK</v>
      </c>
    </row>
    <row r="763" spans="1:24" x14ac:dyDescent="0.3">
      <c r="A763" t="s">
        <v>123</v>
      </c>
      <c r="B763" t="s">
        <v>124</v>
      </c>
      <c r="C763" t="s">
        <v>57</v>
      </c>
      <c r="D763" t="s">
        <v>58</v>
      </c>
      <c r="E763" t="s">
        <v>66</v>
      </c>
      <c r="F763" s="1" t="s">
        <v>46</v>
      </c>
      <c r="G763" s="2">
        <v>34.56</v>
      </c>
      <c r="H763">
        <v>34.56</v>
      </c>
      <c r="I763">
        <v>34.166006000000003</v>
      </c>
      <c r="J763">
        <v>48.92</v>
      </c>
      <c r="K763">
        <v>50</v>
      </c>
      <c r="M763">
        <v>0</v>
      </c>
      <c r="N763" s="2">
        <v>348</v>
      </c>
      <c r="O763">
        <v>11889.77</v>
      </c>
      <c r="P763">
        <v>32</v>
      </c>
      <c r="Q763">
        <v>316</v>
      </c>
      <c r="R763">
        <v>5.63</v>
      </c>
      <c r="S763">
        <v>0</v>
      </c>
      <c r="T763">
        <v>322</v>
      </c>
      <c r="U763" s="2">
        <v>15752.24</v>
      </c>
      <c r="V763">
        <v>0</v>
      </c>
      <c r="W763" t="s">
        <v>29</v>
      </c>
      <c r="X763" t="str">
        <f>IF(Table2[[#This Row],[Qty available]]&gt;Table2[[#This Row],[Qty on hand]],"Check","OK")</f>
        <v>OK</v>
      </c>
    </row>
    <row r="764" spans="1:24" x14ac:dyDescent="0.3">
      <c r="A764" t="s">
        <v>123</v>
      </c>
      <c r="B764" t="s">
        <v>124</v>
      </c>
      <c r="C764" t="s">
        <v>57</v>
      </c>
      <c r="D764" t="s">
        <v>58</v>
      </c>
      <c r="E764" t="s">
        <v>66</v>
      </c>
      <c r="F764" s="1" t="s">
        <v>47</v>
      </c>
      <c r="G764" s="2">
        <v>34.6</v>
      </c>
      <c r="H764">
        <v>34.6</v>
      </c>
      <c r="I764">
        <v>34.166071000000002</v>
      </c>
      <c r="J764">
        <v>48.92</v>
      </c>
      <c r="K764">
        <v>50</v>
      </c>
      <c r="M764">
        <v>0</v>
      </c>
      <c r="N764" s="2">
        <v>56</v>
      </c>
      <c r="O764">
        <v>1913.3</v>
      </c>
      <c r="P764">
        <v>40</v>
      </c>
      <c r="Q764">
        <v>16</v>
      </c>
      <c r="R764">
        <v>0.82</v>
      </c>
      <c r="S764">
        <v>0</v>
      </c>
      <c r="T764">
        <v>292</v>
      </c>
      <c r="U764" s="2">
        <v>14284.64</v>
      </c>
      <c r="V764">
        <v>0</v>
      </c>
      <c r="W764" t="s">
        <v>29</v>
      </c>
      <c r="X764" t="str">
        <f>IF(Table2[[#This Row],[Qty available]]&gt;Table2[[#This Row],[Qty on hand]],"Check","OK")</f>
        <v>OK</v>
      </c>
    </row>
    <row r="765" spans="1:24" x14ac:dyDescent="0.3">
      <c r="A765" t="s">
        <v>123</v>
      </c>
      <c r="B765" t="s">
        <v>124</v>
      </c>
      <c r="C765" t="s">
        <v>57</v>
      </c>
      <c r="D765" t="s">
        <v>58</v>
      </c>
      <c r="E765" t="s">
        <v>66</v>
      </c>
      <c r="F765" s="1" t="s">
        <v>48</v>
      </c>
      <c r="G765" s="2">
        <v>34.020000000000003</v>
      </c>
      <c r="H765">
        <v>34.020000000000003</v>
      </c>
      <c r="I765">
        <v>34.031410000000001</v>
      </c>
      <c r="J765">
        <v>48.92</v>
      </c>
      <c r="K765">
        <v>50</v>
      </c>
      <c r="L765" s="2">
        <v>45</v>
      </c>
      <c r="M765">
        <v>661</v>
      </c>
      <c r="N765" s="2">
        <v>532</v>
      </c>
      <c r="O765">
        <v>18104.71</v>
      </c>
      <c r="P765">
        <v>56</v>
      </c>
      <c r="Q765">
        <v>476</v>
      </c>
      <c r="R765">
        <v>8.4700000000000006</v>
      </c>
      <c r="S765">
        <v>5</v>
      </c>
      <c r="T765">
        <v>185</v>
      </c>
      <c r="U765" s="2">
        <v>9050.2000000000007</v>
      </c>
      <c r="V765">
        <v>0</v>
      </c>
      <c r="W765" t="s">
        <v>29</v>
      </c>
      <c r="X765" t="str">
        <f>IF(Table2[[#This Row],[Qty available]]&gt;Table2[[#This Row],[Qty on hand]],"Check","OK")</f>
        <v>OK</v>
      </c>
    </row>
    <row r="766" spans="1:24" x14ac:dyDescent="0.3">
      <c r="A766" t="s">
        <v>123</v>
      </c>
      <c r="B766" t="s">
        <v>124</v>
      </c>
      <c r="C766" t="s">
        <v>57</v>
      </c>
      <c r="D766" t="s">
        <v>58</v>
      </c>
      <c r="E766" t="s">
        <v>66</v>
      </c>
      <c r="F766" s="1" t="s">
        <v>49</v>
      </c>
      <c r="G766" s="2">
        <v>34.86</v>
      </c>
      <c r="H766">
        <v>34.86</v>
      </c>
      <c r="I766">
        <v>34.138537999999997</v>
      </c>
      <c r="J766">
        <v>48.92</v>
      </c>
      <c r="K766">
        <v>50</v>
      </c>
      <c r="L766" s="2">
        <v>43</v>
      </c>
      <c r="M766">
        <v>79</v>
      </c>
      <c r="N766" s="2">
        <v>253</v>
      </c>
      <c r="O766">
        <v>8637.0499999999993</v>
      </c>
      <c r="P766">
        <v>40</v>
      </c>
      <c r="Q766">
        <v>213</v>
      </c>
      <c r="R766">
        <v>3.98</v>
      </c>
      <c r="S766">
        <v>2</v>
      </c>
      <c r="T766">
        <v>358</v>
      </c>
      <c r="U766" s="2">
        <v>17513.36</v>
      </c>
      <c r="V766">
        <v>0</v>
      </c>
      <c r="W766" t="s">
        <v>29</v>
      </c>
      <c r="X766" t="str">
        <f>IF(Table2[[#This Row],[Qty available]]&gt;Table2[[#This Row],[Qty on hand]],"Check","OK")</f>
        <v>OK</v>
      </c>
    </row>
    <row r="767" spans="1:24" x14ac:dyDescent="0.3">
      <c r="A767" t="s">
        <v>123</v>
      </c>
      <c r="B767" t="s">
        <v>124</v>
      </c>
      <c r="C767" t="s">
        <v>57</v>
      </c>
      <c r="D767" t="s">
        <v>58</v>
      </c>
      <c r="E767" t="s">
        <v>66</v>
      </c>
      <c r="F767" s="1" t="s">
        <v>50</v>
      </c>
      <c r="G767" s="2">
        <v>34.729999999999997</v>
      </c>
      <c r="H767">
        <v>34.729999999999997</v>
      </c>
      <c r="I767">
        <v>34.404000000000003</v>
      </c>
      <c r="J767">
        <v>48.92</v>
      </c>
      <c r="K767">
        <v>50</v>
      </c>
      <c r="L767" s="2">
        <v>47</v>
      </c>
      <c r="M767">
        <v>206</v>
      </c>
      <c r="N767" s="2">
        <v>170</v>
      </c>
      <c r="O767">
        <v>5848.68</v>
      </c>
      <c r="P767">
        <v>73</v>
      </c>
      <c r="Q767">
        <v>97</v>
      </c>
      <c r="R767">
        <v>2.66</v>
      </c>
      <c r="S767">
        <v>4</v>
      </c>
      <c r="T767">
        <v>289</v>
      </c>
      <c r="U767" s="2">
        <v>14137.88</v>
      </c>
      <c r="V767">
        <v>0</v>
      </c>
      <c r="W767" t="s">
        <v>29</v>
      </c>
      <c r="X767" t="str">
        <f>IF(Table2[[#This Row],[Qty available]]&gt;Table2[[#This Row],[Qty on hand]],"Check","OK")</f>
        <v>OK</v>
      </c>
    </row>
    <row r="768" spans="1:24" x14ac:dyDescent="0.3">
      <c r="A768" t="s">
        <v>123</v>
      </c>
      <c r="B768" t="s">
        <v>124</v>
      </c>
      <c r="C768" t="s">
        <v>57</v>
      </c>
      <c r="D768" t="s">
        <v>58</v>
      </c>
      <c r="E768" t="s">
        <v>66</v>
      </c>
      <c r="F768" s="1" t="s">
        <v>51</v>
      </c>
      <c r="G768" s="2">
        <v>34.21</v>
      </c>
      <c r="H768">
        <v>34.21</v>
      </c>
      <c r="I768">
        <v>34.404015999999999</v>
      </c>
      <c r="J768">
        <v>48.92</v>
      </c>
      <c r="K768">
        <v>50</v>
      </c>
      <c r="M768">
        <v>0</v>
      </c>
      <c r="N768" s="2">
        <v>127</v>
      </c>
      <c r="O768">
        <v>4369.3100000000004</v>
      </c>
      <c r="P768">
        <v>56</v>
      </c>
      <c r="Q768">
        <v>71</v>
      </c>
      <c r="R768">
        <v>2.42</v>
      </c>
      <c r="S768">
        <v>4</v>
      </c>
      <c r="T768">
        <v>43</v>
      </c>
      <c r="U768" s="2">
        <v>2103.56</v>
      </c>
      <c r="V768">
        <v>0</v>
      </c>
      <c r="W768" t="s">
        <v>29</v>
      </c>
      <c r="X768" t="str">
        <f>IF(Table2[[#This Row],[Qty available]]&gt;Table2[[#This Row],[Qty on hand]],"Check","OK")</f>
        <v>OK</v>
      </c>
    </row>
    <row r="769" spans="1:24" x14ac:dyDescent="0.3">
      <c r="A769" t="s">
        <v>123</v>
      </c>
      <c r="B769" t="s">
        <v>124</v>
      </c>
      <c r="C769" t="s">
        <v>57</v>
      </c>
      <c r="D769" t="s">
        <v>58</v>
      </c>
      <c r="E769" t="s">
        <v>66</v>
      </c>
      <c r="F769" s="1" t="s">
        <v>52</v>
      </c>
      <c r="G769" s="2">
        <v>34.58</v>
      </c>
      <c r="H769">
        <v>34.58</v>
      </c>
      <c r="I769">
        <v>34.550975999999999</v>
      </c>
      <c r="J769">
        <v>48.92</v>
      </c>
      <c r="K769">
        <v>50</v>
      </c>
      <c r="L769" s="2">
        <v>43</v>
      </c>
      <c r="M769">
        <v>643</v>
      </c>
      <c r="N769" s="2">
        <v>666</v>
      </c>
      <c r="O769">
        <v>23010.95</v>
      </c>
      <c r="P769">
        <v>65</v>
      </c>
      <c r="Q769">
        <v>601</v>
      </c>
      <c r="R769">
        <v>20.079999999999998</v>
      </c>
      <c r="S769">
        <v>0</v>
      </c>
      <c r="T769">
        <v>104</v>
      </c>
      <c r="U769" s="2">
        <v>5087.68</v>
      </c>
      <c r="V769">
        <v>0</v>
      </c>
      <c r="W769" t="s">
        <v>29</v>
      </c>
      <c r="X769" t="str">
        <f>IF(Table2[[#This Row],[Qty available]]&gt;Table2[[#This Row],[Qty on hand]],"Check","OK")</f>
        <v>OK</v>
      </c>
    </row>
    <row r="770" spans="1:24" x14ac:dyDescent="0.3">
      <c r="A770" t="s">
        <v>125</v>
      </c>
      <c r="B770" t="s">
        <v>126</v>
      </c>
      <c r="C770" t="s">
        <v>69</v>
      </c>
      <c r="D770" t="s">
        <v>70</v>
      </c>
      <c r="E770" t="s">
        <v>66</v>
      </c>
      <c r="F770" s="1" t="s">
        <v>28</v>
      </c>
      <c r="G770" s="2">
        <v>149.43</v>
      </c>
      <c r="H770">
        <v>159.35</v>
      </c>
      <c r="I770">
        <v>161.31</v>
      </c>
      <c r="J770">
        <v>222.57</v>
      </c>
      <c r="K770">
        <v>38</v>
      </c>
      <c r="M770">
        <v>0</v>
      </c>
      <c r="N770" s="2">
        <v>13</v>
      </c>
      <c r="O770">
        <v>2097.0300000000002</v>
      </c>
      <c r="P770">
        <v>3</v>
      </c>
      <c r="Q770">
        <v>10</v>
      </c>
      <c r="R770">
        <v>3.05</v>
      </c>
      <c r="S770">
        <v>18</v>
      </c>
      <c r="T770">
        <v>16</v>
      </c>
      <c r="U770" s="2">
        <v>3561.12</v>
      </c>
      <c r="V770">
        <v>0</v>
      </c>
      <c r="W770" t="s">
        <v>29</v>
      </c>
      <c r="X770" t="str">
        <f>IF(Table2[[#This Row],[Qty available]]&gt;Table2[[#This Row],[Qty on hand]],"Check","OK")</f>
        <v>OK</v>
      </c>
    </row>
    <row r="771" spans="1:24" x14ac:dyDescent="0.3">
      <c r="A771" t="s">
        <v>125</v>
      </c>
      <c r="B771" t="s">
        <v>126</v>
      </c>
      <c r="C771" t="s">
        <v>69</v>
      </c>
      <c r="D771" t="s">
        <v>70</v>
      </c>
      <c r="E771" t="s">
        <v>66</v>
      </c>
      <c r="F771" s="1" t="s">
        <v>30</v>
      </c>
      <c r="G771" s="2">
        <v>149.81</v>
      </c>
      <c r="H771">
        <v>159.76</v>
      </c>
      <c r="I771">
        <v>160.14756800000001</v>
      </c>
      <c r="J771">
        <v>222.57</v>
      </c>
      <c r="K771">
        <v>38</v>
      </c>
      <c r="L771" s="2">
        <v>34</v>
      </c>
      <c r="M771">
        <v>39</v>
      </c>
      <c r="N771" s="2">
        <v>37</v>
      </c>
      <c r="O771">
        <v>5925.46</v>
      </c>
      <c r="P771">
        <v>3</v>
      </c>
      <c r="Q771">
        <v>34</v>
      </c>
      <c r="R771">
        <v>8.84</v>
      </c>
      <c r="S771">
        <v>4</v>
      </c>
      <c r="T771">
        <v>15</v>
      </c>
      <c r="U771" s="2">
        <v>3338.55</v>
      </c>
      <c r="V771">
        <v>0</v>
      </c>
      <c r="W771" t="s">
        <v>29</v>
      </c>
      <c r="X771" t="str">
        <f>IF(Table2[[#This Row],[Qty available]]&gt;Table2[[#This Row],[Qty on hand]],"Check","OK")</f>
        <v>OK</v>
      </c>
    </row>
    <row r="772" spans="1:24" x14ac:dyDescent="0.3">
      <c r="A772" t="s">
        <v>125</v>
      </c>
      <c r="B772" t="s">
        <v>126</v>
      </c>
      <c r="C772" t="s">
        <v>69</v>
      </c>
      <c r="D772" t="s">
        <v>70</v>
      </c>
      <c r="E772" t="s">
        <v>66</v>
      </c>
      <c r="F772" s="1" t="s">
        <v>31</v>
      </c>
      <c r="G772" s="2">
        <v>151.13999999999999</v>
      </c>
      <c r="H772">
        <v>161.18</v>
      </c>
      <c r="I772">
        <v>160.44533300000001</v>
      </c>
      <c r="J772">
        <v>222.57</v>
      </c>
      <c r="K772">
        <v>38</v>
      </c>
      <c r="L772" s="2">
        <v>32</v>
      </c>
      <c r="M772">
        <v>15</v>
      </c>
      <c r="N772" s="2">
        <v>30</v>
      </c>
      <c r="O772">
        <v>4813.3599999999997</v>
      </c>
      <c r="P772">
        <v>1</v>
      </c>
      <c r="Q772">
        <v>29</v>
      </c>
      <c r="R772">
        <v>7.36</v>
      </c>
      <c r="S772">
        <v>4</v>
      </c>
      <c r="T772">
        <v>22</v>
      </c>
      <c r="U772" s="2">
        <v>4896.54</v>
      </c>
      <c r="V772">
        <v>0</v>
      </c>
      <c r="W772" t="s">
        <v>29</v>
      </c>
      <c r="X772" t="str">
        <f>IF(Table2[[#This Row],[Qty available]]&gt;Table2[[#This Row],[Qty on hand]],"Check","OK")</f>
        <v>OK</v>
      </c>
    </row>
    <row r="773" spans="1:24" x14ac:dyDescent="0.3">
      <c r="A773" t="s">
        <v>125</v>
      </c>
      <c r="B773" t="s">
        <v>126</v>
      </c>
      <c r="C773" t="s">
        <v>69</v>
      </c>
      <c r="D773" t="s">
        <v>70</v>
      </c>
      <c r="E773" t="s">
        <v>66</v>
      </c>
      <c r="F773" s="1" t="s">
        <v>32</v>
      </c>
      <c r="G773" s="2">
        <v>152.32</v>
      </c>
      <c r="H773">
        <v>162.43</v>
      </c>
      <c r="I773">
        <v>160.44555600000001</v>
      </c>
      <c r="J773">
        <v>222.57</v>
      </c>
      <c r="K773">
        <v>38</v>
      </c>
      <c r="M773">
        <v>0</v>
      </c>
      <c r="N773" s="2">
        <v>9</v>
      </c>
      <c r="O773">
        <v>1444.01</v>
      </c>
      <c r="P773">
        <v>3</v>
      </c>
      <c r="Q773">
        <v>6</v>
      </c>
      <c r="R773">
        <v>2.04</v>
      </c>
      <c r="S773">
        <v>0</v>
      </c>
      <c r="T773">
        <v>21</v>
      </c>
      <c r="U773" s="2">
        <v>4673.97</v>
      </c>
      <c r="V773">
        <v>0</v>
      </c>
      <c r="W773" t="s">
        <v>29</v>
      </c>
      <c r="X773" t="str">
        <f>IF(Table2[[#This Row],[Qty available]]&gt;Table2[[#This Row],[Qty on hand]],"Check","OK")</f>
        <v>OK</v>
      </c>
    </row>
    <row r="774" spans="1:24" x14ac:dyDescent="0.3">
      <c r="A774" t="s">
        <v>125</v>
      </c>
      <c r="B774" t="s">
        <v>126</v>
      </c>
      <c r="C774" t="s">
        <v>69</v>
      </c>
      <c r="D774" t="s">
        <v>70</v>
      </c>
      <c r="E774" t="s">
        <v>66</v>
      </c>
      <c r="F774" s="1" t="s">
        <v>33</v>
      </c>
      <c r="G774" s="2">
        <v>152.62</v>
      </c>
      <c r="H774">
        <v>162.75</v>
      </c>
      <c r="I774">
        <v>162.35114300000001</v>
      </c>
      <c r="J774">
        <v>222.57</v>
      </c>
      <c r="K774">
        <v>38</v>
      </c>
      <c r="L774" s="2">
        <v>34</v>
      </c>
      <c r="M774">
        <v>43</v>
      </c>
      <c r="N774" s="2">
        <v>35</v>
      </c>
      <c r="O774">
        <v>5682.29</v>
      </c>
      <c r="P774">
        <v>5</v>
      </c>
      <c r="Q774">
        <v>30</v>
      </c>
      <c r="R774">
        <v>7.67</v>
      </c>
      <c r="S774">
        <v>4</v>
      </c>
      <c r="T774">
        <v>17</v>
      </c>
      <c r="U774" s="2">
        <v>3783.69</v>
      </c>
      <c r="V774">
        <v>0</v>
      </c>
      <c r="W774" t="s">
        <v>29</v>
      </c>
      <c r="X774" t="str">
        <f>IF(Table2[[#This Row],[Qty available]]&gt;Table2[[#This Row],[Qty on hand]],"Check","OK")</f>
        <v>OK</v>
      </c>
    </row>
    <row r="775" spans="1:24" x14ac:dyDescent="0.3">
      <c r="A775" t="s">
        <v>125</v>
      </c>
      <c r="B775" t="s">
        <v>126</v>
      </c>
      <c r="C775" t="s">
        <v>69</v>
      </c>
      <c r="D775" t="s">
        <v>70</v>
      </c>
      <c r="E775" t="s">
        <v>66</v>
      </c>
      <c r="F775" s="1" t="s">
        <v>34</v>
      </c>
      <c r="G775" s="2">
        <v>157.55000000000001</v>
      </c>
      <c r="H775">
        <v>168.01</v>
      </c>
      <c r="I775">
        <v>164.048889</v>
      </c>
      <c r="J775">
        <v>232.12</v>
      </c>
      <c r="K775">
        <v>38</v>
      </c>
      <c r="L775" s="2">
        <v>34</v>
      </c>
      <c r="M775">
        <v>15</v>
      </c>
      <c r="N775" s="2">
        <v>36</v>
      </c>
      <c r="O775">
        <v>5905.76</v>
      </c>
      <c r="P775">
        <v>2</v>
      </c>
      <c r="Q775">
        <v>34</v>
      </c>
      <c r="R775">
        <v>8.9</v>
      </c>
      <c r="S775">
        <v>1</v>
      </c>
      <c r="T775">
        <v>14</v>
      </c>
      <c r="U775" s="2">
        <v>3249.68</v>
      </c>
      <c r="V775">
        <v>0</v>
      </c>
      <c r="W775" t="s">
        <v>29</v>
      </c>
      <c r="X775" t="str">
        <f>IF(Table2[[#This Row],[Qty available]]&gt;Table2[[#This Row],[Qty on hand]],"Check","OK")</f>
        <v>OK</v>
      </c>
    </row>
    <row r="776" spans="1:24" x14ac:dyDescent="0.3">
      <c r="A776" t="s">
        <v>125</v>
      </c>
      <c r="B776" t="s">
        <v>126</v>
      </c>
      <c r="C776" t="s">
        <v>69</v>
      </c>
      <c r="D776" t="s">
        <v>70</v>
      </c>
      <c r="E776" t="s">
        <v>66</v>
      </c>
      <c r="F776" s="1" t="s">
        <v>35</v>
      </c>
      <c r="G776" s="2">
        <v>151.81</v>
      </c>
      <c r="H776">
        <v>161.88999999999999</v>
      </c>
      <c r="I776">
        <v>163.41399999999999</v>
      </c>
      <c r="J776">
        <v>232.12</v>
      </c>
      <c r="K776">
        <v>38</v>
      </c>
      <c r="L776" s="2">
        <v>49</v>
      </c>
      <c r="M776">
        <v>15</v>
      </c>
      <c r="N776" s="2">
        <v>35</v>
      </c>
      <c r="O776">
        <v>5719.49</v>
      </c>
      <c r="P776">
        <v>2</v>
      </c>
      <c r="Q776">
        <v>33</v>
      </c>
      <c r="R776">
        <v>9.57</v>
      </c>
      <c r="S776">
        <v>9</v>
      </c>
      <c r="T776">
        <v>16</v>
      </c>
      <c r="U776" s="2">
        <v>3713.92</v>
      </c>
      <c r="V776">
        <v>0</v>
      </c>
      <c r="W776" t="s">
        <v>29</v>
      </c>
      <c r="X776" t="str">
        <f>IF(Table2[[#This Row],[Qty available]]&gt;Table2[[#This Row],[Qty on hand]],"Check","OK")</f>
        <v>OK</v>
      </c>
    </row>
    <row r="777" spans="1:24" x14ac:dyDescent="0.3">
      <c r="A777" t="s">
        <v>125</v>
      </c>
      <c r="B777" t="s">
        <v>126</v>
      </c>
      <c r="C777" t="s">
        <v>69</v>
      </c>
      <c r="D777" t="s">
        <v>70</v>
      </c>
      <c r="E777" t="s">
        <v>66</v>
      </c>
      <c r="F777" s="1" t="s">
        <v>36</v>
      </c>
      <c r="G777" s="2">
        <v>155.71</v>
      </c>
      <c r="H777">
        <v>166.05</v>
      </c>
      <c r="I777">
        <v>164.204643</v>
      </c>
      <c r="J777">
        <v>232.12</v>
      </c>
      <c r="K777">
        <v>38</v>
      </c>
      <c r="L777" s="2">
        <v>36</v>
      </c>
      <c r="M777">
        <v>15</v>
      </c>
      <c r="N777" s="2">
        <v>28</v>
      </c>
      <c r="O777">
        <v>4597.7299999999996</v>
      </c>
      <c r="P777">
        <v>5</v>
      </c>
      <c r="Q777">
        <v>23</v>
      </c>
      <c r="R777">
        <v>6.85</v>
      </c>
      <c r="S777">
        <v>3</v>
      </c>
      <c r="T777">
        <v>22</v>
      </c>
      <c r="U777" s="2">
        <v>5106.6400000000003</v>
      </c>
      <c r="V777">
        <v>0</v>
      </c>
      <c r="W777" t="s">
        <v>29</v>
      </c>
      <c r="X777" t="str">
        <f>IF(Table2[[#This Row],[Qty available]]&gt;Table2[[#This Row],[Qty on hand]],"Check","OK")</f>
        <v>OK</v>
      </c>
    </row>
    <row r="778" spans="1:24" x14ac:dyDescent="0.3">
      <c r="A778" t="s">
        <v>125</v>
      </c>
      <c r="B778" t="s">
        <v>126</v>
      </c>
      <c r="C778" t="s">
        <v>69</v>
      </c>
      <c r="D778" t="s">
        <v>70</v>
      </c>
      <c r="E778" t="s">
        <v>66</v>
      </c>
      <c r="F778" s="1" t="s">
        <v>37</v>
      </c>
      <c r="G778" s="2">
        <v>156.47999999999999</v>
      </c>
      <c r="H778">
        <v>166.87</v>
      </c>
      <c r="I778">
        <v>165.134545</v>
      </c>
      <c r="J778">
        <v>232.12</v>
      </c>
      <c r="K778">
        <v>38</v>
      </c>
      <c r="L778" s="2">
        <v>36</v>
      </c>
      <c r="M778">
        <v>15</v>
      </c>
      <c r="N778" s="2">
        <v>33</v>
      </c>
      <c r="O778">
        <v>5449.44</v>
      </c>
      <c r="P778">
        <v>1</v>
      </c>
      <c r="Q778">
        <v>32</v>
      </c>
      <c r="R778">
        <v>9.0399999999999991</v>
      </c>
      <c r="S778">
        <v>12</v>
      </c>
      <c r="T778">
        <v>10</v>
      </c>
      <c r="U778" s="2">
        <v>2321.1999999999998</v>
      </c>
      <c r="V778">
        <v>0</v>
      </c>
      <c r="W778" t="s">
        <v>29</v>
      </c>
      <c r="X778" t="str">
        <f>IF(Table2[[#This Row],[Qty available]]&gt;Table2[[#This Row],[Qty on hand]],"Check","OK")</f>
        <v>OK</v>
      </c>
    </row>
    <row r="779" spans="1:24" x14ac:dyDescent="0.3">
      <c r="A779" t="s">
        <v>125</v>
      </c>
      <c r="B779" t="s">
        <v>126</v>
      </c>
      <c r="C779" t="s">
        <v>69</v>
      </c>
      <c r="D779" t="s">
        <v>70</v>
      </c>
      <c r="E779" t="s">
        <v>66</v>
      </c>
      <c r="F779" s="1" t="s">
        <v>38</v>
      </c>
      <c r="G779" s="2">
        <v>157.44</v>
      </c>
      <c r="H779">
        <v>167.89</v>
      </c>
      <c r="I779">
        <v>166.03444400000001</v>
      </c>
      <c r="J779">
        <v>232.12</v>
      </c>
      <c r="K779">
        <v>38</v>
      </c>
      <c r="L779" s="2">
        <v>42</v>
      </c>
      <c r="M779">
        <v>16</v>
      </c>
      <c r="N779" s="2">
        <v>27</v>
      </c>
      <c r="O779">
        <v>4482.93</v>
      </c>
      <c r="P779">
        <v>4</v>
      </c>
      <c r="Q779">
        <v>23</v>
      </c>
      <c r="R779">
        <v>6.5</v>
      </c>
      <c r="S779">
        <v>2</v>
      </c>
      <c r="T779">
        <v>22</v>
      </c>
      <c r="U779" s="2">
        <v>5106.6400000000003</v>
      </c>
      <c r="V779">
        <v>0</v>
      </c>
      <c r="W779" t="s">
        <v>29</v>
      </c>
      <c r="X779" t="str">
        <f>IF(Table2[[#This Row],[Qty available]]&gt;Table2[[#This Row],[Qty on hand]],"Check","OK")</f>
        <v>OK</v>
      </c>
    </row>
    <row r="780" spans="1:24" x14ac:dyDescent="0.3">
      <c r="A780" t="s">
        <v>125</v>
      </c>
      <c r="B780" t="s">
        <v>126</v>
      </c>
      <c r="C780" t="s">
        <v>69</v>
      </c>
      <c r="D780" t="s">
        <v>70</v>
      </c>
      <c r="E780" t="s">
        <v>66</v>
      </c>
      <c r="F780" s="1" t="s">
        <v>39</v>
      </c>
      <c r="G780" s="2">
        <v>156.66</v>
      </c>
      <c r="H780">
        <v>167.06</v>
      </c>
      <c r="I780">
        <v>166.40083300000001</v>
      </c>
      <c r="J780">
        <v>232.12</v>
      </c>
      <c r="K780">
        <v>38</v>
      </c>
      <c r="L780" s="2">
        <v>32</v>
      </c>
      <c r="M780">
        <v>15</v>
      </c>
      <c r="N780" s="2">
        <v>24</v>
      </c>
      <c r="O780">
        <v>3993.62</v>
      </c>
      <c r="P780">
        <v>5</v>
      </c>
      <c r="Q780">
        <v>19</v>
      </c>
      <c r="R780">
        <v>6.31</v>
      </c>
      <c r="S780">
        <v>1</v>
      </c>
      <c r="T780">
        <v>18</v>
      </c>
      <c r="U780" s="2">
        <v>4178.16</v>
      </c>
      <c r="V780">
        <v>0</v>
      </c>
      <c r="W780" t="s">
        <v>29</v>
      </c>
      <c r="X780" t="str">
        <f>IF(Table2[[#This Row],[Qty available]]&gt;Table2[[#This Row],[Qty on hand]],"Check","OK")</f>
        <v>OK</v>
      </c>
    </row>
    <row r="781" spans="1:24" x14ac:dyDescent="0.3">
      <c r="A781" t="s">
        <v>125</v>
      </c>
      <c r="B781" t="s">
        <v>126</v>
      </c>
      <c r="C781" t="s">
        <v>69</v>
      </c>
      <c r="D781" t="s">
        <v>70</v>
      </c>
      <c r="E781" t="s">
        <v>66</v>
      </c>
      <c r="F781" s="1" t="s">
        <v>40</v>
      </c>
      <c r="G781" s="2">
        <v>157.85</v>
      </c>
      <c r="H781">
        <v>168.33</v>
      </c>
      <c r="I781">
        <v>167.14285699999999</v>
      </c>
      <c r="J781">
        <v>232.12</v>
      </c>
      <c r="K781">
        <v>38</v>
      </c>
      <c r="L781" s="2">
        <v>61</v>
      </c>
      <c r="M781">
        <v>15</v>
      </c>
      <c r="N781" s="2">
        <v>28</v>
      </c>
      <c r="O781">
        <v>4680</v>
      </c>
      <c r="P781">
        <v>4</v>
      </c>
      <c r="Q781">
        <v>24</v>
      </c>
      <c r="R781">
        <v>7.22</v>
      </c>
      <c r="S781">
        <v>9</v>
      </c>
      <c r="T781">
        <v>11</v>
      </c>
      <c r="U781" s="2">
        <v>2553.3200000000002</v>
      </c>
      <c r="V781">
        <v>0</v>
      </c>
      <c r="W781" t="s">
        <v>29</v>
      </c>
      <c r="X781" t="str">
        <f>IF(Table2[[#This Row],[Qty available]]&gt;Table2[[#This Row],[Qty on hand]],"Check","OK")</f>
        <v>OK</v>
      </c>
    </row>
    <row r="782" spans="1:24" x14ac:dyDescent="0.3">
      <c r="A782" t="s">
        <v>125</v>
      </c>
      <c r="B782" t="s">
        <v>126</v>
      </c>
      <c r="C782" t="s">
        <v>69</v>
      </c>
      <c r="D782" t="s">
        <v>70</v>
      </c>
      <c r="E782" t="s">
        <v>66</v>
      </c>
      <c r="F782" s="1" t="s">
        <v>41</v>
      </c>
      <c r="G782" s="2">
        <v>154.57</v>
      </c>
      <c r="H782">
        <v>164.83</v>
      </c>
      <c r="I782">
        <v>166.301739</v>
      </c>
      <c r="J782">
        <v>232.12</v>
      </c>
      <c r="K782">
        <v>38</v>
      </c>
      <c r="L782" s="2">
        <v>44</v>
      </c>
      <c r="M782">
        <v>16</v>
      </c>
      <c r="N782" s="2">
        <v>23</v>
      </c>
      <c r="O782">
        <v>3824.94</v>
      </c>
      <c r="P782">
        <v>3</v>
      </c>
      <c r="Q782">
        <v>20</v>
      </c>
      <c r="R782">
        <v>6.05</v>
      </c>
      <c r="S782">
        <v>2</v>
      </c>
      <c r="T782">
        <v>21</v>
      </c>
      <c r="U782" s="2">
        <v>4874.5200000000004</v>
      </c>
      <c r="V782">
        <v>0</v>
      </c>
      <c r="W782" t="s">
        <v>29</v>
      </c>
      <c r="X782" t="str">
        <f>IF(Table2[[#This Row],[Qty available]]&gt;Table2[[#This Row],[Qty on hand]],"Check","OK")</f>
        <v>OK</v>
      </c>
    </row>
    <row r="783" spans="1:24" x14ac:dyDescent="0.3">
      <c r="A783" t="s">
        <v>125</v>
      </c>
      <c r="B783" t="s">
        <v>126</v>
      </c>
      <c r="C783" t="s">
        <v>69</v>
      </c>
      <c r="D783" t="s">
        <v>70</v>
      </c>
      <c r="E783" t="s">
        <v>66</v>
      </c>
      <c r="F783" s="1" t="s">
        <v>42</v>
      </c>
      <c r="G783" s="2">
        <v>153.59</v>
      </c>
      <c r="H783">
        <v>163.79</v>
      </c>
      <c r="I783">
        <v>165.01923099999999</v>
      </c>
      <c r="J783">
        <v>232.12</v>
      </c>
      <c r="K783">
        <v>38</v>
      </c>
      <c r="L783" s="2">
        <v>34</v>
      </c>
      <c r="M783">
        <v>24</v>
      </c>
      <c r="N783" s="2">
        <v>26</v>
      </c>
      <c r="O783">
        <v>4290.5</v>
      </c>
      <c r="P783">
        <v>5</v>
      </c>
      <c r="Q783">
        <v>21</v>
      </c>
      <c r="R783">
        <v>6.45</v>
      </c>
      <c r="S783">
        <v>10</v>
      </c>
      <c r="T783">
        <v>21</v>
      </c>
      <c r="U783" s="2">
        <v>4874.5200000000004</v>
      </c>
      <c r="V783">
        <v>0</v>
      </c>
      <c r="W783" t="s">
        <v>29</v>
      </c>
      <c r="X783" t="str">
        <f>IF(Table2[[#This Row],[Qty available]]&gt;Table2[[#This Row],[Qty on hand]],"Check","OK")</f>
        <v>OK</v>
      </c>
    </row>
    <row r="784" spans="1:24" x14ac:dyDescent="0.3">
      <c r="A784" t="s">
        <v>125</v>
      </c>
      <c r="B784" t="s">
        <v>126</v>
      </c>
      <c r="C784" t="s">
        <v>69</v>
      </c>
      <c r="D784" t="s">
        <v>70</v>
      </c>
      <c r="E784" t="s">
        <v>66</v>
      </c>
      <c r="F784" s="1" t="s">
        <v>43</v>
      </c>
      <c r="G784" s="2">
        <v>156.71</v>
      </c>
      <c r="H784">
        <v>167.12</v>
      </c>
      <c r="I784">
        <v>165.90625</v>
      </c>
      <c r="J784">
        <v>232.12</v>
      </c>
      <c r="K784">
        <v>38</v>
      </c>
      <c r="L784" s="2">
        <v>37</v>
      </c>
      <c r="M784">
        <v>19</v>
      </c>
      <c r="N784" s="2">
        <v>24</v>
      </c>
      <c r="O784">
        <v>3981.75</v>
      </c>
      <c r="P784">
        <v>4</v>
      </c>
      <c r="Q784">
        <v>20</v>
      </c>
      <c r="R784">
        <v>4.95</v>
      </c>
      <c r="S784">
        <v>8</v>
      </c>
      <c r="T784">
        <v>21</v>
      </c>
      <c r="U784" s="2">
        <v>4874.5200000000004</v>
      </c>
      <c r="V784">
        <v>0</v>
      </c>
      <c r="W784" t="s">
        <v>29</v>
      </c>
      <c r="X784" t="str">
        <f>IF(Table2[[#This Row],[Qty available]]&gt;Table2[[#This Row],[Qty on hand]],"Check","OK")</f>
        <v>OK</v>
      </c>
    </row>
    <row r="785" spans="1:24" x14ac:dyDescent="0.3">
      <c r="A785" t="s">
        <v>125</v>
      </c>
      <c r="B785" t="s">
        <v>126</v>
      </c>
      <c r="C785" t="s">
        <v>69</v>
      </c>
      <c r="D785" t="s">
        <v>70</v>
      </c>
      <c r="E785" t="s">
        <v>66</v>
      </c>
      <c r="F785" s="1" t="s">
        <v>44</v>
      </c>
      <c r="G785" s="2">
        <v>156.01</v>
      </c>
      <c r="H785">
        <v>166.37</v>
      </c>
      <c r="I785">
        <v>166.08449999999999</v>
      </c>
      <c r="J785">
        <v>232.12</v>
      </c>
      <c r="K785">
        <v>38</v>
      </c>
      <c r="L785" s="2">
        <v>37</v>
      </c>
      <c r="M785">
        <v>15</v>
      </c>
      <c r="N785" s="2">
        <v>20</v>
      </c>
      <c r="O785">
        <v>3321.69</v>
      </c>
      <c r="P785">
        <v>3</v>
      </c>
      <c r="Q785">
        <v>17</v>
      </c>
      <c r="R785">
        <v>4.3099999999999996</v>
      </c>
      <c r="S785">
        <v>2</v>
      </c>
      <c r="T785">
        <v>19</v>
      </c>
      <c r="U785" s="2">
        <v>4410.28</v>
      </c>
      <c r="V785">
        <v>0</v>
      </c>
      <c r="W785" t="s">
        <v>29</v>
      </c>
      <c r="X785" t="str">
        <f>IF(Table2[[#This Row],[Qty available]]&gt;Table2[[#This Row],[Qty on hand]],"Check","OK")</f>
        <v>OK</v>
      </c>
    </row>
    <row r="786" spans="1:24" x14ac:dyDescent="0.3">
      <c r="A786" t="s">
        <v>125</v>
      </c>
      <c r="B786" t="s">
        <v>126</v>
      </c>
      <c r="C786" t="s">
        <v>69</v>
      </c>
      <c r="D786" t="s">
        <v>70</v>
      </c>
      <c r="E786" t="s">
        <v>66</v>
      </c>
      <c r="F786" s="1" t="s">
        <v>45</v>
      </c>
      <c r="G786" s="2">
        <v>158.91999999999999</v>
      </c>
      <c r="H786">
        <v>169.47</v>
      </c>
      <c r="I786">
        <v>167.53529399999999</v>
      </c>
      <c r="J786">
        <v>232.12</v>
      </c>
      <c r="K786">
        <v>38</v>
      </c>
      <c r="L786" s="2">
        <v>37</v>
      </c>
      <c r="M786">
        <v>15</v>
      </c>
      <c r="N786" s="2">
        <v>17</v>
      </c>
      <c r="O786">
        <v>2848.1</v>
      </c>
      <c r="P786">
        <v>2</v>
      </c>
      <c r="Q786">
        <v>15</v>
      </c>
      <c r="R786">
        <v>3.85</v>
      </c>
      <c r="S786">
        <v>3</v>
      </c>
      <c r="T786">
        <v>18</v>
      </c>
      <c r="U786" s="2">
        <v>4178.16</v>
      </c>
      <c r="V786">
        <v>0</v>
      </c>
      <c r="W786" t="s">
        <v>29</v>
      </c>
      <c r="X786" t="str">
        <f>IF(Table2[[#This Row],[Qty available]]&gt;Table2[[#This Row],[Qty on hand]],"Check","OK")</f>
        <v>OK</v>
      </c>
    </row>
    <row r="787" spans="1:24" x14ac:dyDescent="0.3">
      <c r="A787" t="s">
        <v>125</v>
      </c>
      <c r="B787" t="s">
        <v>126</v>
      </c>
      <c r="C787" t="s">
        <v>69</v>
      </c>
      <c r="D787" t="s">
        <v>70</v>
      </c>
      <c r="E787" t="s">
        <v>66</v>
      </c>
      <c r="F787" s="1" t="s">
        <v>46</v>
      </c>
      <c r="G787" s="2">
        <v>157.91999999999999</v>
      </c>
      <c r="H787">
        <v>168.41</v>
      </c>
      <c r="I787">
        <v>168.00800000000001</v>
      </c>
      <c r="J787">
        <v>242.08</v>
      </c>
      <c r="K787">
        <v>38</v>
      </c>
      <c r="L787" s="2">
        <v>36</v>
      </c>
      <c r="M787">
        <v>20</v>
      </c>
      <c r="N787" s="2">
        <v>25</v>
      </c>
      <c r="O787">
        <v>4200.2</v>
      </c>
      <c r="P787">
        <v>5</v>
      </c>
      <c r="Q787">
        <v>20</v>
      </c>
      <c r="R787">
        <v>6.56</v>
      </c>
      <c r="S787">
        <v>13</v>
      </c>
      <c r="T787">
        <v>12</v>
      </c>
      <c r="U787" s="2">
        <v>2904.96</v>
      </c>
      <c r="V787">
        <v>0</v>
      </c>
      <c r="W787" t="s">
        <v>29</v>
      </c>
      <c r="X787" t="str">
        <f>IF(Table2[[#This Row],[Qty available]]&gt;Table2[[#This Row],[Qty on hand]],"Check","OK")</f>
        <v>OK</v>
      </c>
    </row>
    <row r="788" spans="1:24" x14ac:dyDescent="0.3">
      <c r="A788" t="s">
        <v>125</v>
      </c>
      <c r="B788" t="s">
        <v>126</v>
      </c>
      <c r="C788" t="s">
        <v>69</v>
      </c>
      <c r="D788" t="s">
        <v>70</v>
      </c>
      <c r="E788" t="s">
        <v>66</v>
      </c>
      <c r="F788" s="1" t="s">
        <v>47</v>
      </c>
      <c r="G788" s="2">
        <v>156.24</v>
      </c>
      <c r="H788">
        <v>166.61</v>
      </c>
      <c r="I788">
        <v>167.42269200000001</v>
      </c>
      <c r="J788">
        <v>242.08</v>
      </c>
      <c r="K788">
        <v>38</v>
      </c>
      <c r="L788" s="2">
        <v>33</v>
      </c>
      <c r="M788">
        <v>18</v>
      </c>
      <c r="N788" s="2">
        <v>26</v>
      </c>
      <c r="O788">
        <v>4352.99</v>
      </c>
      <c r="P788">
        <v>4</v>
      </c>
      <c r="Q788">
        <v>22</v>
      </c>
      <c r="R788">
        <v>7.11</v>
      </c>
      <c r="S788">
        <v>3</v>
      </c>
      <c r="T788">
        <v>17</v>
      </c>
      <c r="U788" s="2">
        <v>4115.3599999999997</v>
      </c>
      <c r="V788">
        <v>0</v>
      </c>
      <c r="W788" t="s">
        <v>29</v>
      </c>
      <c r="X788" t="str">
        <f>IF(Table2[[#This Row],[Qty available]]&gt;Table2[[#This Row],[Qty on hand]],"Check","OK")</f>
        <v>OK</v>
      </c>
    </row>
    <row r="789" spans="1:24" x14ac:dyDescent="0.3">
      <c r="A789" t="s">
        <v>125</v>
      </c>
      <c r="B789" t="s">
        <v>126</v>
      </c>
      <c r="C789" t="s">
        <v>69</v>
      </c>
      <c r="D789" t="s">
        <v>70</v>
      </c>
      <c r="E789" t="s">
        <v>66</v>
      </c>
      <c r="F789" s="1" t="s">
        <v>48</v>
      </c>
      <c r="G789" s="2">
        <v>156.84</v>
      </c>
      <c r="H789">
        <v>167.25</v>
      </c>
      <c r="I789">
        <v>167.35958299999999</v>
      </c>
      <c r="J789">
        <v>242.08</v>
      </c>
      <c r="K789">
        <v>38</v>
      </c>
      <c r="L789" s="2">
        <v>59</v>
      </c>
      <c r="M789">
        <v>15</v>
      </c>
      <c r="N789" s="2">
        <v>24</v>
      </c>
      <c r="O789">
        <v>4016.63</v>
      </c>
      <c r="P789">
        <v>2</v>
      </c>
      <c r="Q789">
        <v>22</v>
      </c>
      <c r="R789">
        <v>6.63</v>
      </c>
      <c r="S789">
        <v>13</v>
      </c>
      <c r="T789">
        <v>17</v>
      </c>
      <c r="U789" s="2">
        <v>4115.3599999999997</v>
      </c>
      <c r="V789">
        <v>0</v>
      </c>
      <c r="W789" t="s">
        <v>29</v>
      </c>
      <c r="X789" t="str">
        <f>IF(Table2[[#This Row],[Qty available]]&gt;Table2[[#This Row],[Qty on hand]],"Check","OK")</f>
        <v>OK</v>
      </c>
    </row>
    <row r="790" spans="1:24" x14ac:dyDescent="0.3">
      <c r="A790" t="s">
        <v>125</v>
      </c>
      <c r="B790" t="s">
        <v>126</v>
      </c>
      <c r="C790" t="s">
        <v>69</v>
      </c>
      <c r="D790" t="s">
        <v>70</v>
      </c>
      <c r="E790" t="s">
        <v>66</v>
      </c>
      <c r="F790" s="1" t="s">
        <v>49</v>
      </c>
      <c r="G790" s="2">
        <v>156.22</v>
      </c>
      <c r="H790">
        <v>166.59</v>
      </c>
      <c r="I790">
        <v>166.865645</v>
      </c>
      <c r="J790">
        <v>242.08</v>
      </c>
      <c r="K790">
        <v>38</v>
      </c>
      <c r="L790" s="2">
        <v>34</v>
      </c>
      <c r="M790">
        <v>43</v>
      </c>
      <c r="N790" s="2">
        <v>62</v>
      </c>
      <c r="O790">
        <v>10345.67</v>
      </c>
      <c r="P790">
        <v>5</v>
      </c>
      <c r="Q790">
        <v>57</v>
      </c>
      <c r="R790">
        <v>20.89</v>
      </c>
      <c r="S790">
        <v>8</v>
      </c>
      <c r="T790">
        <v>5</v>
      </c>
      <c r="U790" s="2">
        <v>1210.4000000000001</v>
      </c>
      <c r="V790">
        <v>0</v>
      </c>
      <c r="W790" t="s">
        <v>29</v>
      </c>
      <c r="X790" t="str">
        <f>IF(Table2[[#This Row],[Qty available]]&gt;Table2[[#This Row],[Qty on hand]],"Check","OK")</f>
        <v>OK</v>
      </c>
    </row>
    <row r="791" spans="1:24" x14ac:dyDescent="0.3">
      <c r="A791" t="s">
        <v>125</v>
      </c>
      <c r="B791" t="s">
        <v>126</v>
      </c>
      <c r="C791" t="s">
        <v>69</v>
      </c>
      <c r="D791" t="s">
        <v>70</v>
      </c>
      <c r="E791" t="s">
        <v>66</v>
      </c>
      <c r="F791" s="1" t="s">
        <v>50</v>
      </c>
      <c r="G791" s="2">
        <v>158.84</v>
      </c>
      <c r="H791">
        <v>169.39</v>
      </c>
      <c r="I791">
        <v>166.86568199999999</v>
      </c>
      <c r="J791">
        <v>242.08</v>
      </c>
      <c r="K791">
        <v>38</v>
      </c>
      <c r="M791">
        <v>0</v>
      </c>
      <c r="N791" s="2">
        <v>44</v>
      </c>
      <c r="O791">
        <v>7342.09</v>
      </c>
      <c r="P791">
        <v>3</v>
      </c>
      <c r="Q791">
        <v>41</v>
      </c>
      <c r="R791">
        <v>14.3</v>
      </c>
      <c r="S791">
        <v>3</v>
      </c>
      <c r="T791">
        <v>18</v>
      </c>
      <c r="U791" s="2">
        <v>4357.4399999999996</v>
      </c>
      <c r="V791">
        <v>0</v>
      </c>
      <c r="W791" t="s">
        <v>29</v>
      </c>
      <c r="X791" t="str">
        <f>IF(Table2[[#This Row],[Qty available]]&gt;Table2[[#This Row],[Qty on hand]],"Check","OK")</f>
        <v>OK</v>
      </c>
    </row>
    <row r="792" spans="1:24" x14ac:dyDescent="0.3">
      <c r="A792" t="s">
        <v>125</v>
      </c>
      <c r="B792" t="s">
        <v>126</v>
      </c>
      <c r="C792" t="s">
        <v>69</v>
      </c>
      <c r="D792" t="s">
        <v>70</v>
      </c>
      <c r="E792" t="s">
        <v>66</v>
      </c>
      <c r="F792" s="1" t="s">
        <v>51</v>
      </c>
      <c r="G792" s="2">
        <v>158.61000000000001</v>
      </c>
      <c r="H792">
        <v>169.14</v>
      </c>
      <c r="I792">
        <v>167.64647099999999</v>
      </c>
      <c r="J792">
        <v>242.08</v>
      </c>
      <c r="K792">
        <v>38</v>
      </c>
      <c r="L792" s="2">
        <v>49</v>
      </c>
      <c r="M792">
        <v>23</v>
      </c>
      <c r="N792" s="2">
        <v>51</v>
      </c>
      <c r="O792">
        <v>8549.9699999999993</v>
      </c>
      <c r="P792">
        <v>5</v>
      </c>
      <c r="Q792">
        <v>46</v>
      </c>
      <c r="R792">
        <v>17.190000000000001</v>
      </c>
      <c r="S792">
        <v>9</v>
      </c>
      <c r="T792">
        <v>16</v>
      </c>
      <c r="U792" s="2">
        <v>3873.28</v>
      </c>
      <c r="V792">
        <v>0</v>
      </c>
      <c r="W792" t="s">
        <v>29</v>
      </c>
      <c r="X792" t="str">
        <f>IF(Table2[[#This Row],[Qty available]]&gt;Table2[[#This Row],[Qty on hand]],"Check","OK")</f>
        <v>OK</v>
      </c>
    </row>
    <row r="793" spans="1:24" x14ac:dyDescent="0.3">
      <c r="A793" t="s">
        <v>125</v>
      </c>
      <c r="B793" t="s">
        <v>126</v>
      </c>
      <c r="C793" t="s">
        <v>69</v>
      </c>
      <c r="D793" t="s">
        <v>70</v>
      </c>
      <c r="E793" t="s">
        <v>66</v>
      </c>
      <c r="F793" s="1" t="s">
        <v>52</v>
      </c>
      <c r="G793" s="2">
        <v>161.51</v>
      </c>
      <c r="H793">
        <v>172.23</v>
      </c>
      <c r="I793">
        <v>167.64657099999999</v>
      </c>
      <c r="J793">
        <v>242.08</v>
      </c>
      <c r="K793">
        <v>38</v>
      </c>
      <c r="M793">
        <v>0</v>
      </c>
      <c r="N793" s="2">
        <v>35</v>
      </c>
      <c r="O793">
        <v>5867.63</v>
      </c>
      <c r="P793">
        <v>3</v>
      </c>
      <c r="Q793">
        <v>32</v>
      </c>
      <c r="R793">
        <v>9.1999999999999993</v>
      </c>
      <c r="S793">
        <v>0</v>
      </c>
      <c r="T793">
        <v>16</v>
      </c>
      <c r="U793" s="2">
        <v>3873.28</v>
      </c>
      <c r="V793">
        <v>0</v>
      </c>
      <c r="W793" t="s">
        <v>29</v>
      </c>
      <c r="X793" t="str">
        <f>IF(Table2[[#This Row],[Qty available]]&gt;Table2[[#This Row],[Qty on hand]],"Check","OK")</f>
        <v>OK</v>
      </c>
    </row>
    <row r="794" spans="1:24" x14ac:dyDescent="0.3">
      <c r="A794" t="s">
        <v>127</v>
      </c>
      <c r="B794" t="s">
        <v>128</v>
      </c>
      <c r="C794" t="s">
        <v>69</v>
      </c>
      <c r="D794" t="s">
        <v>70</v>
      </c>
      <c r="E794" t="s">
        <v>66</v>
      </c>
      <c r="F794" s="1" t="s">
        <v>28</v>
      </c>
      <c r="G794" s="2">
        <v>16.86</v>
      </c>
      <c r="H794">
        <v>16.86</v>
      </c>
      <c r="I794">
        <v>16.790779000000001</v>
      </c>
      <c r="J794">
        <v>24.49</v>
      </c>
      <c r="K794">
        <v>37</v>
      </c>
      <c r="M794">
        <v>0</v>
      </c>
      <c r="N794" s="2">
        <v>77</v>
      </c>
      <c r="O794">
        <v>1292.8900000000001</v>
      </c>
      <c r="P794">
        <v>8</v>
      </c>
      <c r="Q794">
        <v>69</v>
      </c>
      <c r="R794">
        <v>8.5</v>
      </c>
      <c r="S794">
        <v>8</v>
      </c>
      <c r="T794">
        <v>33</v>
      </c>
      <c r="U794" s="2">
        <v>808.17</v>
      </c>
      <c r="V794">
        <v>0</v>
      </c>
      <c r="W794" t="s">
        <v>29</v>
      </c>
      <c r="X794" t="str">
        <f>IF(Table2[[#This Row],[Qty available]]&gt;Table2[[#This Row],[Qty on hand]],"Check","OK")</f>
        <v>OK</v>
      </c>
    </row>
    <row r="795" spans="1:24" x14ac:dyDescent="0.3">
      <c r="A795" t="s">
        <v>127</v>
      </c>
      <c r="B795" t="s">
        <v>128</v>
      </c>
      <c r="C795" t="s">
        <v>69</v>
      </c>
      <c r="D795" t="s">
        <v>70</v>
      </c>
      <c r="E795" t="s">
        <v>66</v>
      </c>
      <c r="F795" s="1" t="s">
        <v>30</v>
      </c>
      <c r="G795" s="2">
        <v>16.600000000000001</v>
      </c>
      <c r="H795">
        <v>16.600000000000001</v>
      </c>
      <c r="I795">
        <v>16.719436999999999</v>
      </c>
      <c r="J795">
        <v>24.49</v>
      </c>
      <c r="K795">
        <v>37</v>
      </c>
      <c r="L795" s="2">
        <v>59</v>
      </c>
      <c r="M795">
        <v>46</v>
      </c>
      <c r="N795" s="2">
        <v>71</v>
      </c>
      <c r="O795">
        <v>1187.08</v>
      </c>
      <c r="P795">
        <v>7</v>
      </c>
      <c r="Q795">
        <v>64</v>
      </c>
      <c r="R795">
        <v>6.44</v>
      </c>
      <c r="S795">
        <v>2</v>
      </c>
      <c r="T795">
        <v>52</v>
      </c>
      <c r="U795" s="2">
        <v>1273.48</v>
      </c>
      <c r="V795">
        <v>0</v>
      </c>
      <c r="W795" t="s">
        <v>29</v>
      </c>
      <c r="X795" t="str">
        <f>IF(Table2[[#This Row],[Qty available]]&gt;Table2[[#This Row],[Qty on hand]],"Check","OK")</f>
        <v>OK</v>
      </c>
    </row>
    <row r="796" spans="1:24" x14ac:dyDescent="0.3">
      <c r="A796" t="s">
        <v>127</v>
      </c>
      <c r="B796" t="s">
        <v>128</v>
      </c>
      <c r="C796" t="s">
        <v>69</v>
      </c>
      <c r="D796" t="s">
        <v>70</v>
      </c>
      <c r="E796" t="s">
        <v>66</v>
      </c>
      <c r="F796" s="1" t="s">
        <v>31</v>
      </c>
      <c r="G796" s="2">
        <v>16.75</v>
      </c>
      <c r="H796">
        <v>16.75</v>
      </c>
      <c r="I796">
        <v>16.738333000000001</v>
      </c>
      <c r="J796">
        <v>24.49</v>
      </c>
      <c r="K796">
        <v>37</v>
      </c>
      <c r="L796" s="2">
        <v>36</v>
      </c>
      <c r="M796">
        <v>115</v>
      </c>
      <c r="N796" s="2">
        <v>138</v>
      </c>
      <c r="O796">
        <v>2309.89</v>
      </c>
      <c r="P796">
        <v>8</v>
      </c>
      <c r="Q796">
        <v>130</v>
      </c>
      <c r="R796">
        <v>13.49</v>
      </c>
      <c r="S796">
        <v>0</v>
      </c>
      <c r="T796">
        <v>48</v>
      </c>
      <c r="U796" s="2">
        <v>1175.52</v>
      </c>
      <c r="V796">
        <v>0</v>
      </c>
      <c r="W796" t="s">
        <v>29</v>
      </c>
      <c r="X796" t="str">
        <f>IF(Table2[[#This Row],[Qty available]]&gt;Table2[[#This Row],[Qty on hand]],"Check","OK")</f>
        <v>OK</v>
      </c>
    </row>
    <row r="797" spans="1:24" x14ac:dyDescent="0.3">
      <c r="A797" t="s">
        <v>127</v>
      </c>
      <c r="B797" t="s">
        <v>128</v>
      </c>
      <c r="C797" t="s">
        <v>69</v>
      </c>
      <c r="D797" t="s">
        <v>70</v>
      </c>
      <c r="E797" t="s">
        <v>66</v>
      </c>
      <c r="F797" s="1" t="s">
        <v>32</v>
      </c>
      <c r="G797" s="2">
        <v>16.91</v>
      </c>
      <c r="H797">
        <v>16.91</v>
      </c>
      <c r="I797">
        <v>16.776153999999998</v>
      </c>
      <c r="J797">
        <v>24.49</v>
      </c>
      <c r="K797">
        <v>37</v>
      </c>
      <c r="L797" s="2">
        <v>34</v>
      </c>
      <c r="M797">
        <v>39</v>
      </c>
      <c r="N797" s="2">
        <v>169</v>
      </c>
      <c r="O797">
        <v>2835.17</v>
      </c>
      <c r="P797">
        <v>10</v>
      </c>
      <c r="Q797">
        <v>159</v>
      </c>
      <c r="R797">
        <v>20.57</v>
      </c>
      <c r="S797">
        <v>8</v>
      </c>
      <c r="T797">
        <v>8</v>
      </c>
      <c r="U797" s="2">
        <v>195.92</v>
      </c>
      <c r="V797">
        <v>0</v>
      </c>
      <c r="W797" t="s">
        <v>29</v>
      </c>
      <c r="X797" t="str">
        <f>IF(Table2[[#This Row],[Qty available]]&gt;Table2[[#This Row],[Qty on hand]],"Check","OK")</f>
        <v>OK</v>
      </c>
    </row>
    <row r="798" spans="1:24" x14ac:dyDescent="0.3">
      <c r="A798" t="s">
        <v>127</v>
      </c>
      <c r="B798" t="s">
        <v>128</v>
      </c>
      <c r="C798" t="s">
        <v>69</v>
      </c>
      <c r="D798" t="s">
        <v>70</v>
      </c>
      <c r="E798" t="s">
        <v>66</v>
      </c>
      <c r="F798" s="1" t="s">
        <v>33</v>
      </c>
      <c r="G798" s="2">
        <v>17.239999999999998</v>
      </c>
      <c r="H798">
        <v>17.239999999999998</v>
      </c>
      <c r="I798">
        <v>16.885279000000001</v>
      </c>
      <c r="J798">
        <v>24.49</v>
      </c>
      <c r="K798">
        <v>37</v>
      </c>
      <c r="L798" s="2">
        <v>35</v>
      </c>
      <c r="M798">
        <v>52</v>
      </c>
      <c r="N798" s="2">
        <v>197</v>
      </c>
      <c r="O798">
        <v>3326.4</v>
      </c>
      <c r="P798">
        <v>7</v>
      </c>
      <c r="Q798">
        <v>190</v>
      </c>
      <c r="R798">
        <v>32.36</v>
      </c>
      <c r="S798">
        <v>2</v>
      </c>
      <c r="T798">
        <v>24</v>
      </c>
      <c r="U798" s="2">
        <v>587.76</v>
      </c>
      <c r="V798">
        <v>0</v>
      </c>
      <c r="W798" t="s">
        <v>29</v>
      </c>
      <c r="X798" t="str">
        <f>IF(Table2[[#This Row],[Qty available]]&gt;Table2[[#This Row],[Qty on hand]],"Check","OK")</f>
        <v>OK</v>
      </c>
    </row>
    <row r="799" spans="1:24" x14ac:dyDescent="0.3">
      <c r="A799" t="s">
        <v>127</v>
      </c>
      <c r="B799" t="s">
        <v>128</v>
      </c>
      <c r="C799" t="s">
        <v>69</v>
      </c>
      <c r="D799" t="s">
        <v>70</v>
      </c>
      <c r="E799" t="s">
        <v>66</v>
      </c>
      <c r="F799" s="1" t="s">
        <v>34</v>
      </c>
      <c r="G799" s="2">
        <v>17.46</v>
      </c>
      <c r="H799">
        <v>17.46</v>
      </c>
      <c r="I799">
        <v>16.885290999999999</v>
      </c>
      <c r="J799">
        <v>25.46</v>
      </c>
      <c r="K799">
        <v>37</v>
      </c>
      <c r="M799">
        <v>0</v>
      </c>
      <c r="N799" s="2">
        <v>172</v>
      </c>
      <c r="O799">
        <v>2904.27</v>
      </c>
      <c r="P799">
        <v>9</v>
      </c>
      <c r="Q799">
        <v>163</v>
      </c>
      <c r="R799">
        <v>38.799999999999997</v>
      </c>
      <c r="S799">
        <v>0</v>
      </c>
      <c r="T799">
        <v>25</v>
      </c>
      <c r="U799" s="2">
        <v>636.5</v>
      </c>
      <c r="V799">
        <v>0</v>
      </c>
      <c r="W799" t="s">
        <v>29</v>
      </c>
      <c r="X799" t="str">
        <f>IF(Table2[[#This Row],[Qty available]]&gt;Table2[[#This Row],[Qty on hand]],"Check","OK")</f>
        <v>OK</v>
      </c>
    </row>
    <row r="800" spans="1:24" x14ac:dyDescent="0.3">
      <c r="A800" t="s">
        <v>127</v>
      </c>
      <c r="B800" t="s">
        <v>128</v>
      </c>
      <c r="C800" t="s">
        <v>69</v>
      </c>
      <c r="D800" t="s">
        <v>70</v>
      </c>
      <c r="E800" t="s">
        <v>66</v>
      </c>
      <c r="F800" s="1" t="s">
        <v>35</v>
      </c>
      <c r="G800" s="2">
        <v>17.190000000000001</v>
      </c>
      <c r="H800">
        <v>17.190000000000001</v>
      </c>
      <c r="I800">
        <v>16.941635000000002</v>
      </c>
      <c r="J800">
        <v>25.46</v>
      </c>
      <c r="K800">
        <v>37</v>
      </c>
      <c r="L800" s="2">
        <v>34</v>
      </c>
      <c r="M800">
        <v>39</v>
      </c>
      <c r="N800" s="2">
        <v>159</v>
      </c>
      <c r="O800">
        <v>2693.72</v>
      </c>
      <c r="P800">
        <v>7</v>
      </c>
      <c r="Q800">
        <v>152</v>
      </c>
      <c r="R800">
        <v>20.239999999999998</v>
      </c>
      <c r="S800">
        <v>6</v>
      </c>
      <c r="T800">
        <v>52</v>
      </c>
      <c r="U800" s="2">
        <v>1323.92</v>
      </c>
      <c r="V800">
        <v>0</v>
      </c>
      <c r="W800" t="s">
        <v>29</v>
      </c>
      <c r="X800" t="str">
        <f>IF(Table2[[#This Row],[Qty available]]&gt;Table2[[#This Row],[Qty on hand]],"Check","OK")</f>
        <v>OK</v>
      </c>
    </row>
    <row r="801" spans="1:24" x14ac:dyDescent="0.3">
      <c r="A801" t="s">
        <v>127</v>
      </c>
      <c r="B801" t="s">
        <v>128</v>
      </c>
      <c r="C801" t="s">
        <v>69</v>
      </c>
      <c r="D801" t="s">
        <v>70</v>
      </c>
      <c r="E801" t="s">
        <v>66</v>
      </c>
      <c r="F801" s="1" t="s">
        <v>36</v>
      </c>
      <c r="G801" s="2">
        <v>17.510000000000002</v>
      </c>
      <c r="H801">
        <v>17.510000000000002</v>
      </c>
      <c r="I801">
        <v>17.053618</v>
      </c>
      <c r="J801">
        <v>25.46</v>
      </c>
      <c r="K801">
        <v>37</v>
      </c>
      <c r="L801" s="2">
        <v>45</v>
      </c>
      <c r="M801">
        <v>39</v>
      </c>
      <c r="N801" s="2">
        <v>152</v>
      </c>
      <c r="O801">
        <v>2592.15</v>
      </c>
      <c r="P801">
        <v>3</v>
      </c>
      <c r="Q801">
        <v>149</v>
      </c>
      <c r="R801">
        <v>15.71</v>
      </c>
      <c r="S801">
        <v>0</v>
      </c>
      <c r="T801">
        <v>46</v>
      </c>
      <c r="U801" s="2">
        <v>1171.1600000000001</v>
      </c>
      <c r="V801">
        <v>0</v>
      </c>
      <c r="W801" t="s">
        <v>29</v>
      </c>
      <c r="X801" t="str">
        <f>IF(Table2[[#This Row],[Qty available]]&gt;Table2[[#This Row],[Qty on hand]],"Check","OK")</f>
        <v>OK</v>
      </c>
    </row>
    <row r="802" spans="1:24" x14ac:dyDescent="0.3">
      <c r="A802" t="s">
        <v>127</v>
      </c>
      <c r="B802" t="s">
        <v>128</v>
      </c>
      <c r="C802" t="s">
        <v>69</v>
      </c>
      <c r="D802" t="s">
        <v>70</v>
      </c>
      <c r="E802" t="s">
        <v>66</v>
      </c>
      <c r="F802" s="1" t="s">
        <v>37</v>
      </c>
      <c r="G802" s="2">
        <v>17.190000000000001</v>
      </c>
      <c r="H802">
        <v>17.190000000000001</v>
      </c>
      <c r="I802">
        <v>17.053656</v>
      </c>
      <c r="J802">
        <v>25.46</v>
      </c>
      <c r="K802">
        <v>37</v>
      </c>
      <c r="M802">
        <v>0</v>
      </c>
      <c r="N802" s="2">
        <v>93</v>
      </c>
      <c r="O802">
        <v>1585.99</v>
      </c>
      <c r="P802">
        <v>9</v>
      </c>
      <c r="Q802">
        <v>84</v>
      </c>
      <c r="R802">
        <v>7.79</v>
      </c>
      <c r="S802">
        <v>3</v>
      </c>
      <c r="T802">
        <v>59</v>
      </c>
      <c r="U802" s="2">
        <v>1502.14</v>
      </c>
      <c r="V802">
        <v>0</v>
      </c>
      <c r="W802" t="s">
        <v>29</v>
      </c>
      <c r="X802" t="str">
        <f>IF(Table2[[#This Row],[Qty available]]&gt;Table2[[#This Row],[Qty on hand]],"Check","OK")</f>
        <v>OK</v>
      </c>
    </row>
    <row r="803" spans="1:24" x14ac:dyDescent="0.3">
      <c r="A803" t="s">
        <v>127</v>
      </c>
      <c r="B803" t="s">
        <v>128</v>
      </c>
      <c r="C803" t="s">
        <v>69</v>
      </c>
      <c r="D803" t="s">
        <v>70</v>
      </c>
      <c r="E803" t="s">
        <v>66</v>
      </c>
      <c r="F803" s="1" t="s">
        <v>38</v>
      </c>
      <c r="G803" s="2">
        <v>17.07</v>
      </c>
      <c r="H803">
        <v>17.07</v>
      </c>
      <c r="I803">
        <v>17.058519</v>
      </c>
      <c r="J803">
        <v>25.46</v>
      </c>
      <c r="K803">
        <v>37</v>
      </c>
      <c r="L803" s="2">
        <v>33</v>
      </c>
      <c r="M803">
        <v>39</v>
      </c>
      <c r="N803" s="2">
        <v>108</v>
      </c>
      <c r="O803">
        <v>1842.32</v>
      </c>
      <c r="P803">
        <v>3</v>
      </c>
      <c r="Q803">
        <v>105</v>
      </c>
      <c r="R803">
        <v>10.88</v>
      </c>
      <c r="S803">
        <v>0</v>
      </c>
      <c r="T803">
        <v>24</v>
      </c>
      <c r="U803" s="2">
        <v>611.04</v>
      </c>
      <c r="V803">
        <v>0</v>
      </c>
      <c r="W803" t="s">
        <v>29</v>
      </c>
      <c r="X803" t="str">
        <f>IF(Table2[[#This Row],[Qty available]]&gt;Table2[[#This Row],[Qty on hand]],"Check","OK")</f>
        <v>OK</v>
      </c>
    </row>
    <row r="804" spans="1:24" x14ac:dyDescent="0.3">
      <c r="A804" t="s">
        <v>127</v>
      </c>
      <c r="B804" t="s">
        <v>128</v>
      </c>
      <c r="C804" t="s">
        <v>69</v>
      </c>
      <c r="D804" t="s">
        <v>70</v>
      </c>
      <c r="E804" t="s">
        <v>66</v>
      </c>
      <c r="F804" s="1" t="s">
        <v>39</v>
      </c>
      <c r="G804" s="2">
        <v>17.43</v>
      </c>
      <c r="H804">
        <v>17.43</v>
      </c>
      <c r="I804">
        <v>17.222131999999998</v>
      </c>
      <c r="J804">
        <v>25.46</v>
      </c>
      <c r="K804">
        <v>37</v>
      </c>
      <c r="L804" s="2">
        <v>36</v>
      </c>
      <c r="M804">
        <v>85</v>
      </c>
      <c r="N804" s="2">
        <v>136</v>
      </c>
      <c r="O804">
        <v>2342.21</v>
      </c>
      <c r="P804">
        <v>7</v>
      </c>
      <c r="Q804">
        <v>129</v>
      </c>
      <c r="R804">
        <v>12.77</v>
      </c>
      <c r="S804">
        <v>4</v>
      </c>
      <c r="T804">
        <v>57</v>
      </c>
      <c r="U804" s="2">
        <v>1451.22</v>
      </c>
      <c r="V804">
        <v>0</v>
      </c>
      <c r="W804" t="s">
        <v>29</v>
      </c>
      <c r="X804" t="str">
        <f>IF(Table2[[#This Row],[Qty available]]&gt;Table2[[#This Row],[Qty on hand]],"Check","OK")</f>
        <v>OK</v>
      </c>
    </row>
    <row r="805" spans="1:24" x14ac:dyDescent="0.3">
      <c r="A805" t="s">
        <v>127</v>
      </c>
      <c r="B805" t="s">
        <v>128</v>
      </c>
      <c r="C805" t="s">
        <v>69</v>
      </c>
      <c r="D805" t="s">
        <v>70</v>
      </c>
      <c r="E805" t="s">
        <v>66</v>
      </c>
      <c r="F805" s="1" t="s">
        <v>40</v>
      </c>
      <c r="G805" s="2">
        <v>17.29</v>
      </c>
      <c r="H805">
        <v>17.29</v>
      </c>
      <c r="I805">
        <v>17.237292</v>
      </c>
      <c r="J805">
        <v>25.46</v>
      </c>
      <c r="K805">
        <v>37</v>
      </c>
      <c r="L805" s="2">
        <v>59</v>
      </c>
      <c r="M805">
        <v>39</v>
      </c>
      <c r="N805" s="2">
        <v>144</v>
      </c>
      <c r="O805">
        <v>2482.17</v>
      </c>
      <c r="P805">
        <v>8</v>
      </c>
      <c r="Q805">
        <v>136</v>
      </c>
      <c r="R805">
        <v>16.899999999999999</v>
      </c>
      <c r="S805">
        <v>1</v>
      </c>
      <c r="T805">
        <v>31</v>
      </c>
      <c r="U805" s="2">
        <v>789.26</v>
      </c>
      <c r="V805">
        <v>0</v>
      </c>
      <c r="W805" t="s">
        <v>29</v>
      </c>
      <c r="X805" t="str">
        <f>IF(Table2[[#This Row],[Qty available]]&gt;Table2[[#This Row],[Qty on hand]],"Check","OK")</f>
        <v>OK</v>
      </c>
    </row>
    <row r="806" spans="1:24" x14ac:dyDescent="0.3">
      <c r="A806" t="s">
        <v>127</v>
      </c>
      <c r="B806" t="s">
        <v>128</v>
      </c>
      <c r="C806" t="s">
        <v>69</v>
      </c>
      <c r="D806" t="s">
        <v>70</v>
      </c>
      <c r="E806" t="s">
        <v>66</v>
      </c>
      <c r="F806" s="1" t="s">
        <v>41</v>
      </c>
      <c r="G806" s="2">
        <v>17.399999999999999</v>
      </c>
      <c r="H806">
        <v>17.399999999999999</v>
      </c>
      <c r="I806">
        <v>17.237295</v>
      </c>
      <c r="J806">
        <v>25.46</v>
      </c>
      <c r="K806">
        <v>37</v>
      </c>
      <c r="M806">
        <v>0</v>
      </c>
      <c r="N806" s="2">
        <v>122</v>
      </c>
      <c r="O806">
        <v>2102.9499999999998</v>
      </c>
      <c r="P806">
        <v>12</v>
      </c>
      <c r="Q806">
        <v>110</v>
      </c>
      <c r="R806">
        <v>14.58</v>
      </c>
      <c r="S806">
        <v>3</v>
      </c>
      <c r="T806">
        <v>22</v>
      </c>
      <c r="U806" s="2">
        <v>560.12</v>
      </c>
      <c r="V806">
        <v>0</v>
      </c>
      <c r="W806" t="s">
        <v>29</v>
      </c>
      <c r="X806" t="str">
        <f>IF(Table2[[#This Row],[Qty available]]&gt;Table2[[#This Row],[Qty on hand]],"Check","OK")</f>
        <v>OK</v>
      </c>
    </row>
    <row r="807" spans="1:24" x14ac:dyDescent="0.3">
      <c r="A807" t="s">
        <v>127</v>
      </c>
      <c r="B807" t="s">
        <v>128</v>
      </c>
      <c r="C807" t="s">
        <v>69</v>
      </c>
      <c r="D807" t="s">
        <v>70</v>
      </c>
      <c r="E807" t="s">
        <v>66</v>
      </c>
      <c r="F807" s="1" t="s">
        <v>42</v>
      </c>
      <c r="G807" s="2">
        <v>17.57</v>
      </c>
      <c r="H807">
        <v>17.57</v>
      </c>
      <c r="I807">
        <v>17.356390999999999</v>
      </c>
      <c r="J807">
        <v>25.46</v>
      </c>
      <c r="K807">
        <v>37</v>
      </c>
      <c r="L807" s="2">
        <v>34</v>
      </c>
      <c r="M807">
        <v>68</v>
      </c>
      <c r="N807" s="2">
        <v>169</v>
      </c>
      <c r="O807">
        <v>2933.23</v>
      </c>
      <c r="P807">
        <v>8</v>
      </c>
      <c r="Q807">
        <v>161</v>
      </c>
      <c r="R807">
        <v>30.02</v>
      </c>
      <c r="S807">
        <v>7</v>
      </c>
      <c r="T807">
        <v>21</v>
      </c>
      <c r="U807" s="2">
        <v>534.66</v>
      </c>
      <c r="V807">
        <v>0</v>
      </c>
      <c r="W807" t="s">
        <v>29</v>
      </c>
      <c r="X807" t="str">
        <f>IF(Table2[[#This Row],[Qty available]]&gt;Table2[[#This Row],[Qty on hand]],"Check","OK")</f>
        <v>OK</v>
      </c>
    </row>
    <row r="808" spans="1:24" x14ac:dyDescent="0.3">
      <c r="A808" t="s">
        <v>127</v>
      </c>
      <c r="B808" t="s">
        <v>128</v>
      </c>
      <c r="C808" t="s">
        <v>69</v>
      </c>
      <c r="D808" t="s">
        <v>70</v>
      </c>
      <c r="E808" t="s">
        <v>66</v>
      </c>
      <c r="F808" s="1" t="s">
        <v>43</v>
      </c>
      <c r="G808" s="2">
        <v>17.21</v>
      </c>
      <c r="H808">
        <v>17.21</v>
      </c>
      <c r="I808">
        <v>17.356376999999998</v>
      </c>
      <c r="J808">
        <v>25.46</v>
      </c>
      <c r="K808">
        <v>37</v>
      </c>
      <c r="M808">
        <v>0</v>
      </c>
      <c r="N808" s="2">
        <v>138</v>
      </c>
      <c r="O808">
        <v>2395.1799999999998</v>
      </c>
      <c r="P808">
        <v>8</v>
      </c>
      <c r="Q808">
        <v>130</v>
      </c>
      <c r="R808">
        <v>24.24</v>
      </c>
      <c r="S808">
        <v>4</v>
      </c>
      <c r="T808">
        <v>31</v>
      </c>
      <c r="U808" s="2">
        <v>789.26</v>
      </c>
      <c r="V808">
        <v>0</v>
      </c>
      <c r="W808" t="s">
        <v>29</v>
      </c>
      <c r="X808" t="str">
        <f>IF(Table2[[#This Row],[Qty available]]&gt;Table2[[#This Row],[Qty on hand]],"Check","OK")</f>
        <v>OK</v>
      </c>
    </row>
    <row r="809" spans="1:24" x14ac:dyDescent="0.3">
      <c r="A809" t="s">
        <v>127</v>
      </c>
      <c r="B809" t="s">
        <v>128</v>
      </c>
      <c r="C809" t="s">
        <v>69</v>
      </c>
      <c r="D809" t="s">
        <v>70</v>
      </c>
      <c r="E809" t="s">
        <v>66</v>
      </c>
      <c r="F809" s="1" t="s">
        <v>44</v>
      </c>
      <c r="G809" s="2">
        <v>17.45</v>
      </c>
      <c r="H809">
        <v>17.45</v>
      </c>
      <c r="I809">
        <v>17.379375</v>
      </c>
      <c r="J809">
        <v>25.46</v>
      </c>
      <c r="K809">
        <v>37</v>
      </c>
      <c r="L809" s="2">
        <v>36</v>
      </c>
      <c r="M809">
        <v>45</v>
      </c>
      <c r="N809" s="2">
        <v>128</v>
      </c>
      <c r="O809">
        <v>2224.56</v>
      </c>
      <c r="P809">
        <v>9</v>
      </c>
      <c r="Q809">
        <v>119</v>
      </c>
      <c r="R809">
        <v>15.72</v>
      </c>
      <c r="S809">
        <v>0</v>
      </c>
      <c r="T809">
        <v>55</v>
      </c>
      <c r="U809" s="2">
        <v>1400.3</v>
      </c>
      <c r="V809">
        <v>0</v>
      </c>
      <c r="W809" t="s">
        <v>29</v>
      </c>
      <c r="X809" t="str">
        <f>IF(Table2[[#This Row],[Qty available]]&gt;Table2[[#This Row],[Qty on hand]],"Check","OK")</f>
        <v>OK</v>
      </c>
    </row>
    <row r="810" spans="1:24" x14ac:dyDescent="0.3">
      <c r="A810" t="s">
        <v>127</v>
      </c>
      <c r="B810" t="s">
        <v>128</v>
      </c>
      <c r="C810" t="s">
        <v>69</v>
      </c>
      <c r="D810" t="s">
        <v>70</v>
      </c>
      <c r="E810" t="s">
        <v>66</v>
      </c>
      <c r="F810" s="1" t="s">
        <v>45</v>
      </c>
      <c r="G810" s="2">
        <v>17.87</v>
      </c>
      <c r="H810">
        <v>17.87</v>
      </c>
      <c r="I810">
        <v>17.493950000000002</v>
      </c>
      <c r="J810">
        <v>25.46</v>
      </c>
      <c r="K810">
        <v>37</v>
      </c>
      <c r="L810" s="2">
        <v>60</v>
      </c>
      <c r="M810">
        <v>39</v>
      </c>
      <c r="N810" s="2">
        <v>119</v>
      </c>
      <c r="O810">
        <v>2081.7800000000002</v>
      </c>
      <c r="P810">
        <v>7</v>
      </c>
      <c r="Q810">
        <v>112</v>
      </c>
      <c r="R810">
        <v>11.67</v>
      </c>
      <c r="S810">
        <v>5</v>
      </c>
      <c r="T810">
        <v>48</v>
      </c>
      <c r="U810" s="2">
        <v>1222.08</v>
      </c>
      <c r="V810">
        <v>0</v>
      </c>
      <c r="W810" t="s">
        <v>29</v>
      </c>
      <c r="X810" t="str">
        <f>IF(Table2[[#This Row],[Qty available]]&gt;Table2[[#This Row],[Qty on hand]],"Check","OK")</f>
        <v>OK</v>
      </c>
    </row>
    <row r="811" spans="1:24" x14ac:dyDescent="0.3">
      <c r="A811" t="s">
        <v>127</v>
      </c>
      <c r="B811" t="s">
        <v>128</v>
      </c>
      <c r="C811" t="s">
        <v>69</v>
      </c>
      <c r="D811" t="s">
        <v>70</v>
      </c>
      <c r="E811" t="s">
        <v>66</v>
      </c>
      <c r="F811" s="1" t="s">
        <v>46</v>
      </c>
      <c r="G811" s="2">
        <v>17.72</v>
      </c>
      <c r="H811">
        <v>17.72</v>
      </c>
      <c r="I811">
        <v>17.493922000000001</v>
      </c>
      <c r="J811">
        <v>26.47</v>
      </c>
      <c r="K811">
        <v>37</v>
      </c>
      <c r="M811">
        <v>0</v>
      </c>
      <c r="N811" s="2">
        <v>102</v>
      </c>
      <c r="O811">
        <v>1784.38</v>
      </c>
      <c r="P811">
        <v>9</v>
      </c>
      <c r="Q811">
        <v>93</v>
      </c>
      <c r="R811">
        <v>10.93</v>
      </c>
      <c r="S811">
        <v>2</v>
      </c>
      <c r="T811">
        <v>17</v>
      </c>
      <c r="U811" s="2">
        <v>449.99</v>
      </c>
      <c r="V811">
        <v>0</v>
      </c>
      <c r="W811" t="s">
        <v>29</v>
      </c>
      <c r="X811" t="str">
        <f>IF(Table2[[#This Row],[Qty available]]&gt;Table2[[#This Row],[Qty on hand]],"Check","OK")</f>
        <v>OK</v>
      </c>
    </row>
    <row r="812" spans="1:24" x14ac:dyDescent="0.3">
      <c r="A812" t="s">
        <v>127</v>
      </c>
      <c r="B812" t="s">
        <v>128</v>
      </c>
      <c r="C812" t="s">
        <v>69</v>
      </c>
      <c r="D812" t="s">
        <v>70</v>
      </c>
      <c r="E812" t="s">
        <v>66</v>
      </c>
      <c r="F812" s="1" t="s">
        <v>47</v>
      </c>
      <c r="G812" s="2">
        <v>18.010000000000002</v>
      </c>
      <c r="H812">
        <v>18.010000000000002</v>
      </c>
      <c r="I812">
        <v>17.726972</v>
      </c>
      <c r="J812">
        <v>26.47</v>
      </c>
      <c r="K812">
        <v>37</v>
      </c>
      <c r="L812" s="2">
        <v>32</v>
      </c>
      <c r="M812">
        <v>84</v>
      </c>
      <c r="N812" s="2">
        <v>142</v>
      </c>
      <c r="O812">
        <v>2517.23</v>
      </c>
      <c r="P812">
        <v>3</v>
      </c>
      <c r="Q812">
        <v>139</v>
      </c>
      <c r="R812">
        <v>16.75</v>
      </c>
      <c r="S812">
        <v>0</v>
      </c>
      <c r="T812">
        <v>44</v>
      </c>
      <c r="U812" s="2">
        <v>1164.68</v>
      </c>
      <c r="V812">
        <v>0</v>
      </c>
      <c r="W812" t="s">
        <v>29</v>
      </c>
      <c r="X812" t="str">
        <f>IF(Table2[[#This Row],[Qty available]]&gt;Table2[[#This Row],[Qty on hand]],"Check","OK")</f>
        <v>OK</v>
      </c>
    </row>
    <row r="813" spans="1:24" x14ac:dyDescent="0.3">
      <c r="A813" t="s">
        <v>127</v>
      </c>
      <c r="B813" t="s">
        <v>128</v>
      </c>
      <c r="C813" t="s">
        <v>69</v>
      </c>
      <c r="D813" t="s">
        <v>70</v>
      </c>
      <c r="E813" t="s">
        <v>66</v>
      </c>
      <c r="F813" s="1" t="s">
        <v>48</v>
      </c>
      <c r="G813" s="2">
        <v>17.46</v>
      </c>
      <c r="H813">
        <v>17.46</v>
      </c>
      <c r="I813">
        <v>17.669429000000001</v>
      </c>
      <c r="J813">
        <v>26.47</v>
      </c>
      <c r="K813">
        <v>37</v>
      </c>
      <c r="L813" s="2">
        <v>43</v>
      </c>
      <c r="M813">
        <v>39</v>
      </c>
      <c r="N813" s="2">
        <v>140</v>
      </c>
      <c r="O813">
        <v>2473.7199999999998</v>
      </c>
      <c r="P813">
        <v>9</v>
      </c>
      <c r="Q813">
        <v>131</v>
      </c>
      <c r="R813">
        <v>17.45</v>
      </c>
      <c r="S813">
        <v>1</v>
      </c>
      <c r="T813">
        <v>41</v>
      </c>
      <c r="U813" s="2">
        <v>1085.27</v>
      </c>
      <c r="V813">
        <v>0</v>
      </c>
      <c r="W813" t="s">
        <v>29</v>
      </c>
      <c r="X813" t="str">
        <f>IF(Table2[[#This Row],[Qty available]]&gt;Table2[[#This Row],[Qty on hand]],"Check","OK")</f>
        <v>OK</v>
      </c>
    </row>
    <row r="814" spans="1:24" x14ac:dyDescent="0.3">
      <c r="A814" t="s">
        <v>127</v>
      </c>
      <c r="B814" t="s">
        <v>128</v>
      </c>
      <c r="C814" t="s">
        <v>69</v>
      </c>
      <c r="D814" t="s">
        <v>70</v>
      </c>
      <c r="E814" t="s">
        <v>66</v>
      </c>
      <c r="F814" s="1" t="s">
        <v>49</v>
      </c>
      <c r="G814" s="2">
        <v>17.8</v>
      </c>
      <c r="H814">
        <v>17.8</v>
      </c>
      <c r="I814">
        <v>17.697903</v>
      </c>
      <c r="J814">
        <v>26.47</v>
      </c>
      <c r="K814">
        <v>37</v>
      </c>
      <c r="L814" s="2">
        <v>35</v>
      </c>
      <c r="M814">
        <v>39</v>
      </c>
      <c r="N814" s="2">
        <v>124</v>
      </c>
      <c r="O814">
        <v>2194.54</v>
      </c>
      <c r="P814">
        <v>7</v>
      </c>
      <c r="Q814">
        <v>117</v>
      </c>
      <c r="R814">
        <v>11.64</v>
      </c>
      <c r="S814">
        <v>0</v>
      </c>
      <c r="T814">
        <v>55</v>
      </c>
      <c r="U814" s="2">
        <v>1455.85</v>
      </c>
      <c r="V814">
        <v>0</v>
      </c>
      <c r="W814" t="s">
        <v>29</v>
      </c>
      <c r="X814" t="str">
        <f>IF(Table2[[#This Row],[Qty available]]&gt;Table2[[#This Row],[Qty on hand]],"Check","OK")</f>
        <v>OK</v>
      </c>
    </row>
    <row r="815" spans="1:24" x14ac:dyDescent="0.3">
      <c r="A815" t="s">
        <v>127</v>
      </c>
      <c r="B815" t="s">
        <v>128</v>
      </c>
      <c r="C815" t="s">
        <v>69</v>
      </c>
      <c r="D815" t="s">
        <v>70</v>
      </c>
      <c r="E815" t="s">
        <v>66</v>
      </c>
      <c r="F815" s="1" t="s">
        <v>50</v>
      </c>
      <c r="G815" s="2">
        <v>17.670000000000002</v>
      </c>
      <c r="H815">
        <v>17.670000000000002</v>
      </c>
      <c r="I815">
        <v>17.691210000000002</v>
      </c>
      <c r="J815">
        <v>26.47</v>
      </c>
      <c r="K815">
        <v>37</v>
      </c>
      <c r="L815" s="2">
        <v>33</v>
      </c>
      <c r="M815">
        <v>39</v>
      </c>
      <c r="N815" s="2">
        <v>124</v>
      </c>
      <c r="O815">
        <v>2193.71</v>
      </c>
      <c r="P815">
        <v>13</v>
      </c>
      <c r="Q815">
        <v>111</v>
      </c>
      <c r="R815">
        <v>11.94</v>
      </c>
      <c r="S815">
        <v>1</v>
      </c>
      <c r="T815">
        <v>39</v>
      </c>
      <c r="U815" s="2">
        <v>1032.33</v>
      </c>
      <c r="V815">
        <v>0</v>
      </c>
      <c r="W815" t="s">
        <v>29</v>
      </c>
      <c r="X815" t="str">
        <f>IF(Table2[[#This Row],[Qty available]]&gt;Table2[[#This Row],[Qty on hand]],"Check","OK")</f>
        <v>OK</v>
      </c>
    </row>
    <row r="816" spans="1:24" x14ac:dyDescent="0.3">
      <c r="A816" t="s">
        <v>127</v>
      </c>
      <c r="B816" t="s">
        <v>128</v>
      </c>
      <c r="C816" t="s">
        <v>69</v>
      </c>
      <c r="D816" t="s">
        <v>70</v>
      </c>
      <c r="E816" t="s">
        <v>66</v>
      </c>
      <c r="F816" s="1" t="s">
        <v>51</v>
      </c>
      <c r="G816" s="2">
        <v>17.73</v>
      </c>
      <c r="H816">
        <v>17.73</v>
      </c>
      <c r="I816">
        <v>17.703101</v>
      </c>
      <c r="J816">
        <v>26.47</v>
      </c>
      <c r="K816">
        <v>37</v>
      </c>
      <c r="L816" s="2">
        <v>45</v>
      </c>
      <c r="M816">
        <v>55</v>
      </c>
      <c r="N816" s="2">
        <v>129</v>
      </c>
      <c r="O816">
        <v>2283.6999999999998</v>
      </c>
      <c r="P816">
        <v>7</v>
      </c>
      <c r="Q816">
        <v>122</v>
      </c>
      <c r="R816">
        <v>11.77</v>
      </c>
      <c r="S816">
        <v>3</v>
      </c>
      <c r="T816">
        <v>50</v>
      </c>
      <c r="U816" s="2">
        <v>1323.5</v>
      </c>
      <c r="V816">
        <v>0</v>
      </c>
      <c r="W816" t="s">
        <v>29</v>
      </c>
      <c r="X816" t="str">
        <f>IF(Table2[[#This Row],[Qty available]]&gt;Table2[[#This Row],[Qty on hand]],"Check","OK")</f>
        <v>OK</v>
      </c>
    </row>
    <row r="817" spans="1:24" x14ac:dyDescent="0.3">
      <c r="A817" t="s">
        <v>127</v>
      </c>
      <c r="B817" t="s">
        <v>128</v>
      </c>
      <c r="C817" t="s">
        <v>69</v>
      </c>
      <c r="D817" t="s">
        <v>70</v>
      </c>
      <c r="E817" t="s">
        <v>66</v>
      </c>
      <c r="F817" s="1" t="s">
        <v>52</v>
      </c>
      <c r="G817" s="2">
        <v>17.920000000000002</v>
      </c>
      <c r="H817">
        <v>17.920000000000002</v>
      </c>
      <c r="I817">
        <v>17.703077</v>
      </c>
      <c r="J817">
        <v>26.47</v>
      </c>
      <c r="K817">
        <v>37</v>
      </c>
      <c r="M817">
        <v>0</v>
      </c>
      <c r="N817" s="2">
        <v>78</v>
      </c>
      <c r="O817">
        <v>1380.84</v>
      </c>
      <c r="P817">
        <v>12</v>
      </c>
      <c r="Q817">
        <v>66</v>
      </c>
      <c r="R817">
        <v>7.32</v>
      </c>
      <c r="S817">
        <v>9</v>
      </c>
      <c r="T817">
        <v>51</v>
      </c>
      <c r="U817" s="2">
        <v>1349.97</v>
      </c>
      <c r="V817">
        <v>0</v>
      </c>
      <c r="W817" t="s">
        <v>29</v>
      </c>
      <c r="X817" t="str">
        <f>IF(Table2[[#This Row],[Qty available]]&gt;Table2[[#This Row],[Qty on hand]],"Check","OK")</f>
        <v>OK</v>
      </c>
    </row>
    <row r="818" spans="1:24" x14ac:dyDescent="0.3">
      <c r="A818" t="s">
        <v>129</v>
      </c>
      <c r="B818" t="s">
        <v>130</v>
      </c>
      <c r="C818" t="s">
        <v>77</v>
      </c>
      <c r="D818" t="s">
        <v>78</v>
      </c>
      <c r="E818" t="s">
        <v>66</v>
      </c>
      <c r="F818" s="1" t="s">
        <v>28</v>
      </c>
      <c r="G818" s="2">
        <v>8.64</v>
      </c>
      <c r="H818">
        <v>8.64</v>
      </c>
      <c r="I818">
        <v>8.4845520000000008</v>
      </c>
      <c r="J818">
        <v>11.71</v>
      </c>
      <c r="K818">
        <v>59</v>
      </c>
      <c r="L818" s="2">
        <v>54</v>
      </c>
      <c r="M818">
        <v>101</v>
      </c>
      <c r="N818" s="2">
        <v>446</v>
      </c>
      <c r="O818">
        <v>3784.11</v>
      </c>
      <c r="P818">
        <v>26</v>
      </c>
      <c r="Q818">
        <v>420</v>
      </c>
      <c r="R818">
        <v>9.3800000000000008</v>
      </c>
      <c r="S818">
        <v>2</v>
      </c>
      <c r="T818">
        <v>248</v>
      </c>
      <c r="U818" s="2">
        <v>2904.08</v>
      </c>
      <c r="V818">
        <v>0</v>
      </c>
      <c r="W818" t="s">
        <v>29</v>
      </c>
      <c r="X818" t="str">
        <f>IF(Table2[[#This Row],[Qty available]]&gt;Table2[[#This Row],[Qty on hand]],"Check","OK")</f>
        <v>OK</v>
      </c>
    </row>
    <row r="819" spans="1:24" x14ac:dyDescent="0.3">
      <c r="A819" t="s">
        <v>129</v>
      </c>
      <c r="B819" t="s">
        <v>130</v>
      </c>
      <c r="C819" t="s">
        <v>77</v>
      </c>
      <c r="D819" t="s">
        <v>78</v>
      </c>
      <c r="E819" t="s">
        <v>66</v>
      </c>
      <c r="F819" s="1" t="s">
        <v>30</v>
      </c>
      <c r="G819" s="2">
        <v>8.41</v>
      </c>
      <c r="H819">
        <v>8.41</v>
      </c>
      <c r="I819">
        <v>8.4845500000000005</v>
      </c>
      <c r="J819">
        <v>11.71</v>
      </c>
      <c r="K819">
        <v>59</v>
      </c>
      <c r="M819">
        <v>0</v>
      </c>
      <c r="N819" s="2">
        <v>200</v>
      </c>
      <c r="O819">
        <v>1696.91</v>
      </c>
      <c r="P819">
        <v>26</v>
      </c>
      <c r="Q819">
        <v>174</v>
      </c>
      <c r="R819">
        <v>4.17</v>
      </c>
      <c r="S819">
        <v>3</v>
      </c>
      <c r="T819">
        <v>246</v>
      </c>
      <c r="U819" s="2">
        <v>2880.66</v>
      </c>
      <c r="V819">
        <v>0</v>
      </c>
      <c r="W819" t="s">
        <v>29</v>
      </c>
      <c r="X819" t="str">
        <f>IF(Table2[[#This Row],[Qty available]]&gt;Table2[[#This Row],[Qty on hand]],"Check","OK")</f>
        <v>OK</v>
      </c>
    </row>
    <row r="820" spans="1:24" x14ac:dyDescent="0.3">
      <c r="A820" t="s">
        <v>129</v>
      </c>
      <c r="B820" t="s">
        <v>130</v>
      </c>
      <c r="C820" t="s">
        <v>77</v>
      </c>
      <c r="D820" t="s">
        <v>78</v>
      </c>
      <c r="E820" t="s">
        <v>66</v>
      </c>
      <c r="F820" s="1" t="s">
        <v>31</v>
      </c>
      <c r="G820" s="2">
        <v>8.52</v>
      </c>
      <c r="H820">
        <v>8.52</v>
      </c>
      <c r="I820">
        <v>8.5093800000000002</v>
      </c>
      <c r="J820">
        <v>11.71</v>
      </c>
      <c r="K820">
        <v>59</v>
      </c>
      <c r="L820" s="2">
        <v>52</v>
      </c>
      <c r="M820">
        <v>468</v>
      </c>
      <c r="N820" s="2">
        <v>274</v>
      </c>
      <c r="O820">
        <v>2331.5700000000002</v>
      </c>
      <c r="P820">
        <v>39</v>
      </c>
      <c r="Q820">
        <v>235</v>
      </c>
      <c r="R820">
        <v>4.01</v>
      </c>
      <c r="S820">
        <v>4</v>
      </c>
      <c r="T820">
        <v>394</v>
      </c>
      <c r="U820" s="2">
        <v>4613.74</v>
      </c>
      <c r="V820">
        <v>0</v>
      </c>
      <c r="W820" t="s">
        <v>29</v>
      </c>
      <c r="X820" t="str">
        <f>IF(Table2[[#This Row],[Qty available]]&gt;Table2[[#This Row],[Qty on hand]],"Check","OK")</f>
        <v>OK</v>
      </c>
    </row>
    <row r="821" spans="1:24" x14ac:dyDescent="0.3">
      <c r="A821" t="s">
        <v>129</v>
      </c>
      <c r="B821" t="s">
        <v>130</v>
      </c>
      <c r="C821" t="s">
        <v>77</v>
      </c>
      <c r="D821" t="s">
        <v>78</v>
      </c>
      <c r="E821" t="s">
        <v>66</v>
      </c>
      <c r="F821" s="1" t="s">
        <v>32</v>
      </c>
      <c r="G821" s="2">
        <v>8.48</v>
      </c>
      <c r="H821">
        <v>8.48</v>
      </c>
      <c r="I821">
        <v>8.5093479999999992</v>
      </c>
      <c r="J821">
        <v>11.71</v>
      </c>
      <c r="K821">
        <v>59</v>
      </c>
      <c r="M821">
        <v>0</v>
      </c>
      <c r="N821" s="2">
        <v>46</v>
      </c>
      <c r="O821">
        <v>391.43</v>
      </c>
      <c r="P821">
        <v>46</v>
      </c>
      <c r="Q821">
        <v>0</v>
      </c>
      <c r="R821">
        <v>0.7</v>
      </c>
      <c r="S821">
        <v>0</v>
      </c>
      <c r="T821">
        <v>228</v>
      </c>
      <c r="U821" s="2">
        <v>2669.88</v>
      </c>
      <c r="V821">
        <v>0</v>
      </c>
      <c r="W821" t="s">
        <v>29</v>
      </c>
      <c r="X821" t="str">
        <f>IF(Table2[[#This Row],[Qty available]]&gt;Table2[[#This Row],[Qty on hand]],"Check","OK")</f>
        <v>OK</v>
      </c>
    </row>
    <row r="822" spans="1:24" x14ac:dyDescent="0.3">
      <c r="A822" t="s">
        <v>129</v>
      </c>
      <c r="B822" t="s">
        <v>130</v>
      </c>
      <c r="C822" t="s">
        <v>77</v>
      </c>
      <c r="D822" t="s">
        <v>78</v>
      </c>
      <c r="E822" t="s">
        <v>66</v>
      </c>
      <c r="F822" s="1" t="s">
        <v>33</v>
      </c>
      <c r="G822" s="2">
        <v>8.34</v>
      </c>
      <c r="H822">
        <v>8.34</v>
      </c>
      <c r="I822">
        <v>8.3532299999999999</v>
      </c>
      <c r="J822">
        <v>11.71</v>
      </c>
      <c r="K822">
        <v>59</v>
      </c>
      <c r="L822" s="2">
        <v>52</v>
      </c>
      <c r="M822">
        <v>543</v>
      </c>
      <c r="N822" s="2">
        <v>418</v>
      </c>
      <c r="O822">
        <v>3491.65</v>
      </c>
      <c r="P822">
        <v>52</v>
      </c>
      <c r="Q822">
        <v>366</v>
      </c>
      <c r="R822">
        <v>6.93</v>
      </c>
      <c r="S822">
        <v>3</v>
      </c>
      <c r="T822">
        <v>171</v>
      </c>
      <c r="U822" s="2">
        <v>2002.41</v>
      </c>
      <c r="V822">
        <v>0</v>
      </c>
      <c r="W822" t="s">
        <v>29</v>
      </c>
      <c r="X822" t="str">
        <f>IF(Table2[[#This Row],[Qty available]]&gt;Table2[[#This Row],[Qty on hand]],"Check","OK")</f>
        <v>OK</v>
      </c>
    </row>
    <row r="823" spans="1:24" x14ac:dyDescent="0.3">
      <c r="A823" t="s">
        <v>129</v>
      </c>
      <c r="B823" t="s">
        <v>130</v>
      </c>
      <c r="C823" t="s">
        <v>77</v>
      </c>
      <c r="D823" t="s">
        <v>78</v>
      </c>
      <c r="E823" t="s">
        <v>66</v>
      </c>
      <c r="F823" s="1" t="s">
        <v>34</v>
      </c>
      <c r="G823" s="2">
        <v>8.39</v>
      </c>
      <c r="H823">
        <v>8.39</v>
      </c>
      <c r="I823">
        <v>8.3532109999999999</v>
      </c>
      <c r="J823">
        <v>12.21</v>
      </c>
      <c r="K823">
        <v>59</v>
      </c>
      <c r="M823">
        <v>0</v>
      </c>
      <c r="N823" s="2">
        <v>218</v>
      </c>
      <c r="O823">
        <v>1821</v>
      </c>
      <c r="P823">
        <v>26</v>
      </c>
      <c r="Q823">
        <v>192</v>
      </c>
      <c r="R823">
        <v>4.68</v>
      </c>
      <c r="S823">
        <v>2</v>
      </c>
      <c r="T823">
        <v>200</v>
      </c>
      <c r="U823" s="2">
        <v>2442</v>
      </c>
      <c r="V823">
        <v>0</v>
      </c>
      <c r="W823" t="s">
        <v>29</v>
      </c>
      <c r="X823" t="str">
        <f>IF(Table2[[#This Row],[Qty available]]&gt;Table2[[#This Row],[Qty on hand]],"Check","OK")</f>
        <v>OK</v>
      </c>
    </row>
    <row r="824" spans="1:24" x14ac:dyDescent="0.3">
      <c r="A824" t="s">
        <v>129</v>
      </c>
      <c r="B824" t="s">
        <v>130</v>
      </c>
      <c r="C824" t="s">
        <v>77</v>
      </c>
      <c r="D824" t="s">
        <v>78</v>
      </c>
      <c r="E824" t="s">
        <v>66</v>
      </c>
      <c r="F824" s="1" t="s">
        <v>35</v>
      </c>
      <c r="G824" s="2">
        <v>8.9700000000000006</v>
      </c>
      <c r="H824">
        <v>8.9700000000000006</v>
      </c>
      <c r="I824">
        <v>8.3532139999999995</v>
      </c>
      <c r="J824">
        <v>12.21</v>
      </c>
      <c r="K824">
        <v>59</v>
      </c>
      <c r="M824">
        <v>0</v>
      </c>
      <c r="N824" s="2">
        <v>28</v>
      </c>
      <c r="O824">
        <v>233.89</v>
      </c>
      <c r="P824">
        <v>26</v>
      </c>
      <c r="Q824">
        <v>2</v>
      </c>
      <c r="R824">
        <v>0.64</v>
      </c>
      <c r="S824">
        <v>6</v>
      </c>
      <c r="T824">
        <v>190</v>
      </c>
      <c r="U824" s="2">
        <v>2319.9</v>
      </c>
      <c r="V824">
        <v>0</v>
      </c>
      <c r="W824" t="s">
        <v>29</v>
      </c>
      <c r="X824" t="str">
        <f>IF(Table2[[#This Row],[Qty available]]&gt;Table2[[#This Row],[Qty on hand]],"Check","OK")</f>
        <v>OK</v>
      </c>
    </row>
    <row r="825" spans="1:24" x14ac:dyDescent="0.3">
      <c r="A825" t="s">
        <v>129</v>
      </c>
      <c r="B825" t="s">
        <v>130</v>
      </c>
      <c r="C825" t="s">
        <v>77</v>
      </c>
      <c r="D825" t="s">
        <v>78</v>
      </c>
      <c r="E825" t="s">
        <v>66</v>
      </c>
      <c r="F825" s="1" t="s">
        <v>36</v>
      </c>
      <c r="G825" s="2">
        <v>8.82</v>
      </c>
      <c r="H825">
        <v>8.82</v>
      </c>
      <c r="I825">
        <v>8.8053139999999992</v>
      </c>
      <c r="J825">
        <v>12.21</v>
      </c>
      <c r="K825">
        <v>59</v>
      </c>
      <c r="L825" s="2">
        <v>59</v>
      </c>
      <c r="M825">
        <v>862</v>
      </c>
      <c r="N825" s="2">
        <v>542</v>
      </c>
      <c r="O825">
        <v>4772.4799999999996</v>
      </c>
      <c r="P825">
        <v>59</v>
      </c>
      <c r="Q825">
        <v>483</v>
      </c>
      <c r="R825">
        <v>9.34</v>
      </c>
      <c r="S825">
        <v>1</v>
      </c>
      <c r="T825">
        <v>348</v>
      </c>
      <c r="U825" s="2">
        <v>4249.08</v>
      </c>
      <c r="V825">
        <v>0</v>
      </c>
      <c r="W825" t="s">
        <v>29</v>
      </c>
      <c r="X825" t="str">
        <f>IF(Table2[[#This Row],[Qty available]]&gt;Table2[[#This Row],[Qty on hand]],"Check","OK")</f>
        <v>OK</v>
      </c>
    </row>
    <row r="826" spans="1:24" x14ac:dyDescent="0.3">
      <c r="A826" t="s">
        <v>129</v>
      </c>
      <c r="B826" t="s">
        <v>130</v>
      </c>
      <c r="C826" t="s">
        <v>77</v>
      </c>
      <c r="D826" t="s">
        <v>78</v>
      </c>
      <c r="E826" t="s">
        <v>66</v>
      </c>
      <c r="F826" s="1" t="s">
        <v>37</v>
      </c>
      <c r="G826" s="2">
        <v>8.86</v>
      </c>
      <c r="H826">
        <v>8.86</v>
      </c>
      <c r="I826">
        <v>8.8053279999999994</v>
      </c>
      <c r="J826">
        <v>12.21</v>
      </c>
      <c r="K826">
        <v>59</v>
      </c>
      <c r="M826">
        <v>0</v>
      </c>
      <c r="N826" s="2">
        <v>351</v>
      </c>
      <c r="O826">
        <v>3090.67</v>
      </c>
      <c r="P826">
        <v>52</v>
      </c>
      <c r="Q826">
        <v>299</v>
      </c>
      <c r="R826">
        <v>6.33</v>
      </c>
      <c r="S826">
        <v>0</v>
      </c>
      <c r="T826">
        <v>191</v>
      </c>
      <c r="U826" s="2">
        <v>2332.11</v>
      </c>
      <c r="V826">
        <v>0</v>
      </c>
      <c r="W826" t="s">
        <v>29</v>
      </c>
      <c r="X826" t="str">
        <f>IF(Table2[[#This Row],[Qty available]]&gt;Table2[[#This Row],[Qty on hand]],"Check","OK")</f>
        <v>OK</v>
      </c>
    </row>
    <row r="827" spans="1:24" x14ac:dyDescent="0.3">
      <c r="A827" t="s">
        <v>129</v>
      </c>
      <c r="B827" t="s">
        <v>130</v>
      </c>
      <c r="C827" t="s">
        <v>77</v>
      </c>
      <c r="D827" t="s">
        <v>78</v>
      </c>
      <c r="E827" t="s">
        <v>66</v>
      </c>
      <c r="F827" s="1" t="s">
        <v>38</v>
      </c>
      <c r="G827" s="2">
        <v>8.82</v>
      </c>
      <c r="H827">
        <v>8.82</v>
      </c>
      <c r="I827">
        <v>8.8102520000000002</v>
      </c>
      <c r="J827">
        <v>12.21</v>
      </c>
      <c r="K827">
        <v>59</v>
      </c>
      <c r="L827" s="2">
        <v>57</v>
      </c>
      <c r="M827">
        <v>178</v>
      </c>
      <c r="N827" s="2">
        <v>278</v>
      </c>
      <c r="O827">
        <v>2449.25</v>
      </c>
      <c r="P827">
        <v>59</v>
      </c>
      <c r="Q827">
        <v>219</v>
      </c>
      <c r="R827">
        <v>4.57</v>
      </c>
      <c r="S827">
        <v>0</v>
      </c>
      <c r="T827">
        <v>251</v>
      </c>
      <c r="U827" s="2">
        <v>3064.71</v>
      </c>
      <c r="V827">
        <v>0</v>
      </c>
      <c r="W827" t="s">
        <v>29</v>
      </c>
      <c r="X827" t="str">
        <f>IF(Table2[[#This Row],[Qty available]]&gt;Table2[[#This Row],[Qty on hand]],"Check","OK")</f>
        <v>OK</v>
      </c>
    </row>
    <row r="828" spans="1:24" x14ac:dyDescent="0.3">
      <c r="A828" t="s">
        <v>129</v>
      </c>
      <c r="B828" t="s">
        <v>130</v>
      </c>
      <c r="C828" t="s">
        <v>77</v>
      </c>
      <c r="D828" t="s">
        <v>78</v>
      </c>
      <c r="E828" t="s">
        <v>66</v>
      </c>
      <c r="F828" s="1" t="s">
        <v>39</v>
      </c>
      <c r="G828" s="2">
        <v>8.85</v>
      </c>
      <c r="H828">
        <v>8.85</v>
      </c>
      <c r="I828">
        <v>8.8297840000000001</v>
      </c>
      <c r="J828">
        <v>12.21</v>
      </c>
      <c r="K828">
        <v>59</v>
      </c>
      <c r="L828" s="2">
        <v>53</v>
      </c>
      <c r="M828">
        <v>269</v>
      </c>
      <c r="N828" s="2">
        <v>324</v>
      </c>
      <c r="O828">
        <v>2860.85</v>
      </c>
      <c r="P828">
        <v>59</v>
      </c>
      <c r="Q828">
        <v>265</v>
      </c>
      <c r="R828">
        <v>6.4</v>
      </c>
      <c r="S828">
        <v>0</v>
      </c>
      <c r="T828">
        <v>223</v>
      </c>
      <c r="U828" s="2">
        <v>2722.83</v>
      </c>
      <c r="V828">
        <v>0</v>
      </c>
      <c r="W828" t="s">
        <v>29</v>
      </c>
      <c r="X828" t="str">
        <f>IF(Table2[[#This Row],[Qty available]]&gt;Table2[[#This Row],[Qty on hand]],"Check","OK")</f>
        <v>OK</v>
      </c>
    </row>
    <row r="829" spans="1:24" x14ac:dyDescent="0.3">
      <c r="A829" t="s">
        <v>129</v>
      </c>
      <c r="B829" t="s">
        <v>130</v>
      </c>
      <c r="C829" t="s">
        <v>77</v>
      </c>
      <c r="D829" t="s">
        <v>78</v>
      </c>
      <c r="E829" t="s">
        <v>66</v>
      </c>
      <c r="F829" s="1" t="s">
        <v>40</v>
      </c>
      <c r="G829" s="2">
        <v>8.85</v>
      </c>
      <c r="H829">
        <v>8.85</v>
      </c>
      <c r="I829">
        <v>8.8369959999999992</v>
      </c>
      <c r="J829">
        <v>12.21</v>
      </c>
      <c r="K829">
        <v>59</v>
      </c>
      <c r="L829" s="2">
        <v>59</v>
      </c>
      <c r="M829">
        <v>179</v>
      </c>
      <c r="N829" s="2">
        <v>243</v>
      </c>
      <c r="O829">
        <v>2147.39</v>
      </c>
      <c r="P829">
        <v>26</v>
      </c>
      <c r="Q829">
        <v>217</v>
      </c>
      <c r="R829">
        <v>4.3499999999999996</v>
      </c>
      <c r="S829">
        <v>0</v>
      </c>
      <c r="T829">
        <v>260</v>
      </c>
      <c r="U829" s="2">
        <v>3174.6</v>
      </c>
      <c r="V829">
        <v>0</v>
      </c>
      <c r="W829" t="s">
        <v>29</v>
      </c>
      <c r="X829" t="str">
        <f>IF(Table2[[#This Row],[Qty available]]&gt;Table2[[#This Row],[Qty on hand]],"Check","OK")</f>
        <v>OK</v>
      </c>
    </row>
    <row r="830" spans="1:24" x14ac:dyDescent="0.3">
      <c r="A830" t="s">
        <v>129</v>
      </c>
      <c r="B830" t="s">
        <v>130</v>
      </c>
      <c r="C830" t="s">
        <v>77</v>
      </c>
      <c r="D830" t="s">
        <v>78</v>
      </c>
      <c r="E830" t="s">
        <v>66</v>
      </c>
      <c r="F830" s="1" t="s">
        <v>41</v>
      </c>
      <c r="G830" s="2">
        <v>9.1</v>
      </c>
      <c r="H830">
        <v>9.1</v>
      </c>
      <c r="I830">
        <v>8.9463640000000009</v>
      </c>
      <c r="J830">
        <v>12.21</v>
      </c>
      <c r="K830">
        <v>59</v>
      </c>
      <c r="L830" s="2">
        <v>54</v>
      </c>
      <c r="M830">
        <v>173</v>
      </c>
      <c r="N830" s="2">
        <v>319</v>
      </c>
      <c r="O830">
        <v>2853.89</v>
      </c>
      <c r="P830">
        <v>59</v>
      </c>
      <c r="Q830">
        <v>260</v>
      </c>
      <c r="R830">
        <v>7.23</v>
      </c>
      <c r="S830">
        <v>2</v>
      </c>
      <c r="T830">
        <v>97</v>
      </c>
      <c r="U830" s="2">
        <v>1184.3699999999999</v>
      </c>
      <c r="V830">
        <v>0</v>
      </c>
      <c r="W830" t="s">
        <v>29</v>
      </c>
      <c r="X830" t="str">
        <f>IF(Table2[[#This Row],[Qty available]]&gt;Table2[[#This Row],[Qty on hand]],"Check","OK")</f>
        <v>OK</v>
      </c>
    </row>
    <row r="831" spans="1:24" x14ac:dyDescent="0.3">
      <c r="A831" t="s">
        <v>129</v>
      </c>
      <c r="B831" t="s">
        <v>130</v>
      </c>
      <c r="C831" t="s">
        <v>77</v>
      </c>
      <c r="D831" t="s">
        <v>78</v>
      </c>
      <c r="E831" t="s">
        <v>66</v>
      </c>
      <c r="F831" s="1" t="s">
        <v>42</v>
      </c>
      <c r="G831" s="2">
        <v>8.8699999999999992</v>
      </c>
      <c r="H831">
        <v>8.8699999999999992</v>
      </c>
      <c r="I831">
        <v>8.9080650000000006</v>
      </c>
      <c r="J831">
        <v>12.21</v>
      </c>
      <c r="K831">
        <v>59</v>
      </c>
      <c r="L831" s="2">
        <v>53</v>
      </c>
      <c r="M831">
        <v>321</v>
      </c>
      <c r="N831" s="2">
        <v>398</v>
      </c>
      <c r="O831">
        <v>3545.41</v>
      </c>
      <c r="P831">
        <v>33</v>
      </c>
      <c r="Q831">
        <v>365</v>
      </c>
      <c r="R831">
        <v>8.73</v>
      </c>
      <c r="S831">
        <v>0</v>
      </c>
      <c r="T831">
        <v>242</v>
      </c>
      <c r="U831" s="2">
        <v>2954.82</v>
      </c>
      <c r="V831">
        <v>0</v>
      </c>
      <c r="W831" t="s">
        <v>29</v>
      </c>
      <c r="X831" t="str">
        <f>IF(Table2[[#This Row],[Qty available]]&gt;Table2[[#This Row],[Qty on hand]],"Check","OK")</f>
        <v>OK</v>
      </c>
    </row>
    <row r="832" spans="1:24" x14ac:dyDescent="0.3">
      <c r="A832" t="s">
        <v>129</v>
      </c>
      <c r="B832" t="s">
        <v>130</v>
      </c>
      <c r="C832" t="s">
        <v>77</v>
      </c>
      <c r="D832" t="s">
        <v>78</v>
      </c>
      <c r="E832" t="s">
        <v>66</v>
      </c>
      <c r="F832" s="1" t="s">
        <v>43</v>
      </c>
      <c r="G832" s="2">
        <v>9.0299999999999994</v>
      </c>
      <c r="H832">
        <v>9.0299999999999994</v>
      </c>
      <c r="I832">
        <v>8.9428940000000008</v>
      </c>
      <c r="J832">
        <v>12.21</v>
      </c>
      <c r="K832">
        <v>59</v>
      </c>
      <c r="L832" s="2">
        <v>54</v>
      </c>
      <c r="M832">
        <v>159</v>
      </c>
      <c r="N832" s="2">
        <v>235</v>
      </c>
      <c r="O832">
        <v>2101.58</v>
      </c>
      <c r="P832">
        <v>33</v>
      </c>
      <c r="Q832">
        <v>202</v>
      </c>
      <c r="R832">
        <v>4.62</v>
      </c>
      <c r="S832">
        <v>1</v>
      </c>
      <c r="T832">
        <v>322</v>
      </c>
      <c r="U832" s="2">
        <v>3931.62</v>
      </c>
      <c r="V832">
        <v>0</v>
      </c>
      <c r="W832" t="s">
        <v>29</v>
      </c>
      <c r="X832" t="str">
        <f>IF(Table2[[#This Row],[Qty available]]&gt;Table2[[#This Row],[Qty on hand]],"Check","OK")</f>
        <v>OK</v>
      </c>
    </row>
    <row r="833" spans="1:24" x14ac:dyDescent="0.3">
      <c r="A833" t="s">
        <v>129</v>
      </c>
      <c r="B833" t="s">
        <v>130</v>
      </c>
      <c r="C833" t="s">
        <v>77</v>
      </c>
      <c r="D833" t="s">
        <v>78</v>
      </c>
      <c r="E833" t="s">
        <v>66</v>
      </c>
      <c r="F833" s="1" t="s">
        <v>44</v>
      </c>
      <c r="G833" s="2">
        <v>9.06</v>
      </c>
      <c r="H833">
        <v>9.06</v>
      </c>
      <c r="I833">
        <v>9.0271989999999995</v>
      </c>
      <c r="J833">
        <v>12.21</v>
      </c>
      <c r="K833">
        <v>59</v>
      </c>
      <c r="L833" s="2">
        <v>58</v>
      </c>
      <c r="M833">
        <v>604</v>
      </c>
      <c r="N833" s="2">
        <v>714</v>
      </c>
      <c r="O833">
        <v>6445.42</v>
      </c>
      <c r="P833">
        <v>66</v>
      </c>
      <c r="Q833">
        <v>648</v>
      </c>
      <c r="R833">
        <v>13.62</v>
      </c>
      <c r="S833">
        <v>4</v>
      </c>
      <c r="T833">
        <v>125</v>
      </c>
      <c r="U833" s="2">
        <v>1526.25</v>
      </c>
      <c r="V833">
        <v>0</v>
      </c>
      <c r="W833" t="s">
        <v>29</v>
      </c>
      <c r="X833" t="str">
        <f>IF(Table2[[#This Row],[Qty available]]&gt;Table2[[#This Row],[Qty on hand]],"Check","OK")</f>
        <v>OK</v>
      </c>
    </row>
    <row r="834" spans="1:24" x14ac:dyDescent="0.3">
      <c r="A834" t="s">
        <v>129</v>
      </c>
      <c r="B834" t="s">
        <v>130</v>
      </c>
      <c r="C834" t="s">
        <v>77</v>
      </c>
      <c r="D834" t="s">
        <v>78</v>
      </c>
      <c r="E834" t="s">
        <v>66</v>
      </c>
      <c r="F834" s="1" t="s">
        <v>45</v>
      </c>
      <c r="G834" s="2">
        <v>8.94</v>
      </c>
      <c r="H834">
        <v>8.94</v>
      </c>
      <c r="I834">
        <v>9.0272100000000002</v>
      </c>
      <c r="J834">
        <v>12.21</v>
      </c>
      <c r="K834">
        <v>59</v>
      </c>
      <c r="M834">
        <v>0</v>
      </c>
      <c r="N834" s="2">
        <v>423</v>
      </c>
      <c r="O834">
        <v>3818.51</v>
      </c>
      <c r="P834">
        <v>59</v>
      </c>
      <c r="Q834">
        <v>364</v>
      </c>
      <c r="R834">
        <v>7.53</v>
      </c>
      <c r="S834">
        <v>1</v>
      </c>
      <c r="T834">
        <v>291</v>
      </c>
      <c r="U834" s="2">
        <v>3553.11</v>
      </c>
      <c r="V834">
        <v>0</v>
      </c>
      <c r="W834" t="s">
        <v>29</v>
      </c>
      <c r="X834" t="str">
        <f>IF(Table2[[#This Row],[Qty available]]&gt;Table2[[#This Row],[Qty on hand]],"Check","OK")</f>
        <v>OK</v>
      </c>
    </row>
    <row r="835" spans="1:24" x14ac:dyDescent="0.3">
      <c r="A835" t="s">
        <v>129</v>
      </c>
      <c r="B835" t="s">
        <v>130</v>
      </c>
      <c r="C835" t="s">
        <v>77</v>
      </c>
      <c r="D835" t="s">
        <v>78</v>
      </c>
      <c r="E835" t="s">
        <v>66</v>
      </c>
      <c r="F835" s="1" t="s">
        <v>46</v>
      </c>
      <c r="G835" s="2">
        <v>8.8699999999999992</v>
      </c>
      <c r="H835">
        <v>8.8699999999999992</v>
      </c>
      <c r="I835">
        <v>8.9795639999999999</v>
      </c>
      <c r="J835">
        <v>12.73</v>
      </c>
      <c r="K835">
        <v>59</v>
      </c>
      <c r="L835" s="2">
        <v>57</v>
      </c>
      <c r="M835">
        <v>184</v>
      </c>
      <c r="N835" s="2">
        <v>528</v>
      </c>
      <c r="O835">
        <v>4741.21</v>
      </c>
      <c r="P835">
        <v>46</v>
      </c>
      <c r="Q835">
        <v>482</v>
      </c>
      <c r="R835">
        <v>13.71</v>
      </c>
      <c r="S835">
        <v>2</v>
      </c>
      <c r="T835">
        <v>79</v>
      </c>
      <c r="U835" s="2">
        <v>1005.67</v>
      </c>
      <c r="V835">
        <v>0</v>
      </c>
      <c r="W835" t="s">
        <v>29</v>
      </c>
      <c r="X835" t="str">
        <f>IF(Table2[[#This Row],[Qty available]]&gt;Table2[[#This Row],[Qty on hand]],"Check","OK")</f>
        <v>OK</v>
      </c>
    </row>
    <row r="836" spans="1:24" x14ac:dyDescent="0.3">
      <c r="A836" t="s">
        <v>129</v>
      </c>
      <c r="B836" t="s">
        <v>130</v>
      </c>
      <c r="C836" t="s">
        <v>77</v>
      </c>
      <c r="D836" t="s">
        <v>78</v>
      </c>
      <c r="E836" t="s">
        <v>66</v>
      </c>
      <c r="F836" s="1" t="s">
        <v>47</v>
      </c>
      <c r="G836" s="2">
        <v>9.5399999999999991</v>
      </c>
      <c r="H836">
        <v>9.5399999999999991</v>
      </c>
      <c r="I836">
        <v>9.2104739999999996</v>
      </c>
      <c r="J836">
        <v>12.73</v>
      </c>
      <c r="K836">
        <v>59</v>
      </c>
      <c r="L836" s="2">
        <v>56</v>
      </c>
      <c r="M836">
        <v>370</v>
      </c>
      <c r="N836" s="2">
        <v>633</v>
      </c>
      <c r="O836">
        <v>5830.23</v>
      </c>
      <c r="P836">
        <v>33</v>
      </c>
      <c r="Q836">
        <v>600</v>
      </c>
      <c r="R836">
        <v>12.82</v>
      </c>
      <c r="S836">
        <v>0</v>
      </c>
      <c r="T836">
        <v>265</v>
      </c>
      <c r="U836" s="2">
        <v>3373.45</v>
      </c>
      <c r="V836">
        <v>0</v>
      </c>
      <c r="W836" t="s">
        <v>29</v>
      </c>
      <c r="X836" t="str">
        <f>IF(Table2[[#This Row],[Qty available]]&gt;Table2[[#This Row],[Qty on hand]],"Check","OK")</f>
        <v>OK</v>
      </c>
    </row>
    <row r="837" spans="1:24" x14ac:dyDescent="0.3">
      <c r="A837" t="s">
        <v>129</v>
      </c>
      <c r="B837" t="s">
        <v>130</v>
      </c>
      <c r="C837" t="s">
        <v>77</v>
      </c>
      <c r="D837" t="s">
        <v>78</v>
      </c>
      <c r="E837" t="s">
        <v>66</v>
      </c>
      <c r="F837" s="1" t="s">
        <v>48</v>
      </c>
      <c r="G837" s="2">
        <v>9.3699999999999992</v>
      </c>
      <c r="H837">
        <v>9.3699999999999992</v>
      </c>
      <c r="I837">
        <v>9.2104630000000007</v>
      </c>
      <c r="J837">
        <v>12.73</v>
      </c>
      <c r="K837">
        <v>59</v>
      </c>
      <c r="M837">
        <v>0</v>
      </c>
      <c r="N837" s="2">
        <v>389</v>
      </c>
      <c r="O837">
        <v>3582.87</v>
      </c>
      <c r="P837">
        <v>26</v>
      </c>
      <c r="Q837">
        <v>363</v>
      </c>
      <c r="R837">
        <v>8.41</v>
      </c>
      <c r="S837">
        <v>3</v>
      </c>
      <c r="T837">
        <v>244</v>
      </c>
      <c r="U837" s="2">
        <v>3106.12</v>
      </c>
      <c r="V837">
        <v>0</v>
      </c>
      <c r="W837" t="s">
        <v>29</v>
      </c>
      <c r="X837" t="str">
        <f>IF(Table2[[#This Row],[Qty available]]&gt;Table2[[#This Row],[Qty on hand]],"Check","OK")</f>
        <v>OK</v>
      </c>
    </row>
    <row r="838" spans="1:24" x14ac:dyDescent="0.3">
      <c r="A838" t="s">
        <v>129</v>
      </c>
      <c r="B838" t="s">
        <v>130</v>
      </c>
      <c r="C838" t="s">
        <v>77</v>
      </c>
      <c r="D838" t="s">
        <v>78</v>
      </c>
      <c r="E838" t="s">
        <v>66</v>
      </c>
      <c r="F838" s="1" t="s">
        <v>49</v>
      </c>
      <c r="G838" s="2">
        <v>9.49</v>
      </c>
      <c r="H838">
        <v>9.49</v>
      </c>
      <c r="I838">
        <v>9.2104649999999992</v>
      </c>
      <c r="J838">
        <v>12.73</v>
      </c>
      <c r="K838">
        <v>59</v>
      </c>
      <c r="M838">
        <v>0</v>
      </c>
      <c r="N838" s="2">
        <v>301</v>
      </c>
      <c r="O838">
        <v>2772.35</v>
      </c>
      <c r="P838">
        <v>59</v>
      </c>
      <c r="Q838">
        <v>242</v>
      </c>
      <c r="R838">
        <v>6.63</v>
      </c>
      <c r="S838">
        <v>0</v>
      </c>
      <c r="T838">
        <v>88</v>
      </c>
      <c r="U838" s="2">
        <v>1120.24</v>
      </c>
      <c r="V838">
        <v>0</v>
      </c>
      <c r="W838" t="s">
        <v>29</v>
      </c>
      <c r="X838" t="str">
        <f>IF(Table2[[#This Row],[Qty available]]&gt;Table2[[#This Row],[Qty on hand]],"Check","OK")</f>
        <v>OK</v>
      </c>
    </row>
    <row r="839" spans="1:24" x14ac:dyDescent="0.3">
      <c r="A839" t="s">
        <v>129</v>
      </c>
      <c r="B839" t="s">
        <v>130</v>
      </c>
      <c r="C839" t="s">
        <v>77</v>
      </c>
      <c r="D839" t="s">
        <v>78</v>
      </c>
      <c r="E839" t="s">
        <v>66</v>
      </c>
      <c r="F839" s="1" t="s">
        <v>50</v>
      </c>
      <c r="G839" s="2">
        <v>9.6199999999999992</v>
      </c>
      <c r="H839">
        <v>9.6199999999999992</v>
      </c>
      <c r="I839">
        <v>9.4384499999999996</v>
      </c>
      <c r="J839">
        <v>12.73</v>
      </c>
      <c r="K839">
        <v>59</v>
      </c>
      <c r="L839" s="2">
        <v>85</v>
      </c>
      <c r="M839">
        <v>378</v>
      </c>
      <c r="N839" s="2">
        <v>529</v>
      </c>
      <c r="O839">
        <v>4992.9399999999996</v>
      </c>
      <c r="P839">
        <v>39</v>
      </c>
      <c r="Q839">
        <v>490</v>
      </c>
      <c r="R839">
        <v>14.27</v>
      </c>
      <c r="S839">
        <v>0</v>
      </c>
      <c r="T839">
        <v>150</v>
      </c>
      <c r="U839" s="2">
        <v>1909.5</v>
      </c>
      <c r="V839">
        <v>0</v>
      </c>
      <c r="W839" t="s">
        <v>29</v>
      </c>
      <c r="X839" t="str">
        <f>IF(Table2[[#This Row],[Qty available]]&gt;Table2[[#This Row],[Qty on hand]],"Check","OK")</f>
        <v>OK</v>
      </c>
    </row>
    <row r="840" spans="1:24" x14ac:dyDescent="0.3">
      <c r="A840" t="s">
        <v>129</v>
      </c>
      <c r="B840" t="s">
        <v>130</v>
      </c>
      <c r="C840" t="s">
        <v>77</v>
      </c>
      <c r="D840" t="s">
        <v>78</v>
      </c>
      <c r="E840" t="s">
        <v>66</v>
      </c>
      <c r="F840" s="1" t="s">
        <v>51</v>
      </c>
      <c r="G840" s="2">
        <v>9.7100000000000009</v>
      </c>
      <c r="H840">
        <v>9.7100000000000009</v>
      </c>
      <c r="I840">
        <v>9.5236900000000002</v>
      </c>
      <c r="J840">
        <v>12.73</v>
      </c>
      <c r="K840">
        <v>59</v>
      </c>
      <c r="L840" s="2">
        <v>59</v>
      </c>
      <c r="M840">
        <v>242</v>
      </c>
      <c r="N840" s="2">
        <v>580</v>
      </c>
      <c r="O840">
        <v>5523.74</v>
      </c>
      <c r="P840">
        <v>13</v>
      </c>
      <c r="Q840">
        <v>567</v>
      </c>
      <c r="R840">
        <v>17.77</v>
      </c>
      <c r="S840">
        <v>3</v>
      </c>
      <c r="T840">
        <v>191</v>
      </c>
      <c r="U840" s="2">
        <v>2431.4299999999998</v>
      </c>
      <c r="V840">
        <v>0</v>
      </c>
      <c r="W840" t="s">
        <v>29</v>
      </c>
      <c r="X840" t="str">
        <f>IF(Table2[[#This Row],[Qty available]]&gt;Table2[[#This Row],[Qty on hand]],"Check","OK")</f>
        <v>OK</v>
      </c>
    </row>
    <row r="841" spans="1:24" x14ac:dyDescent="0.3">
      <c r="A841" t="s">
        <v>129</v>
      </c>
      <c r="B841" t="s">
        <v>130</v>
      </c>
      <c r="C841" t="s">
        <v>77</v>
      </c>
      <c r="D841" t="s">
        <v>78</v>
      </c>
      <c r="E841" t="s">
        <v>66</v>
      </c>
      <c r="F841" s="1" t="s">
        <v>52</v>
      </c>
      <c r="G841" s="2">
        <v>9.3699999999999992</v>
      </c>
      <c r="H841">
        <v>9.3699999999999992</v>
      </c>
      <c r="I841">
        <v>9.523676</v>
      </c>
      <c r="J841">
        <v>12.73</v>
      </c>
      <c r="K841">
        <v>59</v>
      </c>
      <c r="M841">
        <v>0</v>
      </c>
      <c r="N841" s="2">
        <v>321</v>
      </c>
      <c r="O841">
        <v>3057.1</v>
      </c>
      <c r="P841">
        <v>52</v>
      </c>
      <c r="Q841">
        <v>269</v>
      </c>
      <c r="R841">
        <v>7.03</v>
      </c>
      <c r="S841">
        <v>0</v>
      </c>
      <c r="T841">
        <v>259</v>
      </c>
      <c r="U841" s="2">
        <v>3297.07</v>
      </c>
      <c r="V841">
        <v>0</v>
      </c>
      <c r="W841" t="s">
        <v>29</v>
      </c>
      <c r="X841" t="str">
        <f>IF(Table2[[#This Row],[Qty available]]&gt;Table2[[#This Row],[Qty on hand]],"Check","OK")</f>
        <v>OK</v>
      </c>
    </row>
    <row r="842" spans="1:24" x14ac:dyDescent="0.3">
      <c r="A842" t="s">
        <v>131</v>
      </c>
      <c r="B842" t="s">
        <v>132</v>
      </c>
      <c r="C842" t="s">
        <v>57</v>
      </c>
      <c r="D842" t="s">
        <v>58</v>
      </c>
      <c r="E842" t="s">
        <v>27</v>
      </c>
      <c r="F842" s="1" t="s">
        <v>28</v>
      </c>
      <c r="G842" s="2">
        <v>379.83</v>
      </c>
      <c r="H842">
        <v>379.83</v>
      </c>
      <c r="I842">
        <v>380.64977299999998</v>
      </c>
      <c r="J842">
        <v>545.04</v>
      </c>
      <c r="K842">
        <v>40</v>
      </c>
      <c r="L842" s="2">
        <v>36</v>
      </c>
      <c r="M842">
        <v>69</v>
      </c>
      <c r="N842" s="2">
        <v>44</v>
      </c>
      <c r="O842">
        <v>16748.59</v>
      </c>
      <c r="P842">
        <v>8</v>
      </c>
      <c r="Q842">
        <v>36</v>
      </c>
      <c r="R842">
        <v>6.29</v>
      </c>
      <c r="S842">
        <v>2</v>
      </c>
      <c r="T842">
        <v>39</v>
      </c>
      <c r="U842" s="2">
        <v>21256.560000000001</v>
      </c>
      <c r="V842">
        <v>0</v>
      </c>
      <c r="W842" t="s">
        <v>29</v>
      </c>
      <c r="X842" t="str">
        <f>IF(Table2[[#This Row],[Qty available]]&gt;Table2[[#This Row],[Qty on hand]],"Check","OK")</f>
        <v>OK</v>
      </c>
    </row>
    <row r="843" spans="1:24" x14ac:dyDescent="0.3">
      <c r="A843" t="s">
        <v>131</v>
      </c>
      <c r="B843" t="s">
        <v>132</v>
      </c>
      <c r="C843" t="s">
        <v>57</v>
      </c>
      <c r="D843" t="s">
        <v>58</v>
      </c>
      <c r="E843" t="s">
        <v>27</v>
      </c>
      <c r="F843" s="1" t="s">
        <v>30</v>
      </c>
      <c r="G843" s="2">
        <v>392.52</v>
      </c>
      <c r="H843">
        <v>392.52</v>
      </c>
      <c r="I843">
        <v>385.462041</v>
      </c>
      <c r="J843">
        <v>545.04</v>
      </c>
      <c r="K843">
        <v>40</v>
      </c>
      <c r="L843" s="2">
        <v>39</v>
      </c>
      <c r="M843">
        <v>30</v>
      </c>
      <c r="N843" s="2">
        <v>49</v>
      </c>
      <c r="O843">
        <v>18887.64</v>
      </c>
      <c r="P843">
        <v>4</v>
      </c>
      <c r="Q843">
        <v>45</v>
      </c>
      <c r="R843">
        <v>7.49</v>
      </c>
      <c r="S843">
        <v>4</v>
      </c>
      <c r="T843">
        <v>25</v>
      </c>
      <c r="U843" s="2">
        <v>13626</v>
      </c>
      <c r="V843">
        <v>0</v>
      </c>
      <c r="W843" t="s">
        <v>29</v>
      </c>
      <c r="X843" t="str">
        <f>IF(Table2[[#This Row],[Qty available]]&gt;Table2[[#This Row],[Qty on hand]],"Check","OK")</f>
        <v>OK</v>
      </c>
    </row>
    <row r="844" spans="1:24" x14ac:dyDescent="0.3">
      <c r="A844" t="s">
        <v>131</v>
      </c>
      <c r="B844" t="s">
        <v>132</v>
      </c>
      <c r="C844" t="s">
        <v>57</v>
      </c>
      <c r="D844" t="s">
        <v>58</v>
      </c>
      <c r="E844" t="s">
        <v>27</v>
      </c>
      <c r="F844" s="1" t="s">
        <v>31</v>
      </c>
      <c r="G844" s="2">
        <v>392.55</v>
      </c>
      <c r="H844">
        <v>392.55</v>
      </c>
      <c r="I844">
        <v>387.98015199999998</v>
      </c>
      <c r="J844">
        <v>545.04</v>
      </c>
      <c r="K844">
        <v>40</v>
      </c>
      <c r="L844" s="2">
        <v>34</v>
      </c>
      <c r="M844">
        <v>27</v>
      </c>
      <c r="N844" s="2">
        <v>66</v>
      </c>
      <c r="O844">
        <v>25606.69</v>
      </c>
      <c r="P844">
        <v>9</v>
      </c>
      <c r="Q844">
        <v>57</v>
      </c>
      <c r="R844">
        <v>11.59</v>
      </c>
      <c r="S844">
        <v>2</v>
      </c>
      <c r="T844">
        <v>10</v>
      </c>
      <c r="U844" s="2">
        <v>5450.4</v>
      </c>
      <c r="V844">
        <v>0</v>
      </c>
      <c r="W844" t="s">
        <v>29</v>
      </c>
      <c r="X844" t="str">
        <f>IF(Table2[[#This Row],[Qty available]]&gt;Table2[[#This Row],[Qty on hand]],"Check","OK")</f>
        <v>OK</v>
      </c>
    </row>
    <row r="845" spans="1:24" x14ac:dyDescent="0.3">
      <c r="A845" t="s">
        <v>131</v>
      </c>
      <c r="B845" t="s">
        <v>132</v>
      </c>
      <c r="C845" t="s">
        <v>57</v>
      </c>
      <c r="D845" t="s">
        <v>58</v>
      </c>
      <c r="E845" t="s">
        <v>27</v>
      </c>
      <c r="F845" s="1" t="s">
        <v>32</v>
      </c>
      <c r="G845" s="2">
        <v>387.45</v>
      </c>
      <c r="H845">
        <v>387.45</v>
      </c>
      <c r="I845">
        <v>387.82621599999999</v>
      </c>
      <c r="J845">
        <v>545.04</v>
      </c>
      <c r="K845">
        <v>40</v>
      </c>
      <c r="L845" s="2">
        <v>34</v>
      </c>
      <c r="M845">
        <v>27</v>
      </c>
      <c r="N845" s="2">
        <v>74</v>
      </c>
      <c r="O845">
        <v>28699.14</v>
      </c>
      <c r="P845">
        <v>5</v>
      </c>
      <c r="Q845">
        <v>69</v>
      </c>
      <c r="R845">
        <v>18.010000000000002</v>
      </c>
      <c r="S845">
        <v>19</v>
      </c>
      <c r="T845">
        <v>19</v>
      </c>
      <c r="U845" s="2">
        <v>10355.76</v>
      </c>
      <c r="V845">
        <v>0</v>
      </c>
      <c r="W845" t="s">
        <v>29</v>
      </c>
      <c r="X845" t="str">
        <f>IF(Table2[[#This Row],[Qty available]]&gt;Table2[[#This Row],[Qty on hand]],"Check","OK")</f>
        <v>OK</v>
      </c>
    </row>
    <row r="846" spans="1:24" x14ac:dyDescent="0.3">
      <c r="A846" t="s">
        <v>131</v>
      </c>
      <c r="B846" t="s">
        <v>132</v>
      </c>
      <c r="C846" t="s">
        <v>57</v>
      </c>
      <c r="D846" t="s">
        <v>58</v>
      </c>
      <c r="E846" t="s">
        <v>27</v>
      </c>
      <c r="F846" s="1" t="s">
        <v>33</v>
      </c>
      <c r="G846" s="2">
        <v>406.82</v>
      </c>
      <c r="H846">
        <v>406.82</v>
      </c>
      <c r="I846">
        <v>387.82625000000002</v>
      </c>
      <c r="J846">
        <v>545.04</v>
      </c>
      <c r="K846">
        <v>40</v>
      </c>
      <c r="M846">
        <v>0</v>
      </c>
      <c r="N846" s="2">
        <v>40</v>
      </c>
      <c r="O846">
        <v>15513.05</v>
      </c>
      <c r="P846">
        <v>8</v>
      </c>
      <c r="Q846">
        <v>32</v>
      </c>
      <c r="R846">
        <v>8.34</v>
      </c>
      <c r="S846">
        <v>2</v>
      </c>
      <c r="T846">
        <v>34</v>
      </c>
      <c r="U846" s="2">
        <v>18531.36</v>
      </c>
      <c r="V846">
        <v>0</v>
      </c>
      <c r="W846" t="s">
        <v>29</v>
      </c>
      <c r="X846" t="str">
        <f>IF(Table2[[#This Row],[Qty available]]&gt;Table2[[#This Row],[Qty on hand]],"Check","OK")</f>
        <v>OK</v>
      </c>
    </row>
    <row r="847" spans="1:24" x14ac:dyDescent="0.3">
      <c r="A847" t="s">
        <v>131</v>
      </c>
      <c r="B847" t="s">
        <v>132</v>
      </c>
      <c r="C847" t="s">
        <v>57</v>
      </c>
      <c r="D847" t="s">
        <v>58</v>
      </c>
      <c r="E847" t="s">
        <v>27</v>
      </c>
      <c r="F847" s="1" t="s">
        <v>34</v>
      </c>
      <c r="G847" s="2">
        <v>406.83</v>
      </c>
      <c r="H847">
        <v>406.83</v>
      </c>
      <c r="I847">
        <v>396.41703699999999</v>
      </c>
      <c r="J847">
        <v>572.66</v>
      </c>
      <c r="K847">
        <v>40</v>
      </c>
      <c r="L847" s="2">
        <v>37</v>
      </c>
      <c r="M847">
        <v>33</v>
      </c>
      <c r="N847" s="2">
        <v>54</v>
      </c>
      <c r="O847">
        <v>21406.52</v>
      </c>
      <c r="P847">
        <v>8</v>
      </c>
      <c r="Q847">
        <v>46</v>
      </c>
      <c r="R847">
        <v>9.64</v>
      </c>
      <c r="S847">
        <v>14</v>
      </c>
      <c r="T847">
        <v>19</v>
      </c>
      <c r="U847" s="2">
        <v>10880.54</v>
      </c>
      <c r="V847">
        <v>0</v>
      </c>
      <c r="W847" t="s">
        <v>29</v>
      </c>
      <c r="X847" t="str">
        <f>IF(Table2[[#This Row],[Qty available]]&gt;Table2[[#This Row],[Qty on hand]],"Check","OK")</f>
        <v>OK</v>
      </c>
    </row>
    <row r="848" spans="1:24" x14ac:dyDescent="0.3">
      <c r="A848" t="s">
        <v>131</v>
      </c>
      <c r="B848" t="s">
        <v>132</v>
      </c>
      <c r="C848" t="s">
        <v>57</v>
      </c>
      <c r="D848" t="s">
        <v>58</v>
      </c>
      <c r="E848" t="s">
        <v>27</v>
      </c>
      <c r="F848" s="1" t="s">
        <v>35</v>
      </c>
      <c r="G848" s="2">
        <v>401.82</v>
      </c>
      <c r="H848">
        <v>401.82</v>
      </c>
      <c r="I848">
        <v>398.21800000000002</v>
      </c>
      <c r="J848">
        <v>572.66</v>
      </c>
      <c r="K848">
        <v>40</v>
      </c>
      <c r="L848" s="2">
        <v>36</v>
      </c>
      <c r="M848">
        <v>27</v>
      </c>
      <c r="N848" s="2">
        <v>65</v>
      </c>
      <c r="O848">
        <v>25884.17</v>
      </c>
      <c r="P848">
        <v>6</v>
      </c>
      <c r="Q848">
        <v>59</v>
      </c>
      <c r="R848">
        <v>12.11</v>
      </c>
      <c r="S848">
        <v>5</v>
      </c>
      <c r="T848">
        <v>16</v>
      </c>
      <c r="U848" s="2">
        <v>9162.56</v>
      </c>
      <c r="V848">
        <v>0</v>
      </c>
      <c r="W848" t="s">
        <v>29</v>
      </c>
      <c r="X848" t="str">
        <f>IF(Table2[[#This Row],[Qty available]]&gt;Table2[[#This Row],[Qty on hand]],"Check","OK")</f>
        <v>OK</v>
      </c>
    </row>
    <row r="849" spans="1:24" x14ac:dyDescent="0.3">
      <c r="A849" t="s">
        <v>131</v>
      </c>
      <c r="B849" t="s">
        <v>132</v>
      </c>
      <c r="C849" t="s">
        <v>57</v>
      </c>
      <c r="D849" t="s">
        <v>58</v>
      </c>
      <c r="E849" t="s">
        <v>27</v>
      </c>
      <c r="F849" s="1" t="s">
        <v>36</v>
      </c>
      <c r="G849" s="2">
        <v>404.34</v>
      </c>
      <c r="H849">
        <v>404.34</v>
      </c>
      <c r="I849">
        <v>400.01459999999997</v>
      </c>
      <c r="J849">
        <v>572.66</v>
      </c>
      <c r="K849">
        <v>40</v>
      </c>
      <c r="L849" s="2">
        <v>35</v>
      </c>
      <c r="M849">
        <v>27</v>
      </c>
      <c r="N849" s="2">
        <v>50</v>
      </c>
      <c r="O849">
        <v>20000.73</v>
      </c>
      <c r="P849">
        <v>3</v>
      </c>
      <c r="Q849">
        <v>47</v>
      </c>
      <c r="R849">
        <v>8.26</v>
      </c>
      <c r="S849">
        <v>2</v>
      </c>
      <c r="T849">
        <v>42</v>
      </c>
      <c r="U849" s="2">
        <v>24051.72</v>
      </c>
      <c r="V849">
        <v>0</v>
      </c>
      <c r="W849" t="s">
        <v>29</v>
      </c>
      <c r="X849" t="str">
        <f>IF(Table2[[#This Row],[Qty available]]&gt;Table2[[#This Row],[Qty on hand]],"Check","OK")</f>
        <v>OK</v>
      </c>
    </row>
    <row r="850" spans="1:24" x14ac:dyDescent="0.3">
      <c r="A850" t="s">
        <v>131</v>
      </c>
      <c r="B850" t="s">
        <v>132</v>
      </c>
      <c r="C850" t="s">
        <v>57</v>
      </c>
      <c r="D850" t="s">
        <v>58</v>
      </c>
      <c r="E850" t="s">
        <v>27</v>
      </c>
      <c r="F850" s="1" t="s">
        <v>37</v>
      </c>
      <c r="G850" s="2">
        <v>399.13</v>
      </c>
      <c r="H850">
        <v>399.13</v>
      </c>
      <c r="I850">
        <v>399.704407</v>
      </c>
      <c r="J850">
        <v>572.66</v>
      </c>
      <c r="K850">
        <v>40</v>
      </c>
      <c r="L850" s="2">
        <v>36</v>
      </c>
      <c r="M850">
        <v>27</v>
      </c>
      <c r="N850" s="2">
        <v>59</v>
      </c>
      <c r="O850">
        <v>23582.560000000001</v>
      </c>
      <c r="P850">
        <v>5</v>
      </c>
      <c r="Q850">
        <v>54</v>
      </c>
      <c r="R850">
        <v>10.199999999999999</v>
      </c>
      <c r="S850">
        <v>2</v>
      </c>
      <c r="T850">
        <v>18</v>
      </c>
      <c r="U850" s="2">
        <v>10307.879999999999</v>
      </c>
      <c r="V850">
        <v>0</v>
      </c>
      <c r="W850" t="s">
        <v>29</v>
      </c>
      <c r="X850" t="str">
        <f>IF(Table2[[#This Row],[Qty available]]&gt;Table2[[#This Row],[Qty on hand]],"Check","OK")</f>
        <v>OK</v>
      </c>
    </row>
    <row r="851" spans="1:24" x14ac:dyDescent="0.3">
      <c r="A851" t="s">
        <v>131</v>
      </c>
      <c r="B851" t="s">
        <v>132</v>
      </c>
      <c r="C851" t="s">
        <v>57</v>
      </c>
      <c r="D851" t="s">
        <v>58</v>
      </c>
      <c r="E851" t="s">
        <v>27</v>
      </c>
      <c r="F851" s="1" t="s">
        <v>38</v>
      </c>
      <c r="G851" s="2">
        <v>396.54</v>
      </c>
      <c r="H851">
        <v>396.54</v>
      </c>
      <c r="I851">
        <v>398.71087499999999</v>
      </c>
      <c r="J851">
        <v>572.66</v>
      </c>
      <c r="K851">
        <v>40</v>
      </c>
      <c r="L851" s="2">
        <v>38</v>
      </c>
      <c r="M851">
        <v>27</v>
      </c>
      <c r="N851" s="2">
        <v>80</v>
      </c>
      <c r="O851">
        <v>31896.87</v>
      </c>
      <c r="P851">
        <v>8</v>
      </c>
      <c r="Q851">
        <v>72</v>
      </c>
      <c r="R851">
        <v>15.76</v>
      </c>
      <c r="S851">
        <v>13</v>
      </c>
      <c r="T851">
        <v>6</v>
      </c>
      <c r="U851" s="2">
        <v>3435.96</v>
      </c>
      <c r="V851">
        <v>0</v>
      </c>
      <c r="W851" t="s">
        <v>29</v>
      </c>
      <c r="X851" t="str">
        <f>IF(Table2[[#This Row],[Qty available]]&gt;Table2[[#This Row],[Qty on hand]],"Check","OK")</f>
        <v>OK</v>
      </c>
    </row>
    <row r="852" spans="1:24" x14ac:dyDescent="0.3">
      <c r="A852" t="s">
        <v>131</v>
      </c>
      <c r="B852" t="s">
        <v>132</v>
      </c>
      <c r="C852" t="s">
        <v>57</v>
      </c>
      <c r="D852" t="s">
        <v>58</v>
      </c>
      <c r="E852" t="s">
        <v>27</v>
      </c>
      <c r="F852" s="1" t="s">
        <v>39</v>
      </c>
      <c r="G852" s="2">
        <v>406.49</v>
      </c>
      <c r="H852">
        <v>406.49</v>
      </c>
      <c r="I852">
        <v>398.71083299999998</v>
      </c>
      <c r="J852">
        <v>572.66</v>
      </c>
      <c r="K852">
        <v>40</v>
      </c>
      <c r="M852">
        <v>0</v>
      </c>
      <c r="N852" s="2">
        <v>48</v>
      </c>
      <c r="O852">
        <v>19138.12</v>
      </c>
      <c r="P852">
        <v>2</v>
      </c>
      <c r="Q852">
        <v>46</v>
      </c>
      <c r="R852">
        <v>11.27</v>
      </c>
      <c r="S852">
        <v>5</v>
      </c>
      <c r="T852">
        <v>32</v>
      </c>
      <c r="U852" s="2">
        <v>18325.12</v>
      </c>
      <c r="V852">
        <v>0</v>
      </c>
      <c r="W852" t="s">
        <v>29</v>
      </c>
      <c r="X852" t="str">
        <f>IF(Table2[[#This Row],[Qty available]]&gt;Table2[[#This Row],[Qty on hand]],"Check","OK")</f>
        <v>OK</v>
      </c>
    </row>
    <row r="853" spans="1:24" x14ac:dyDescent="0.3">
      <c r="A853" t="s">
        <v>131</v>
      </c>
      <c r="B853" t="s">
        <v>132</v>
      </c>
      <c r="C853" t="s">
        <v>57</v>
      </c>
      <c r="D853" t="s">
        <v>58</v>
      </c>
      <c r="E853" t="s">
        <v>27</v>
      </c>
      <c r="F853" s="1" t="s">
        <v>40</v>
      </c>
      <c r="G853" s="2">
        <v>394.54</v>
      </c>
      <c r="H853">
        <v>394.54</v>
      </c>
      <c r="I853">
        <v>396.78938299999999</v>
      </c>
      <c r="J853">
        <v>572.66</v>
      </c>
      <c r="K853">
        <v>40</v>
      </c>
      <c r="L853" s="2">
        <v>38</v>
      </c>
      <c r="M853">
        <v>41</v>
      </c>
      <c r="N853" s="2">
        <v>81</v>
      </c>
      <c r="O853">
        <v>32139.94</v>
      </c>
      <c r="P853">
        <v>7</v>
      </c>
      <c r="Q853">
        <v>74</v>
      </c>
      <c r="R853">
        <v>23.14</v>
      </c>
      <c r="S853">
        <v>2</v>
      </c>
      <c r="T853">
        <v>8</v>
      </c>
      <c r="U853" s="2">
        <v>4581.28</v>
      </c>
      <c r="V853">
        <v>0</v>
      </c>
      <c r="W853" t="s">
        <v>29</v>
      </c>
      <c r="X853" t="str">
        <f>IF(Table2[[#This Row],[Qty available]]&gt;Table2[[#This Row],[Qty on hand]],"Check","OK")</f>
        <v>OK</v>
      </c>
    </row>
    <row r="854" spans="1:24" x14ac:dyDescent="0.3">
      <c r="A854" t="s">
        <v>131</v>
      </c>
      <c r="B854" t="s">
        <v>132</v>
      </c>
      <c r="C854" t="s">
        <v>57</v>
      </c>
      <c r="D854" t="s">
        <v>58</v>
      </c>
      <c r="E854" t="s">
        <v>27</v>
      </c>
      <c r="F854" s="1" t="s">
        <v>41</v>
      </c>
      <c r="G854" s="2">
        <v>408.73</v>
      </c>
      <c r="H854">
        <v>408.73</v>
      </c>
      <c r="I854">
        <v>401.05393600000002</v>
      </c>
      <c r="J854">
        <v>572.66</v>
      </c>
      <c r="K854">
        <v>40</v>
      </c>
      <c r="L854" s="2">
        <v>35</v>
      </c>
      <c r="M854">
        <v>45</v>
      </c>
      <c r="N854" s="2">
        <v>94</v>
      </c>
      <c r="O854">
        <v>37699.07</v>
      </c>
      <c r="P854">
        <v>9</v>
      </c>
      <c r="Q854">
        <v>85</v>
      </c>
      <c r="R854">
        <v>17.16</v>
      </c>
      <c r="S854">
        <v>3</v>
      </c>
      <c r="T854">
        <v>32</v>
      </c>
      <c r="U854" s="2">
        <v>18325.12</v>
      </c>
      <c r="V854">
        <v>0</v>
      </c>
      <c r="W854" t="s">
        <v>29</v>
      </c>
      <c r="X854" t="str">
        <f>IF(Table2[[#This Row],[Qty available]]&gt;Table2[[#This Row],[Qty on hand]],"Check","OK")</f>
        <v>OK</v>
      </c>
    </row>
    <row r="855" spans="1:24" x14ac:dyDescent="0.3">
      <c r="A855" t="s">
        <v>131</v>
      </c>
      <c r="B855" t="s">
        <v>132</v>
      </c>
      <c r="C855" t="s">
        <v>57</v>
      </c>
      <c r="D855" t="s">
        <v>58</v>
      </c>
      <c r="E855" t="s">
        <v>27</v>
      </c>
      <c r="F855" s="1" t="s">
        <v>42</v>
      </c>
      <c r="G855" s="2">
        <v>402.78</v>
      </c>
      <c r="H855">
        <v>402.78</v>
      </c>
      <c r="I855">
        <v>401.05392899999998</v>
      </c>
      <c r="J855">
        <v>572.66</v>
      </c>
      <c r="K855">
        <v>40</v>
      </c>
      <c r="M855">
        <v>0</v>
      </c>
      <c r="N855" s="2">
        <v>56</v>
      </c>
      <c r="O855">
        <v>22459.02</v>
      </c>
      <c r="P855">
        <v>9</v>
      </c>
      <c r="Q855">
        <v>47</v>
      </c>
      <c r="R855">
        <v>9.44</v>
      </c>
      <c r="S855">
        <v>6</v>
      </c>
      <c r="T855">
        <v>38</v>
      </c>
      <c r="U855" s="2">
        <v>21761.08</v>
      </c>
      <c r="V855">
        <v>0</v>
      </c>
      <c r="W855" t="s">
        <v>29</v>
      </c>
      <c r="X855" t="str">
        <f>IF(Table2[[#This Row],[Qty available]]&gt;Table2[[#This Row],[Qty on hand]],"Check","OK")</f>
        <v>OK</v>
      </c>
    </row>
    <row r="856" spans="1:24" x14ac:dyDescent="0.3">
      <c r="A856" t="s">
        <v>131</v>
      </c>
      <c r="B856" t="s">
        <v>132</v>
      </c>
      <c r="C856" t="s">
        <v>57</v>
      </c>
      <c r="D856" t="s">
        <v>58</v>
      </c>
      <c r="E856" t="s">
        <v>27</v>
      </c>
      <c r="F856" s="1" t="s">
        <v>43</v>
      </c>
      <c r="G856" s="2">
        <v>393.99</v>
      </c>
      <c r="H856">
        <v>393.99</v>
      </c>
      <c r="I856">
        <v>398.75599999999997</v>
      </c>
      <c r="J856">
        <v>572.66</v>
      </c>
      <c r="K856">
        <v>40</v>
      </c>
      <c r="L856" s="2">
        <v>40</v>
      </c>
      <c r="M856">
        <v>27</v>
      </c>
      <c r="N856" s="2">
        <v>65</v>
      </c>
      <c r="O856">
        <v>25919.14</v>
      </c>
      <c r="P856">
        <v>2</v>
      </c>
      <c r="Q856">
        <v>63</v>
      </c>
      <c r="R856">
        <v>9.6</v>
      </c>
      <c r="S856">
        <v>9</v>
      </c>
      <c r="T856">
        <v>18</v>
      </c>
      <c r="U856" s="2">
        <v>10307.879999999999</v>
      </c>
      <c r="V856">
        <v>0</v>
      </c>
      <c r="W856" t="s">
        <v>29</v>
      </c>
      <c r="X856" t="str">
        <f>IF(Table2[[#This Row],[Qty available]]&gt;Table2[[#This Row],[Qty on hand]],"Check","OK")</f>
        <v>OK</v>
      </c>
    </row>
    <row r="857" spans="1:24" x14ac:dyDescent="0.3">
      <c r="A857" t="s">
        <v>131</v>
      </c>
      <c r="B857" t="s">
        <v>132</v>
      </c>
      <c r="C857" t="s">
        <v>57</v>
      </c>
      <c r="D857" t="s">
        <v>58</v>
      </c>
      <c r="E857" t="s">
        <v>27</v>
      </c>
      <c r="F857" s="1" t="s">
        <v>44</v>
      </c>
      <c r="G857" s="2">
        <v>407.54</v>
      </c>
      <c r="H857">
        <v>407.54</v>
      </c>
      <c r="I857">
        <v>398.75599999999997</v>
      </c>
      <c r="J857">
        <v>572.66</v>
      </c>
      <c r="K857">
        <v>40</v>
      </c>
      <c r="M857">
        <v>0</v>
      </c>
      <c r="N857" s="2">
        <v>55</v>
      </c>
      <c r="O857">
        <v>21931.58</v>
      </c>
      <c r="P857">
        <v>4</v>
      </c>
      <c r="Q857">
        <v>51</v>
      </c>
      <c r="R857">
        <v>10.95</v>
      </c>
      <c r="S857">
        <v>8</v>
      </c>
      <c r="T857">
        <v>10</v>
      </c>
      <c r="U857" s="2">
        <v>5726.6</v>
      </c>
      <c r="V857">
        <v>0</v>
      </c>
      <c r="W857" t="s">
        <v>29</v>
      </c>
      <c r="X857" t="str">
        <f>IF(Table2[[#This Row],[Qty available]]&gt;Table2[[#This Row],[Qty on hand]],"Check","OK")</f>
        <v>OK</v>
      </c>
    </row>
    <row r="858" spans="1:24" x14ac:dyDescent="0.3">
      <c r="A858" t="s">
        <v>131</v>
      </c>
      <c r="B858" t="s">
        <v>132</v>
      </c>
      <c r="C858" t="s">
        <v>57</v>
      </c>
      <c r="D858" t="s">
        <v>58</v>
      </c>
      <c r="E858" t="s">
        <v>27</v>
      </c>
      <c r="F858" s="1" t="s">
        <v>45</v>
      </c>
      <c r="G858" s="2">
        <v>424.27</v>
      </c>
      <c r="H858">
        <v>424.27</v>
      </c>
      <c r="I858">
        <v>409.49868900000001</v>
      </c>
      <c r="J858">
        <v>572.66</v>
      </c>
      <c r="K858">
        <v>40</v>
      </c>
      <c r="L858" s="2">
        <v>63</v>
      </c>
      <c r="M858">
        <v>40</v>
      </c>
      <c r="N858" s="2">
        <v>61</v>
      </c>
      <c r="O858">
        <v>24979.42</v>
      </c>
      <c r="P858">
        <v>6</v>
      </c>
      <c r="Q858">
        <v>55</v>
      </c>
      <c r="R858">
        <v>12.93</v>
      </c>
      <c r="S858">
        <v>0</v>
      </c>
      <c r="T858">
        <v>34</v>
      </c>
      <c r="U858" s="2">
        <v>19470.439999999999</v>
      </c>
      <c r="V858">
        <v>0</v>
      </c>
      <c r="W858" t="s">
        <v>29</v>
      </c>
      <c r="X858" t="str">
        <f>IF(Table2[[#This Row],[Qty available]]&gt;Table2[[#This Row],[Qty on hand]],"Check","OK")</f>
        <v>OK</v>
      </c>
    </row>
    <row r="859" spans="1:24" x14ac:dyDescent="0.3">
      <c r="A859" t="s">
        <v>131</v>
      </c>
      <c r="B859" t="s">
        <v>132</v>
      </c>
      <c r="C859" t="s">
        <v>57</v>
      </c>
      <c r="D859" t="s">
        <v>58</v>
      </c>
      <c r="E859" t="s">
        <v>27</v>
      </c>
      <c r="F859" s="1" t="s">
        <v>46</v>
      </c>
      <c r="G859" s="2">
        <v>408.63</v>
      </c>
      <c r="H859">
        <v>408.63</v>
      </c>
      <c r="I859">
        <v>409.49857100000003</v>
      </c>
      <c r="J859">
        <v>601.67999999999995</v>
      </c>
      <c r="K859">
        <v>40</v>
      </c>
      <c r="M859">
        <v>0</v>
      </c>
      <c r="N859" s="2">
        <v>35</v>
      </c>
      <c r="O859">
        <v>14332.45</v>
      </c>
      <c r="P859">
        <v>6</v>
      </c>
      <c r="Q859">
        <v>29</v>
      </c>
      <c r="R859">
        <v>6.43</v>
      </c>
      <c r="S859">
        <v>4</v>
      </c>
      <c r="T859">
        <v>26</v>
      </c>
      <c r="U859" s="2">
        <v>15643.68</v>
      </c>
      <c r="V859">
        <v>0</v>
      </c>
      <c r="W859" t="s">
        <v>29</v>
      </c>
      <c r="X859" t="str">
        <f>IF(Table2[[#This Row],[Qty available]]&gt;Table2[[#This Row],[Qty on hand]],"Check","OK")</f>
        <v>OK</v>
      </c>
    </row>
    <row r="860" spans="1:24" x14ac:dyDescent="0.3">
      <c r="A860" t="s">
        <v>131</v>
      </c>
      <c r="B860" t="s">
        <v>132</v>
      </c>
      <c r="C860" t="s">
        <v>57</v>
      </c>
      <c r="D860" t="s">
        <v>58</v>
      </c>
      <c r="E860" t="s">
        <v>27</v>
      </c>
      <c r="F860" s="1" t="s">
        <v>47</v>
      </c>
      <c r="G860" s="2">
        <v>415.6</v>
      </c>
      <c r="H860">
        <v>415.6</v>
      </c>
      <c r="I860">
        <v>413.20055600000001</v>
      </c>
      <c r="J860">
        <v>601.67999999999995</v>
      </c>
      <c r="K860">
        <v>40</v>
      </c>
      <c r="L860" s="2">
        <v>37</v>
      </c>
      <c r="M860">
        <v>54</v>
      </c>
      <c r="N860" s="2">
        <v>54</v>
      </c>
      <c r="O860">
        <v>22312.83</v>
      </c>
      <c r="P860">
        <v>3</v>
      </c>
      <c r="Q860">
        <v>51</v>
      </c>
      <c r="R860">
        <v>7.31</v>
      </c>
      <c r="S860">
        <v>1</v>
      </c>
      <c r="T860">
        <v>35</v>
      </c>
      <c r="U860" s="2">
        <v>21058.799999999999</v>
      </c>
      <c r="V860">
        <v>0</v>
      </c>
      <c r="W860" t="s">
        <v>29</v>
      </c>
      <c r="X860" t="str">
        <f>IF(Table2[[#This Row],[Qty available]]&gt;Table2[[#This Row],[Qty on hand]],"Check","OK")</f>
        <v>OK</v>
      </c>
    </row>
    <row r="861" spans="1:24" x14ac:dyDescent="0.3">
      <c r="A861" t="s">
        <v>131</v>
      </c>
      <c r="B861" t="s">
        <v>132</v>
      </c>
      <c r="C861" t="s">
        <v>57</v>
      </c>
      <c r="D861" t="s">
        <v>58</v>
      </c>
      <c r="E861" t="s">
        <v>27</v>
      </c>
      <c r="F861" s="1" t="s">
        <v>48</v>
      </c>
      <c r="G861" s="2">
        <v>409.87</v>
      </c>
      <c r="H861">
        <v>409.87</v>
      </c>
      <c r="I861">
        <v>413.20057100000002</v>
      </c>
      <c r="J861">
        <v>601.67999999999995</v>
      </c>
      <c r="K861">
        <v>40</v>
      </c>
      <c r="M861">
        <v>0</v>
      </c>
      <c r="N861" s="2">
        <v>35</v>
      </c>
      <c r="O861">
        <v>14462.02</v>
      </c>
      <c r="P861">
        <v>4</v>
      </c>
      <c r="Q861">
        <v>31</v>
      </c>
      <c r="R861">
        <v>5.56</v>
      </c>
      <c r="S861">
        <v>5</v>
      </c>
      <c r="T861">
        <v>19</v>
      </c>
      <c r="U861" s="2">
        <v>11431.92</v>
      </c>
      <c r="V861">
        <v>0</v>
      </c>
      <c r="W861" t="s">
        <v>29</v>
      </c>
      <c r="X861" t="str">
        <f>IF(Table2[[#This Row],[Qty available]]&gt;Table2[[#This Row],[Qty on hand]],"Check","OK")</f>
        <v>OK</v>
      </c>
    </row>
    <row r="862" spans="1:24" x14ac:dyDescent="0.3">
      <c r="A862" t="s">
        <v>131</v>
      </c>
      <c r="B862" t="s">
        <v>132</v>
      </c>
      <c r="C862" t="s">
        <v>57</v>
      </c>
      <c r="D862" t="s">
        <v>58</v>
      </c>
      <c r="E862" t="s">
        <v>27</v>
      </c>
      <c r="F862" s="1" t="s">
        <v>49</v>
      </c>
      <c r="G862" s="2">
        <v>414.22</v>
      </c>
      <c r="H862">
        <v>414.22</v>
      </c>
      <c r="I862">
        <v>413.71020800000002</v>
      </c>
      <c r="J862">
        <v>601.67999999999995</v>
      </c>
      <c r="K862">
        <v>40</v>
      </c>
      <c r="L862" s="2">
        <v>53</v>
      </c>
      <c r="M862">
        <v>35</v>
      </c>
      <c r="N862" s="2">
        <v>48</v>
      </c>
      <c r="O862">
        <v>19858.09</v>
      </c>
      <c r="P862">
        <v>7</v>
      </c>
      <c r="Q862">
        <v>41</v>
      </c>
      <c r="R862">
        <v>8.3000000000000007</v>
      </c>
      <c r="S862">
        <v>4</v>
      </c>
      <c r="T862">
        <v>22</v>
      </c>
      <c r="U862" s="2">
        <v>13236.96</v>
      </c>
      <c r="V862">
        <v>0</v>
      </c>
      <c r="W862" t="s">
        <v>29</v>
      </c>
      <c r="X862" t="str">
        <f>IF(Table2[[#This Row],[Qty available]]&gt;Table2[[#This Row],[Qty on hand]],"Check","OK")</f>
        <v>OK</v>
      </c>
    </row>
    <row r="863" spans="1:24" x14ac:dyDescent="0.3">
      <c r="A863" t="s">
        <v>131</v>
      </c>
      <c r="B863" t="s">
        <v>132</v>
      </c>
      <c r="C863" t="s">
        <v>57</v>
      </c>
      <c r="D863" t="s">
        <v>58</v>
      </c>
      <c r="E863" t="s">
        <v>27</v>
      </c>
      <c r="F863" s="1" t="s">
        <v>50</v>
      </c>
      <c r="G863" s="2">
        <v>412.37</v>
      </c>
      <c r="H863">
        <v>412.37</v>
      </c>
      <c r="I863">
        <v>413.06169</v>
      </c>
      <c r="J863">
        <v>601.67999999999995</v>
      </c>
      <c r="K863">
        <v>40</v>
      </c>
      <c r="L863" s="2">
        <v>38</v>
      </c>
      <c r="M863">
        <v>45</v>
      </c>
      <c r="N863" s="2">
        <v>71</v>
      </c>
      <c r="O863">
        <v>29327.38</v>
      </c>
      <c r="P863">
        <v>7</v>
      </c>
      <c r="Q863">
        <v>64</v>
      </c>
      <c r="R863">
        <v>14.65</v>
      </c>
      <c r="S863">
        <v>10</v>
      </c>
      <c r="T863">
        <v>22</v>
      </c>
      <c r="U863" s="2">
        <v>13236.96</v>
      </c>
      <c r="V863">
        <v>0</v>
      </c>
      <c r="W863" t="s">
        <v>29</v>
      </c>
      <c r="X863" t="str">
        <f>IF(Table2[[#This Row],[Qty available]]&gt;Table2[[#This Row],[Qty on hand]],"Check","OK")</f>
        <v>OK</v>
      </c>
    </row>
    <row r="864" spans="1:24" x14ac:dyDescent="0.3">
      <c r="A864" t="s">
        <v>131</v>
      </c>
      <c r="B864" t="s">
        <v>132</v>
      </c>
      <c r="C864" t="s">
        <v>57</v>
      </c>
      <c r="D864" t="s">
        <v>58</v>
      </c>
      <c r="E864" t="s">
        <v>27</v>
      </c>
      <c r="F864" s="1" t="s">
        <v>51</v>
      </c>
      <c r="G864" s="2">
        <v>409.47</v>
      </c>
      <c r="H864">
        <v>409.47</v>
      </c>
      <c r="I864">
        <v>413.06150000000002</v>
      </c>
      <c r="J864">
        <v>601.67999999999995</v>
      </c>
      <c r="K864">
        <v>40</v>
      </c>
      <c r="M864">
        <v>0</v>
      </c>
      <c r="N864" s="2">
        <v>20</v>
      </c>
      <c r="O864">
        <v>8261.23</v>
      </c>
      <c r="P864">
        <v>6</v>
      </c>
      <c r="Q864">
        <v>14</v>
      </c>
      <c r="R864">
        <v>2.77</v>
      </c>
      <c r="S864">
        <v>7</v>
      </c>
      <c r="T864">
        <v>51</v>
      </c>
      <c r="U864" s="2">
        <v>30685.68</v>
      </c>
      <c r="V864">
        <v>0</v>
      </c>
      <c r="W864" t="s">
        <v>29</v>
      </c>
      <c r="X864" t="str">
        <f>IF(Table2[[#This Row],[Qty available]]&gt;Table2[[#This Row],[Qty on hand]],"Check","OK")</f>
        <v>OK</v>
      </c>
    </row>
    <row r="865" spans="1:24" x14ac:dyDescent="0.3">
      <c r="A865" t="s">
        <v>131</v>
      </c>
      <c r="B865" t="s">
        <v>132</v>
      </c>
      <c r="C865" t="s">
        <v>57</v>
      </c>
      <c r="D865" t="s">
        <v>58</v>
      </c>
      <c r="E865" t="s">
        <v>27</v>
      </c>
      <c r="F865" s="1" t="s">
        <v>52</v>
      </c>
      <c r="G865" s="2">
        <v>411.84</v>
      </c>
      <c r="H865">
        <v>411.84</v>
      </c>
      <c r="I865">
        <v>412.36</v>
      </c>
      <c r="J865">
        <v>601.67999999999995</v>
      </c>
      <c r="K865">
        <v>40</v>
      </c>
      <c r="L865" s="2">
        <v>38</v>
      </c>
      <c r="M865">
        <v>27</v>
      </c>
      <c r="N865" s="2">
        <v>12</v>
      </c>
      <c r="O865">
        <v>4948.32</v>
      </c>
      <c r="P865">
        <v>7</v>
      </c>
      <c r="Q865">
        <v>5</v>
      </c>
      <c r="R865">
        <v>1.46</v>
      </c>
      <c r="S865">
        <v>7</v>
      </c>
      <c r="T865">
        <v>35</v>
      </c>
      <c r="U865" s="2">
        <v>21058.799999999999</v>
      </c>
      <c r="V865">
        <v>0</v>
      </c>
      <c r="W865" t="s">
        <v>29</v>
      </c>
      <c r="X865" t="str">
        <f>IF(Table2[[#This Row],[Qty available]]&gt;Table2[[#This Row],[Qty on hand]],"Check","OK")</f>
        <v>OK</v>
      </c>
    </row>
    <row r="866" spans="1:24" x14ac:dyDescent="0.3">
      <c r="A866" t="s">
        <v>133</v>
      </c>
      <c r="B866" t="s">
        <v>134</v>
      </c>
      <c r="C866" t="s">
        <v>57</v>
      </c>
      <c r="D866" t="s">
        <v>58</v>
      </c>
      <c r="E866" t="s">
        <v>66</v>
      </c>
      <c r="F866" s="1" t="s">
        <v>28</v>
      </c>
      <c r="G866" s="2">
        <v>14.41</v>
      </c>
      <c r="H866">
        <v>14.41</v>
      </c>
      <c r="I866">
        <v>14.484151000000001</v>
      </c>
      <c r="J866">
        <v>19.55</v>
      </c>
      <c r="K866">
        <v>58</v>
      </c>
      <c r="L866" s="2">
        <v>55</v>
      </c>
      <c r="M866">
        <v>764</v>
      </c>
      <c r="N866" s="2">
        <v>930</v>
      </c>
      <c r="O866">
        <v>13470.26</v>
      </c>
      <c r="P866">
        <v>17</v>
      </c>
      <c r="Q866">
        <v>913</v>
      </c>
      <c r="R866">
        <v>14.98</v>
      </c>
      <c r="S866">
        <v>3</v>
      </c>
      <c r="T866">
        <v>161</v>
      </c>
      <c r="U866" s="2">
        <v>3147.55</v>
      </c>
      <c r="V866">
        <v>0</v>
      </c>
      <c r="W866" t="s">
        <v>29</v>
      </c>
      <c r="X866" t="str">
        <f>IF(Table2[[#This Row],[Qty available]]&gt;Table2[[#This Row],[Qty on hand]],"Check","OK")</f>
        <v>OK</v>
      </c>
    </row>
    <row r="867" spans="1:24" x14ac:dyDescent="0.3">
      <c r="A867" t="s">
        <v>133</v>
      </c>
      <c r="B867" t="s">
        <v>134</v>
      </c>
      <c r="C867" t="s">
        <v>57</v>
      </c>
      <c r="D867" t="s">
        <v>58</v>
      </c>
      <c r="E867" t="s">
        <v>66</v>
      </c>
      <c r="F867" s="1" t="s">
        <v>30</v>
      </c>
      <c r="G867" s="2">
        <v>14.46</v>
      </c>
      <c r="H867">
        <v>14.46</v>
      </c>
      <c r="I867">
        <v>14.484156</v>
      </c>
      <c r="J867">
        <v>19.55</v>
      </c>
      <c r="K867">
        <v>58</v>
      </c>
      <c r="M867">
        <v>0</v>
      </c>
      <c r="N867" s="2">
        <v>604</v>
      </c>
      <c r="O867">
        <v>8748.43</v>
      </c>
      <c r="P867">
        <v>69</v>
      </c>
      <c r="Q867">
        <v>535</v>
      </c>
      <c r="R867">
        <v>9.56</v>
      </c>
      <c r="S867">
        <v>7</v>
      </c>
      <c r="T867">
        <v>326</v>
      </c>
      <c r="U867" s="2">
        <v>6373.3</v>
      </c>
      <c r="V867">
        <v>0</v>
      </c>
      <c r="W867" t="s">
        <v>29</v>
      </c>
      <c r="X867" t="str">
        <f>IF(Table2[[#This Row],[Qty available]]&gt;Table2[[#This Row],[Qty on hand]],"Check","OK")</f>
        <v>OK</v>
      </c>
    </row>
    <row r="868" spans="1:24" x14ac:dyDescent="0.3">
      <c r="A868" t="s">
        <v>133</v>
      </c>
      <c r="B868" t="s">
        <v>134</v>
      </c>
      <c r="C868" t="s">
        <v>57</v>
      </c>
      <c r="D868" t="s">
        <v>58</v>
      </c>
      <c r="E868" t="s">
        <v>66</v>
      </c>
      <c r="F868" s="1" t="s">
        <v>31</v>
      </c>
      <c r="G868" s="2">
        <v>14.9</v>
      </c>
      <c r="H868">
        <v>14.9</v>
      </c>
      <c r="I868">
        <v>14.688931999999999</v>
      </c>
      <c r="J868">
        <v>19.55</v>
      </c>
      <c r="K868">
        <v>58</v>
      </c>
      <c r="L868" s="2">
        <v>57</v>
      </c>
      <c r="M868">
        <v>586</v>
      </c>
      <c r="N868" s="2">
        <v>1011</v>
      </c>
      <c r="O868">
        <v>14850.51</v>
      </c>
      <c r="P868">
        <v>17</v>
      </c>
      <c r="Q868">
        <v>994</v>
      </c>
      <c r="R868">
        <v>19.73</v>
      </c>
      <c r="S868">
        <v>1</v>
      </c>
      <c r="T868">
        <v>179</v>
      </c>
      <c r="U868" s="2">
        <v>3499.45</v>
      </c>
      <c r="V868">
        <v>0</v>
      </c>
      <c r="W868" t="s">
        <v>29</v>
      </c>
      <c r="X868" t="str">
        <f>IF(Table2[[#This Row],[Qty available]]&gt;Table2[[#This Row],[Qty on hand]],"Check","OK")</f>
        <v>OK</v>
      </c>
    </row>
    <row r="869" spans="1:24" x14ac:dyDescent="0.3">
      <c r="A869" t="s">
        <v>133</v>
      </c>
      <c r="B869" t="s">
        <v>134</v>
      </c>
      <c r="C869" t="s">
        <v>57</v>
      </c>
      <c r="D869" t="s">
        <v>58</v>
      </c>
      <c r="E869" t="s">
        <v>66</v>
      </c>
      <c r="F869" s="1" t="s">
        <v>32</v>
      </c>
      <c r="G869" s="2">
        <v>14.89</v>
      </c>
      <c r="H869">
        <v>14.89</v>
      </c>
      <c r="I869">
        <v>14.716108999999999</v>
      </c>
      <c r="J869">
        <v>19.55</v>
      </c>
      <c r="K869">
        <v>58</v>
      </c>
      <c r="L869" s="2">
        <v>51</v>
      </c>
      <c r="M869">
        <v>158</v>
      </c>
      <c r="N869" s="2">
        <v>884</v>
      </c>
      <c r="O869">
        <v>13009.04</v>
      </c>
      <c r="P869">
        <v>43</v>
      </c>
      <c r="Q869">
        <v>841</v>
      </c>
      <c r="R869">
        <v>14.71</v>
      </c>
      <c r="S869">
        <v>1</v>
      </c>
      <c r="T869">
        <v>285</v>
      </c>
      <c r="U869" s="2">
        <v>5571.75</v>
      </c>
      <c r="V869">
        <v>0</v>
      </c>
      <c r="W869" t="s">
        <v>29</v>
      </c>
      <c r="X869" t="str">
        <f>IF(Table2[[#This Row],[Qty available]]&gt;Table2[[#This Row],[Qty on hand]],"Check","OK")</f>
        <v>OK</v>
      </c>
    </row>
    <row r="870" spans="1:24" x14ac:dyDescent="0.3">
      <c r="A870" t="s">
        <v>133</v>
      </c>
      <c r="B870" t="s">
        <v>134</v>
      </c>
      <c r="C870" t="s">
        <v>57</v>
      </c>
      <c r="D870" t="s">
        <v>58</v>
      </c>
      <c r="E870" t="s">
        <v>66</v>
      </c>
      <c r="F870" s="1" t="s">
        <v>33</v>
      </c>
      <c r="G870" s="2">
        <v>15.28</v>
      </c>
      <c r="H870">
        <v>15.28</v>
      </c>
      <c r="I870">
        <v>14.748569</v>
      </c>
      <c r="J870">
        <v>19.55</v>
      </c>
      <c r="K870">
        <v>58</v>
      </c>
      <c r="L870" s="2">
        <v>54</v>
      </c>
      <c r="M870">
        <v>54</v>
      </c>
      <c r="N870" s="2">
        <v>496</v>
      </c>
      <c r="O870">
        <v>7315.29</v>
      </c>
      <c r="P870">
        <v>17</v>
      </c>
      <c r="Q870">
        <v>479</v>
      </c>
      <c r="R870">
        <v>7.2</v>
      </c>
      <c r="S870">
        <v>1</v>
      </c>
      <c r="T870">
        <v>442</v>
      </c>
      <c r="U870" s="2">
        <v>8641.1</v>
      </c>
      <c r="V870">
        <v>0</v>
      </c>
      <c r="W870" t="s">
        <v>29</v>
      </c>
      <c r="X870" t="str">
        <f>IF(Table2[[#This Row],[Qty available]]&gt;Table2[[#This Row],[Qty on hand]],"Check","OK")</f>
        <v>OK</v>
      </c>
    </row>
    <row r="871" spans="1:24" x14ac:dyDescent="0.3">
      <c r="A871" t="s">
        <v>133</v>
      </c>
      <c r="B871" t="s">
        <v>134</v>
      </c>
      <c r="C871" t="s">
        <v>57</v>
      </c>
      <c r="D871" t="s">
        <v>58</v>
      </c>
      <c r="E871" t="s">
        <v>66</v>
      </c>
      <c r="F871" s="1" t="s">
        <v>34</v>
      </c>
      <c r="G871" s="2">
        <v>14.96</v>
      </c>
      <c r="H871">
        <v>14.96</v>
      </c>
      <c r="I871">
        <v>14.867521</v>
      </c>
      <c r="J871">
        <v>20.23</v>
      </c>
      <c r="K871">
        <v>58</v>
      </c>
      <c r="L871" s="2">
        <v>56</v>
      </c>
      <c r="M871">
        <v>638</v>
      </c>
      <c r="N871" s="2">
        <v>940</v>
      </c>
      <c r="O871">
        <v>13975.47</v>
      </c>
      <c r="P871">
        <v>17</v>
      </c>
      <c r="Q871">
        <v>923</v>
      </c>
      <c r="R871">
        <v>13.12</v>
      </c>
      <c r="S871">
        <v>0</v>
      </c>
      <c r="T871">
        <v>194</v>
      </c>
      <c r="U871" s="2">
        <v>3924.62</v>
      </c>
      <c r="V871">
        <v>0</v>
      </c>
      <c r="W871" t="s">
        <v>29</v>
      </c>
      <c r="X871" t="str">
        <f>IF(Table2[[#This Row],[Qty available]]&gt;Table2[[#This Row],[Qty on hand]],"Check","OK")</f>
        <v>OK</v>
      </c>
    </row>
    <row r="872" spans="1:24" x14ac:dyDescent="0.3">
      <c r="A872" t="s">
        <v>133</v>
      </c>
      <c r="B872" t="s">
        <v>134</v>
      </c>
      <c r="C872" t="s">
        <v>57</v>
      </c>
      <c r="D872" t="s">
        <v>58</v>
      </c>
      <c r="E872" t="s">
        <v>66</v>
      </c>
      <c r="F872" s="1" t="s">
        <v>35</v>
      </c>
      <c r="G872" s="2">
        <v>15.31</v>
      </c>
      <c r="H872">
        <v>15.31</v>
      </c>
      <c r="I872">
        <v>14.867516999999999</v>
      </c>
      <c r="J872">
        <v>20.23</v>
      </c>
      <c r="K872">
        <v>58</v>
      </c>
      <c r="M872">
        <v>0</v>
      </c>
      <c r="N872" s="2">
        <v>745</v>
      </c>
      <c r="O872">
        <v>11076.3</v>
      </c>
      <c r="P872">
        <v>61</v>
      </c>
      <c r="Q872">
        <v>684</v>
      </c>
      <c r="R872">
        <v>11.53</v>
      </c>
      <c r="S872">
        <v>0</v>
      </c>
      <c r="T872">
        <v>195</v>
      </c>
      <c r="U872" s="2">
        <v>3944.85</v>
      </c>
      <c r="V872">
        <v>0</v>
      </c>
      <c r="W872" t="s">
        <v>29</v>
      </c>
      <c r="X872" t="str">
        <f>IF(Table2[[#This Row],[Qty available]]&gt;Table2[[#This Row],[Qty on hand]],"Check","OK")</f>
        <v>OK</v>
      </c>
    </row>
    <row r="873" spans="1:24" x14ac:dyDescent="0.3">
      <c r="A873" t="s">
        <v>133</v>
      </c>
      <c r="B873" t="s">
        <v>134</v>
      </c>
      <c r="C873" t="s">
        <v>57</v>
      </c>
      <c r="D873" t="s">
        <v>58</v>
      </c>
      <c r="E873" t="s">
        <v>66</v>
      </c>
      <c r="F873" s="1" t="s">
        <v>36</v>
      </c>
      <c r="G873" s="2">
        <v>15.02</v>
      </c>
      <c r="H873">
        <v>15.02</v>
      </c>
      <c r="I873">
        <v>14.867525000000001</v>
      </c>
      <c r="J873">
        <v>20.23</v>
      </c>
      <c r="K873">
        <v>58</v>
      </c>
      <c r="M873">
        <v>0</v>
      </c>
      <c r="N873" s="2">
        <v>509</v>
      </c>
      <c r="O873">
        <v>7567.57</v>
      </c>
      <c r="P873">
        <v>52</v>
      </c>
      <c r="Q873">
        <v>457</v>
      </c>
      <c r="R873">
        <v>10.35</v>
      </c>
      <c r="S873">
        <v>2</v>
      </c>
      <c r="T873">
        <v>236</v>
      </c>
      <c r="U873" s="2">
        <v>4774.28</v>
      </c>
      <c r="V873">
        <v>0</v>
      </c>
      <c r="W873" t="s">
        <v>29</v>
      </c>
      <c r="X873" t="str">
        <f>IF(Table2[[#This Row],[Qty available]]&gt;Table2[[#This Row],[Qty on hand]],"Check","OK")</f>
        <v>OK</v>
      </c>
    </row>
    <row r="874" spans="1:24" x14ac:dyDescent="0.3">
      <c r="A874" t="s">
        <v>133</v>
      </c>
      <c r="B874" t="s">
        <v>134</v>
      </c>
      <c r="C874" t="s">
        <v>57</v>
      </c>
      <c r="D874" t="s">
        <v>58</v>
      </c>
      <c r="E874" t="s">
        <v>66</v>
      </c>
      <c r="F874" s="1" t="s">
        <v>37</v>
      </c>
      <c r="G874" s="2">
        <v>15.21</v>
      </c>
      <c r="H874">
        <v>15.21</v>
      </c>
      <c r="I874">
        <v>15.003218</v>
      </c>
      <c r="J874">
        <v>20.23</v>
      </c>
      <c r="K874">
        <v>58</v>
      </c>
      <c r="L874" s="2">
        <v>52</v>
      </c>
      <c r="M874">
        <v>334</v>
      </c>
      <c r="N874" s="2">
        <v>550</v>
      </c>
      <c r="O874">
        <v>8251.77</v>
      </c>
      <c r="P874">
        <v>52</v>
      </c>
      <c r="Q874">
        <v>498</v>
      </c>
      <c r="R874">
        <v>9.98</v>
      </c>
      <c r="S874">
        <v>2</v>
      </c>
      <c r="T874">
        <v>293</v>
      </c>
      <c r="U874" s="2">
        <v>5927.39</v>
      </c>
      <c r="V874">
        <v>0</v>
      </c>
      <c r="W874" t="s">
        <v>29</v>
      </c>
      <c r="X874" t="str">
        <f>IF(Table2[[#This Row],[Qty available]]&gt;Table2[[#This Row],[Qty on hand]],"Check","OK")</f>
        <v>OK</v>
      </c>
    </row>
    <row r="875" spans="1:24" x14ac:dyDescent="0.3">
      <c r="A875" t="s">
        <v>133</v>
      </c>
      <c r="B875" t="s">
        <v>134</v>
      </c>
      <c r="C875" t="s">
        <v>57</v>
      </c>
      <c r="D875" t="s">
        <v>58</v>
      </c>
      <c r="E875" t="s">
        <v>66</v>
      </c>
      <c r="F875" s="1" t="s">
        <v>38</v>
      </c>
      <c r="G875" s="2">
        <v>14.92</v>
      </c>
      <c r="H875">
        <v>14.92</v>
      </c>
      <c r="I875">
        <v>14.95872</v>
      </c>
      <c r="J875">
        <v>20.23</v>
      </c>
      <c r="K875">
        <v>58</v>
      </c>
      <c r="L875" s="2">
        <v>52</v>
      </c>
      <c r="M875">
        <v>632</v>
      </c>
      <c r="N875" s="2">
        <v>953</v>
      </c>
      <c r="O875">
        <v>14255.66</v>
      </c>
      <c r="P875">
        <v>61</v>
      </c>
      <c r="Q875">
        <v>892</v>
      </c>
      <c r="R875">
        <v>16.34</v>
      </c>
      <c r="S875">
        <v>6</v>
      </c>
      <c r="T875">
        <v>229</v>
      </c>
      <c r="U875" s="2">
        <v>4632.67</v>
      </c>
      <c r="V875">
        <v>0</v>
      </c>
      <c r="W875" t="s">
        <v>29</v>
      </c>
      <c r="X875" t="str">
        <f>IF(Table2[[#This Row],[Qty available]]&gt;Table2[[#This Row],[Qty on hand]],"Check","OK")</f>
        <v>OK</v>
      </c>
    </row>
    <row r="876" spans="1:24" x14ac:dyDescent="0.3">
      <c r="A876" t="s">
        <v>133</v>
      </c>
      <c r="B876" t="s">
        <v>134</v>
      </c>
      <c r="C876" t="s">
        <v>57</v>
      </c>
      <c r="D876" t="s">
        <v>58</v>
      </c>
      <c r="E876" t="s">
        <v>66</v>
      </c>
      <c r="F876" s="1" t="s">
        <v>39</v>
      </c>
      <c r="G876" s="2">
        <v>15.12</v>
      </c>
      <c r="H876">
        <v>15.12</v>
      </c>
      <c r="I876">
        <v>14.976219</v>
      </c>
      <c r="J876">
        <v>20.23</v>
      </c>
      <c r="K876">
        <v>58</v>
      </c>
      <c r="L876" s="2">
        <v>54</v>
      </c>
      <c r="M876">
        <v>116</v>
      </c>
      <c r="N876" s="2">
        <v>685</v>
      </c>
      <c r="O876">
        <v>10258.709999999999</v>
      </c>
      <c r="P876">
        <v>78</v>
      </c>
      <c r="Q876">
        <v>607</v>
      </c>
      <c r="R876">
        <v>9.94</v>
      </c>
      <c r="S876">
        <v>1</v>
      </c>
      <c r="T876">
        <v>384</v>
      </c>
      <c r="U876" s="2">
        <v>7768.32</v>
      </c>
      <c r="V876">
        <v>0</v>
      </c>
      <c r="W876" t="s">
        <v>29</v>
      </c>
      <c r="X876" t="str">
        <f>IF(Table2[[#This Row],[Qty available]]&gt;Table2[[#This Row],[Qty on hand]],"Check","OK")</f>
        <v>OK</v>
      </c>
    </row>
    <row r="877" spans="1:24" x14ac:dyDescent="0.3">
      <c r="A877" t="s">
        <v>133</v>
      </c>
      <c r="B877" t="s">
        <v>134</v>
      </c>
      <c r="C877" t="s">
        <v>57</v>
      </c>
      <c r="D877" t="s">
        <v>58</v>
      </c>
      <c r="E877" t="s">
        <v>66</v>
      </c>
      <c r="F877" s="1" t="s">
        <v>40</v>
      </c>
      <c r="G877" s="2">
        <v>15.41</v>
      </c>
      <c r="H877">
        <v>15.41</v>
      </c>
      <c r="I877">
        <v>14.976210999999999</v>
      </c>
      <c r="J877">
        <v>20.23</v>
      </c>
      <c r="K877">
        <v>58</v>
      </c>
      <c r="M877">
        <v>0</v>
      </c>
      <c r="N877" s="2">
        <v>446</v>
      </c>
      <c r="O877">
        <v>6679.39</v>
      </c>
      <c r="P877">
        <v>26</v>
      </c>
      <c r="Q877">
        <v>420</v>
      </c>
      <c r="R877">
        <v>6.88</v>
      </c>
      <c r="S877">
        <v>0</v>
      </c>
      <c r="T877">
        <v>239</v>
      </c>
      <c r="U877" s="2">
        <v>4834.97</v>
      </c>
      <c r="V877">
        <v>0</v>
      </c>
      <c r="W877" t="s">
        <v>29</v>
      </c>
      <c r="X877" t="str">
        <f>IF(Table2[[#This Row],[Qty available]]&gt;Table2[[#This Row],[Qty on hand]],"Check","OK")</f>
        <v>OK</v>
      </c>
    </row>
    <row r="878" spans="1:24" x14ac:dyDescent="0.3">
      <c r="A878" t="s">
        <v>133</v>
      </c>
      <c r="B878" t="s">
        <v>134</v>
      </c>
      <c r="C878" t="s">
        <v>57</v>
      </c>
      <c r="D878" t="s">
        <v>58</v>
      </c>
      <c r="E878" t="s">
        <v>66</v>
      </c>
      <c r="F878" s="1" t="s">
        <v>41</v>
      </c>
      <c r="G878" s="2">
        <v>14.98</v>
      </c>
      <c r="H878">
        <v>14.98</v>
      </c>
      <c r="I878">
        <v>14.976179</v>
      </c>
      <c r="J878">
        <v>20.23</v>
      </c>
      <c r="K878">
        <v>58</v>
      </c>
      <c r="M878">
        <v>0</v>
      </c>
      <c r="N878" s="2">
        <v>123</v>
      </c>
      <c r="O878">
        <v>1842.07</v>
      </c>
      <c r="P878">
        <v>69</v>
      </c>
      <c r="Q878">
        <v>54</v>
      </c>
      <c r="R878">
        <v>1.71</v>
      </c>
      <c r="S878">
        <v>0</v>
      </c>
      <c r="T878">
        <v>323</v>
      </c>
      <c r="U878" s="2">
        <v>6534.29</v>
      </c>
      <c r="V878">
        <v>0</v>
      </c>
      <c r="W878" t="s">
        <v>29</v>
      </c>
      <c r="X878" t="str">
        <f>IF(Table2[[#This Row],[Qty available]]&gt;Table2[[#This Row],[Qty on hand]],"Check","OK")</f>
        <v>OK</v>
      </c>
    </row>
    <row r="879" spans="1:24" x14ac:dyDescent="0.3">
      <c r="A879" t="s">
        <v>133</v>
      </c>
      <c r="B879" t="s">
        <v>134</v>
      </c>
      <c r="C879" t="s">
        <v>57</v>
      </c>
      <c r="D879" t="s">
        <v>58</v>
      </c>
      <c r="E879" t="s">
        <v>66</v>
      </c>
      <c r="F879" s="1" t="s">
        <v>42</v>
      </c>
      <c r="G879" s="2">
        <v>15.07</v>
      </c>
      <c r="H879">
        <v>15.07</v>
      </c>
      <c r="I879">
        <v>15.054155</v>
      </c>
      <c r="J879">
        <v>20.23</v>
      </c>
      <c r="K879">
        <v>58</v>
      </c>
      <c r="L879" s="2">
        <v>91</v>
      </c>
      <c r="M879">
        <v>605</v>
      </c>
      <c r="N879" s="2">
        <v>438</v>
      </c>
      <c r="O879">
        <v>6593.72</v>
      </c>
      <c r="P879">
        <v>78</v>
      </c>
      <c r="Q879">
        <v>360</v>
      </c>
      <c r="R879">
        <v>6.76</v>
      </c>
      <c r="S879">
        <v>2</v>
      </c>
      <c r="T879">
        <v>290</v>
      </c>
      <c r="U879" s="2">
        <v>5866.7</v>
      </c>
      <c r="V879">
        <v>0</v>
      </c>
      <c r="W879" t="s">
        <v>29</v>
      </c>
      <c r="X879" t="str">
        <f>IF(Table2[[#This Row],[Qty available]]&gt;Table2[[#This Row],[Qty on hand]],"Check","OK")</f>
        <v>OK</v>
      </c>
    </row>
    <row r="880" spans="1:24" x14ac:dyDescent="0.3">
      <c r="A880" t="s">
        <v>133</v>
      </c>
      <c r="B880" t="s">
        <v>134</v>
      </c>
      <c r="C880" t="s">
        <v>57</v>
      </c>
      <c r="D880" t="s">
        <v>58</v>
      </c>
      <c r="E880" t="s">
        <v>66</v>
      </c>
      <c r="F880" s="1" t="s">
        <v>43</v>
      </c>
      <c r="G880" s="2">
        <v>15.2</v>
      </c>
      <c r="H880">
        <v>15.2</v>
      </c>
      <c r="I880">
        <v>15.054162</v>
      </c>
      <c r="J880">
        <v>20.23</v>
      </c>
      <c r="K880">
        <v>58</v>
      </c>
      <c r="M880">
        <v>0</v>
      </c>
      <c r="N880" s="2">
        <v>358</v>
      </c>
      <c r="O880">
        <v>5389.39</v>
      </c>
      <c r="P880">
        <v>43</v>
      </c>
      <c r="Q880">
        <v>315</v>
      </c>
      <c r="R880">
        <v>6.72</v>
      </c>
      <c r="S880">
        <v>0</v>
      </c>
      <c r="T880">
        <v>80</v>
      </c>
      <c r="U880" s="2">
        <v>1618.4</v>
      </c>
      <c r="V880">
        <v>0</v>
      </c>
      <c r="W880" t="s">
        <v>29</v>
      </c>
      <c r="X880" t="str">
        <f>IF(Table2[[#This Row],[Qty available]]&gt;Table2[[#This Row],[Qty on hand]],"Check","OK")</f>
        <v>OK</v>
      </c>
    </row>
    <row r="881" spans="1:24" x14ac:dyDescent="0.3">
      <c r="A881" t="s">
        <v>133</v>
      </c>
      <c r="B881" t="s">
        <v>134</v>
      </c>
      <c r="C881" t="s">
        <v>57</v>
      </c>
      <c r="D881" t="s">
        <v>58</v>
      </c>
      <c r="E881" t="s">
        <v>66</v>
      </c>
      <c r="F881" s="1" t="s">
        <v>44</v>
      </c>
      <c r="G881" s="2">
        <v>15.31</v>
      </c>
      <c r="H881">
        <v>15.31</v>
      </c>
      <c r="I881">
        <v>15.239379</v>
      </c>
      <c r="J881">
        <v>20.23</v>
      </c>
      <c r="K881">
        <v>58</v>
      </c>
      <c r="L881" s="2">
        <v>55</v>
      </c>
      <c r="M881">
        <v>939</v>
      </c>
      <c r="N881" s="2">
        <v>1062</v>
      </c>
      <c r="O881">
        <v>16184.22</v>
      </c>
      <c r="P881">
        <v>43</v>
      </c>
      <c r="Q881">
        <v>1019</v>
      </c>
      <c r="R881">
        <v>23.07</v>
      </c>
      <c r="S881">
        <v>6</v>
      </c>
      <c r="T881">
        <v>235</v>
      </c>
      <c r="U881" s="2">
        <v>4754.05</v>
      </c>
      <c r="V881">
        <v>0</v>
      </c>
      <c r="W881" t="s">
        <v>29</v>
      </c>
      <c r="X881" t="str">
        <f>IF(Table2[[#This Row],[Qty available]]&gt;Table2[[#This Row],[Qty on hand]],"Check","OK")</f>
        <v>OK</v>
      </c>
    </row>
    <row r="882" spans="1:24" x14ac:dyDescent="0.3">
      <c r="A882" t="s">
        <v>133</v>
      </c>
      <c r="B882" t="s">
        <v>134</v>
      </c>
      <c r="C882" t="s">
        <v>57</v>
      </c>
      <c r="D882" t="s">
        <v>58</v>
      </c>
      <c r="E882" t="s">
        <v>66</v>
      </c>
      <c r="F882" s="1" t="s">
        <v>45</v>
      </c>
      <c r="G882" s="2">
        <v>15.79</v>
      </c>
      <c r="H882">
        <v>15.79</v>
      </c>
      <c r="I882">
        <v>15.417303</v>
      </c>
      <c r="J882">
        <v>20.23</v>
      </c>
      <c r="K882">
        <v>58</v>
      </c>
      <c r="L882" s="2">
        <v>95</v>
      </c>
      <c r="M882">
        <v>507</v>
      </c>
      <c r="N882" s="2">
        <v>1257</v>
      </c>
      <c r="O882">
        <v>19379.55</v>
      </c>
      <c r="P882">
        <v>52</v>
      </c>
      <c r="Q882">
        <v>1205</v>
      </c>
      <c r="R882">
        <v>26.35</v>
      </c>
      <c r="S882">
        <v>2</v>
      </c>
      <c r="T882">
        <v>312</v>
      </c>
      <c r="U882" s="2">
        <v>6311.76</v>
      </c>
      <c r="V882">
        <v>0</v>
      </c>
      <c r="W882" t="s">
        <v>29</v>
      </c>
      <c r="X882" t="str">
        <f>IF(Table2[[#This Row],[Qty available]]&gt;Table2[[#This Row],[Qty on hand]],"Check","OK")</f>
        <v>OK</v>
      </c>
    </row>
    <row r="883" spans="1:24" x14ac:dyDescent="0.3">
      <c r="A883" t="s">
        <v>133</v>
      </c>
      <c r="B883" t="s">
        <v>134</v>
      </c>
      <c r="C883" t="s">
        <v>57</v>
      </c>
      <c r="D883" t="s">
        <v>58</v>
      </c>
      <c r="E883" t="s">
        <v>66</v>
      </c>
      <c r="F883" s="1" t="s">
        <v>46</v>
      </c>
      <c r="G883" s="2">
        <v>15.57</v>
      </c>
      <c r="H883">
        <v>15.57</v>
      </c>
      <c r="I883">
        <v>15.417306</v>
      </c>
      <c r="J883">
        <v>20.93</v>
      </c>
      <c r="K883">
        <v>58</v>
      </c>
      <c r="M883">
        <v>0</v>
      </c>
      <c r="N883" s="2">
        <v>824</v>
      </c>
      <c r="O883">
        <v>12703.86</v>
      </c>
      <c r="P883">
        <v>26</v>
      </c>
      <c r="Q883">
        <v>798</v>
      </c>
      <c r="R883">
        <v>10.81</v>
      </c>
      <c r="S883">
        <v>0</v>
      </c>
      <c r="T883">
        <v>433</v>
      </c>
      <c r="U883" s="2">
        <v>9062.69</v>
      </c>
      <c r="V883">
        <v>0</v>
      </c>
      <c r="W883" t="s">
        <v>29</v>
      </c>
      <c r="X883" t="str">
        <f>IF(Table2[[#This Row],[Qty available]]&gt;Table2[[#This Row],[Qty on hand]],"Check","OK")</f>
        <v>OK</v>
      </c>
    </row>
    <row r="884" spans="1:24" x14ac:dyDescent="0.3">
      <c r="A884" t="s">
        <v>133</v>
      </c>
      <c r="B884" t="s">
        <v>134</v>
      </c>
      <c r="C884" t="s">
        <v>57</v>
      </c>
      <c r="D884" t="s">
        <v>58</v>
      </c>
      <c r="E884" t="s">
        <v>66</v>
      </c>
      <c r="F884" s="1" t="s">
        <v>47</v>
      </c>
      <c r="G884" s="2">
        <v>15.93</v>
      </c>
      <c r="H884">
        <v>15.93</v>
      </c>
      <c r="I884">
        <v>15.417313</v>
      </c>
      <c r="J884">
        <v>20.93</v>
      </c>
      <c r="K884">
        <v>58</v>
      </c>
      <c r="M884">
        <v>0</v>
      </c>
      <c r="N884" s="2">
        <v>361</v>
      </c>
      <c r="O884">
        <v>5565.65</v>
      </c>
      <c r="P884">
        <v>87</v>
      </c>
      <c r="Q884">
        <v>274</v>
      </c>
      <c r="R884">
        <v>3.84</v>
      </c>
      <c r="S884">
        <v>0</v>
      </c>
      <c r="T884">
        <v>463</v>
      </c>
      <c r="U884" s="2">
        <v>9690.59</v>
      </c>
      <c r="V884">
        <v>0</v>
      </c>
      <c r="W884" t="s">
        <v>29</v>
      </c>
      <c r="X884" t="str">
        <f>IF(Table2[[#This Row],[Qty available]]&gt;Table2[[#This Row],[Qty on hand]],"Check","OK")</f>
        <v>OK</v>
      </c>
    </row>
    <row r="885" spans="1:24" x14ac:dyDescent="0.3">
      <c r="A885" t="s">
        <v>133</v>
      </c>
      <c r="B885" t="s">
        <v>134</v>
      </c>
      <c r="C885" t="s">
        <v>57</v>
      </c>
      <c r="D885" t="s">
        <v>58</v>
      </c>
      <c r="E885" t="s">
        <v>66</v>
      </c>
      <c r="F885" s="1" t="s">
        <v>48</v>
      </c>
      <c r="G885" s="2">
        <v>16.059999999999999</v>
      </c>
      <c r="H885">
        <v>16.059999999999999</v>
      </c>
      <c r="I885">
        <v>15.789602</v>
      </c>
      <c r="J885">
        <v>20.93</v>
      </c>
      <c r="K885">
        <v>58</v>
      </c>
      <c r="L885" s="2">
        <v>52</v>
      </c>
      <c r="M885">
        <v>497</v>
      </c>
      <c r="N885" s="2">
        <v>452</v>
      </c>
      <c r="O885">
        <v>7136.9</v>
      </c>
      <c r="P885">
        <v>26</v>
      </c>
      <c r="Q885">
        <v>426</v>
      </c>
      <c r="R885">
        <v>4.41</v>
      </c>
      <c r="S885">
        <v>2</v>
      </c>
      <c r="T885">
        <v>406</v>
      </c>
      <c r="U885" s="2">
        <v>8497.58</v>
      </c>
      <c r="V885">
        <v>0</v>
      </c>
      <c r="W885" t="s">
        <v>29</v>
      </c>
      <c r="X885" t="str">
        <f>IF(Table2[[#This Row],[Qty available]]&gt;Table2[[#This Row],[Qty on hand]],"Check","OK")</f>
        <v>OK</v>
      </c>
    </row>
    <row r="886" spans="1:24" x14ac:dyDescent="0.3">
      <c r="A886" t="s">
        <v>133</v>
      </c>
      <c r="B886" t="s">
        <v>134</v>
      </c>
      <c r="C886" t="s">
        <v>57</v>
      </c>
      <c r="D886" t="s">
        <v>58</v>
      </c>
      <c r="E886" t="s">
        <v>66</v>
      </c>
      <c r="F886" s="1" t="s">
        <v>49</v>
      </c>
      <c r="G886" s="2">
        <v>15.81</v>
      </c>
      <c r="H886">
        <v>15.81</v>
      </c>
      <c r="I886">
        <v>15.801364</v>
      </c>
      <c r="J886">
        <v>20.93</v>
      </c>
      <c r="K886">
        <v>58</v>
      </c>
      <c r="L886" s="2">
        <v>56</v>
      </c>
      <c r="M886">
        <v>616</v>
      </c>
      <c r="N886" s="2">
        <v>733</v>
      </c>
      <c r="O886">
        <v>11582.4</v>
      </c>
      <c r="P886">
        <v>43</v>
      </c>
      <c r="Q886">
        <v>690</v>
      </c>
      <c r="R886">
        <v>8</v>
      </c>
      <c r="S886">
        <v>1</v>
      </c>
      <c r="T886">
        <v>335</v>
      </c>
      <c r="U886" s="2">
        <v>7011.55</v>
      </c>
      <c r="V886">
        <v>0</v>
      </c>
      <c r="W886" t="s">
        <v>29</v>
      </c>
      <c r="X886" t="str">
        <f>IF(Table2[[#This Row],[Qty available]]&gt;Table2[[#This Row],[Qty on hand]],"Check","OK")</f>
        <v>OK</v>
      </c>
    </row>
    <row r="887" spans="1:24" x14ac:dyDescent="0.3">
      <c r="A887" t="s">
        <v>133</v>
      </c>
      <c r="B887" t="s">
        <v>134</v>
      </c>
      <c r="C887" t="s">
        <v>57</v>
      </c>
      <c r="D887" t="s">
        <v>58</v>
      </c>
      <c r="E887" t="s">
        <v>66</v>
      </c>
      <c r="F887" s="1" t="s">
        <v>50</v>
      </c>
      <c r="G887" s="2">
        <v>15.54</v>
      </c>
      <c r="H887">
        <v>15.54</v>
      </c>
      <c r="I887">
        <v>15.801354</v>
      </c>
      <c r="J887">
        <v>20.93</v>
      </c>
      <c r="K887">
        <v>58</v>
      </c>
      <c r="M887">
        <v>0</v>
      </c>
      <c r="N887" s="2">
        <v>362</v>
      </c>
      <c r="O887">
        <v>5720.09</v>
      </c>
      <c r="P887">
        <v>17</v>
      </c>
      <c r="Q887">
        <v>345</v>
      </c>
      <c r="R887">
        <v>4.2300000000000004</v>
      </c>
      <c r="S887">
        <v>2</v>
      </c>
      <c r="T887">
        <v>371</v>
      </c>
      <c r="U887" s="2">
        <v>7765.03</v>
      </c>
      <c r="V887">
        <v>0</v>
      </c>
      <c r="W887" t="s">
        <v>29</v>
      </c>
      <c r="X887" t="str">
        <f>IF(Table2[[#This Row],[Qty available]]&gt;Table2[[#This Row],[Qty on hand]],"Check","OK")</f>
        <v>OK</v>
      </c>
    </row>
    <row r="888" spans="1:24" x14ac:dyDescent="0.3">
      <c r="A888" t="s">
        <v>133</v>
      </c>
      <c r="B888" t="s">
        <v>134</v>
      </c>
      <c r="C888" t="s">
        <v>57</v>
      </c>
      <c r="D888" t="s">
        <v>58</v>
      </c>
      <c r="E888" t="s">
        <v>66</v>
      </c>
      <c r="F888" s="1" t="s">
        <v>51</v>
      </c>
      <c r="G888" s="2">
        <v>16.04</v>
      </c>
      <c r="H888">
        <v>16.04</v>
      </c>
      <c r="I888">
        <v>15.801389</v>
      </c>
      <c r="J888">
        <v>20.93</v>
      </c>
      <c r="K888">
        <v>58</v>
      </c>
      <c r="M888">
        <v>0</v>
      </c>
      <c r="N888" s="2">
        <v>108</v>
      </c>
      <c r="O888">
        <v>1706.55</v>
      </c>
      <c r="P888">
        <v>35</v>
      </c>
      <c r="Q888">
        <v>73</v>
      </c>
      <c r="R888">
        <v>1.48</v>
      </c>
      <c r="S888">
        <v>1</v>
      </c>
      <c r="T888">
        <v>254</v>
      </c>
      <c r="U888" s="2">
        <v>5316.22</v>
      </c>
      <c r="V888">
        <v>0</v>
      </c>
      <c r="W888" t="s">
        <v>29</v>
      </c>
      <c r="X888" t="str">
        <f>IF(Table2[[#This Row],[Qty available]]&gt;Table2[[#This Row],[Qty on hand]],"Check","OK")</f>
        <v>OK</v>
      </c>
    </row>
    <row r="889" spans="1:24" x14ac:dyDescent="0.3">
      <c r="A889" t="s">
        <v>133</v>
      </c>
      <c r="B889" t="s">
        <v>134</v>
      </c>
      <c r="C889" t="s">
        <v>57</v>
      </c>
      <c r="D889" t="s">
        <v>58</v>
      </c>
      <c r="E889" t="s">
        <v>66</v>
      </c>
      <c r="F889" s="1" t="s">
        <v>52</v>
      </c>
      <c r="G889" s="2">
        <v>15.78</v>
      </c>
      <c r="H889">
        <v>15.78</v>
      </c>
      <c r="I889">
        <v>15.782204999999999</v>
      </c>
      <c r="J889">
        <v>20.93</v>
      </c>
      <c r="K889">
        <v>58</v>
      </c>
      <c r="L889" s="2">
        <v>56</v>
      </c>
      <c r="M889">
        <v>942</v>
      </c>
      <c r="N889" s="2">
        <v>721</v>
      </c>
      <c r="O889">
        <v>11378.97</v>
      </c>
      <c r="P889">
        <v>52</v>
      </c>
      <c r="Q889">
        <v>669</v>
      </c>
      <c r="R889">
        <v>9.93</v>
      </c>
      <c r="S889">
        <v>2</v>
      </c>
      <c r="T889">
        <v>329</v>
      </c>
      <c r="U889" s="2">
        <v>6885.97</v>
      </c>
      <c r="V889">
        <v>0</v>
      </c>
      <c r="W889" t="s">
        <v>29</v>
      </c>
      <c r="X889" t="str">
        <f>IF(Table2[[#This Row],[Qty available]]&gt;Table2[[#This Row],[Qty on hand]],"Check","OK")</f>
        <v>OK</v>
      </c>
    </row>
    <row r="890" spans="1:24" x14ac:dyDescent="0.3">
      <c r="A890" t="s">
        <v>135</v>
      </c>
      <c r="B890" t="s">
        <v>136</v>
      </c>
      <c r="C890" t="s">
        <v>25</v>
      </c>
      <c r="D890" t="s">
        <v>26</v>
      </c>
      <c r="E890" t="s">
        <v>66</v>
      </c>
      <c r="F890" s="1" t="s">
        <v>28</v>
      </c>
      <c r="G890" s="2">
        <v>86.2</v>
      </c>
      <c r="H890">
        <v>86.2</v>
      </c>
      <c r="I890">
        <v>85.753111000000004</v>
      </c>
      <c r="J890">
        <v>112.02</v>
      </c>
      <c r="K890">
        <v>29</v>
      </c>
      <c r="L890" s="2">
        <v>38</v>
      </c>
      <c r="M890">
        <v>86</v>
      </c>
      <c r="N890" s="2">
        <v>90</v>
      </c>
      <c r="O890">
        <v>7717.78</v>
      </c>
      <c r="P890">
        <v>4</v>
      </c>
      <c r="Q890">
        <v>86</v>
      </c>
      <c r="R890">
        <v>15.98</v>
      </c>
      <c r="S890">
        <v>1</v>
      </c>
      <c r="T890">
        <v>27</v>
      </c>
      <c r="U890" s="2">
        <v>3024.54</v>
      </c>
      <c r="V890">
        <v>0</v>
      </c>
      <c r="W890" t="s">
        <v>29</v>
      </c>
      <c r="X890" t="str">
        <f>IF(Table2[[#This Row],[Qty available]]&gt;Table2[[#This Row],[Qty on hand]],"Check","OK")</f>
        <v>OK</v>
      </c>
    </row>
    <row r="891" spans="1:24" x14ac:dyDescent="0.3">
      <c r="A891" t="s">
        <v>135</v>
      </c>
      <c r="B891" t="s">
        <v>136</v>
      </c>
      <c r="C891" t="s">
        <v>25</v>
      </c>
      <c r="D891" t="s">
        <v>26</v>
      </c>
      <c r="E891" t="s">
        <v>66</v>
      </c>
      <c r="F891" s="1" t="s">
        <v>30</v>
      </c>
      <c r="G891" s="2">
        <v>86.11</v>
      </c>
      <c r="H891">
        <v>86.11</v>
      </c>
      <c r="I891">
        <v>85.753067000000001</v>
      </c>
      <c r="J891">
        <v>112.02</v>
      </c>
      <c r="K891">
        <v>29</v>
      </c>
      <c r="M891">
        <v>0</v>
      </c>
      <c r="N891" s="2">
        <v>75</v>
      </c>
      <c r="O891">
        <v>6431.48</v>
      </c>
      <c r="P891">
        <v>7</v>
      </c>
      <c r="Q891">
        <v>68</v>
      </c>
      <c r="R891">
        <v>15.9</v>
      </c>
      <c r="S891">
        <v>1</v>
      </c>
      <c r="T891">
        <v>15</v>
      </c>
      <c r="U891" s="2">
        <v>1680.3</v>
      </c>
      <c r="V891">
        <v>0</v>
      </c>
      <c r="W891" t="s">
        <v>29</v>
      </c>
      <c r="X891" t="str">
        <f>IF(Table2[[#This Row],[Qty available]]&gt;Table2[[#This Row],[Qty on hand]],"Check","OK")</f>
        <v>OK</v>
      </c>
    </row>
    <row r="892" spans="1:24" x14ac:dyDescent="0.3">
      <c r="A892" t="s">
        <v>135</v>
      </c>
      <c r="B892" t="s">
        <v>136</v>
      </c>
      <c r="C892" t="s">
        <v>25</v>
      </c>
      <c r="D892" t="s">
        <v>26</v>
      </c>
      <c r="E892" t="s">
        <v>66</v>
      </c>
      <c r="F892" s="1" t="s">
        <v>31</v>
      </c>
      <c r="G892" s="2">
        <v>86.78</v>
      </c>
      <c r="H892">
        <v>86.78</v>
      </c>
      <c r="I892">
        <v>85.977661999999995</v>
      </c>
      <c r="J892">
        <v>112.02</v>
      </c>
      <c r="K892">
        <v>29</v>
      </c>
      <c r="L892" s="2">
        <v>25</v>
      </c>
      <c r="M892">
        <v>21</v>
      </c>
      <c r="N892" s="2">
        <v>77</v>
      </c>
      <c r="O892">
        <v>6620.28</v>
      </c>
      <c r="P892">
        <v>6</v>
      </c>
      <c r="Q892">
        <v>71</v>
      </c>
      <c r="R892">
        <v>16.41</v>
      </c>
      <c r="S892">
        <v>12</v>
      </c>
      <c r="T892">
        <v>19</v>
      </c>
      <c r="U892" s="2">
        <v>2128.38</v>
      </c>
      <c r="V892">
        <v>0</v>
      </c>
      <c r="W892" t="s">
        <v>29</v>
      </c>
      <c r="X892" t="str">
        <f>IF(Table2[[#This Row],[Qty available]]&gt;Table2[[#This Row],[Qty on hand]],"Check","OK")</f>
        <v>OK</v>
      </c>
    </row>
    <row r="893" spans="1:24" x14ac:dyDescent="0.3">
      <c r="A893" t="s">
        <v>135</v>
      </c>
      <c r="B893" t="s">
        <v>136</v>
      </c>
      <c r="C893" t="s">
        <v>25</v>
      </c>
      <c r="D893" t="s">
        <v>26</v>
      </c>
      <c r="E893" t="s">
        <v>66</v>
      </c>
      <c r="F893" s="1" t="s">
        <v>32</v>
      </c>
      <c r="G893" s="2">
        <v>85.19</v>
      </c>
      <c r="H893">
        <v>85.19</v>
      </c>
      <c r="I893">
        <v>85.977812999999998</v>
      </c>
      <c r="J893">
        <v>112.02</v>
      </c>
      <c r="K893">
        <v>29</v>
      </c>
      <c r="M893">
        <v>0</v>
      </c>
      <c r="N893" s="2">
        <v>32</v>
      </c>
      <c r="O893">
        <v>2751.29</v>
      </c>
      <c r="P893">
        <v>6</v>
      </c>
      <c r="Q893">
        <v>26</v>
      </c>
      <c r="R893">
        <v>5.32</v>
      </c>
      <c r="S893">
        <v>2</v>
      </c>
      <c r="T893">
        <v>45</v>
      </c>
      <c r="U893" s="2">
        <v>5040.8999999999996</v>
      </c>
      <c r="V893">
        <v>0</v>
      </c>
      <c r="W893" t="s">
        <v>29</v>
      </c>
      <c r="X893" t="str">
        <f>IF(Table2[[#This Row],[Qty available]]&gt;Table2[[#This Row],[Qty on hand]],"Check","OK")</f>
        <v>OK</v>
      </c>
    </row>
    <row r="894" spans="1:24" x14ac:dyDescent="0.3">
      <c r="A894" t="s">
        <v>135</v>
      </c>
      <c r="B894" t="s">
        <v>136</v>
      </c>
      <c r="C894" t="s">
        <v>25</v>
      </c>
      <c r="D894" t="s">
        <v>26</v>
      </c>
      <c r="E894" t="s">
        <v>66</v>
      </c>
      <c r="F894" s="1" t="s">
        <v>33</v>
      </c>
      <c r="G894" s="2">
        <v>85.68</v>
      </c>
      <c r="H894">
        <v>85.68</v>
      </c>
      <c r="I894">
        <v>85.808750000000003</v>
      </c>
      <c r="J894">
        <v>112.02</v>
      </c>
      <c r="K894">
        <v>29</v>
      </c>
      <c r="L894" s="2">
        <v>26</v>
      </c>
      <c r="M894">
        <v>42</v>
      </c>
      <c r="N894" s="2">
        <v>56</v>
      </c>
      <c r="O894">
        <v>4805.29</v>
      </c>
      <c r="P894">
        <v>5</v>
      </c>
      <c r="Q894">
        <v>51</v>
      </c>
      <c r="R894">
        <v>8.98</v>
      </c>
      <c r="S894">
        <v>2</v>
      </c>
      <c r="T894">
        <v>18</v>
      </c>
      <c r="U894" s="2">
        <v>2016.36</v>
      </c>
      <c r="V894">
        <v>0</v>
      </c>
      <c r="W894" t="s">
        <v>29</v>
      </c>
      <c r="X894" t="str">
        <f>IF(Table2[[#This Row],[Qty available]]&gt;Table2[[#This Row],[Qty on hand]],"Check","OK")</f>
        <v>OK</v>
      </c>
    </row>
    <row r="895" spans="1:24" x14ac:dyDescent="0.3">
      <c r="A895" t="s">
        <v>135</v>
      </c>
      <c r="B895" t="s">
        <v>136</v>
      </c>
      <c r="C895" t="s">
        <v>25</v>
      </c>
      <c r="D895" t="s">
        <v>26</v>
      </c>
      <c r="E895" t="s">
        <v>66</v>
      </c>
      <c r="F895" s="1" t="s">
        <v>34</v>
      </c>
      <c r="G895" s="2">
        <v>84.4</v>
      </c>
      <c r="H895">
        <v>84.4</v>
      </c>
      <c r="I895">
        <v>85.266970000000001</v>
      </c>
      <c r="J895">
        <v>118.48</v>
      </c>
      <c r="K895">
        <v>29</v>
      </c>
      <c r="L895" s="2">
        <v>26</v>
      </c>
      <c r="M895">
        <v>35</v>
      </c>
      <c r="N895" s="2">
        <v>66</v>
      </c>
      <c r="O895">
        <v>5627.62</v>
      </c>
      <c r="P895">
        <v>4</v>
      </c>
      <c r="Q895">
        <v>62</v>
      </c>
      <c r="R895">
        <v>9.64</v>
      </c>
      <c r="S895">
        <v>4</v>
      </c>
      <c r="T895">
        <v>25</v>
      </c>
      <c r="U895" s="2">
        <v>2962</v>
      </c>
      <c r="V895">
        <v>0</v>
      </c>
      <c r="W895" t="s">
        <v>29</v>
      </c>
      <c r="X895" t="str">
        <f>IF(Table2[[#This Row],[Qty available]]&gt;Table2[[#This Row],[Qty on hand]],"Check","OK")</f>
        <v>OK</v>
      </c>
    </row>
    <row r="896" spans="1:24" x14ac:dyDescent="0.3">
      <c r="A896" t="s">
        <v>135</v>
      </c>
      <c r="B896" t="s">
        <v>136</v>
      </c>
      <c r="C896" t="s">
        <v>25</v>
      </c>
      <c r="D896" t="s">
        <v>26</v>
      </c>
      <c r="E896" t="s">
        <v>66</v>
      </c>
      <c r="F896" s="1" t="s">
        <v>35</v>
      </c>
      <c r="G896" s="2">
        <v>84.38</v>
      </c>
      <c r="H896">
        <v>84.38</v>
      </c>
      <c r="I896">
        <v>85.266999999999996</v>
      </c>
      <c r="J896">
        <v>118.48</v>
      </c>
      <c r="K896">
        <v>29</v>
      </c>
      <c r="M896">
        <v>0</v>
      </c>
      <c r="N896" s="2">
        <v>50</v>
      </c>
      <c r="O896">
        <v>4263.3500000000004</v>
      </c>
      <c r="P896">
        <v>5</v>
      </c>
      <c r="Q896">
        <v>45</v>
      </c>
      <c r="R896">
        <v>10.9</v>
      </c>
      <c r="S896">
        <v>5</v>
      </c>
      <c r="T896">
        <v>16</v>
      </c>
      <c r="U896" s="2">
        <v>1895.68</v>
      </c>
      <c r="V896">
        <v>0</v>
      </c>
      <c r="W896" t="s">
        <v>29</v>
      </c>
      <c r="X896" t="str">
        <f>IF(Table2[[#This Row],[Qty available]]&gt;Table2[[#This Row],[Qty on hand]],"Check","OK")</f>
        <v>OK</v>
      </c>
    </row>
    <row r="897" spans="1:24" x14ac:dyDescent="0.3">
      <c r="A897" t="s">
        <v>135</v>
      </c>
      <c r="B897" t="s">
        <v>136</v>
      </c>
      <c r="C897" t="s">
        <v>25</v>
      </c>
      <c r="D897" t="s">
        <v>26</v>
      </c>
      <c r="E897" t="s">
        <v>66</v>
      </c>
      <c r="F897" s="1" t="s">
        <v>36</v>
      </c>
      <c r="G897" s="2">
        <v>86.09</v>
      </c>
      <c r="H897">
        <v>86.09</v>
      </c>
      <c r="I897">
        <v>85.534000000000006</v>
      </c>
      <c r="J897">
        <v>118.48</v>
      </c>
      <c r="K897">
        <v>29</v>
      </c>
      <c r="L897" s="2">
        <v>26</v>
      </c>
      <c r="M897">
        <v>24</v>
      </c>
      <c r="N897" s="2">
        <v>55</v>
      </c>
      <c r="O897">
        <v>4704.37</v>
      </c>
      <c r="P897">
        <v>6</v>
      </c>
      <c r="Q897">
        <v>49</v>
      </c>
      <c r="R897">
        <v>11.65</v>
      </c>
      <c r="S897">
        <v>4</v>
      </c>
      <c r="T897">
        <v>19</v>
      </c>
      <c r="U897" s="2">
        <v>2251.12</v>
      </c>
      <c r="V897">
        <v>0</v>
      </c>
      <c r="W897" t="s">
        <v>29</v>
      </c>
      <c r="X897" t="str">
        <f>IF(Table2[[#This Row],[Qty available]]&gt;Table2[[#This Row],[Qty on hand]],"Check","OK")</f>
        <v>OK</v>
      </c>
    </row>
    <row r="898" spans="1:24" x14ac:dyDescent="0.3">
      <c r="A898" t="s">
        <v>135</v>
      </c>
      <c r="B898" t="s">
        <v>136</v>
      </c>
      <c r="C898" t="s">
        <v>25</v>
      </c>
      <c r="D898" t="s">
        <v>26</v>
      </c>
      <c r="E898" t="s">
        <v>66</v>
      </c>
      <c r="F898" s="1" t="s">
        <v>37</v>
      </c>
      <c r="G898" s="2">
        <v>88.82</v>
      </c>
      <c r="H898">
        <v>88.82</v>
      </c>
      <c r="I898">
        <v>85.534091000000004</v>
      </c>
      <c r="J898">
        <v>118.48</v>
      </c>
      <c r="K898">
        <v>29</v>
      </c>
      <c r="M898">
        <v>0</v>
      </c>
      <c r="N898" s="2">
        <v>44</v>
      </c>
      <c r="O898">
        <v>3763.5</v>
      </c>
      <c r="P898">
        <v>5</v>
      </c>
      <c r="Q898">
        <v>39</v>
      </c>
      <c r="R898">
        <v>12.57</v>
      </c>
      <c r="S898">
        <v>2</v>
      </c>
      <c r="T898">
        <v>11</v>
      </c>
      <c r="U898" s="2">
        <v>1303.28</v>
      </c>
      <c r="V898">
        <v>0</v>
      </c>
      <c r="W898" t="s">
        <v>29</v>
      </c>
      <c r="X898" t="str">
        <f>IF(Table2[[#This Row],[Qty available]]&gt;Table2[[#This Row],[Qty on hand]],"Check","OK")</f>
        <v>OK</v>
      </c>
    </row>
    <row r="899" spans="1:24" x14ac:dyDescent="0.3">
      <c r="A899" t="s">
        <v>135</v>
      </c>
      <c r="B899" t="s">
        <v>136</v>
      </c>
      <c r="C899" t="s">
        <v>25</v>
      </c>
      <c r="D899" t="s">
        <v>26</v>
      </c>
      <c r="E899" t="s">
        <v>66</v>
      </c>
      <c r="F899" s="1" t="s">
        <v>38</v>
      </c>
      <c r="G899" s="2">
        <v>89.07</v>
      </c>
      <c r="H899">
        <v>89.07</v>
      </c>
      <c r="I899">
        <v>87.498519000000002</v>
      </c>
      <c r="J899">
        <v>118.48</v>
      </c>
      <c r="K899">
        <v>29</v>
      </c>
      <c r="L899" s="2">
        <v>27</v>
      </c>
      <c r="M899">
        <v>55</v>
      </c>
      <c r="N899" s="2">
        <v>81</v>
      </c>
      <c r="O899">
        <v>7087.38</v>
      </c>
      <c r="P899">
        <v>2</v>
      </c>
      <c r="Q899">
        <v>79</v>
      </c>
      <c r="R899">
        <v>21.94</v>
      </c>
      <c r="S899">
        <v>13</v>
      </c>
      <c r="T899">
        <v>18</v>
      </c>
      <c r="U899" s="2">
        <v>2132.64</v>
      </c>
      <c r="V899">
        <v>0</v>
      </c>
      <c r="W899" t="s">
        <v>29</v>
      </c>
      <c r="X899" t="str">
        <f>IF(Table2[[#This Row],[Qty available]]&gt;Table2[[#This Row],[Qty on hand]],"Check","OK")</f>
        <v>OK</v>
      </c>
    </row>
    <row r="900" spans="1:24" x14ac:dyDescent="0.3">
      <c r="A900" t="s">
        <v>135</v>
      </c>
      <c r="B900" t="s">
        <v>136</v>
      </c>
      <c r="C900" t="s">
        <v>25</v>
      </c>
      <c r="D900" t="s">
        <v>26</v>
      </c>
      <c r="E900" t="s">
        <v>66</v>
      </c>
      <c r="F900" s="1" t="s">
        <v>39</v>
      </c>
      <c r="G900" s="2">
        <v>89.24</v>
      </c>
      <c r="H900">
        <v>89.24</v>
      </c>
      <c r="I900">
        <v>87.498519000000002</v>
      </c>
      <c r="J900">
        <v>118.48</v>
      </c>
      <c r="K900">
        <v>29</v>
      </c>
      <c r="M900">
        <v>0</v>
      </c>
      <c r="N900" s="2">
        <v>81</v>
      </c>
      <c r="O900">
        <v>7087.38</v>
      </c>
      <c r="P900">
        <v>4</v>
      </c>
      <c r="Q900">
        <v>77</v>
      </c>
      <c r="R900">
        <v>36.71</v>
      </c>
      <c r="S900">
        <v>44</v>
      </c>
      <c r="T900">
        <v>0</v>
      </c>
      <c r="U900" s="2">
        <v>0</v>
      </c>
      <c r="V900">
        <v>0</v>
      </c>
      <c r="W900" t="s">
        <v>29</v>
      </c>
      <c r="X900" t="str">
        <f>IF(Table2[[#This Row],[Qty available]]&gt;Table2[[#This Row],[Qty on hand]],"Check","OK")</f>
        <v>OK</v>
      </c>
    </row>
    <row r="901" spans="1:24" x14ac:dyDescent="0.3">
      <c r="A901" t="s">
        <v>135</v>
      </c>
      <c r="B901" t="s">
        <v>136</v>
      </c>
      <c r="C901" t="s">
        <v>25</v>
      </c>
      <c r="D901" t="s">
        <v>26</v>
      </c>
      <c r="E901" t="s">
        <v>66</v>
      </c>
      <c r="F901" s="1" t="s">
        <v>40</v>
      </c>
      <c r="G901" s="2">
        <v>87.38</v>
      </c>
      <c r="H901">
        <v>87.38</v>
      </c>
      <c r="I901">
        <v>87.466436999999999</v>
      </c>
      <c r="J901">
        <v>118.48</v>
      </c>
      <c r="K901">
        <v>29</v>
      </c>
      <c r="L901" s="2">
        <v>25</v>
      </c>
      <c r="M901">
        <v>30</v>
      </c>
      <c r="N901" s="2">
        <v>87</v>
      </c>
      <c r="O901">
        <v>7609.58</v>
      </c>
      <c r="P901">
        <v>6</v>
      </c>
      <c r="Q901">
        <v>81</v>
      </c>
      <c r="R901">
        <v>27.22</v>
      </c>
      <c r="S901">
        <v>3</v>
      </c>
      <c r="T901">
        <v>24</v>
      </c>
      <c r="U901" s="2">
        <v>2843.52</v>
      </c>
      <c r="V901">
        <v>0</v>
      </c>
      <c r="W901" t="s">
        <v>29</v>
      </c>
      <c r="X901" t="str">
        <f>IF(Table2[[#This Row],[Qty available]]&gt;Table2[[#This Row],[Qty on hand]],"Check","OK")</f>
        <v>OK</v>
      </c>
    </row>
    <row r="902" spans="1:24" x14ac:dyDescent="0.3">
      <c r="A902" t="s">
        <v>135</v>
      </c>
      <c r="B902" t="s">
        <v>136</v>
      </c>
      <c r="C902" t="s">
        <v>25</v>
      </c>
      <c r="D902" t="s">
        <v>26</v>
      </c>
      <c r="E902" t="s">
        <v>66</v>
      </c>
      <c r="F902" s="1" t="s">
        <v>41</v>
      </c>
      <c r="G902" s="2">
        <v>87.38</v>
      </c>
      <c r="H902">
        <v>87.38</v>
      </c>
      <c r="I902">
        <v>87.466392999999997</v>
      </c>
      <c r="J902">
        <v>118.48</v>
      </c>
      <c r="K902">
        <v>29</v>
      </c>
      <c r="M902">
        <v>0</v>
      </c>
      <c r="N902" s="2">
        <v>61</v>
      </c>
      <c r="O902">
        <v>5335.45</v>
      </c>
      <c r="P902">
        <v>3</v>
      </c>
      <c r="Q902">
        <v>58</v>
      </c>
      <c r="R902">
        <v>16.03</v>
      </c>
      <c r="S902">
        <v>0</v>
      </c>
      <c r="T902">
        <v>26</v>
      </c>
      <c r="U902" s="2">
        <v>3080.48</v>
      </c>
      <c r="V902">
        <v>0</v>
      </c>
      <c r="W902" t="s">
        <v>29</v>
      </c>
      <c r="X902" t="str">
        <f>IF(Table2[[#This Row],[Qty available]]&gt;Table2[[#This Row],[Qty on hand]],"Check","OK")</f>
        <v>OK</v>
      </c>
    </row>
    <row r="903" spans="1:24" x14ac:dyDescent="0.3">
      <c r="A903" t="s">
        <v>135</v>
      </c>
      <c r="B903" t="s">
        <v>136</v>
      </c>
      <c r="C903" t="s">
        <v>25</v>
      </c>
      <c r="D903" t="s">
        <v>26</v>
      </c>
      <c r="E903" t="s">
        <v>66</v>
      </c>
      <c r="F903" s="1" t="s">
        <v>42</v>
      </c>
      <c r="G903" s="2">
        <v>86.54</v>
      </c>
      <c r="H903">
        <v>86.54</v>
      </c>
      <c r="I903">
        <v>87.229211000000006</v>
      </c>
      <c r="J903">
        <v>118.48</v>
      </c>
      <c r="K903">
        <v>29</v>
      </c>
      <c r="L903" s="2">
        <v>29</v>
      </c>
      <c r="M903">
        <v>21</v>
      </c>
      <c r="N903" s="2">
        <v>76</v>
      </c>
      <c r="O903">
        <v>6629.42</v>
      </c>
      <c r="P903">
        <v>3</v>
      </c>
      <c r="Q903">
        <v>73</v>
      </c>
      <c r="R903">
        <v>17.84</v>
      </c>
      <c r="S903">
        <v>2</v>
      </c>
      <c r="T903">
        <v>6</v>
      </c>
      <c r="U903" s="2">
        <v>710.88</v>
      </c>
      <c r="V903">
        <v>0</v>
      </c>
      <c r="W903" t="s">
        <v>29</v>
      </c>
      <c r="X903" t="str">
        <f>IF(Table2[[#This Row],[Qty available]]&gt;Table2[[#This Row],[Qty on hand]],"Check","OK")</f>
        <v>OK</v>
      </c>
    </row>
    <row r="904" spans="1:24" x14ac:dyDescent="0.3">
      <c r="A904" t="s">
        <v>135</v>
      </c>
      <c r="B904" t="s">
        <v>136</v>
      </c>
      <c r="C904" t="s">
        <v>25</v>
      </c>
      <c r="D904" t="s">
        <v>26</v>
      </c>
      <c r="E904" t="s">
        <v>66</v>
      </c>
      <c r="F904" s="1" t="s">
        <v>43</v>
      </c>
      <c r="G904" s="2">
        <v>89.08</v>
      </c>
      <c r="H904">
        <v>89.08</v>
      </c>
      <c r="I904">
        <v>87.229215999999994</v>
      </c>
      <c r="J904">
        <v>118.48</v>
      </c>
      <c r="K904">
        <v>29</v>
      </c>
      <c r="M904">
        <v>0</v>
      </c>
      <c r="N904" s="2">
        <v>51</v>
      </c>
      <c r="O904">
        <v>4448.6899999999996</v>
      </c>
      <c r="P904">
        <v>4</v>
      </c>
      <c r="Q904">
        <v>47</v>
      </c>
      <c r="R904">
        <v>11.63</v>
      </c>
      <c r="S904">
        <v>1</v>
      </c>
      <c r="T904">
        <v>25</v>
      </c>
      <c r="U904" s="2">
        <v>2962</v>
      </c>
      <c r="V904">
        <v>0</v>
      </c>
      <c r="W904" t="s">
        <v>29</v>
      </c>
      <c r="X904" t="str">
        <f>IF(Table2[[#This Row],[Qty available]]&gt;Table2[[#This Row],[Qty on hand]],"Check","OK")</f>
        <v>OK</v>
      </c>
    </row>
    <row r="905" spans="1:24" x14ac:dyDescent="0.3">
      <c r="A905" t="s">
        <v>135</v>
      </c>
      <c r="B905" t="s">
        <v>136</v>
      </c>
      <c r="C905" t="s">
        <v>25</v>
      </c>
      <c r="D905" t="s">
        <v>26</v>
      </c>
      <c r="E905" t="s">
        <v>66</v>
      </c>
      <c r="F905" s="1" t="s">
        <v>44</v>
      </c>
      <c r="G905" s="2">
        <v>88.61</v>
      </c>
      <c r="H905">
        <v>88.61</v>
      </c>
      <c r="I905">
        <v>87.852800000000002</v>
      </c>
      <c r="J905">
        <v>118.48</v>
      </c>
      <c r="K905">
        <v>29</v>
      </c>
      <c r="L905" s="2">
        <v>25</v>
      </c>
      <c r="M905">
        <v>42</v>
      </c>
      <c r="N905" s="2">
        <v>75</v>
      </c>
      <c r="O905">
        <v>6588.96</v>
      </c>
      <c r="P905">
        <v>6</v>
      </c>
      <c r="Q905">
        <v>69</v>
      </c>
      <c r="R905">
        <v>20.12</v>
      </c>
      <c r="S905">
        <v>13</v>
      </c>
      <c r="T905">
        <v>18</v>
      </c>
      <c r="U905" s="2">
        <v>2132.64</v>
      </c>
      <c r="V905">
        <v>0</v>
      </c>
      <c r="W905" t="s">
        <v>29</v>
      </c>
      <c r="X905" t="str">
        <f>IF(Table2[[#This Row],[Qty available]]&gt;Table2[[#This Row],[Qty on hand]],"Check","OK")</f>
        <v>OK</v>
      </c>
    </row>
    <row r="906" spans="1:24" x14ac:dyDescent="0.3">
      <c r="A906" t="s">
        <v>135</v>
      </c>
      <c r="B906" t="s">
        <v>136</v>
      </c>
      <c r="C906" t="s">
        <v>25</v>
      </c>
      <c r="D906" t="s">
        <v>26</v>
      </c>
      <c r="E906" t="s">
        <v>66</v>
      </c>
      <c r="F906" s="1" t="s">
        <v>45</v>
      </c>
      <c r="G906" s="2">
        <v>87.23</v>
      </c>
      <c r="H906">
        <v>87.23</v>
      </c>
      <c r="I906">
        <v>87.716617999999997</v>
      </c>
      <c r="J906">
        <v>118.48</v>
      </c>
      <c r="K906">
        <v>29</v>
      </c>
      <c r="L906" s="2">
        <v>29</v>
      </c>
      <c r="M906">
        <v>21</v>
      </c>
      <c r="N906" s="2">
        <v>68</v>
      </c>
      <c r="O906">
        <v>5964.73</v>
      </c>
      <c r="P906">
        <v>3</v>
      </c>
      <c r="Q906">
        <v>65</v>
      </c>
      <c r="R906">
        <v>12.59</v>
      </c>
      <c r="S906">
        <v>2</v>
      </c>
      <c r="T906">
        <v>28</v>
      </c>
      <c r="U906" s="2">
        <v>3317.44</v>
      </c>
      <c r="V906">
        <v>0</v>
      </c>
      <c r="W906" t="s">
        <v>29</v>
      </c>
      <c r="X906" t="str">
        <f>IF(Table2[[#This Row],[Qty available]]&gt;Table2[[#This Row],[Qty on hand]],"Check","OK")</f>
        <v>OK</v>
      </c>
    </row>
    <row r="907" spans="1:24" x14ac:dyDescent="0.3">
      <c r="A907" t="s">
        <v>135</v>
      </c>
      <c r="B907" t="s">
        <v>136</v>
      </c>
      <c r="C907" t="s">
        <v>25</v>
      </c>
      <c r="D907" t="s">
        <v>26</v>
      </c>
      <c r="E907" t="s">
        <v>66</v>
      </c>
      <c r="F907" s="1" t="s">
        <v>46</v>
      </c>
      <c r="G907" s="2">
        <v>88.88</v>
      </c>
      <c r="H907">
        <v>88.88</v>
      </c>
      <c r="I907">
        <v>87.716667000000001</v>
      </c>
      <c r="J907">
        <v>125.31</v>
      </c>
      <c r="K907">
        <v>29</v>
      </c>
      <c r="M907">
        <v>0</v>
      </c>
      <c r="N907" s="2">
        <v>48</v>
      </c>
      <c r="O907">
        <v>4210.3999999999996</v>
      </c>
      <c r="P907">
        <v>6</v>
      </c>
      <c r="Q907">
        <v>42</v>
      </c>
      <c r="R907">
        <v>9.35</v>
      </c>
      <c r="S907">
        <v>3</v>
      </c>
      <c r="T907">
        <v>20</v>
      </c>
      <c r="U907" s="2">
        <v>2506.1999999999998</v>
      </c>
      <c r="V907">
        <v>0</v>
      </c>
      <c r="W907" t="s">
        <v>29</v>
      </c>
      <c r="X907" t="str">
        <f>IF(Table2[[#This Row],[Qty available]]&gt;Table2[[#This Row],[Qty on hand]],"Check","OK")</f>
        <v>OK</v>
      </c>
    </row>
    <row r="908" spans="1:24" x14ac:dyDescent="0.3">
      <c r="A908" t="s">
        <v>135</v>
      </c>
      <c r="B908" t="s">
        <v>136</v>
      </c>
      <c r="C908" t="s">
        <v>25</v>
      </c>
      <c r="D908" t="s">
        <v>26</v>
      </c>
      <c r="E908" t="s">
        <v>66</v>
      </c>
      <c r="F908" s="1" t="s">
        <v>47</v>
      </c>
      <c r="G908" s="2">
        <v>88.42</v>
      </c>
      <c r="H908">
        <v>88.42</v>
      </c>
      <c r="I908">
        <v>88.044933</v>
      </c>
      <c r="J908">
        <v>125.31</v>
      </c>
      <c r="K908">
        <v>29</v>
      </c>
      <c r="L908" s="2">
        <v>29</v>
      </c>
      <c r="M908">
        <v>42</v>
      </c>
      <c r="N908" s="2">
        <v>75</v>
      </c>
      <c r="O908">
        <v>6603.37</v>
      </c>
      <c r="P908">
        <v>4</v>
      </c>
      <c r="Q908">
        <v>71</v>
      </c>
      <c r="R908">
        <v>15.31</v>
      </c>
      <c r="S908">
        <v>0</v>
      </c>
      <c r="T908">
        <v>15</v>
      </c>
      <c r="U908" s="2">
        <v>1879.65</v>
      </c>
      <c r="V908">
        <v>0</v>
      </c>
      <c r="W908" t="s">
        <v>29</v>
      </c>
      <c r="X908" t="str">
        <f>IF(Table2[[#This Row],[Qty available]]&gt;Table2[[#This Row],[Qty on hand]],"Check","OK")</f>
        <v>OK</v>
      </c>
    </row>
    <row r="909" spans="1:24" x14ac:dyDescent="0.3">
      <c r="A909" t="s">
        <v>135</v>
      </c>
      <c r="B909" t="s">
        <v>136</v>
      </c>
      <c r="C909" t="s">
        <v>25</v>
      </c>
      <c r="D909" t="s">
        <v>26</v>
      </c>
      <c r="E909" t="s">
        <v>66</v>
      </c>
      <c r="F909" s="1" t="s">
        <v>48</v>
      </c>
      <c r="G909" s="2">
        <v>90.27</v>
      </c>
      <c r="H909">
        <v>90.27</v>
      </c>
      <c r="I909">
        <v>88.531621999999999</v>
      </c>
      <c r="J909">
        <v>125.31</v>
      </c>
      <c r="K909">
        <v>29</v>
      </c>
      <c r="L909" s="2">
        <v>28</v>
      </c>
      <c r="M909">
        <v>21</v>
      </c>
      <c r="N909" s="2">
        <v>74</v>
      </c>
      <c r="O909">
        <v>6551.34</v>
      </c>
      <c r="P909">
        <v>6</v>
      </c>
      <c r="Q909">
        <v>68</v>
      </c>
      <c r="R909">
        <v>16.510000000000002</v>
      </c>
      <c r="S909">
        <v>9</v>
      </c>
      <c r="T909">
        <v>22</v>
      </c>
      <c r="U909" s="2">
        <v>2756.82</v>
      </c>
      <c r="V909">
        <v>0</v>
      </c>
      <c r="W909" t="s">
        <v>29</v>
      </c>
      <c r="X909" t="str">
        <f>IF(Table2[[#This Row],[Qty available]]&gt;Table2[[#This Row],[Qty on hand]],"Check","OK")</f>
        <v>OK</v>
      </c>
    </row>
    <row r="910" spans="1:24" x14ac:dyDescent="0.3">
      <c r="A910" t="s">
        <v>135</v>
      </c>
      <c r="B910" t="s">
        <v>136</v>
      </c>
      <c r="C910" t="s">
        <v>25</v>
      </c>
      <c r="D910" t="s">
        <v>26</v>
      </c>
      <c r="E910" t="s">
        <v>66</v>
      </c>
      <c r="F910" s="1" t="s">
        <v>49</v>
      </c>
      <c r="G910" s="2">
        <v>90.22</v>
      </c>
      <c r="H910">
        <v>90.22</v>
      </c>
      <c r="I910">
        <v>88.918589999999995</v>
      </c>
      <c r="J910">
        <v>125.31</v>
      </c>
      <c r="K910">
        <v>29</v>
      </c>
      <c r="L910" s="2">
        <v>28</v>
      </c>
      <c r="M910">
        <v>22</v>
      </c>
      <c r="N910" s="2">
        <v>78</v>
      </c>
      <c r="O910">
        <v>6935.65</v>
      </c>
      <c r="P910">
        <v>6</v>
      </c>
      <c r="Q910">
        <v>72</v>
      </c>
      <c r="R910">
        <v>18.64</v>
      </c>
      <c r="S910">
        <v>0</v>
      </c>
      <c r="T910">
        <v>18</v>
      </c>
      <c r="U910" s="2">
        <v>2255.58</v>
      </c>
      <c r="V910">
        <v>0</v>
      </c>
      <c r="W910" t="s">
        <v>29</v>
      </c>
      <c r="X910" t="str">
        <f>IF(Table2[[#This Row],[Qty available]]&gt;Table2[[#This Row],[Qty on hand]],"Check","OK")</f>
        <v>OK</v>
      </c>
    </row>
    <row r="911" spans="1:24" x14ac:dyDescent="0.3">
      <c r="A911" t="s">
        <v>135</v>
      </c>
      <c r="B911" t="s">
        <v>136</v>
      </c>
      <c r="C911" t="s">
        <v>25</v>
      </c>
      <c r="D911" t="s">
        <v>26</v>
      </c>
      <c r="E911" t="s">
        <v>66</v>
      </c>
      <c r="F911" s="1" t="s">
        <v>50</v>
      </c>
      <c r="G911" s="2">
        <v>90.84</v>
      </c>
      <c r="H911">
        <v>90.84</v>
      </c>
      <c r="I911">
        <v>89.326206999999997</v>
      </c>
      <c r="J911">
        <v>125.31</v>
      </c>
      <c r="K911">
        <v>29</v>
      </c>
      <c r="L911" s="2">
        <v>25</v>
      </c>
      <c r="M911">
        <v>21</v>
      </c>
      <c r="N911" s="2">
        <v>87</v>
      </c>
      <c r="O911">
        <v>7771.38</v>
      </c>
      <c r="P911">
        <v>7</v>
      </c>
      <c r="Q911">
        <v>80</v>
      </c>
      <c r="R911">
        <v>21.75</v>
      </c>
      <c r="S911">
        <v>6</v>
      </c>
      <c r="T911">
        <v>12</v>
      </c>
      <c r="U911" s="2">
        <v>1503.72</v>
      </c>
      <c r="V911">
        <v>0</v>
      </c>
      <c r="W911" t="s">
        <v>29</v>
      </c>
      <c r="X911" t="str">
        <f>IF(Table2[[#This Row],[Qty available]]&gt;Table2[[#This Row],[Qty on hand]],"Check","OK")</f>
        <v>OK</v>
      </c>
    </row>
    <row r="912" spans="1:24" x14ac:dyDescent="0.3">
      <c r="A912" t="s">
        <v>135</v>
      </c>
      <c r="B912" t="s">
        <v>136</v>
      </c>
      <c r="C912" t="s">
        <v>25</v>
      </c>
      <c r="D912" t="s">
        <v>26</v>
      </c>
      <c r="E912" t="s">
        <v>66</v>
      </c>
      <c r="F912" s="1" t="s">
        <v>51</v>
      </c>
      <c r="G912" s="2">
        <v>90.3</v>
      </c>
      <c r="H912">
        <v>90.3</v>
      </c>
      <c r="I912">
        <v>89.326229999999995</v>
      </c>
      <c r="J912">
        <v>125.31</v>
      </c>
      <c r="K912">
        <v>29</v>
      </c>
      <c r="M912">
        <v>0</v>
      </c>
      <c r="N912" s="2">
        <v>61</v>
      </c>
      <c r="O912">
        <v>5448.9</v>
      </c>
      <c r="P912">
        <v>4</v>
      </c>
      <c r="Q912">
        <v>57</v>
      </c>
      <c r="R912">
        <v>14.32</v>
      </c>
      <c r="S912">
        <v>5</v>
      </c>
      <c r="T912">
        <v>26</v>
      </c>
      <c r="U912" s="2">
        <v>3258.06</v>
      </c>
      <c r="V912">
        <v>0</v>
      </c>
      <c r="W912" t="s">
        <v>29</v>
      </c>
      <c r="X912" t="str">
        <f>IF(Table2[[#This Row],[Qty available]]&gt;Table2[[#This Row],[Qty on hand]],"Check","OK")</f>
        <v>OK</v>
      </c>
    </row>
    <row r="913" spans="1:24" x14ac:dyDescent="0.3">
      <c r="A913" t="s">
        <v>135</v>
      </c>
      <c r="B913" t="s">
        <v>136</v>
      </c>
      <c r="C913" t="s">
        <v>25</v>
      </c>
      <c r="D913" t="s">
        <v>26</v>
      </c>
      <c r="E913" t="s">
        <v>66</v>
      </c>
      <c r="F913" s="1" t="s">
        <v>52</v>
      </c>
      <c r="G913" s="2">
        <v>91.2</v>
      </c>
      <c r="H913">
        <v>91.2</v>
      </c>
      <c r="I913">
        <v>89.806094000000002</v>
      </c>
      <c r="J913">
        <v>125.31</v>
      </c>
      <c r="K913">
        <v>29</v>
      </c>
      <c r="L913" s="2">
        <v>28</v>
      </c>
      <c r="M913">
        <v>21</v>
      </c>
      <c r="N913" s="2">
        <v>64</v>
      </c>
      <c r="O913">
        <v>5747.59</v>
      </c>
      <c r="P913">
        <v>4</v>
      </c>
      <c r="Q913">
        <v>60</v>
      </c>
      <c r="R913">
        <v>15.02</v>
      </c>
      <c r="S913">
        <v>7</v>
      </c>
      <c r="T913">
        <v>18</v>
      </c>
      <c r="U913" s="2">
        <v>2255.58</v>
      </c>
      <c r="V913">
        <v>0</v>
      </c>
      <c r="W913" t="s">
        <v>29</v>
      </c>
      <c r="X913" t="str">
        <f>IF(Table2[[#This Row],[Qty available]]&gt;Table2[[#This Row],[Qty on hand]],"Check","OK")</f>
        <v>OK</v>
      </c>
    </row>
    <row r="914" spans="1:24" x14ac:dyDescent="0.3">
      <c r="A914" t="s">
        <v>137</v>
      </c>
      <c r="B914" t="s">
        <v>138</v>
      </c>
      <c r="C914" t="s">
        <v>25</v>
      </c>
      <c r="D914" t="s">
        <v>26</v>
      </c>
      <c r="E914" t="s">
        <v>66</v>
      </c>
      <c r="F914" s="1" t="s">
        <v>28</v>
      </c>
      <c r="G914" s="2">
        <v>3</v>
      </c>
      <c r="H914">
        <v>3.22</v>
      </c>
      <c r="I914">
        <v>3.2514690000000002</v>
      </c>
      <c r="J914">
        <v>4.32</v>
      </c>
      <c r="K914">
        <v>31</v>
      </c>
      <c r="M914">
        <v>0</v>
      </c>
      <c r="N914" s="2">
        <v>497</v>
      </c>
      <c r="O914">
        <v>1615.98</v>
      </c>
      <c r="P914">
        <v>113</v>
      </c>
      <c r="Q914">
        <v>384</v>
      </c>
      <c r="R914">
        <v>1.99</v>
      </c>
      <c r="S914">
        <v>1</v>
      </c>
      <c r="T914">
        <v>1584</v>
      </c>
      <c r="U914" s="2">
        <v>6842.88</v>
      </c>
      <c r="V914">
        <v>0</v>
      </c>
      <c r="W914" t="s">
        <v>29</v>
      </c>
      <c r="X914" t="str">
        <f>IF(Table2[[#This Row],[Qty available]]&gt;Table2[[#This Row],[Qty on hand]],"Check","OK")</f>
        <v>OK</v>
      </c>
    </row>
    <row r="915" spans="1:24" x14ac:dyDescent="0.3">
      <c r="A915" t="s">
        <v>137</v>
      </c>
      <c r="B915" t="s">
        <v>138</v>
      </c>
      <c r="C915" t="s">
        <v>25</v>
      </c>
      <c r="D915" t="s">
        <v>26</v>
      </c>
      <c r="E915" t="s">
        <v>66</v>
      </c>
      <c r="F915" s="1" t="s">
        <v>30</v>
      </c>
      <c r="G915" s="2">
        <v>3.06</v>
      </c>
      <c r="H915">
        <v>3.29</v>
      </c>
      <c r="I915">
        <v>3.2820740000000002</v>
      </c>
      <c r="J915">
        <v>4.32</v>
      </c>
      <c r="K915">
        <v>31</v>
      </c>
      <c r="L915" s="2">
        <v>29</v>
      </c>
      <c r="M915">
        <v>1919</v>
      </c>
      <c r="N915" s="2">
        <v>1794</v>
      </c>
      <c r="O915">
        <v>5888.04</v>
      </c>
      <c r="P915">
        <v>75</v>
      </c>
      <c r="Q915">
        <v>1719</v>
      </c>
      <c r="R915">
        <v>7.46</v>
      </c>
      <c r="S915">
        <v>0</v>
      </c>
      <c r="T915">
        <v>622</v>
      </c>
      <c r="U915" s="2">
        <v>2687.04</v>
      </c>
      <c r="V915">
        <v>0</v>
      </c>
      <c r="W915" t="s">
        <v>29</v>
      </c>
      <c r="X915" t="str">
        <f>IF(Table2[[#This Row],[Qty available]]&gt;Table2[[#This Row],[Qty on hand]],"Check","OK")</f>
        <v>OK</v>
      </c>
    </row>
    <row r="916" spans="1:24" x14ac:dyDescent="0.3">
      <c r="A916" t="s">
        <v>137</v>
      </c>
      <c r="B916" t="s">
        <v>138</v>
      </c>
      <c r="C916" t="s">
        <v>25</v>
      </c>
      <c r="D916" t="s">
        <v>26</v>
      </c>
      <c r="E916" t="s">
        <v>66</v>
      </c>
      <c r="F916" s="1" t="s">
        <v>31</v>
      </c>
      <c r="G916" s="2">
        <v>3.06</v>
      </c>
      <c r="H916">
        <v>3.29</v>
      </c>
      <c r="I916">
        <v>3.2820719999999999</v>
      </c>
      <c r="J916">
        <v>4.32</v>
      </c>
      <c r="K916">
        <v>31</v>
      </c>
      <c r="M916">
        <v>0</v>
      </c>
      <c r="N916" s="2">
        <v>584</v>
      </c>
      <c r="O916">
        <v>1916.73</v>
      </c>
      <c r="P916">
        <v>338</v>
      </c>
      <c r="Q916">
        <v>246</v>
      </c>
      <c r="R916">
        <v>2.2200000000000002</v>
      </c>
      <c r="S916">
        <v>0</v>
      </c>
      <c r="T916">
        <v>1210</v>
      </c>
      <c r="U916" s="2">
        <v>5227.2</v>
      </c>
      <c r="V916">
        <v>0</v>
      </c>
      <c r="W916" t="s">
        <v>29</v>
      </c>
      <c r="X916" t="str">
        <f>IF(Table2[[#This Row],[Qty available]]&gt;Table2[[#This Row],[Qty on hand]],"Check","OK")</f>
        <v>OK</v>
      </c>
    </row>
    <row r="917" spans="1:24" x14ac:dyDescent="0.3">
      <c r="A917" t="s">
        <v>137</v>
      </c>
      <c r="B917" t="s">
        <v>138</v>
      </c>
      <c r="C917" t="s">
        <v>25</v>
      </c>
      <c r="D917" t="s">
        <v>26</v>
      </c>
      <c r="E917" t="s">
        <v>66</v>
      </c>
      <c r="F917" s="1" t="s">
        <v>32</v>
      </c>
      <c r="G917" s="2">
        <v>3.01</v>
      </c>
      <c r="H917">
        <v>3.24</v>
      </c>
      <c r="I917">
        <v>3.2484299999999999</v>
      </c>
      <c r="J917">
        <v>4.32</v>
      </c>
      <c r="K917">
        <v>31</v>
      </c>
      <c r="L917" s="2">
        <v>30</v>
      </c>
      <c r="M917">
        <v>2330</v>
      </c>
      <c r="N917" s="2">
        <v>2172</v>
      </c>
      <c r="O917">
        <v>7055.59</v>
      </c>
      <c r="P917">
        <v>75</v>
      </c>
      <c r="Q917">
        <v>2097</v>
      </c>
      <c r="R917">
        <v>11.09</v>
      </c>
      <c r="S917">
        <v>3</v>
      </c>
      <c r="T917">
        <v>742</v>
      </c>
      <c r="U917" s="2">
        <v>3205.44</v>
      </c>
      <c r="V917">
        <v>0</v>
      </c>
      <c r="W917" t="s">
        <v>29</v>
      </c>
      <c r="X917" t="str">
        <f>IF(Table2[[#This Row],[Qty available]]&gt;Table2[[#This Row],[Qty on hand]],"Check","OK")</f>
        <v>OK</v>
      </c>
    </row>
    <row r="918" spans="1:24" x14ac:dyDescent="0.3">
      <c r="A918" t="s">
        <v>137</v>
      </c>
      <c r="B918" t="s">
        <v>138</v>
      </c>
      <c r="C918" t="s">
        <v>25</v>
      </c>
      <c r="D918" t="s">
        <v>26</v>
      </c>
      <c r="E918" t="s">
        <v>66</v>
      </c>
      <c r="F918" s="1" t="s">
        <v>33</v>
      </c>
      <c r="G918" s="2">
        <v>2.98</v>
      </c>
      <c r="H918">
        <v>3.2</v>
      </c>
      <c r="I918">
        <v>3.2484310000000001</v>
      </c>
      <c r="J918">
        <v>4.32</v>
      </c>
      <c r="K918">
        <v>31</v>
      </c>
      <c r="M918">
        <v>0</v>
      </c>
      <c r="N918" s="2">
        <v>835</v>
      </c>
      <c r="O918">
        <v>2712.44</v>
      </c>
      <c r="P918">
        <v>75</v>
      </c>
      <c r="Q918">
        <v>760</v>
      </c>
      <c r="R918">
        <v>3.34</v>
      </c>
      <c r="S918">
        <v>3</v>
      </c>
      <c r="T918">
        <v>1337</v>
      </c>
      <c r="U918" s="2">
        <v>5775.84</v>
      </c>
      <c r="V918">
        <v>0</v>
      </c>
      <c r="W918" t="s">
        <v>29</v>
      </c>
      <c r="X918" t="str">
        <f>IF(Table2[[#This Row],[Qty available]]&gt;Table2[[#This Row],[Qty on hand]],"Check","OK")</f>
        <v>OK</v>
      </c>
    </row>
    <row r="919" spans="1:24" x14ac:dyDescent="0.3">
      <c r="A919" t="s">
        <v>137</v>
      </c>
      <c r="B919" t="s">
        <v>138</v>
      </c>
      <c r="C919" t="s">
        <v>25</v>
      </c>
      <c r="D919" t="s">
        <v>26</v>
      </c>
      <c r="E919" t="s">
        <v>66</v>
      </c>
      <c r="F919" s="1" t="s">
        <v>34</v>
      </c>
      <c r="G919" s="2">
        <v>3.01</v>
      </c>
      <c r="H919">
        <v>3.24</v>
      </c>
      <c r="I919">
        <v>3.243271</v>
      </c>
      <c r="J919">
        <v>4.4400000000000004</v>
      </c>
      <c r="K919">
        <v>31</v>
      </c>
      <c r="L919" s="2">
        <v>34</v>
      </c>
      <c r="M919">
        <v>1318</v>
      </c>
      <c r="N919" s="2">
        <v>1550</v>
      </c>
      <c r="O919">
        <v>5027.07</v>
      </c>
      <c r="P919">
        <v>338</v>
      </c>
      <c r="Q919">
        <v>1212</v>
      </c>
      <c r="R919">
        <v>7.43</v>
      </c>
      <c r="S919">
        <v>1</v>
      </c>
      <c r="T919">
        <v>603</v>
      </c>
      <c r="U919" s="2">
        <v>2677.32</v>
      </c>
      <c r="V919">
        <v>0</v>
      </c>
      <c r="W919" t="s">
        <v>29</v>
      </c>
      <c r="X919" t="str">
        <f>IF(Table2[[#This Row],[Qty available]]&gt;Table2[[#This Row],[Qty on hand]],"Check","OK")</f>
        <v>OK</v>
      </c>
    </row>
    <row r="920" spans="1:24" x14ac:dyDescent="0.3">
      <c r="A920" t="s">
        <v>137</v>
      </c>
      <c r="B920" t="s">
        <v>138</v>
      </c>
      <c r="C920" t="s">
        <v>25</v>
      </c>
      <c r="D920" t="s">
        <v>26</v>
      </c>
      <c r="E920" t="s">
        <v>66</v>
      </c>
      <c r="F920" s="1" t="s">
        <v>35</v>
      </c>
      <c r="G920" s="2">
        <v>2.98</v>
      </c>
      <c r="H920">
        <v>3.2</v>
      </c>
      <c r="I920">
        <v>3.2207919999999999</v>
      </c>
      <c r="J920">
        <v>4.4400000000000004</v>
      </c>
      <c r="K920">
        <v>31</v>
      </c>
      <c r="L920" s="2">
        <v>30</v>
      </c>
      <c r="M920">
        <v>1676</v>
      </c>
      <c r="N920" s="2">
        <v>2173</v>
      </c>
      <c r="O920">
        <v>6998.78</v>
      </c>
      <c r="P920">
        <v>263</v>
      </c>
      <c r="Q920">
        <v>1910</v>
      </c>
      <c r="R920">
        <v>9.33</v>
      </c>
      <c r="S920">
        <v>0</v>
      </c>
      <c r="T920">
        <v>1053</v>
      </c>
      <c r="U920" s="2">
        <v>4675.32</v>
      </c>
      <c r="V920">
        <v>0</v>
      </c>
      <c r="W920" t="s">
        <v>29</v>
      </c>
      <c r="X920" t="str">
        <f>IF(Table2[[#This Row],[Qty available]]&gt;Table2[[#This Row],[Qty on hand]],"Check","OK")</f>
        <v>OK</v>
      </c>
    </row>
    <row r="921" spans="1:24" x14ac:dyDescent="0.3">
      <c r="A921" t="s">
        <v>137</v>
      </c>
      <c r="B921" t="s">
        <v>138</v>
      </c>
      <c r="C921" t="s">
        <v>25</v>
      </c>
      <c r="D921" t="s">
        <v>26</v>
      </c>
      <c r="E921" t="s">
        <v>66</v>
      </c>
      <c r="F921" s="1" t="s">
        <v>36</v>
      </c>
      <c r="G921" s="2">
        <v>3.16</v>
      </c>
      <c r="H921">
        <v>3.4</v>
      </c>
      <c r="I921">
        <v>3.2207919999999999</v>
      </c>
      <c r="J921">
        <v>4.4400000000000004</v>
      </c>
      <c r="K921">
        <v>31</v>
      </c>
      <c r="M921">
        <v>0</v>
      </c>
      <c r="N921" s="2">
        <v>2173</v>
      </c>
      <c r="O921">
        <v>6998.78</v>
      </c>
      <c r="P921">
        <v>300</v>
      </c>
      <c r="Q921">
        <v>1873</v>
      </c>
      <c r="R921">
        <v>16.68</v>
      </c>
      <c r="S921">
        <v>30</v>
      </c>
      <c r="T921">
        <v>0</v>
      </c>
      <c r="U921" s="2">
        <v>0</v>
      </c>
      <c r="V921">
        <v>0</v>
      </c>
      <c r="W921" t="s">
        <v>29</v>
      </c>
      <c r="X921" t="str">
        <f>IF(Table2[[#This Row],[Qty available]]&gt;Table2[[#This Row],[Qty on hand]],"Check","OK")</f>
        <v>OK</v>
      </c>
    </row>
    <row r="922" spans="1:24" x14ac:dyDescent="0.3">
      <c r="A922" t="s">
        <v>137</v>
      </c>
      <c r="B922" t="s">
        <v>138</v>
      </c>
      <c r="C922" t="s">
        <v>25</v>
      </c>
      <c r="D922" t="s">
        <v>26</v>
      </c>
      <c r="E922" t="s">
        <v>66</v>
      </c>
      <c r="F922" s="1" t="s">
        <v>37</v>
      </c>
      <c r="G922" s="2">
        <v>3.12</v>
      </c>
      <c r="H922">
        <v>3.35</v>
      </c>
      <c r="I922">
        <v>3.274343</v>
      </c>
      <c r="J922">
        <v>4.4400000000000004</v>
      </c>
      <c r="K922">
        <v>31</v>
      </c>
      <c r="L922" s="2">
        <v>53</v>
      </c>
      <c r="M922">
        <v>1538</v>
      </c>
      <c r="N922" s="2">
        <v>2443</v>
      </c>
      <c r="O922">
        <v>7999.22</v>
      </c>
      <c r="P922">
        <v>113</v>
      </c>
      <c r="Q922">
        <v>2330</v>
      </c>
      <c r="R922">
        <v>13.83</v>
      </c>
      <c r="S922">
        <v>0</v>
      </c>
      <c r="T922">
        <v>1268</v>
      </c>
      <c r="U922" s="2">
        <v>5629.92</v>
      </c>
      <c r="V922">
        <v>0</v>
      </c>
      <c r="W922" t="s">
        <v>29</v>
      </c>
      <c r="X922" t="str">
        <f>IF(Table2[[#This Row],[Qty available]]&gt;Table2[[#This Row],[Qty on hand]],"Check","OK")</f>
        <v>OK</v>
      </c>
    </row>
    <row r="923" spans="1:24" x14ac:dyDescent="0.3">
      <c r="A923" t="s">
        <v>137</v>
      </c>
      <c r="B923" t="s">
        <v>138</v>
      </c>
      <c r="C923" t="s">
        <v>25</v>
      </c>
      <c r="D923" t="s">
        <v>26</v>
      </c>
      <c r="E923" t="s">
        <v>66</v>
      </c>
      <c r="F923" s="1" t="s">
        <v>38</v>
      </c>
      <c r="G923" s="2">
        <v>3.17</v>
      </c>
      <c r="H923">
        <v>3.41</v>
      </c>
      <c r="I923">
        <v>3.2825329999999999</v>
      </c>
      <c r="J923">
        <v>4.4400000000000004</v>
      </c>
      <c r="K923">
        <v>31</v>
      </c>
      <c r="L923" s="2">
        <v>29</v>
      </c>
      <c r="M923">
        <v>157</v>
      </c>
      <c r="N923" s="2">
        <v>1678</v>
      </c>
      <c r="O923">
        <v>5508.09</v>
      </c>
      <c r="P923">
        <v>113</v>
      </c>
      <c r="Q923">
        <v>1565</v>
      </c>
      <c r="R923">
        <v>9.9600000000000009</v>
      </c>
      <c r="S923">
        <v>0</v>
      </c>
      <c r="T923">
        <v>922</v>
      </c>
      <c r="U923" s="2">
        <v>4093.68</v>
      </c>
      <c r="V923">
        <v>0</v>
      </c>
      <c r="W923" t="s">
        <v>29</v>
      </c>
      <c r="X923" t="str">
        <f>IF(Table2[[#This Row],[Qty available]]&gt;Table2[[#This Row],[Qty on hand]],"Check","OK")</f>
        <v>OK</v>
      </c>
    </row>
    <row r="924" spans="1:24" x14ac:dyDescent="0.3">
      <c r="A924" t="s">
        <v>137</v>
      </c>
      <c r="B924" t="s">
        <v>138</v>
      </c>
      <c r="C924" t="s">
        <v>25</v>
      </c>
      <c r="D924" t="s">
        <v>26</v>
      </c>
      <c r="E924" t="s">
        <v>66</v>
      </c>
      <c r="F924" s="1" t="s">
        <v>39</v>
      </c>
      <c r="G924" s="2">
        <v>3.07</v>
      </c>
      <c r="H924">
        <v>3.3</v>
      </c>
      <c r="I924">
        <v>3.2825329999999999</v>
      </c>
      <c r="J924">
        <v>4.4400000000000004</v>
      </c>
      <c r="K924">
        <v>31</v>
      </c>
      <c r="M924">
        <v>0</v>
      </c>
      <c r="N924" s="2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1678</v>
      </c>
      <c r="U924" s="2">
        <v>7450.32</v>
      </c>
      <c r="V924">
        <v>106</v>
      </c>
      <c r="W924" t="s">
        <v>59</v>
      </c>
      <c r="X924" t="str">
        <f>IF(Table2[[#This Row],[Qty available]]&gt;Table2[[#This Row],[Qty on hand]],"Check","OK")</f>
        <v>OK</v>
      </c>
    </row>
    <row r="925" spans="1:24" x14ac:dyDescent="0.3">
      <c r="A925" t="s">
        <v>137</v>
      </c>
      <c r="B925" t="s">
        <v>138</v>
      </c>
      <c r="C925" t="s">
        <v>25</v>
      </c>
      <c r="D925" t="s">
        <v>26</v>
      </c>
      <c r="E925" t="s">
        <v>66</v>
      </c>
      <c r="F925" s="1" t="s">
        <v>40</v>
      </c>
      <c r="G925" s="2">
        <v>3.07</v>
      </c>
      <c r="H925">
        <v>3.3</v>
      </c>
      <c r="I925">
        <v>3.3</v>
      </c>
      <c r="J925">
        <v>4.4400000000000004</v>
      </c>
      <c r="K925">
        <v>31</v>
      </c>
      <c r="L925" s="2">
        <v>47</v>
      </c>
      <c r="M925">
        <v>596</v>
      </c>
      <c r="N925" s="2">
        <v>354</v>
      </c>
      <c r="O925">
        <v>1168.2</v>
      </c>
      <c r="P925">
        <v>338</v>
      </c>
      <c r="Q925">
        <v>16</v>
      </c>
      <c r="R925">
        <v>1.64</v>
      </c>
      <c r="S925">
        <v>3</v>
      </c>
      <c r="T925">
        <v>242</v>
      </c>
      <c r="U925" s="2">
        <v>1074.48</v>
      </c>
      <c r="V925">
        <v>0</v>
      </c>
      <c r="W925" t="s">
        <v>29</v>
      </c>
      <c r="X925" t="str">
        <f>IF(Table2[[#This Row],[Qty available]]&gt;Table2[[#This Row],[Qty on hand]],"Check","OK")</f>
        <v>OK</v>
      </c>
    </row>
    <row r="926" spans="1:24" x14ac:dyDescent="0.3">
      <c r="A926" t="s">
        <v>137</v>
      </c>
      <c r="B926" t="s">
        <v>138</v>
      </c>
      <c r="C926" t="s">
        <v>25</v>
      </c>
      <c r="D926" t="s">
        <v>26</v>
      </c>
      <c r="E926" t="s">
        <v>66</v>
      </c>
      <c r="F926" s="1" t="s">
        <v>41</v>
      </c>
      <c r="G926" s="2">
        <v>3.15</v>
      </c>
      <c r="H926">
        <v>3.39</v>
      </c>
      <c r="I926">
        <v>3.379375</v>
      </c>
      <c r="J926">
        <v>4.4400000000000004</v>
      </c>
      <c r="K926">
        <v>31</v>
      </c>
      <c r="L926" s="2">
        <v>50</v>
      </c>
      <c r="M926">
        <v>2645</v>
      </c>
      <c r="N926" s="2">
        <v>2561</v>
      </c>
      <c r="O926">
        <v>8654.58</v>
      </c>
      <c r="P926">
        <v>225</v>
      </c>
      <c r="Q926">
        <v>2336</v>
      </c>
      <c r="R926">
        <v>14.27</v>
      </c>
      <c r="S926">
        <v>2</v>
      </c>
      <c r="T926">
        <v>438</v>
      </c>
      <c r="U926" s="2">
        <v>1944.72</v>
      </c>
      <c r="V926">
        <v>0</v>
      </c>
      <c r="W926" t="s">
        <v>29</v>
      </c>
      <c r="X926" t="str">
        <f>IF(Table2[[#This Row],[Qty available]]&gt;Table2[[#This Row],[Qty on hand]],"Check","OK")</f>
        <v>OK</v>
      </c>
    </row>
    <row r="927" spans="1:24" x14ac:dyDescent="0.3">
      <c r="A927" t="s">
        <v>137</v>
      </c>
      <c r="B927" t="s">
        <v>138</v>
      </c>
      <c r="C927" t="s">
        <v>25</v>
      </c>
      <c r="D927" t="s">
        <v>26</v>
      </c>
      <c r="E927" t="s">
        <v>66</v>
      </c>
      <c r="F927" s="1" t="s">
        <v>42</v>
      </c>
      <c r="G927" s="2">
        <v>3.07</v>
      </c>
      <c r="H927">
        <v>3.3</v>
      </c>
      <c r="I927">
        <v>3.370269</v>
      </c>
      <c r="J927">
        <v>4.4400000000000004</v>
      </c>
      <c r="K927">
        <v>31</v>
      </c>
      <c r="L927" s="2">
        <v>28</v>
      </c>
      <c r="M927">
        <v>332</v>
      </c>
      <c r="N927" s="2">
        <v>1411</v>
      </c>
      <c r="O927">
        <v>4755.45</v>
      </c>
      <c r="P927">
        <v>375</v>
      </c>
      <c r="Q927">
        <v>1036</v>
      </c>
      <c r="R927">
        <v>8.58</v>
      </c>
      <c r="S927">
        <v>4</v>
      </c>
      <c r="T927">
        <v>1482</v>
      </c>
      <c r="U927" s="2">
        <v>6580.08</v>
      </c>
      <c r="V927">
        <v>0</v>
      </c>
      <c r="W927" t="s">
        <v>29</v>
      </c>
      <c r="X927" t="str">
        <f>IF(Table2[[#This Row],[Qty available]]&gt;Table2[[#This Row],[Qty on hand]],"Check","OK")</f>
        <v>OK</v>
      </c>
    </row>
    <row r="928" spans="1:24" x14ac:dyDescent="0.3">
      <c r="A928" t="s">
        <v>137</v>
      </c>
      <c r="B928" t="s">
        <v>138</v>
      </c>
      <c r="C928" t="s">
        <v>25</v>
      </c>
      <c r="D928" t="s">
        <v>26</v>
      </c>
      <c r="E928" t="s">
        <v>66</v>
      </c>
      <c r="F928" s="1" t="s">
        <v>43</v>
      </c>
      <c r="G928" s="2">
        <v>3.18</v>
      </c>
      <c r="H928">
        <v>3.42</v>
      </c>
      <c r="I928">
        <v>3.3798490000000001</v>
      </c>
      <c r="J928">
        <v>4.4400000000000004</v>
      </c>
      <c r="K928">
        <v>31</v>
      </c>
      <c r="L928" s="2">
        <v>29</v>
      </c>
      <c r="M928">
        <v>337</v>
      </c>
      <c r="N928" s="2">
        <v>597</v>
      </c>
      <c r="O928">
        <v>2017.77</v>
      </c>
      <c r="P928">
        <v>225</v>
      </c>
      <c r="Q928">
        <v>372</v>
      </c>
      <c r="R928">
        <v>2.5299999999999998</v>
      </c>
      <c r="S928">
        <v>1</v>
      </c>
      <c r="T928">
        <v>1151</v>
      </c>
      <c r="U928" s="2">
        <v>5110.4399999999996</v>
      </c>
      <c r="V928">
        <v>0</v>
      </c>
      <c r="W928" t="s">
        <v>29</v>
      </c>
      <c r="X928" t="str">
        <f>IF(Table2[[#This Row],[Qty available]]&gt;Table2[[#This Row],[Qty on hand]],"Check","OK")</f>
        <v>OK</v>
      </c>
    </row>
    <row r="929" spans="1:24" x14ac:dyDescent="0.3">
      <c r="A929" t="s">
        <v>137</v>
      </c>
      <c r="B929" t="s">
        <v>138</v>
      </c>
      <c r="C929" t="s">
        <v>25</v>
      </c>
      <c r="D929" t="s">
        <v>26</v>
      </c>
      <c r="E929" t="s">
        <v>66</v>
      </c>
      <c r="F929" s="1" t="s">
        <v>44</v>
      </c>
      <c r="G929" s="2">
        <v>3.18</v>
      </c>
      <c r="H929">
        <v>3.42</v>
      </c>
      <c r="I929">
        <v>3.410228</v>
      </c>
      <c r="J929">
        <v>4.4400000000000004</v>
      </c>
      <c r="K929">
        <v>31</v>
      </c>
      <c r="L929" s="2">
        <v>29</v>
      </c>
      <c r="M929">
        <v>1856</v>
      </c>
      <c r="N929" s="2">
        <v>569</v>
      </c>
      <c r="O929">
        <v>1940.42</v>
      </c>
      <c r="P929">
        <v>188</v>
      </c>
      <c r="Q929">
        <v>381</v>
      </c>
      <c r="R929">
        <v>1.66</v>
      </c>
      <c r="S929">
        <v>0</v>
      </c>
      <c r="T929">
        <v>1884</v>
      </c>
      <c r="U929" s="2">
        <v>8364.9599999999991</v>
      </c>
      <c r="V929">
        <v>0</v>
      </c>
      <c r="W929" t="s">
        <v>29</v>
      </c>
      <c r="X929" t="str">
        <f>IF(Table2[[#This Row],[Qty available]]&gt;Table2[[#This Row],[Qty on hand]],"Check","OK")</f>
        <v>OK</v>
      </c>
    </row>
    <row r="930" spans="1:24" x14ac:dyDescent="0.3">
      <c r="A930" t="s">
        <v>137</v>
      </c>
      <c r="B930" t="s">
        <v>138</v>
      </c>
      <c r="C930" t="s">
        <v>25</v>
      </c>
      <c r="D930" t="s">
        <v>26</v>
      </c>
      <c r="E930" t="s">
        <v>66</v>
      </c>
      <c r="F930" s="1" t="s">
        <v>45</v>
      </c>
      <c r="G930" s="2">
        <v>3.18</v>
      </c>
      <c r="H930">
        <v>3.42</v>
      </c>
      <c r="I930">
        <v>3.4187240000000001</v>
      </c>
      <c r="J930">
        <v>4.4400000000000004</v>
      </c>
      <c r="K930">
        <v>31</v>
      </c>
      <c r="L930" s="2">
        <v>29</v>
      </c>
      <c r="M930">
        <v>3792</v>
      </c>
      <c r="N930" s="2">
        <v>3253</v>
      </c>
      <c r="O930">
        <v>11121.11</v>
      </c>
      <c r="P930">
        <v>225</v>
      </c>
      <c r="Q930">
        <v>3028</v>
      </c>
      <c r="R930">
        <v>10.32</v>
      </c>
      <c r="S930">
        <v>0</v>
      </c>
      <c r="T930">
        <v>1108</v>
      </c>
      <c r="U930" s="2">
        <v>4919.5200000000004</v>
      </c>
      <c r="V930">
        <v>0</v>
      </c>
      <c r="W930" t="s">
        <v>29</v>
      </c>
      <c r="X930" t="str">
        <f>IF(Table2[[#This Row],[Qty available]]&gt;Table2[[#This Row],[Qty on hand]],"Check","OK")</f>
        <v>OK</v>
      </c>
    </row>
    <row r="931" spans="1:24" x14ac:dyDescent="0.3">
      <c r="A931" t="s">
        <v>137</v>
      </c>
      <c r="B931" t="s">
        <v>138</v>
      </c>
      <c r="C931" t="s">
        <v>25</v>
      </c>
      <c r="D931" t="s">
        <v>26</v>
      </c>
      <c r="E931" t="s">
        <v>66</v>
      </c>
      <c r="F931" s="1" t="s">
        <v>46</v>
      </c>
      <c r="G931" s="2">
        <v>3.18</v>
      </c>
      <c r="H931">
        <v>3.42</v>
      </c>
      <c r="I931">
        <v>3.4187249999999998</v>
      </c>
      <c r="J931">
        <v>4.57</v>
      </c>
      <c r="K931">
        <v>31</v>
      </c>
      <c r="M931">
        <v>0</v>
      </c>
      <c r="N931" s="2">
        <v>1498</v>
      </c>
      <c r="O931">
        <v>5121.25</v>
      </c>
      <c r="P931">
        <v>338</v>
      </c>
      <c r="Q931">
        <v>1160</v>
      </c>
      <c r="R931">
        <v>4.0599999999999996</v>
      </c>
      <c r="S931">
        <v>2</v>
      </c>
      <c r="T931">
        <v>1755</v>
      </c>
      <c r="U931" s="2">
        <v>8020.35</v>
      </c>
      <c r="V931">
        <v>0</v>
      </c>
      <c r="W931" t="s">
        <v>29</v>
      </c>
      <c r="X931" t="str">
        <f>IF(Table2[[#This Row],[Qty available]]&gt;Table2[[#This Row],[Qty on hand]],"Check","OK")</f>
        <v>OK</v>
      </c>
    </row>
    <row r="932" spans="1:24" x14ac:dyDescent="0.3">
      <c r="A932" t="s">
        <v>137</v>
      </c>
      <c r="B932" t="s">
        <v>138</v>
      </c>
      <c r="C932" t="s">
        <v>25</v>
      </c>
      <c r="D932" t="s">
        <v>26</v>
      </c>
      <c r="E932" t="s">
        <v>66</v>
      </c>
      <c r="F932" s="1" t="s">
        <v>47</v>
      </c>
      <c r="G932" s="2">
        <v>3.07</v>
      </c>
      <c r="H932">
        <v>3.3</v>
      </c>
      <c r="I932">
        <v>3.3725930000000002</v>
      </c>
      <c r="J932">
        <v>4.57</v>
      </c>
      <c r="K932">
        <v>31</v>
      </c>
      <c r="L932" s="2">
        <v>29</v>
      </c>
      <c r="M932">
        <v>952</v>
      </c>
      <c r="N932" s="2">
        <v>1431</v>
      </c>
      <c r="O932">
        <v>4826.18</v>
      </c>
      <c r="P932">
        <v>300</v>
      </c>
      <c r="Q932">
        <v>1131</v>
      </c>
      <c r="R932">
        <v>4.74</v>
      </c>
      <c r="S932">
        <v>0</v>
      </c>
      <c r="T932">
        <v>1019</v>
      </c>
      <c r="U932" s="2">
        <v>4656.83</v>
      </c>
      <c r="V932">
        <v>0</v>
      </c>
      <c r="W932" t="s">
        <v>29</v>
      </c>
      <c r="X932" t="str">
        <f>IF(Table2[[#This Row],[Qty available]]&gt;Table2[[#This Row],[Qty on hand]],"Check","OK")</f>
        <v>OK</v>
      </c>
    </row>
    <row r="933" spans="1:24" x14ac:dyDescent="0.3">
      <c r="A933" t="s">
        <v>137</v>
      </c>
      <c r="B933" t="s">
        <v>138</v>
      </c>
      <c r="C933" t="s">
        <v>25</v>
      </c>
      <c r="D933" t="s">
        <v>26</v>
      </c>
      <c r="E933" t="s">
        <v>66</v>
      </c>
      <c r="F933" s="1" t="s">
        <v>48</v>
      </c>
      <c r="G933" s="2">
        <v>3.23</v>
      </c>
      <c r="H933">
        <v>3.47</v>
      </c>
      <c r="I933">
        <v>3.3725839999999998</v>
      </c>
      <c r="J933">
        <v>4.57</v>
      </c>
      <c r="K933">
        <v>31</v>
      </c>
      <c r="M933">
        <v>0</v>
      </c>
      <c r="N933" s="2">
        <v>538</v>
      </c>
      <c r="O933">
        <v>1814.45</v>
      </c>
      <c r="P933">
        <v>300</v>
      </c>
      <c r="Q933">
        <v>238</v>
      </c>
      <c r="R933">
        <v>1.87</v>
      </c>
      <c r="S933">
        <v>0</v>
      </c>
      <c r="T933">
        <v>893</v>
      </c>
      <c r="U933" s="2">
        <v>4081.01</v>
      </c>
      <c r="V933">
        <v>0</v>
      </c>
      <c r="W933" t="s">
        <v>29</v>
      </c>
      <c r="X933" t="str">
        <f>IF(Table2[[#This Row],[Qty available]]&gt;Table2[[#This Row],[Qty on hand]],"Check","OK")</f>
        <v>OK</v>
      </c>
    </row>
    <row r="934" spans="1:24" x14ac:dyDescent="0.3">
      <c r="A934" t="s">
        <v>137</v>
      </c>
      <c r="B934" t="s">
        <v>138</v>
      </c>
      <c r="C934" t="s">
        <v>25</v>
      </c>
      <c r="D934" t="s">
        <v>26</v>
      </c>
      <c r="E934" t="s">
        <v>66</v>
      </c>
      <c r="F934" s="1" t="s">
        <v>49</v>
      </c>
      <c r="G934" s="2">
        <v>3.21</v>
      </c>
      <c r="H934">
        <v>3.45</v>
      </c>
      <c r="I934">
        <v>3.430034</v>
      </c>
      <c r="J934">
        <v>4.57</v>
      </c>
      <c r="K934">
        <v>31</v>
      </c>
      <c r="L934" s="2">
        <v>31</v>
      </c>
      <c r="M934">
        <v>1548</v>
      </c>
      <c r="N934" s="2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2086</v>
      </c>
      <c r="U934" s="2">
        <v>9533.02</v>
      </c>
      <c r="V934">
        <v>205</v>
      </c>
      <c r="W934" t="s">
        <v>59</v>
      </c>
      <c r="X934" t="str">
        <f>IF(Table2[[#This Row],[Qty available]]&gt;Table2[[#This Row],[Qty on hand]],"Check","OK")</f>
        <v>OK</v>
      </c>
    </row>
    <row r="935" spans="1:24" x14ac:dyDescent="0.3">
      <c r="A935" t="s">
        <v>137</v>
      </c>
      <c r="B935" t="s">
        <v>138</v>
      </c>
      <c r="C935" t="s">
        <v>25</v>
      </c>
      <c r="D935" t="s">
        <v>26</v>
      </c>
      <c r="E935" t="s">
        <v>66</v>
      </c>
      <c r="F935" s="1" t="s">
        <v>50</v>
      </c>
      <c r="G935" s="2">
        <v>3.22</v>
      </c>
      <c r="H935">
        <v>3.46</v>
      </c>
      <c r="I935">
        <v>3.46</v>
      </c>
      <c r="J935">
        <v>4.57</v>
      </c>
      <c r="K935">
        <v>31</v>
      </c>
      <c r="L935" s="2">
        <v>29</v>
      </c>
      <c r="M935">
        <v>2973</v>
      </c>
      <c r="N935" s="2">
        <v>1332</v>
      </c>
      <c r="O935">
        <v>4608.72</v>
      </c>
      <c r="P935">
        <v>188</v>
      </c>
      <c r="Q935">
        <v>1144</v>
      </c>
      <c r="R935">
        <v>3.75</v>
      </c>
      <c r="S935">
        <v>2</v>
      </c>
      <c r="T935">
        <v>1641</v>
      </c>
      <c r="U935" s="2">
        <v>7499.37</v>
      </c>
      <c r="V935">
        <v>0</v>
      </c>
      <c r="W935" t="s">
        <v>29</v>
      </c>
      <c r="X935" t="str">
        <f>IF(Table2[[#This Row],[Qty available]]&gt;Table2[[#This Row],[Qty on hand]],"Check","OK")</f>
        <v>OK</v>
      </c>
    </row>
    <row r="936" spans="1:24" x14ac:dyDescent="0.3">
      <c r="A936" t="s">
        <v>137</v>
      </c>
      <c r="B936" t="s">
        <v>138</v>
      </c>
      <c r="C936" t="s">
        <v>25</v>
      </c>
      <c r="D936" t="s">
        <v>26</v>
      </c>
      <c r="E936" t="s">
        <v>66</v>
      </c>
      <c r="F936" s="1" t="s">
        <v>51</v>
      </c>
      <c r="G936" s="2">
        <v>3.15</v>
      </c>
      <c r="H936">
        <v>3.39</v>
      </c>
      <c r="I936">
        <v>3.4202520000000001</v>
      </c>
      <c r="J936">
        <v>4.57</v>
      </c>
      <c r="K936">
        <v>31</v>
      </c>
      <c r="L936" s="2">
        <v>30</v>
      </c>
      <c r="M936">
        <v>1750</v>
      </c>
      <c r="N936" s="2">
        <v>1189</v>
      </c>
      <c r="O936">
        <v>4066.68</v>
      </c>
      <c r="P936">
        <v>375</v>
      </c>
      <c r="Q936">
        <v>814</v>
      </c>
      <c r="R936">
        <v>2.78</v>
      </c>
      <c r="S936">
        <v>1</v>
      </c>
      <c r="T936">
        <v>1893</v>
      </c>
      <c r="U936" s="2">
        <v>8651.01</v>
      </c>
      <c r="V936">
        <v>0</v>
      </c>
      <c r="W936" t="s">
        <v>29</v>
      </c>
      <c r="X936" t="str">
        <f>IF(Table2[[#This Row],[Qty available]]&gt;Table2[[#This Row],[Qty on hand]],"Check","OK")</f>
        <v>OK</v>
      </c>
    </row>
    <row r="937" spans="1:24" x14ac:dyDescent="0.3">
      <c r="A937" t="s">
        <v>137</v>
      </c>
      <c r="B937" t="s">
        <v>138</v>
      </c>
      <c r="C937" t="s">
        <v>25</v>
      </c>
      <c r="D937" t="s">
        <v>26</v>
      </c>
      <c r="E937" t="s">
        <v>66</v>
      </c>
      <c r="F937" s="1" t="s">
        <v>52</v>
      </c>
      <c r="G937" s="2">
        <v>3.23</v>
      </c>
      <c r="H937">
        <v>3.47</v>
      </c>
      <c r="I937">
        <v>3.4202590000000002</v>
      </c>
      <c r="J937">
        <v>4.57</v>
      </c>
      <c r="K937">
        <v>31</v>
      </c>
      <c r="M937">
        <v>0</v>
      </c>
      <c r="N937" s="2">
        <v>463</v>
      </c>
      <c r="O937">
        <v>1583.58</v>
      </c>
      <c r="P937">
        <v>225</v>
      </c>
      <c r="Q937">
        <v>238</v>
      </c>
      <c r="R937">
        <v>1.43</v>
      </c>
      <c r="S937">
        <v>0</v>
      </c>
      <c r="T937">
        <v>726</v>
      </c>
      <c r="U937" s="2">
        <v>3317.82</v>
      </c>
      <c r="V937">
        <v>0</v>
      </c>
      <c r="W937" t="s">
        <v>29</v>
      </c>
      <c r="X937" t="str">
        <f>IF(Table2[[#This Row],[Qty available]]&gt;Table2[[#This Row],[Qty on hand]],"Check","OK")</f>
        <v>OK</v>
      </c>
    </row>
    <row r="938" spans="1:24" x14ac:dyDescent="0.3">
      <c r="A938" t="s">
        <v>139</v>
      </c>
      <c r="B938" t="s">
        <v>140</v>
      </c>
      <c r="C938" t="s">
        <v>25</v>
      </c>
      <c r="D938" t="s">
        <v>26</v>
      </c>
      <c r="E938" t="s">
        <v>66</v>
      </c>
      <c r="F938" s="1" t="s">
        <v>28</v>
      </c>
      <c r="G938" s="2">
        <v>207.1</v>
      </c>
      <c r="H938">
        <v>221.6</v>
      </c>
      <c r="I938">
        <v>220.0008</v>
      </c>
      <c r="J938">
        <v>284.17</v>
      </c>
      <c r="K938">
        <v>54</v>
      </c>
      <c r="L938" s="2">
        <v>92</v>
      </c>
      <c r="M938">
        <v>57</v>
      </c>
      <c r="N938" s="2">
        <v>50</v>
      </c>
      <c r="O938">
        <v>11000.04</v>
      </c>
      <c r="P938">
        <v>7</v>
      </c>
      <c r="Q938">
        <v>43</v>
      </c>
      <c r="R938">
        <v>5.82</v>
      </c>
      <c r="S938">
        <v>15</v>
      </c>
      <c r="T938">
        <v>31</v>
      </c>
      <c r="U938" s="2">
        <v>8809.27</v>
      </c>
      <c r="V938">
        <v>0</v>
      </c>
      <c r="W938" t="s">
        <v>29</v>
      </c>
      <c r="X938" t="str">
        <f>IF(Table2[[#This Row],[Qty available]]&gt;Table2[[#This Row],[Qty on hand]],"Check","OK")</f>
        <v>OK</v>
      </c>
    </row>
    <row r="939" spans="1:24" x14ac:dyDescent="0.3">
      <c r="A939" t="s">
        <v>139</v>
      </c>
      <c r="B939" t="s">
        <v>140</v>
      </c>
      <c r="C939" t="s">
        <v>25</v>
      </c>
      <c r="D939" t="s">
        <v>26</v>
      </c>
      <c r="E939" t="s">
        <v>66</v>
      </c>
      <c r="F939" s="1" t="s">
        <v>30</v>
      </c>
      <c r="G939" s="2">
        <v>208.5</v>
      </c>
      <c r="H939">
        <v>223.09</v>
      </c>
      <c r="I939">
        <v>221.79202100000001</v>
      </c>
      <c r="J939">
        <v>284.17</v>
      </c>
      <c r="K939">
        <v>54</v>
      </c>
      <c r="L939" s="2">
        <v>53</v>
      </c>
      <c r="M939">
        <v>69</v>
      </c>
      <c r="N939" s="2">
        <v>94</v>
      </c>
      <c r="O939">
        <v>20848.45</v>
      </c>
      <c r="P939">
        <v>9</v>
      </c>
      <c r="Q939">
        <v>85</v>
      </c>
      <c r="R939">
        <v>14.2</v>
      </c>
      <c r="S939">
        <v>4</v>
      </c>
      <c r="T939">
        <v>25</v>
      </c>
      <c r="U939" s="2">
        <v>7104.25</v>
      </c>
      <c r="V939">
        <v>0</v>
      </c>
      <c r="W939" t="s">
        <v>29</v>
      </c>
      <c r="X939" t="str">
        <f>IF(Table2[[#This Row],[Qty available]]&gt;Table2[[#This Row],[Qty on hand]],"Check","OK")</f>
        <v>OK</v>
      </c>
    </row>
    <row r="940" spans="1:24" x14ac:dyDescent="0.3">
      <c r="A940" t="s">
        <v>139</v>
      </c>
      <c r="B940" t="s">
        <v>140</v>
      </c>
      <c r="C940" t="s">
        <v>25</v>
      </c>
      <c r="D940" t="s">
        <v>26</v>
      </c>
      <c r="E940" t="s">
        <v>66</v>
      </c>
      <c r="F940" s="1" t="s">
        <v>31</v>
      </c>
      <c r="G940" s="2">
        <v>205.04</v>
      </c>
      <c r="H940">
        <v>219.39</v>
      </c>
      <c r="I940">
        <v>221.42409599999999</v>
      </c>
      <c r="J940">
        <v>284.17</v>
      </c>
      <c r="K940">
        <v>54</v>
      </c>
      <c r="L940" s="2">
        <v>50</v>
      </c>
      <c r="M940">
        <v>17</v>
      </c>
      <c r="N940" s="2">
        <v>83</v>
      </c>
      <c r="O940">
        <v>18378.2</v>
      </c>
      <c r="P940">
        <v>5</v>
      </c>
      <c r="Q940">
        <v>78</v>
      </c>
      <c r="R940">
        <v>12.85</v>
      </c>
      <c r="S940">
        <v>4</v>
      </c>
      <c r="T940">
        <v>28</v>
      </c>
      <c r="U940" s="2">
        <v>7956.76</v>
      </c>
      <c r="V940">
        <v>0</v>
      </c>
      <c r="W940" t="s">
        <v>29</v>
      </c>
      <c r="X940" t="str">
        <f>IF(Table2[[#This Row],[Qty available]]&gt;Table2[[#This Row],[Qty on hand]],"Check","OK")</f>
        <v>OK</v>
      </c>
    </row>
    <row r="941" spans="1:24" x14ac:dyDescent="0.3">
      <c r="A941" t="s">
        <v>139</v>
      </c>
      <c r="B941" t="s">
        <v>140</v>
      </c>
      <c r="C941" t="s">
        <v>25</v>
      </c>
      <c r="D941" t="s">
        <v>26</v>
      </c>
      <c r="E941" t="s">
        <v>66</v>
      </c>
      <c r="F941" s="1" t="s">
        <v>32</v>
      </c>
      <c r="G941" s="2">
        <v>206.09</v>
      </c>
      <c r="H941">
        <v>220.52</v>
      </c>
      <c r="I941">
        <v>221.424127</v>
      </c>
      <c r="J941">
        <v>284.17</v>
      </c>
      <c r="K941">
        <v>54</v>
      </c>
      <c r="M941">
        <v>0</v>
      </c>
      <c r="N941" s="2">
        <v>63</v>
      </c>
      <c r="O941">
        <v>13949.72</v>
      </c>
      <c r="P941">
        <v>8</v>
      </c>
      <c r="Q941">
        <v>55</v>
      </c>
      <c r="R941">
        <v>11.34</v>
      </c>
      <c r="S941">
        <v>20</v>
      </c>
      <c r="T941">
        <v>20</v>
      </c>
      <c r="U941" s="2">
        <v>5683.4</v>
      </c>
      <c r="V941">
        <v>0</v>
      </c>
      <c r="W941" t="s">
        <v>29</v>
      </c>
      <c r="X941" t="str">
        <f>IF(Table2[[#This Row],[Qty available]]&gt;Table2[[#This Row],[Qty on hand]],"Check","OK")</f>
        <v>OK</v>
      </c>
    </row>
    <row r="942" spans="1:24" x14ac:dyDescent="0.3">
      <c r="A942" t="s">
        <v>139</v>
      </c>
      <c r="B942" t="s">
        <v>140</v>
      </c>
      <c r="C942" t="s">
        <v>25</v>
      </c>
      <c r="D942" t="s">
        <v>26</v>
      </c>
      <c r="E942" t="s">
        <v>66</v>
      </c>
      <c r="F942" s="1" t="s">
        <v>33</v>
      </c>
      <c r="G942" s="2">
        <v>207.14</v>
      </c>
      <c r="H942">
        <v>221.64</v>
      </c>
      <c r="I942">
        <v>221.55906999999999</v>
      </c>
      <c r="J942">
        <v>284.17</v>
      </c>
      <c r="K942">
        <v>54</v>
      </c>
      <c r="L942" s="2">
        <v>54</v>
      </c>
      <c r="M942">
        <v>105</v>
      </c>
      <c r="N942" s="2">
        <v>129</v>
      </c>
      <c r="O942">
        <v>28581.119999999999</v>
      </c>
      <c r="P942">
        <v>6</v>
      </c>
      <c r="Q942">
        <v>123</v>
      </c>
      <c r="R942">
        <v>19.489999999999998</v>
      </c>
      <c r="S942">
        <v>4</v>
      </c>
      <c r="T942">
        <v>39</v>
      </c>
      <c r="U942" s="2">
        <v>11082.63</v>
      </c>
      <c r="V942">
        <v>0</v>
      </c>
      <c r="W942" t="s">
        <v>29</v>
      </c>
      <c r="X942" t="str">
        <f>IF(Table2[[#This Row],[Qty available]]&gt;Table2[[#This Row],[Qty on hand]],"Check","OK")</f>
        <v>OK</v>
      </c>
    </row>
    <row r="943" spans="1:24" x14ac:dyDescent="0.3">
      <c r="A943" t="s">
        <v>139</v>
      </c>
      <c r="B943" t="s">
        <v>140</v>
      </c>
      <c r="C943" t="s">
        <v>25</v>
      </c>
      <c r="D943" t="s">
        <v>26</v>
      </c>
      <c r="E943" t="s">
        <v>66</v>
      </c>
      <c r="F943" s="1" t="s">
        <v>34</v>
      </c>
      <c r="G943" s="2">
        <v>202.68</v>
      </c>
      <c r="H943">
        <v>216.87</v>
      </c>
      <c r="I943">
        <v>221.55911800000001</v>
      </c>
      <c r="J943">
        <v>296.02</v>
      </c>
      <c r="K943">
        <v>54</v>
      </c>
      <c r="M943">
        <v>0</v>
      </c>
      <c r="N943" s="2">
        <v>102</v>
      </c>
      <c r="O943">
        <v>22599.03</v>
      </c>
      <c r="P943">
        <v>5</v>
      </c>
      <c r="Q943">
        <v>97</v>
      </c>
      <c r="R943">
        <v>15.25</v>
      </c>
      <c r="S943">
        <v>0</v>
      </c>
      <c r="T943">
        <v>27</v>
      </c>
      <c r="U943" s="2">
        <v>7992.54</v>
      </c>
      <c r="V943">
        <v>0</v>
      </c>
      <c r="W943" t="s">
        <v>29</v>
      </c>
      <c r="X943" t="str">
        <f>IF(Table2[[#This Row],[Qty available]]&gt;Table2[[#This Row],[Qty on hand]],"Check","OK")</f>
        <v>OK</v>
      </c>
    </row>
    <row r="944" spans="1:24" x14ac:dyDescent="0.3">
      <c r="A944" t="s">
        <v>139</v>
      </c>
      <c r="B944" t="s">
        <v>140</v>
      </c>
      <c r="C944" t="s">
        <v>25</v>
      </c>
      <c r="D944" t="s">
        <v>26</v>
      </c>
      <c r="E944" t="s">
        <v>66</v>
      </c>
      <c r="F944" s="1" t="s">
        <v>35</v>
      </c>
      <c r="G944" s="2">
        <v>203.41</v>
      </c>
      <c r="H944">
        <v>217.65</v>
      </c>
      <c r="I944">
        <v>221.559123</v>
      </c>
      <c r="J944">
        <v>296.02</v>
      </c>
      <c r="K944">
        <v>54</v>
      </c>
      <c r="M944">
        <v>0</v>
      </c>
      <c r="N944" s="2">
        <v>57</v>
      </c>
      <c r="O944">
        <v>12628.87</v>
      </c>
      <c r="P944">
        <v>3</v>
      </c>
      <c r="Q944">
        <v>54</v>
      </c>
      <c r="R944">
        <v>6.6</v>
      </c>
      <c r="S944">
        <v>0</v>
      </c>
      <c r="T944">
        <v>45</v>
      </c>
      <c r="U944" s="2">
        <v>13320.9</v>
      </c>
      <c r="V944">
        <v>0</v>
      </c>
      <c r="W944" t="s">
        <v>29</v>
      </c>
      <c r="X944" t="str">
        <f>IF(Table2[[#This Row],[Qty available]]&gt;Table2[[#This Row],[Qty on hand]],"Check","OK")</f>
        <v>OK</v>
      </c>
    </row>
    <row r="945" spans="1:24" x14ac:dyDescent="0.3">
      <c r="A945" t="s">
        <v>139</v>
      </c>
      <c r="B945" t="s">
        <v>140</v>
      </c>
      <c r="C945" t="s">
        <v>25</v>
      </c>
      <c r="D945" t="s">
        <v>26</v>
      </c>
      <c r="E945" t="s">
        <v>66</v>
      </c>
      <c r="F945" s="1" t="s">
        <v>36</v>
      </c>
      <c r="G945" s="2">
        <v>214.82</v>
      </c>
      <c r="H945">
        <v>229.86</v>
      </c>
      <c r="I945">
        <v>225.78117599999999</v>
      </c>
      <c r="J945">
        <v>296.02</v>
      </c>
      <c r="K945">
        <v>54</v>
      </c>
      <c r="L945" s="2">
        <v>60</v>
      </c>
      <c r="M945">
        <v>59</v>
      </c>
      <c r="N945" s="2">
        <v>85</v>
      </c>
      <c r="O945">
        <v>19191.400000000001</v>
      </c>
      <c r="P945">
        <v>8</v>
      </c>
      <c r="Q945">
        <v>77</v>
      </c>
      <c r="R945">
        <v>10.49</v>
      </c>
      <c r="S945">
        <v>2</v>
      </c>
      <c r="T945">
        <v>31</v>
      </c>
      <c r="U945" s="2">
        <v>9176.6200000000008</v>
      </c>
      <c r="V945">
        <v>0</v>
      </c>
      <c r="W945" t="s">
        <v>29</v>
      </c>
      <c r="X945" t="str">
        <f>IF(Table2[[#This Row],[Qty available]]&gt;Table2[[#This Row],[Qty on hand]],"Check","OK")</f>
        <v>OK</v>
      </c>
    </row>
    <row r="946" spans="1:24" x14ac:dyDescent="0.3">
      <c r="A946" t="s">
        <v>139</v>
      </c>
      <c r="B946" t="s">
        <v>140</v>
      </c>
      <c r="C946" t="s">
        <v>25</v>
      </c>
      <c r="D946" t="s">
        <v>26</v>
      </c>
      <c r="E946" t="s">
        <v>66</v>
      </c>
      <c r="F946" s="1" t="s">
        <v>37</v>
      </c>
      <c r="G946" s="2">
        <v>208.15</v>
      </c>
      <c r="H946">
        <v>222.72</v>
      </c>
      <c r="I946">
        <v>225.78127699999999</v>
      </c>
      <c r="J946">
        <v>296.02</v>
      </c>
      <c r="K946">
        <v>54</v>
      </c>
      <c r="M946">
        <v>0</v>
      </c>
      <c r="N946" s="2">
        <v>47</v>
      </c>
      <c r="O946">
        <v>10611.72</v>
      </c>
      <c r="P946">
        <v>4</v>
      </c>
      <c r="Q946">
        <v>43</v>
      </c>
      <c r="R946">
        <v>5.42</v>
      </c>
      <c r="S946">
        <v>2</v>
      </c>
      <c r="T946">
        <v>38</v>
      </c>
      <c r="U946" s="2">
        <v>11248.76</v>
      </c>
      <c r="V946">
        <v>0</v>
      </c>
      <c r="W946" t="s">
        <v>29</v>
      </c>
      <c r="X946" t="str">
        <f>IF(Table2[[#This Row],[Qty available]]&gt;Table2[[#This Row],[Qty on hand]],"Check","OK")</f>
        <v>OK</v>
      </c>
    </row>
    <row r="947" spans="1:24" x14ac:dyDescent="0.3">
      <c r="A947" t="s">
        <v>139</v>
      </c>
      <c r="B947" t="s">
        <v>140</v>
      </c>
      <c r="C947" t="s">
        <v>25</v>
      </c>
      <c r="D947" t="s">
        <v>26</v>
      </c>
      <c r="E947" t="s">
        <v>66</v>
      </c>
      <c r="F947" s="1" t="s">
        <v>38</v>
      </c>
      <c r="G947" s="2">
        <v>206.53</v>
      </c>
      <c r="H947">
        <v>220.99</v>
      </c>
      <c r="I947">
        <v>225.78149999999999</v>
      </c>
      <c r="J947">
        <v>296.02</v>
      </c>
      <c r="K947">
        <v>54</v>
      </c>
      <c r="M947">
        <v>0</v>
      </c>
      <c r="N947" s="2">
        <v>20</v>
      </c>
      <c r="O947">
        <v>4515.63</v>
      </c>
      <c r="P947">
        <v>7</v>
      </c>
      <c r="Q947">
        <v>13</v>
      </c>
      <c r="R947">
        <v>2.71</v>
      </c>
      <c r="S947">
        <v>1</v>
      </c>
      <c r="T947">
        <v>27</v>
      </c>
      <c r="U947" s="2">
        <v>7992.54</v>
      </c>
      <c r="V947">
        <v>0</v>
      </c>
      <c r="W947" t="s">
        <v>29</v>
      </c>
      <c r="X947" t="str">
        <f>IF(Table2[[#This Row],[Qty available]]&gt;Table2[[#This Row],[Qty on hand]],"Check","OK")</f>
        <v>OK</v>
      </c>
    </row>
    <row r="948" spans="1:24" x14ac:dyDescent="0.3">
      <c r="A948" t="s">
        <v>139</v>
      </c>
      <c r="B948" t="s">
        <v>140</v>
      </c>
      <c r="C948" t="s">
        <v>25</v>
      </c>
      <c r="D948" t="s">
        <v>26</v>
      </c>
      <c r="E948" t="s">
        <v>66</v>
      </c>
      <c r="F948" s="1" t="s">
        <v>39</v>
      </c>
      <c r="G948" s="2">
        <v>212.45</v>
      </c>
      <c r="H948">
        <v>227.32</v>
      </c>
      <c r="I948">
        <v>227.018272</v>
      </c>
      <c r="J948">
        <v>296.02</v>
      </c>
      <c r="K948">
        <v>54</v>
      </c>
      <c r="L948" s="2">
        <v>48</v>
      </c>
      <c r="M948">
        <v>82</v>
      </c>
      <c r="N948" s="2">
        <v>81</v>
      </c>
      <c r="O948">
        <v>18388.48</v>
      </c>
      <c r="P948">
        <v>6</v>
      </c>
      <c r="Q948">
        <v>75</v>
      </c>
      <c r="R948">
        <v>12.38</v>
      </c>
      <c r="S948">
        <v>3</v>
      </c>
      <c r="T948">
        <v>21</v>
      </c>
      <c r="U948" s="2">
        <v>6216.42</v>
      </c>
      <c r="V948">
        <v>0</v>
      </c>
      <c r="W948" t="s">
        <v>29</v>
      </c>
      <c r="X948" t="str">
        <f>IF(Table2[[#This Row],[Qty available]]&gt;Table2[[#This Row],[Qty on hand]],"Check","OK")</f>
        <v>OK</v>
      </c>
    </row>
    <row r="949" spans="1:24" x14ac:dyDescent="0.3">
      <c r="A949" t="s">
        <v>139</v>
      </c>
      <c r="B949" t="s">
        <v>140</v>
      </c>
      <c r="C949" t="s">
        <v>25</v>
      </c>
      <c r="D949" t="s">
        <v>26</v>
      </c>
      <c r="E949" t="s">
        <v>66</v>
      </c>
      <c r="F949" s="1" t="s">
        <v>40</v>
      </c>
      <c r="G949" s="2">
        <v>213.53</v>
      </c>
      <c r="H949">
        <v>228.48</v>
      </c>
      <c r="I949">
        <v>227.259412</v>
      </c>
      <c r="J949">
        <v>296.02</v>
      </c>
      <c r="K949">
        <v>54</v>
      </c>
      <c r="L949" s="2">
        <v>52</v>
      </c>
      <c r="M949">
        <v>16</v>
      </c>
      <c r="N949" s="2">
        <v>51</v>
      </c>
      <c r="O949">
        <v>11590.23</v>
      </c>
      <c r="P949">
        <v>8</v>
      </c>
      <c r="Q949">
        <v>43</v>
      </c>
      <c r="R949">
        <v>7.13</v>
      </c>
      <c r="S949">
        <v>0</v>
      </c>
      <c r="T949">
        <v>46</v>
      </c>
      <c r="U949" s="2">
        <v>13616.92</v>
      </c>
      <c r="V949">
        <v>0</v>
      </c>
      <c r="W949" t="s">
        <v>29</v>
      </c>
      <c r="X949" t="str">
        <f>IF(Table2[[#This Row],[Qty available]]&gt;Table2[[#This Row],[Qty on hand]],"Check","OK")</f>
        <v>OK</v>
      </c>
    </row>
    <row r="950" spans="1:24" x14ac:dyDescent="0.3">
      <c r="A950" t="s">
        <v>139</v>
      </c>
      <c r="B950" t="s">
        <v>140</v>
      </c>
      <c r="C950" t="s">
        <v>25</v>
      </c>
      <c r="D950" t="s">
        <v>26</v>
      </c>
      <c r="E950" t="s">
        <v>66</v>
      </c>
      <c r="F950" s="1" t="s">
        <v>41</v>
      </c>
      <c r="G950" s="2">
        <v>208.13</v>
      </c>
      <c r="H950">
        <v>222.7</v>
      </c>
      <c r="I950">
        <v>224.873178</v>
      </c>
      <c r="J950">
        <v>296.02</v>
      </c>
      <c r="K950">
        <v>54</v>
      </c>
      <c r="L950" s="2">
        <v>50</v>
      </c>
      <c r="M950">
        <v>56</v>
      </c>
      <c r="N950" s="2">
        <v>107</v>
      </c>
      <c r="O950">
        <v>24061.43</v>
      </c>
      <c r="P950">
        <v>3</v>
      </c>
      <c r="Q950">
        <v>104</v>
      </c>
      <c r="R950">
        <v>20.99</v>
      </c>
      <c r="S950">
        <v>30</v>
      </c>
      <c r="T950">
        <v>0</v>
      </c>
      <c r="U950" s="2">
        <v>0</v>
      </c>
      <c r="V950">
        <v>0</v>
      </c>
      <c r="W950" t="s">
        <v>29</v>
      </c>
      <c r="X950" t="str">
        <f>IF(Table2[[#This Row],[Qty available]]&gt;Table2[[#This Row],[Qty on hand]],"Check","OK")</f>
        <v>OK</v>
      </c>
    </row>
    <row r="951" spans="1:24" x14ac:dyDescent="0.3">
      <c r="A951" t="s">
        <v>139</v>
      </c>
      <c r="B951" t="s">
        <v>140</v>
      </c>
      <c r="C951" t="s">
        <v>25</v>
      </c>
      <c r="D951" t="s">
        <v>26</v>
      </c>
      <c r="E951" t="s">
        <v>66</v>
      </c>
      <c r="F951" s="1" t="s">
        <v>42</v>
      </c>
      <c r="G951" s="2">
        <v>211.3</v>
      </c>
      <c r="H951">
        <v>226.09</v>
      </c>
      <c r="I951">
        <v>225.14650900000001</v>
      </c>
      <c r="J951">
        <v>296.02</v>
      </c>
      <c r="K951">
        <v>54</v>
      </c>
      <c r="L951" s="2">
        <v>51</v>
      </c>
      <c r="M951">
        <v>31</v>
      </c>
      <c r="N951" s="2">
        <v>106</v>
      </c>
      <c r="O951">
        <v>23865.53</v>
      </c>
      <c r="P951">
        <v>6</v>
      </c>
      <c r="Q951">
        <v>100</v>
      </c>
      <c r="R951">
        <v>17.86</v>
      </c>
      <c r="S951">
        <v>1</v>
      </c>
      <c r="T951">
        <v>32</v>
      </c>
      <c r="U951" s="2">
        <v>9472.64</v>
      </c>
      <c r="V951">
        <v>0</v>
      </c>
      <c r="W951" t="s">
        <v>29</v>
      </c>
      <c r="X951" t="str">
        <f>IF(Table2[[#This Row],[Qty available]]&gt;Table2[[#This Row],[Qty on hand]],"Check","OK")</f>
        <v>OK</v>
      </c>
    </row>
    <row r="952" spans="1:24" x14ac:dyDescent="0.3">
      <c r="A952" t="s">
        <v>139</v>
      </c>
      <c r="B952" t="s">
        <v>140</v>
      </c>
      <c r="C952" t="s">
        <v>25</v>
      </c>
      <c r="D952" t="s">
        <v>26</v>
      </c>
      <c r="E952" t="s">
        <v>66</v>
      </c>
      <c r="F952" s="1" t="s">
        <v>43</v>
      </c>
      <c r="G952" s="2">
        <v>212.69</v>
      </c>
      <c r="H952">
        <v>227.58</v>
      </c>
      <c r="I952">
        <v>225.146545</v>
      </c>
      <c r="J952">
        <v>296.02</v>
      </c>
      <c r="K952">
        <v>54</v>
      </c>
      <c r="M952">
        <v>0</v>
      </c>
      <c r="N952" s="2">
        <v>55</v>
      </c>
      <c r="O952">
        <v>12383.06</v>
      </c>
      <c r="P952">
        <v>10</v>
      </c>
      <c r="Q952">
        <v>45</v>
      </c>
      <c r="R952">
        <v>8.61</v>
      </c>
      <c r="S952">
        <v>2</v>
      </c>
      <c r="T952">
        <v>51</v>
      </c>
      <c r="U952" s="2">
        <v>15097.02</v>
      </c>
      <c r="V952">
        <v>0</v>
      </c>
      <c r="W952" t="s">
        <v>29</v>
      </c>
      <c r="X952" t="str">
        <f>IF(Table2[[#This Row],[Qty available]]&gt;Table2[[#This Row],[Qty on hand]],"Check","OK")</f>
        <v>OK</v>
      </c>
    </row>
    <row r="953" spans="1:24" x14ac:dyDescent="0.3">
      <c r="A953" t="s">
        <v>139</v>
      </c>
      <c r="B953" t="s">
        <v>140</v>
      </c>
      <c r="C953" t="s">
        <v>25</v>
      </c>
      <c r="D953" t="s">
        <v>26</v>
      </c>
      <c r="E953" t="s">
        <v>66</v>
      </c>
      <c r="F953" s="1" t="s">
        <v>44</v>
      </c>
      <c r="G953" s="2">
        <v>211.24</v>
      </c>
      <c r="H953">
        <v>226.03</v>
      </c>
      <c r="I953">
        <v>225.63494399999999</v>
      </c>
      <c r="J953">
        <v>296.02</v>
      </c>
      <c r="K953">
        <v>54</v>
      </c>
      <c r="L953" s="2">
        <v>48</v>
      </c>
      <c r="M953">
        <v>68</v>
      </c>
      <c r="N953" s="2">
        <v>89</v>
      </c>
      <c r="O953">
        <v>20081.509999999998</v>
      </c>
      <c r="P953">
        <v>8</v>
      </c>
      <c r="Q953">
        <v>81</v>
      </c>
      <c r="R953">
        <v>10</v>
      </c>
      <c r="S953">
        <v>2</v>
      </c>
      <c r="T953">
        <v>34</v>
      </c>
      <c r="U953" s="2">
        <v>10064.68</v>
      </c>
      <c r="V953">
        <v>0</v>
      </c>
      <c r="W953" t="s">
        <v>29</v>
      </c>
      <c r="X953" t="str">
        <f>IF(Table2[[#This Row],[Qty available]]&gt;Table2[[#This Row],[Qty on hand]],"Check","OK")</f>
        <v>OK</v>
      </c>
    </row>
    <row r="954" spans="1:24" x14ac:dyDescent="0.3">
      <c r="A954" t="s">
        <v>139</v>
      </c>
      <c r="B954" t="s">
        <v>140</v>
      </c>
      <c r="C954" t="s">
        <v>25</v>
      </c>
      <c r="D954" t="s">
        <v>26</v>
      </c>
      <c r="E954" t="s">
        <v>66</v>
      </c>
      <c r="F954" s="1" t="s">
        <v>45</v>
      </c>
      <c r="G954" s="2">
        <v>214</v>
      </c>
      <c r="H954">
        <v>228.98</v>
      </c>
      <c r="I954">
        <v>225.63491200000001</v>
      </c>
      <c r="J954">
        <v>296.02</v>
      </c>
      <c r="K954">
        <v>54</v>
      </c>
      <c r="M954">
        <v>0</v>
      </c>
      <c r="N954" s="2">
        <v>57</v>
      </c>
      <c r="O954">
        <v>12861.19</v>
      </c>
      <c r="P954">
        <v>10</v>
      </c>
      <c r="Q954">
        <v>47</v>
      </c>
      <c r="R954">
        <v>6.4</v>
      </c>
      <c r="S954">
        <v>0</v>
      </c>
      <c r="T954">
        <v>32</v>
      </c>
      <c r="U954" s="2">
        <v>9472.64</v>
      </c>
      <c r="V954">
        <v>0</v>
      </c>
      <c r="W954" t="s">
        <v>29</v>
      </c>
      <c r="X954" t="str">
        <f>IF(Table2[[#This Row],[Qty available]]&gt;Table2[[#This Row],[Qty on hand]],"Check","OK")</f>
        <v>OK</v>
      </c>
    </row>
    <row r="955" spans="1:24" x14ac:dyDescent="0.3">
      <c r="A955" t="s">
        <v>139</v>
      </c>
      <c r="B955" t="s">
        <v>140</v>
      </c>
      <c r="C955" t="s">
        <v>25</v>
      </c>
      <c r="D955" t="s">
        <v>26</v>
      </c>
      <c r="E955" t="s">
        <v>66</v>
      </c>
      <c r="F955" s="1" t="s">
        <v>46</v>
      </c>
      <c r="G955" s="2">
        <v>208.58</v>
      </c>
      <c r="H955">
        <v>223.18</v>
      </c>
      <c r="I955">
        <v>225.17895799999999</v>
      </c>
      <c r="J955">
        <v>308.36</v>
      </c>
      <c r="K955">
        <v>54</v>
      </c>
      <c r="L955" s="2">
        <v>51</v>
      </c>
      <c r="M955">
        <v>13</v>
      </c>
      <c r="N955" s="2">
        <v>48</v>
      </c>
      <c r="O955">
        <v>10808.59</v>
      </c>
      <c r="P955">
        <v>3</v>
      </c>
      <c r="Q955">
        <v>45</v>
      </c>
      <c r="R955">
        <v>7.01</v>
      </c>
      <c r="S955">
        <v>0</v>
      </c>
      <c r="T955">
        <v>22</v>
      </c>
      <c r="U955" s="2">
        <v>6783.92</v>
      </c>
      <c r="V955">
        <v>0</v>
      </c>
      <c r="W955" t="s">
        <v>29</v>
      </c>
      <c r="X955" t="str">
        <f>IF(Table2[[#This Row],[Qty available]]&gt;Table2[[#This Row],[Qty on hand]],"Check","OK")</f>
        <v>OK</v>
      </c>
    </row>
    <row r="956" spans="1:24" x14ac:dyDescent="0.3">
      <c r="A956" t="s">
        <v>139</v>
      </c>
      <c r="B956" t="s">
        <v>140</v>
      </c>
      <c r="C956" t="s">
        <v>25</v>
      </c>
      <c r="D956" t="s">
        <v>26</v>
      </c>
      <c r="E956" t="s">
        <v>66</v>
      </c>
      <c r="F956" s="1" t="s">
        <v>47</v>
      </c>
      <c r="G956" s="2">
        <v>208.81</v>
      </c>
      <c r="H956">
        <v>223.43</v>
      </c>
      <c r="I956">
        <v>224.14146099999999</v>
      </c>
      <c r="J956">
        <v>308.36</v>
      </c>
      <c r="K956">
        <v>54</v>
      </c>
      <c r="L956" s="2">
        <v>53</v>
      </c>
      <c r="M956">
        <v>70</v>
      </c>
      <c r="N956" s="2">
        <v>89</v>
      </c>
      <c r="O956">
        <v>19948.59</v>
      </c>
      <c r="P956">
        <v>10</v>
      </c>
      <c r="Q956">
        <v>79</v>
      </c>
      <c r="R956">
        <v>13.79</v>
      </c>
      <c r="S956">
        <v>0</v>
      </c>
      <c r="T956">
        <v>29</v>
      </c>
      <c r="U956" s="2">
        <v>8942.44</v>
      </c>
      <c r="V956">
        <v>0</v>
      </c>
      <c r="W956" t="s">
        <v>29</v>
      </c>
      <c r="X956" t="str">
        <f>IF(Table2[[#This Row],[Qty available]]&gt;Table2[[#This Row],[Qty on hand]],"Check","OK")</f>
        <v>OK</v>
      </c>
    </row>
    <row r="957" spans="1:24" x14ac:dyDescent="0.3">
      <c r="A957" t="s">
        <v>139</v>
      </c>
      <c r="B957" t="s">
        <v>140</v>
      </c>
      <c r="C957" t="s">
        <v>25</v>
      </c>
      <c r="D957" t="s">
        <v>26</v>
      </c>
      <c r="E957" t="s">
        <v>66</v>
      </c>
      <c r="F957" s="1" t="s">
        <v>48</v>
      </c>
      <c r="G957" s="2">
        <v>213.48</v>
      </c>
      <c r="H957">
        <v>228.42</v>
      </c>
      <c r="I957">
        <v>225.53522699999999</v>
      </c>
      <c r="J957">
        <v>308.36</v>
      </c>
      <c r="K957">
        <v>54</v>
      </c>
      <c r="L957" s="2">
        <v>54</v>
      </c>
      <c r="M957">
        <v>43</v>
      </c>
      <c r="N957" s="2">
        <v>88</v>
      </c>
      <c r="O957">
        <v>19847.099999999999</v>
      </c>
      <c r="P957">
        <v>5</v>
      </c>
      <c r="Q957">
        <v>83</v>
      </c>
      <c r="R957">
        <v>11.78</v>
      </c>
      <c r="S957">
        <v>2</v>
      </c>
      <c r="T957">
        <v>44</v>
      </c>
      <c r="U957" s="2">
        <v>13567.84</v>
      </c>
      <c r="V957">
        <v>0</v>
      </c>
      <c r="W957" t="s">
        <v>29</v>
      </c>
      <c r="X957" t="str">
        <f>IF(Table2[[#This Row],[Qty available]]&gt;Table2[[#This Row],[Qty on hand]],"Check","OK")</f>
        <v>OK</v>
      </c>
    </row>
    <row r="958" spans="1:24" x14ac:dyDescent="0.3">
      <c r="A958" t="s">
        <v>139</v>
      </c>
      <c r="B958" t="s">
        <v>140</v>
      </c>
      <c r="C958" t="s">
        <v>25</v>
      </c>
      <c r="D958" t="s">
        <v>26</v>
      </c>
      <c r="E958" t="s">
        <v>66</v>
      </c>
      <c r="F958" s="1" t="s">
        <v>49</v>
      </c>
      <c r="G958" s="2">
        <v>218.08</v>
      </c>
      <c r="H958">
        <v>233.34</v>
      </c>
      <c r="I958">
        <v>227.20770300000001</v>
      </c>
      <c r="J958">
        <v>308.36</v>
      </c>
      <c r="K958">
        <v>54</v>
      </c>
      <c r="L958" s="2">
        <v>51</v>
      </c>
      <c r="M958">
        <v>24</v>
      </c>
      <c r="N958" s="2">
        <v>74</v>
      </c>
      <c r="O958">
        <v>16813.37</v>
      </c>
      <c r="P958">
        <v>7</v>
      </c>
      <c r="Q958">
        <v>67</v>
      </c>
      <c r="R958">
        <v>8.76</v>
      </c>
      <c r="S958">
        <v>2</v>
      </c>
      <c r="T958">
        <v>38</v>
      </c>
      <c r="U958" s="2">
        <v>11717.68</v>
      </c>
      <c r="V958">
        <v>0</v>
      </c>
      <c r="W958" t="s">
        <v>29</v>
      </c>
      <c r="X958" t="str">
        <f>IF(Table2[[#This Row],[Qty available]]&gt;Table2[[#This Row],[Qty on hand]],"Check","OK")</f>
        <v>OK</v>
      </c>
    </row>
    <row r="959" spans="1:24" x14ac:dyDescent="0.3">
      <c r="A959" t="s">
        <v>139</v>
      </c>
      <c r="B959" t="s">
        <v>140</v>
      </c>
      <c r="C959" t="s">
        <v>25</v>
      </c>
      <c r="D959" t="s">
        <v>26</v>
      </c>
      <c r="E959" t="s">
        <v>66</v>
      </c>
      <c r="F959" s="1" t="s">
        <v>50</v>
      </c>
      <c r="G959" s="2">
        <v>216.63</v>
      </c>
      <c r="H959">
        <v>231.79</v>
      </c>
      <c r="I959">
        <v>227.207742</v>
      </c>
      <c r="J959">
        <v>308.36</v>
      </c>
      <c r="K959">
        <v>54</v>
      </c>
      <c r="M959">
        <v>0</v>
      </c>
      <c r="N959" s="2">
        <v>31</v>
      </c>
      <c r="O959">
        <v>7043.44</v>
      </c>
      <c r="P959">
        <v>9</v>
      </c>
      <c r="Q959">
        <v>22</v>
      </c>
      <c r="R959">
        <v>3.22</v>
      </c>
      <c r="S959">
        <v>2</v>
      </c>
      <c r="T959">
        <v>43</v>
      </c>
      <c r="U959" s="2">
        <v>13259.48</v>
      </c>
      <c r="V959">
        <v>0</v>
      </c>
      <c r="W959" t="s">
        <v>29</v>
      </c>
      <c r="X959" t="str">
        <f>IF(Table2[[#This Row],[Qty available]]&gt;Table2[[#This Row],[Qty on hand]],"Check","OK")</f>
        <v>OK</v>
      </c>
    </row>
    <row r="960" spans="1:24" x14ac:dyDescent="0.3">
      <c r="A960" t="s">
        <v>139</v>
      </c>
      <c r="B960" t="s">
        <v>140</v>
      </c>
      <c r="C960" t="s">
        <v>25</v>
      </c>
      <c r="D960" t="s">
        <v>26</v>
      </c>
      <c r="E960" t="s">
        <v>66</v>
      </c>
      <c r="F960" s="1" t="s">
        <v>51</v>
      </c>
      <c r="G960" s="2">
        <v>215.48</v>
      </c>
      <c r="H960">
        <v>230.56</v>
      </c>
      <c r="I960">
        <v>229.379167</v>
      </c>
      <c r="J960">
        <v>308.36</v>
      </c>
      <c r="K960">
        <v>54</v>
      </c>
      <c r="L960" s="2">
        <v>47</v>
      </c>
      <c r="M960">
        <v>57</v>
      </c>
      <c r="N960" s="2">
        <v>48</v>
      </c>
      <c r="O960">
        <v>11010.2</v>
      </c>
      <c r="P960">
        <v>4</v>
      </c>
      <c r="Q960">
        <v>44</v>
      </c>
      <c r="R960">
        <v>5.21</v>
      </c>
      <c r="S960">
        <v>12</v>
      </c>
      <c r="T960">
        <v>40</v>
      </c>
      <c r="U960" s="2">
        <v>12334.4</v>
      </c>
      <c r="V960">
        <v>0</v>
      </c>
      <c r="W960" t="s">
        <v>29</v>
      </c>
      <c r="X960" t="str">
        <f>IF(Table2[[#This Row],[Qty available]]&gt;Table2[[#This Row],[Qty on hand]],"Check","OK")</f>
        <v>OK</v>
      </c>
    </row>
    <row r="961" spans="1:24" x14ac:dyDescent="0.3">
      <c r="A961" t="s">
        <v>139</v>
      </c>
      <c r="B961" t="s">
        <v>140</v>
      </c>
      <c r="C961" t="s">
        <v>25</v>
      </c>
      <c r="D961" t="s">
        <v>26</v>
      </c>
      <c r="E961" t="s">
        <v>66</v>
      </c>
      <c r="F961" s="1" t="s">
        <v>52</v>
      </c>
      <c r="G961" s="2">
        <v>213.38</v>
      </c>
      <c r="H961">
        <v>228.32</v>
      </c>
      <c r="I961">
        <v>228.872623</v>
      </c>
      <c r="J961">
        <v>308.36</v>
      </c>
      <c r="K961">
        <v>54</v>
      </c>
      <c r="L961" s="2">
        <v>48</v>
      </c>
      <c r="M961">
        <v>44</v>
      </c>
      <c r="N961" s="2">
        <v>61</v>
      </c>
      <c r="O961">
        <v>13961.23</v>
      </c>
      <c r="P961">
        <v>3</v>
      </c>
      <c r="Q961">
        <v>58</v>
      </c>
      <c r="R961">
        <v>7.03</v>
      </c>
      <c r="S961">
        <v>12</v>
      </c>
      <c r="T961">
        <v>31</v>
      </c>
      <c r="U961" s="2">
        <v>9559.16</v>
      </c>
      <c r="V961">
        <v>0</v>
      </c>
      <c r="W961" t="s">
        <v>29</v>
      </c>
      <c r="X961" t="str">
        <f>IF(Table2[[#This Row],[Qty available]]&gt;Table2[[#This Row],[Qty on hand]],"Check","OK")</f>
        <v>OK</v>
      </c>
    </row>
    <row r="962" spans="1:24" x14ac:dyDescent="0.3">
      <c r="A962" t="s">
        <v>141</v>
      </c>
      <c r="B962" t="s">
        <v>142</v>
      </c>
      <c r="C962" t="s">
        <v>77</v>
      </c>
      <c r="D962" t="s">
        <v>78</v>
      </c>
      <c r="E962" t="s">
        <v>27</v>
      </c>
      <c r="F962" s="1" t="s">
        <v>28</v>
      </c>
      <c r="G962" s="2">
        <v>3.04</v>
      </c>
      <c r="H962">
        <v>3.04</v>
      </c>
      <c r="I962">
        <v>2.9633989999999999</v>
      </c>
      <c r="J962">
        <v>4.1399999999999997</v>
      </c>
      <c r="K962">
        <v>43</v>
      </c>
      <c r="L962" s="2">
        <v>38</v>
      </c>
      <c r="M962">
        <v>100</v>
      </c>
      <c r="N962" s="2">
        <v>1480</v>
      </c>
      <c r="O962">
        <v>4385.83</v>
      </c>
      <c r="P962">
        <v>151</v>
      </c>
      <c r="Q962">
        <v>1329</v>
      </c>
      <c r="R962">
        <v>12.04</v>
      </c>
      <c r="S962">
        <v>1</v>
      </c>
      <c r="T962">
        <v>443</v>
      </c>
      <c r="U962" s="2">
        <v>1834.02</v>
      </c>
      <c r="V962">
        <v>0</v>
      </c>
      <c r="W962" t="s">
        <v>29</v>
      </c>
      <c r="X962" t="str">
        <f>IF(Table2[[#This Row],[Qty available]]&gt;Table2[[#This Row],[Qty on hand]],"Check","OK")</f>
        <v>OK</v>
      </c>
    </row>
    <row r="963" spans="1:24" x14ac:dyDescent="0.3">
      <c r="A963" t="s">
        <v>141</v>
      </c>
      <c r="B963" t="s">
        <v>142</v>
      </c>
      <c r="C963" t="s">
        <v>77</v>
      </c>
      <c r="D963" t="s">
        <v>78</v>
      </c>
      <c r="E963" t="s">
        <v>27</v>
      </c>
      <c r="F963" s="1" t="s">
        <v>30</v>
      </c>
      <c r="G963" s="2">
        <v>3</v>
      </c>
      <c r="H963">
        <v>3</v>
      </c>
      <c r="I963">
        <v>2.963403</v>
      </c>
      <c r="J963">
        <v>4.1399999999999997</v>
      </c>
      <c r="K963">
        <v>43</v>
      </c>
      <c r="M963">
        <v>0</v>
      </c>
      <c r="N963" s="2">
        <v>717</v>
      </c>
      <c r="O963">
        <v>2124.7600000000002</v>
      </c>
      <c r="P963">
        <v>113</v>
      </c>
      <c r="Q963">
        <v>604</v>
      </c>
      <c r="R963">
        <v>4.97</v>
      </c>
      <c r="S963">
        <v>0</v>
      </c>
      <c r="T963">
        <v>763</v>
      </c>
      <c r="U963" s="2">
        <v>3158.82</v>
      </c>
      <c r="V963">
        <v>0</v>
      </c>
      <c r="W963" t="s">
        <v>29</v>
      </c>
      <c r="X963" t="str">
        <f>IF(Table2[[#This Row],[Qty available]]&gt;Table2[[#This Row],[Qty on hand]],"Check","OK")</f>
        <v>OK</v>
      </c>
    </row>
    <row r="964" spans="1:24" x14ac:dyDescent="0.3">
      <c r="A964" t="s">
        <v>141</v>
      </c>
      <c r="B964" t="s">
        <v>142</v>
      </c>
      <c r="C964" t="s">
        <v>77</v>
      </c>
      <c r="D964" t="s">
        <v>78</v>
      </c>
      <c r="E964" t="s">
        <v>27</v>
      </c>
      <c r="F964" s="1" t="s">
        <v>31</v>
      </c>
      <c r="G964" s="2">
        <v>2.98</v>
      </c>
      <c r="H964">
        <v>2.98</v>
      </c>
      <c r="I964">
        <v>2.9724279999999998</v>
      </c>
      <c r="J964">
        <v>4.1399999999999997</v>
      </c>
      <c r="K964">
        <v>43</v>
      </c>
      <c r="L964" s="2">
        <v>42</v>
      </c>
      <c r="M964">
        <v>854</v>
      </c>
      <c r="N964" s="2">
        <v>1075</v>
      </c>
      <c r="O964">
        <v>3195.36</v>
      </c>
      <c r="P964">
        <v>75</v>
      </c>
      <c r="Q964">
        <v>1000</v>
      </c>
      <c r="R964">
        <v>8.2100000000000009</v>
      </c>
      <c r="S964">
        <v>0</v>
      </c>
      <c r="T964">
        <v>496</v>
      </c>
      <c r="U964" s="2">
        <v>2053.44</v>
      </c>
      <c r="V964">
        <v>0</v>
      </c>
      <c r="W964" t="s">
        <v>29</v>
      </c>
      <c r="X964" t="str">
        <f>IF(Table2[[#This Row],[Qty available]]&gt;Table2[[#This Row],[Qty on hand]],"Check","OK")</f>
        <v>OK</v>
      </c>
    </row>
    <row r="965" spans="1:24" x14ac:dyDescent="0.3">
      <c r="A965" t="s">
        <v>141</v>
      </c>
      <c r="B965" t="s">
        <v>142</v>
      </c>
      <c r="C965" t="s">
        <v>77</v>
      </c>
      <c r="D965" t="s">
        <v>78</v>
      </c>
      <c r="E965" t="s">
        <v>27</v>
      </c>
      <c r="F965" s="1" t="s">
        <v>32</v>
      </c>
      <c r="G965" s="2">
        <v>2.98</v>
      </c>
      <c r="H965">
        <v>2.98</v>
      </c>
      <c r="I965">
        <v>2.9754119999999999</v>
      </c>
      <c r="J965">
        <v>4.1399999999999997</v>
      </c>
      <c r="K965">
        <v>43</v>
      </c>
      <c r="L965" s="2">
        <v>37</v>
      </c>
      <c r="M965">
        <v>700</v>
      </c>
      <c r="N965" s="2">
        <v>1567</v>
      </c>
      <c r="O965">
        <v>4662.47</v>
      </c>
      <c r="P965">
        <v>132</v>
      </c>
      <c r="Q965">
        <v>1435</v>
      </c>
      <c r="R965">
        <v>14.04</v>
      </c>
      <c r="S965">
        <v>2</v>
      </c>
      <c r="T965">
        <v>208</v>
      </c>
      <c r="U965" s="2">
        <v>861.12</v>
      </c>
      <c r="V965">
        <v>0</v>
      </c>
      <c r="W965" t="s">
        <v>29</v>
      </c>
      <c r="X965" t="str">
        <f>IF(Table2[[#This Row],[Qty available]]&gt;Table2[[#This Row],[Qty on hand]],"Check","OK")</f>
        <v>OK</v>
      </c>
    </row>
    <row r="966" spans="1:24" x14ac:dyDescent="0.3">
      <c r="A966" t="s">
        <v>141</v>
      </c>
      <c r="B966" t="s">
        <v>142</v>
      </c>
      <c r="C966" t="s">
        <v>77</v>
      </c>
      <c r="D966" t="s">
        <v>78</v>
      </c>
      <c r="E966" t="s">
        <v>27</v>
      </c>
      <c r="F966" s="1" t="s">
        <v>33</v>
      </c>
      <c r="G966" s="2">
        <v>3</v>
      </c>
      <c r="H966">
        <v>3</v>
      </c>
      <c r="I966">
        <v>2.9799060000000002</v>
      </c>
      <c r="J966">
        <v>4.1399999999999997</v>
      </c>
      <c r="K966">
        <v>43</v>
      </c>
      <c r="L966" s="2">
        <v>37</v>
      </c>
      <c r="M966">
        <v>350</v>
      </c>
      <c r="N966" s="2">
        <v>954</v>
      </c>
      <c r="O966">
        <v>2842.83</v>
      </c>
      <c r="P966">
        <v>151</v>
      </c>
      <c r="Q966">
        <v>803</v>
      </c>
      <c r="R966">
        <v>7.52</v>
      </c>
      <c r="S966">
        <v>0</v>
      </c>
      <c r="T966">
        <v>963</v>
      </c>
      <c r="U966" s="2">
        <v>3986.82</v>
      </c>
      <c r="V966">
        <v>0</v>
      </c>
      <c r="W966" t="s">
        <v>29</v>
      </c>
      <c r="X966" t="str">
        <f>IF(Table2[[#This Row],[Qty available]]&gt;Table2[[#This Row],[Qty on hand]],"Check","OK")</f>
        <v>OK</v>
      </c>
    </row>
    <row r="967" spans="1:24" x14ac:dyDescent="0.3">
      <c r="A967" t="s">
        <v>141</v>
      </c>
      <c r="B967" t="s">
        <v>142</v>
      </c>
      <c r="C967" t="s">
        <v>77</v>
      </c>
      <c r="D967" t="s">
        <v>78</v>
      </c>
      <c r="E967" t="s">
        <v>27</v>
      </c>
      <c r="F967" s="1" t="s">
        <v>34</v>
      </c>
      <c r="G967" s="2">
        <v>3.03</v>
      </c>
      <c r="H967">
        <v>3.03</v>
      </c>
      <c r="I967">
        <v>2.9799359999999999</v>
      </c>
      <c r="J967">
        <v>4.3</v>
      </c>
      <c r="K967">
        <v>43</v>
      </c>
      <c r="M967">
        <v>0</v>
      </c>
      <c r="N967" s="2">
        <v>157</v>
      </c>
      <c r="O967">
        <v>467.85</v>
      </c>
      <c r="P967">
        <v>157</v>
      </c>
      <c r="Q967">
        <v>0</v>
      </c>
      <c r="R967">
        <v>1.03</v>
      </c>
      <c r="S967">
        <v>0</v>
      </c>
      <c r="T967">
        <v>797</v>
      </c>
      <c r="U967" s="2">
        <v>3427.1</v>
      </c>
      <c r="V967">
        <v>0</v>
      </c>
      <c r="W967" t="s">
        <v>29</v>
      </c>
      <c r="X967" t="str">
        <f>IF(Table2[[#This Row],[Qty available]]&gt;Table2[[#This Row],[Qty on hand]],"Check","OK")</f>
        <v>OK</v>
      </c>
    </row>
    <row r="968" spans="1:24" x14ac:dyDescent="0.3">
      <c r="A968" t="s">
        <v>141</v>
      </c>
      <c r="B968" t="s">
        <v>142</v>
      </c>
      <c r="C968" t="s">
        <v>77</v>
      </c>
      <c r="D968" t="s">
        <v>78</v>
      </c>
      <c r="E968" t="s">
        <v>27</v>
      </c>
      <c r="F968" s="1" t="s">
        <v>35</v>
      </c>
      <c r="G968" s="2">
        <v>3.14</v>
      </c>
      <c r="H968">
        <v>3.14</v>
      </c>
      <c r="I968">
        <v>3.1286900000000002</v>
      </c>
      <c r="J968">
        <v>4.3</v>
      </c>
      <c r="K968">
        <v>43</v>
      </c>
      <c r="L968" s="2">
        <v>39</v>
      </c>
      <c r="M968">
        <v>2065</v>
      </c>
      <c r="N968" s="2">
        <v>1733</v>
      </c>
      <c r="O968">
        <v>5422.02</v>
      </c>
      <c r="P968">
        <v>57</v>
      </c>
      <c r="Q968">
        <v>1676</v>
      </c>
      <c r="R968">
        <v>9.91</v>
      </c>
      <c r="S968">
        <v>0</v>
      </c>
      <c r="T968">
        <v>489</v>
      </c>
      <c r="U968" s="2">
        <v>2102.6999999999998</v>
      </c>
      <c r="V968">
        <v>0</v>
      </c>
      <c r="W968" t="s">
        <v>29</v>
      </c>
      <c r="X968" t="str">
        <f>IF(Table2[[#This Row],[Qty available]]&gt;Table2[[#This Row],[Qty on hand]],"Check","OK")</f>
        <v>OK</v>
      </c>
    </row>
    <row r="969" spans="1:24" x14ac:dyDescent="0.3">
      <c r="A969" t="s">
        <v>141</v>
      </c>
      <c r="B969" t="s">
        <v>142</v>
      </c>
      <c r="C969" t="s">
        <v>77</v>
      </c>
      <c r="D969" t="s">
        <v>78</v>
      </c>
      <c r="E969" t="s">
        <v>27</v>
      </c>
      <c r="F969" s="1" t="s">
        <v>36</v>
      </c>
      <c r="G969" s="2">
        <v>3.18</v>
      </c>
      <c r="H969">
        <v>3.18</v>
      </c>
      <c r="I969">
        <v>3.1286900000000002</v>
      </c>
      <c r="J969">
        <v>4.3</v>
      </c>
      <c r="K969">
        <v>43</v>
      </c>
      <c r="M969">
        <v>0</v>
      </c>
      <c r="N969" s="2">
        <v>916</v>
      </c>
      <c r="O969">
        <v>2865.88</v>
      </c>
      <c r="P969">
        <v>94</v>
      </c>
      <c r="Q969">
        <v>822</v>
      </c>
      <c r="R969">
        <v>5.54</v>
      </c>
      <c r="S969">
        <v>0</v>
      </c>
      <c r="T969">
        <v>817</v>
      </c>
      <c r="U969" s="2">
        <v>3513.1</v>
      </c>
      <c r="V969">
        <v>0</v>
      </c>
      <c r="W969" t="s">
        <v>29</v>
      </c>
      <c r="X969" t="str">
        <f>IF(Table2[[#This Row],[Qty available]]&gt;Table2[[#This Row],[Qty on hand]],"Check","OK")</f>
        <v>OK</v>
      </c>
    </row>
    <row r="970" spans="1:24" x14ac:dyDescent="0.3">
      <c r="A970" t="s">
        <v>141</v>
      </c>
      <c r="B970" t="s">
        <v>142</v>
      </c>
      <c r="C970" t="s">
        <v>77</v>
      </c>
      <c r="D970" t="s">
        <v>78</v>
      </c>
      <c r="E970" t="s">
        <v>27</v>
      </c>
      <c r="F970" s="1" t="s">
        <v>37</v>
      </c>
      <c r="G970" s="2">
        <v>3.16</v>
      </c>
      <c r="H970">
        <v>3.16</v>
      </c>
      <c r="I970">
        <v>3.1459839999999999</v>
      </c>
      <c r="J970">
        <v>4.3</v>
      </c>
      <c r="K970">
        <v>43</v>
      </c>
      <c r="L970" s="2">
        <v>39</v>
      </c>
      <c r="M970">
        <v>1130</v>
      </c>
      <c r="N970" s="2">
        <v>1723</v>
      </c>
      <c r="O970">
        <v>5420.53</v>
      </c>
      <c r="P970">
        <v>151</v>
      </c>
      <c r="Q970">
        <v>1572</v>
      </c>
      <c r="R970">
        <v>13.9</v>
      </c>
      <c r="S970">
        <v>0</v>
      </c>
      <c r="T970">
        <v>323</v>
      </c>
      <c r="U970" s="2">
        <v>1388.9</v>
      </c>
      <c r="V970">
        <v>0</v>
      </c>
      <c r="W970" t="s">
        <v>29</v>
      </c>
      <c r="X970" t="str">
        <f>IF(Table2[[#This Row],[Qty available]]&gt;Table2[[#This Row],[Qty on hand]],"Check","OK")</f>
        <v>OK</v>
      </c>
    </row>
    <row r="971" spans="1:24" x14ac:dyDescent="0.3">
      <c r="A971" t="s">
        <v>141</v>
      </c>
      <c r="B971" t="s">
        <v>142</v>
      </c>
      <c r="C971" t="s">
        <v>77</v>
      </c>
      <c r="D971" t="s">
        <v>78</v>
      </c>
      <c r="E971" t="s">
        <v>27</v>
      </c>
      <c r="F971" s="1" t="s">
        <v>38</v>
      </c>
      <c r="G971" s="2">
        <v>3.18</v>
      </c>
      <c r="H971">
        <v>3.18</v>
      </c>
      <c r="I971">
        <v>3.1478489999999999</v>
      </c>
      <c r="J971">
        <v>4.3</v>
      </c>
      <c r="K971">
        <v>43</v>
      </c>
      <c r="L971" s="2">
        <v>40</v>
      </c>
      <c r="M971">
        <v>100</v>
      </c>
      <c r="N971" s="2">
        <v>1190</v>
      </c>
      <c r="O971">
        <v>3745.94</v>
      </c>
      <c r="P971">
        <v>113</v>
      </c>
      <c r="Q971">
        <v>1077</v>
      </c>
      <c r="R971">
        <v>8.73</v>
      </c>
      <c r="S971">
        <v>0</v>
      </c>
      <c r="T971">
        <v>633</v>
      </c>
      <c r="U971" s="2">
        <v>2721.9</v>
      </c>
      <c r="V971">
        <v>0</v>
      </c>
      <c r="W971" t="s">
        <v>29</v>
      </c>
      <c r="X971" t="str">
        <f>IF(Table2[[#This Row],[Qty available]]&gt;Table2[[#This Row],[Qty on hand]],"Check","OK")</f>
        <v>OK</v>
      </c>
    </row>
    <row r="972" spans="1:24" x14ac:dyDescent="0.3">
      <c r="A972" t="s">
        <v>141</v>
      </c>
      <c r="B972" t="s">
        <v>142</v>
      </c>
      <c r="C972" t="s">
        <v>77</v>
      </c>
      <c r="D972" t="s">
        <v>78</v>
      </c>
      <c r="E972" t="s">
        <v>27</v>
      </c>
      <c r="F972" s="1" t="s">
        <v>39</v>
      </c>
      <c r="G972" s="2">
        <v>3.16</v>
      </c>
      <c r="H972">
        <v>3.16</v>
      </c>
      <c r="I972">
        <v>3.1478449999999998</v>
      </c>
      <c r="J972">
        <v>4.3</v>
      </c>
      <c r="K972">
        <v>43</v>
      </c>
      <c r="M972">
        <v>0</v>
      </c>
      <c r="N972" s="2">
        <v>942</v>
      </c>
      <c r="O972">
        <v>2965.27</v>
      </c>
      <c r="P972">
        <v>94</v>
      </c>
      <c r="Q972">
        <v>848</v>
      </c>
      <c r="R972">
        <v>10.28</v>
      </c>
      <c r="S972">
        <v>2</v>
      </c>
      <c r="T972">
        <v>248</v>
      </c>
      <c r="U972" s="2">
        <v>1066.4000000000001</v>
      </c>
      <c r="V972">
        <v>0</v>
      </c>
      <c r="W972" t="s">
        <v>29</v>
      </c>
      <c r="X972" t="str">
        <f>IF(Table2[[#This Row],[Qty available]]&gt;Table2[[#This Row],[Qty on hand]],"Check","OK")</f>
        <v>OK</v>
      </c>
    </row>
    <row r="973" spans="1:24" x14ac:dyDescent="0.3">
      <c r="A973" t="s">
        <v>141</v>
      </c>
      <c r="B973" t="s">
        <v>142</v>
      </c>
      <c r="C973" t="s">
        <v>77</v>
      </c>
      <c r="D973" t="s">
        <v>78</v>
      </c>
      <c r="E973" t="s">
        <v>27</v>
      </c>
      <c r="F973" s="1" t="s">
        <v>40</v>
      </c>
      <c r="G973" s="2">
        <v>3.19</v>
      </c>
      <c r="H973">
        <v>3.19</v>
      </c>
      <c r="I973">
        <v>3.1729400000000001</v>
      </c>
      <c r="J973">
        <v>4.3</v>
      </c>
      <c r="K973">
        <v>43</v>
      </c>
      <c r="L973" s="2">
        <v>39</v>
      </c>
      <c r="M973">
        <v>1386</v>
      </c>
      <c r="N973" s="2">
        <v>1745</v>
      </c>
      <c r="O973">
        <v>5536.78</v>
      </c>
      <c r="P973">
        <v>38</v>
      </c>
      <c r="Q973">
        <v>1707</v>
      </c>
      <c r="R973">
        <v>15.67</v>
      </c>
      <c r="S973">
        <v>1</v>
      </c>
      <c r="T973">
        <v>583</v>
      </c>
      <c r="U973" s="2">
        <v>2506.9</v>
      </c>
      <c r="V973">
        <v>0</v>
      </c>
      <c r="W973" t="s">
        <v>29</v>
      </c>
      <c r="X973" t="str">
        <f>IF(Table2[[#This Row],[Qty available]]&gt;Table2[[#This Row],[Qty on hand]],"Check","OK")</f>
        <v>OK</v>
      </c>
    </row>
    <row r="974" spans="1:24" x14ac:dyDescent="0.3">
      <c r="A974" t="s">
        <v>141</v>
      </c>
      <c r="B974" t="s">
        <v>142</v>
      </c>
      <c r="C974" t="s">
        <v>77</v>
      </c>
      <c r="D974" t="s">
        <v>78</v>
      </c>
      <c r="E974" t="s">
        <v>27</v>
      </c>
      <c r="F974" s="1" t="s">
        <v>41</v>
      </c>
      <c r="G974" s="2">
        <v>3.19</v>
      </c>
      <c r="H974">
        <v>3.19</v>
      </c>
      <c r="I974">
        <v>3.1729370000000001</v>
      </c>
      <c r="J974">
        <v>4.3</v>
      </c>
      <c r="K974">
        <v>43</v>
      </c>
      <c r="M974">
        <v>0</v>
      </c>
      <c r="N974" s="2">
        <v>1260</v>
      </c>
      <c r="O974">
        <v>3997.9</v>
      </c>
      <c r="P974">
        <v>170</v>
      </c>
      <c r="Q974">
        <v>1090</v>
      </c>
      <c r="R974">
        <v>12.58</v>
      </c>
      <c r="S974">
        <v>0</v>
      </c>
      <c r="T974">
        <v>485</v>
      </c>
      <c r="U974" s="2">
        <v>2085.5</v>
      </c>
      <c r="V974">
        <v>0</v>
      </c>
      <c r="W974" t="s">
        <v>29</v>
      </c>
      <c r="X974" t="str">
        <f>IF(Table2[[#This Row],[Qty available]]&gt;Table2[[#This Row],[Qty on hand]],"Check","OK")</f>
        <v>OK</v>
      </c>
    </row>
    <row r="975" spans="1:24" x14ac:dyDescent="0.3">
      <c r="A975" t="s">
        <v>141</v>
      </c>
      <c r="B975" t="s">
        <v>142</v>
      </c>
      <c r="C975" t="s">
        <v>77</v>
      </c>
      <c r="D975" t="s">
        <v>78</v>
      </c>
      <c r="E975" t="s">
        <v>27</v>
      </c>
      <c r="F975" s="1" t="s">
        <v>42</v>
      </c>
      <c r="G975" s="2">
        <v>3.13</v>
      </c>
      <c r="H975">
        <v>3.13</v>
      </c>
      <c r="I975">
        <v>3.16405</v>
      </c>
      <c r="J975">
        <v>4.3</v>
      </c>
      <c r="K975">
        <v>43</v>
      </c>
      <c r="L975" s="2">
        <v>40</v>
      </c>
      <c r="M975">
        <v>329</v>
      </c>
      <c r="N975" s="2">
        <v>800</v>
      </c>
      <c r="O975">
        <v>2531.2399999999998</v>
      </c>
      <c r="P975">
        <v>75</v>
      </c>
      <c r="Q975">
        <v>725</v>
      </c>
      <c r="R975">
        <v>5.66</v>
      </c>
      <c r="S975">
        <v>0</v>
      </c>
      <c r="T975">
        <v>789</v>
      </c>
      <c r="U975" s="2">
        <v>3392.7</v>
      </c>
      <c r="V975">
        <v>0</v>
      </c>
      <c r="W975" t="s">
        <v>29</v>
      </c>
      <c r="X975" t="str">
        <f>IF(Table2[[#This Row],[Qty available]]&gt;Table2[[#This Row],[Qty on hand]],"Check","OK")</f>
        <v>OK</v>
      </c>
    </row>
    <row r="976" spans="1:24" x14ac:dyDescent="0.3">
      <c r="A976" t="s">
        <v>141</v>
      </c>
      <c r="B976" t="s">
        <v>142</v>
      </c>
      <c r="C976" t="s">
        <v>77</v>
      </c>
      <c r="D976" t="s">
        <v>78</v>
      </c>
      <c r="E976" t="s">
        <v>27</v>
      </c>
      <c r="F976" s="1" t="s">
        <v>43</v>
      </c>
      <c r="G976" s="2">
        <v>3.23</v>
      </c>
      <c r="H976">
        <v>3.23</v>
      </c>
      <c r="I976">
        <v>3.1640519999999999</v>
      </c>
      <c r="J976">
        <v>4.3</v>
      </c>
      <c r="K976">
        <v>43</v>
      </c>
      <c r="M976">
        <v>0</v>
      </c>
      <c r="N976" s="2">
        <v>580</v>
      </c>
      <c r="O976">
        <v>1835.15</v>
      </c>
      <c r="P976">
        <v>94</v>
      </c>
      <c r="Q976">
        <v>486</v>
      </c>
      <c r="R976">
        <v>5.05</v>
      </c>
      <c r="S976">
        <v>1</v>
      </c>
      <c r="T976">
        <v>220</v>
      </c>
      <c r="U976" s="2">
        <v>946</v>
      </c>
      <c r="V976">
        <v>0</v>
      </c>
      <c r="W976" t="s">
        <v>29</v>
      </c>
      <c r="X976" t="str">
        <f>IF(Table2[[#This Row],[Qty available]]&gt;Table2[[#This Row],[Qty on hand]],"Check","OK")</f>
        <v>OK</v>
      </c>
    </row>
    <row r="977" spans="1:24" x14ac:dyDescent="0.3">
      <c r="A977" t="s">
        <v>141</v>
      </c>
      <c r="B977" t="s">
        <v>142</v>
      </c>
      <c r="C977" t="s">
        <v>77</v>
      </c>
      <c r="D977" t="s">
        <v>78</v>
      </c>
      <c r="E977" t="s">
        <v>27</v>
      </c>
      <c r="F977" s="1" t="s">
        <v>44</v>
      </c>
      <c r="G977" s="2">
        <v>3.2</v>
      </c>
      <c r="H977">
        <v>3.2</v>
      </c>
      <c r="I977">
        <v>3.1918829999999998</v>
      </c>
      <c r="J977">
        <v>4.3</v>
      </c>
      <c r="K977">
        <v>43</v>
      </c>
      <c r="L977" s="2">
        <v>38</v>
      </c>
      <c r="M977">
        <v>1988</v>
      </c>
      <c r="N977" s="2">
        <v>2321</v>
      </c>
      <c r="O977">
        <v>7408.36</v>
      </c>
      <c r="P977">
        <v>170</v>
      </c>
      <c r="Q977">
        <v>2151</v>
      </c>
      <c r="R977">
        <v>24.29</v>
      </c>
      <c r="S977">
        <v>4</v>
      </c>
      <c r="T977">
        <v>247</v>
      </c>
      <c r="U977" s="2">
        <v>1062.0999999999999</v>
      </c>
      <c r="V977">
        <v>0</v>
      </c>
      <c r="W977" t="s">
        <v>29</v>
      </c>
      <c r="X977" t="str">
        <f>IF(Table2[[#This Row],[Qty available]]&gt;Table2[[#This Row],[Qty on hand]],"Check","OK")</f>
        <v>OK</v>
      </c>
    </row>
    <row r="978" spans="1:24" x14ac:dyDescent="0.3">
      <c r="A978" t="s">
        <v>141</v>
      </c>
      <c r="B978" t="s">
        <v>142</v>
      </c>
      <c r="C978" t="s">
        <v>77</v>
      </c>
      <c r="D978" t="s">
        <v>78</v>
      </c>
      <c r="E978" t="s">
        <v>27</v>
      </c>
      <c r="F978" s="1" t="s">
        <v>45</v>
      </c>
      <c r="G978" s="2">
        <v>3.2</v>
      </c>
      <c r="H978">
        <v>3.2</v>
      </c>
      <c r="I978">
        <v>3.1918850000000001</v>
      </c>
      <c r="J978">
        <v>4.3</v>
      </c>
      <c r="K978">
        <v>43</v>
      </c>
      <c r="M978">
        <v>0</v>
      </c>
      <c r="N978" s="2">
        <v>1846</v>
      </c>
      <c r="O978">
        <v>5892.22</v>
      </c>
      <c r="P978">
        <v>170</v>
      </c>
      <c r="Q978">
        <v>1676</v>
      </c>
      <c r="R978">
        <v>25.76</v>
      </c>
      <c r="S978">
        <v>0</v>
      </c>
      <c r="T978">
        <v>475</v>
      </c>
      <c r="U978" s="2">
        <v>2042.5</v>
      </c>
      <c r="V978">
        <v>0</v>
      </c>
      <c r="W978" t="s">
        <v>29</v>
      </c>
      <c r="X978" t="str">
        <f>IF(Table2[[#This Row],[Qty available]]&gt;Table2[[#This Row],[Qty on hand]],"Check","OK")</f>
        <v>OK</v>
      </c>
    </row>
    <row r="979" spans="1:24" x14ac:dyDescent="0.3">
      <c r="A979" t="s">
        <v>141</v>
      </c>
      <c r="B979" t="s">
        <v>142</v>
      </c>
      <c r="C979" t="s">
        <v>77</v>
      </c>
      <c r="D979" t="s">
        <v>78</v>
      </c>
      <c r="E979" t="s">
        <v>27</v>
      </c>
      <c r="F979" s="1" t="s">
        <v>46</v>
      </c>
      <c r="G979" s="2">
        <v>3.2</v>
      </c>
      <c r="H979">
        <v>3.2</v>
      </c>
      <c r="I979">
        <v>3.1931319999999999</v>
      </c>
      <c r="J979">
        <v>4.46</v>
      </c>
      <c r="K979">
        <v>43</v>
      </c>
      <c r="L979" s="2">
        <v>42</v>
      </c>
      <c r="M979">
        <v>336</v>
      </c>
      <c r="N979" s="2">
        <v>1791</v>
      </c>
      <c r="O979">
        <v>5718.9</v>
      </c>
      <c r="P979">
        <v>94</v>
      </c>
      <c r="Q979">
        <v>1697</v>
      </c>
      <c r="R979">
        <v>20.69</v>
      </c>
      <c r="S979">
        <v>3</v>
      </c>
      <c r="T979">
        <v>391</v>
      </c>
      <c r="U979" s="2">
        <v>1743.86</v>
      </c>
      <c r="V979">
        <v>0</v>
      </c>
      <c r="W979" t="s">
        <v>29</v>
      </c>
      <c r="X979" t="str">
        <f>IF(Table2[[#This Row],[Qty available]]&gt;Table2[[#This Row],[Qty on hand]],"Check","OK")</f>
        <v>OK</v>
      </c>
    </row>
    <row r="980" spans="1:24" x14ac:dyDescent="0.3">
      <c r="A980" t="s">
        <v>141</v>
      </c>
      <c r="B980" t="s">
        <v>142</v>
      </c>
      <c r="C980" t="s">
        <v>77</v>
      </c>
      <c r="D980" t="s">
        <v>78</v>
      </c>
      <c r="E980" t="s">
        <v>27</v>
      </c>
      <c r="F980" s="1" t="s">
        <v>47</v>
      </c>
      <c r="G980" s="2">
        <v>3.38</v>
      </c>
      <c r="H980">
        <v>3.38</v>
      </c>
      <c r="I980">
        <v>3.244227</v>
      </c>
      <c r="J980">
        <v>4.46</v>
      </c>
      <c r="K980">
        <v>43</v>
      </c>
      <c r="L980" s="2">
        <v>39</v>
      </c>
      <c r="M980">
        <v>674</v>
      </c>
      <c r="N980" s="2">
        <v>2465</v>
      </c>
      <c r="O980">
        <v>7997.02</v>
      </c>
      <c r="P980">
        <v>189</v>
      </c>
      <c r="Q980">
        <v>2276</v>
      </c>
      <c r="R980">
        <v>36.6</v>
      </c>
      <c r="S980">
        <v>34</v>
      </c>
      <c r="T980">
        <v>0</v>
      </c>
      <c r="U980" s="2">
        <v>0</v>
      </c>
      <c r="V980">
        <v>0</v>
      </c>
      <c r="W980" t="s">
        <v>29</v>
      </c>
      <c r="X980" t="str">
        <f>IF(Table2[[#This Row],[Qty available]]&gt;Table2[[#This Row],[Qty on hand]],"Check","OK")</f>
        <v>OK</v>
      </c>
    </row>
    <row r="981" spans="1:24" x14ac:dyDescent="0.3">
      <c r="A981" t="s">
        <v>141</v>
      </c>
      <c r="B981" t="s">
        <v>142</v>
      </c>
      <c r="C981" t="s">
        <v>77</v>
      </c>
      <c r="D981" t="s">
        <v>78</v>
      </c>
      <c r="E981" t="s">
        <v>27</v>
      </c>
      <c r="F981" s="1" t="s">
        <v>48</v>
      </c>
      <c r="G981" s="2">
        <v>3.35</v>
      </c>
      <c r="H981">
        <v>3.35</v>
      </c>
      <c r="I981">
        <v>3.2442250000000001</v>
      </c>
      <c r="J981">
        <v>4.46</v>
      </c>
      <c r="K981">
        <v>43</v>
      </c>
      <c r="M981">
        <v>0</v>
      </c>
      <c r="N981" s="2">
        <v>1943</v>
      </c>
      <c r="O981">
        <v>6303.53</v>
      </c>
      <c r="P981">
        <v>170</v>
      </c>
      <c r="Q981">
        <v>1773</v>
      </c>
      <c r="R981">
        <v>27.06</v>
      </c>
      <c r="S981">
        <v>0</v>
      </c>
      <c r="T981">
        <v>522</v>
      </c>
      <c r="U981" s="2">
        <v>2328.12</v>
      </c>
      <c r="V981">
        <v>0</v>
      </c>
      <c r="W981" t="s">
        <v>29</v>
      </c>
      <c r="X981" t="str">
        <f>IF(Table2[[#This Row],[Qty available]]&gt;Table2[[#This Row],[Qty on hand]],"Check","OK")</f>
        <v>OK</v>
      </c>
    </row>
    <row r="982" spans="1:24" x14ac:dyDescent="0.3">
      <c r="A982" t="s">
        <v>141</v>
      </c>
      <c r="B982" t="s">
        <v>142</v>
      </c>
      <c r="C982" t="s">
        <v>77</v>
      </c>
      <c r="D982" t="s">
        <v>78</v>
      </c>
      <c r="E982" t="s">
        <v>27</v>
      </c>
      <c r="F982" s="1" t="s">
        <v>49</v>
      </c>
      <c r="G982" s="2">
        <v>3.31</v>
      </c>
      <c r="H982">
        <v>3.31</v>
      </c>
      <c r="I982">
        <v>3.2442280000000001</v>
      </c>
      <c r="J982">
        <v>4.46</v>
      </c>
      <c r="K982">
        <v>43</v>
      </c>
      <c r="M982">
        <v>0</v>
      </c>
      <c r="N982" s="2">
        <v>1450</v>
      </c>
      <c r="O982">
        <v>4704.13</v>
      </c>
      <c r="P982">
        <v>38</v>
      </c>
      <c r="Q982">
        <v>1412</v>
      </c>
      <c r="R982">
        <v>18.78</v>
      </c>
      <c r="S982">
        <v>1</v>
      </c>
      <c r="T982">
        <v>493</v>
      </c>
      <c r="U982" s="2">
        <v>2198.7800000000002</v>
      </c>
      <c r="V982">
        <v>0</v>
      </c>
      <c r="W982" t="s">
        <v>29</v>
      </c>
      <c r="X982" t="str">
        <f>IF(Table2[[#This Row],[Qty available]]&gt;Table2[[#This Row],[Qty on hand]],"Check","OK")</f>
        <v>OK</v>
      </c>
    </row>
    <row r="983" spans="1:24" x14ac:dyDescent="0.3">
      <c r="A983" t="s">
        <v>141</v>
      </c>
      <c r="B983" t="s">
        <v>142</v>
      </c>
      <c r="C983" t="s">
        <v>77</v>
      </c>
      <c r="D983" t="s">
        <v>78</v>
      </c>
      <c r="E983" t="s">
        <v>27</v>
      </c>
      <c r="F983" s="1" t="s">
        <v>50</v>
      </c>
      <c r="G983" s="2">
        <v>3.39</v>
      </c>
      <c r="H983">
        <v>3.39</v>
      </c>
      <c r="I983">
        <v>3.26789</v>
      </c>
      <c r="J983">
        <v>4.46</v>
      </c>
      <c r="K983">
        <v>43</v>
      </c>
      <c r="L983" s="2">
        <v>39</v>
      </c>
      <c r="M983">
        <v>281</v>
      </c>
      <c r="N983" s="2">
        <v>1033</v>
      </c>
      <c r="O983">
        <v>3375.73</v>
      </c>
      <c r="P983">
        <v>38</v>
      </c>
      <c r="Q983">
        <v>995</v>
      </c>
      <c r="R983">
        <v>7.84</v>
      </c>
      <c r="S983">
        <v>0</v>
      </c>
      <c r="T983">
        <v>698</v>
      </c>
      <c r="U983" s="2">
        <v>3113.08</v>
      </c>
      <c r="V983">
        <v>0</v>
      </c>
      <c r="W983" t="s">
        <v>29</v>
      </c>
      <c r="X983" t="str">
        <f>IF(Table2[[#This Row],[Qty available]]&gt;Table2[[#This Row],[Qty on hand]],"Check","OK")</f>
        <v>OK</v>
      </c>
    </row>
    <row r="984" spans="1:24" x14ac:dyDescent="0.3">
      <c r="A984" t="s">
        <v>141</v>
      </c>
      <c r="B984" t="s">
        <v>142</v>
      </c>
      <c r="C984" t="s">
        <v>77</v>
      </c>
      <c r="D984" t="s">
        <v>78</v>
      </c>
      <c r="E984" t="s">
        <v>27</v>
      </c>
      <c r="F984" s="1" t="s">
        <v>51</v>
      </c>
      <c r="G984" s="2">
        <v>3.39</v>
      </c>
      <c r="H984">
        <v>3.39</v>
      </c>
      <c r="I984">
        <v>3.3000859999999999</v>
      </c>
      <c r="J984">
        <v>4.46</v>
      </c>
      <c r="K984">
        <v>43</v>
      </c>
      <c r="L984" s="2">
        <v>59</v>
      </c>
      <c r="M984">
        <v>370</v>
      </c>
      <c r="N984" s="2">
        <v>697</v>
      </c>
      <c r="O984">
        <v>2300.16</v>
      </c>
      <c r="P984">
        <v>94</v>
      </c>
      <c r="Q984">
        <v>603</v>
      </c>
      <c r="R984">
        <v>4.83</v>
      </c>
      <c r="S984">
        <v>2</v>
      </c>
      <c r="T984">
        <v>706</v>
      </c>
      <c r="U984" s="2">
        <v>3148.76</v>
      </c>
      <c r="V984">
        <v>0</v>
      </c>
      <c r="W984" t="s">
        <v>29</v>
      </c>
      <c r="X984" t="str">
        <f>IF(Table2[[#This Row],[Qty available]]&gt;Table2[[#This Row],[Qty on hand]],"Check","OK")</f>
        <v>OK</v>
      </c>
    </row>
    <row r="985" spans="1:24" x14ac:dyDescent="0.3">
      <c r="A985" t="s">
        <v>141</v>
      </c>
      <c r="B985" t="s">
        <v>142</v>
      </c>
      <c r="C985" t="s">
        <v>77</v>
      </c>
      <c r="D985" t="s">
        <v>78</v>
      </c>
      <c r="E985" t="s">
        <v>27</v>
      </c>
      <c r="F985" s="1" t="s">
        <v>52</v>
      </c>
      <c r="G985" s="2">
        <v>3.31</v>
      </c>
      <c r="H985">
        <v>3.31</v>
      </c>
      <c r="I985">
        <v>3.3069380000000002</v>
      </c>
      <c r="J985">
        <v>4.46</v>
      </c>
      <c r="K985">
        <v>43</v>
      </c>
      <c r="L985" s="2">
        <v>55</v>
      </c>
      <c r="M985">
        <v>1560</v>
      </c>
      <c r="N985" s="2">
        <v>1832</v>
      </c>
      <c r="O985">
        <v>6058.31</v>
      </c>
      <c r="P985">
        <v>57</v>
      </c>
      <c r="Q985">
        <v>1775</v>
      </c>
      <c r="R985">
        <v>13.16</v>
      </c>
      <c r="S985">
        <v>0</v>
      </c>
      <c r="T985">
        <v>425</v>
      </c>
      <c r="U985" s="2">
        <v>1895.5</v>
      </c>
      <c r="V985">
        <v>0</v>
      </c>
      <c r="W985" t="s">
        <v>29</v>
      </c>
      <c r="X985" t="str">
        <f>IF(Table2[[#This Row],[Qty available]]&gt;Table2[[#This Row],[Qty on hand]],"Check","OK")</f>
        <v>OK</v>
      </c>
    </row>
    <row r="986" spans="1:24" x14ac:dyDescent="0.3">
      <c r="A986" t="s">
        <v>143</v>
      </c>
      <c r="B986" t="s">
        <v>144</v>
      </c>
      <c r="C986" t="s">
        <v>25</v>
      </c>
      <c r="D986" t="s">
        <v>26</v>
      </c>
      <c r="E986" t="s">
        <v>27</v>
      </c>
      <c r="F986" s="1" t="s">
        <v>28</v>
      </c>
      <c r="G986" s="2">
        <v>286.26</v>
      </c>
      <c r="H986">
        <v>286.26</v>
      </c>
      <c r="I986">
        <v>285.84621600000003</v>
      </c>
      <c r="J986">
        <v>398.32</v>
      </c>
      <c r="K986">
        <v>32</v>
      </c>
      <c r="L986" s="2">
        <v>29</v>
      </c>
      <c r="M986">
        <v>86</v>
      </c>
      <c r="N986" s="2">
        <v>74</v>
      </c>
      <c r="O986">
        <v>21152.62</v>
      </c>
      <c r="P986">
        <v>6</v>
      </c>
      <c r="Q986">
        <v>68</v>
      </c>
      <c r="R986">
        <v>8.84</v>
      </c>
      <c r="S986">
        <v>0</v>
      </c>
      <c r="T986">
        <v>30</v>
      </c>
      <c r="U986" s="2">
        <v>11949.6</v>
      </c>
      <c r="V986">
        <v>0</v>
      </c>
      <c r="W986" t="s">
        <v>29</v>
      </c>
      <c r="X986" t="str">
        <f>IF(Table2[[#This Row],[Qty available]]&gt;Table2[[#This Row],[Qty on hand]],"Check","OK")</f>
        <v>OK</v>
      </c>
    </row>
    <row r="987" spans="1:24" x14ac:dyDescent="0.3">
      <c r="A987" t="s">
        <v>143</v>
      </c>
      <c r="B987" t="s">
        <v>144</v>
      </c>
      <c r="C987" t="s">
        <v>25</v>
      </c>
      <c r="D987" t="s">
        <v>26</v>
      </c>
      <c r="E987" t="s">
        <v>27</v>
      </c>
      <c r="F987" s="1" t="s">
        <v>30</v>
      </c>
      <c r="G987" s="2">
        <v>286.10000000000002</v>
      </c>
      <c r="H987">
        <v>286.10000000000002</v>
      </c>
      <c r="I987">
        <v>285.90015199999999</v>
      </c>
      <c r="J987">
        <v>398.32</v>
      </c>
      <c r="K987">
        <v>32</v>
      </c>
      <c r="L987" s="2">
        <v>29</v>
      </c>
      <c r="M987">
        <v>20</v>
      </c>
      <c r="N987" s="2">
        <v>66</v>
      </c>
      <c r="O987">
        <v>18869.41</v>
      </c>
      <c r="P987">
        <v>2</v>
      </c>
      <c r="Q987">
        <v>64</v>
      </c>
      <c r="R987">
        <v>8.5</v>
      </c>
      <c r="S987">
        <v>0</v>
      </c>
      <c r="T987">
        <v>28</v>
      </c>
      <c r="U987" s="2">
        <v>11152.96</v>
      </c>
      <c r="V987">
        <v>0</v>
      </c>
      <c r="W987" t="s">
        <v>29</v>
      </c>
      <c r="X987" t="str">
        <f>IF(Table2[[#This Row],[Qty available]]&gt;Table2[[#This Row],[Qty on hand]],"Check","OK")</f>
        <v>OK</v>
      </c>
    </row>
    <row r="988" spans="1:24" x14ac:dyDescent="0.3">
      <c r="A988" t="s">
        <v>143</v>
      </c>
      <c r="B988" t="s">
        <v>144</v>
      </c>
      <c r="C988" t="s">
        <v>25</v>
      </c>
      <c r="D988" t="s">
        <v>26</v>
      </c>
      <c r="E988" t="s">
        <v>27</v>
      </c>
      <c r="F988" s="1" t="s">
        <v>31</v>
      </c>
      <c r="G988" s="2">
        <v>285.57</v>
      </c>
      <c r="H988">
        <v>285.57</v>
      </c>
      <c r="I988">
        <v>285.76460500000002</v>
      </c>
      <c r="J988">
        <v>398.32</v>
      </c>
      <c r="K988">
        <v>32</v>
      </c>
      <c r="L988" s="2">
        <v>29</v>
      </c>
      <c r="M988">
        <v>46</v>
      </c>
      <c r="N988" s="2">
        <v>76</v>
      </c>
      <c r="O988">
        <v>21718.11</v>
      </c>
      <c r="P988">
        <v>7</v>
      </c>
      <c r="Q988">
        <v>69</v>
      </c>
      <c r="R988">
        <v>10.51</v>
      </c>
      <c r="S988">
        <v>0</v>
      </c>
      <c r="T988">
        <v>36</v>
      </c>
      <c r="U988" s="2">
        <v>14339.52</v>
      </c>
      <c r="V988">
        <v>0</v>
      </c>
      <c r="W988" t="s">
        <v>29</v>
      </c>
      <c r="X988" t="str">
        <f>IF(Table2[[#This Row],[Qty available]]&gt;Table2[[#This Row],[Qty on hand]],"Check","OK")</f>
        <v>OK</v>
      </c>
    </row>
    <row r="989" spans="1:24" x14ac:dyDescent="0.3">
      <c r="A989" t="s">
        <v>143</v>
      </c>
      <c r="B989" t="s">
        <v>144</v>
      </c>
      <c r="C989" t="s">
        <v>25</v>
      </c>
      <c r="D989" t="s">
        <v>26</v>
      </c>
      <c r="E989" t="s">
        <v>27</v>
      </c>
      <c r="F989" s="1" t="s">
        <v>32</v>
      </c>
      <c r="G989" s="2">
        <v>291.88</v>
      </c>
      <c r="H989">
        <v>291.88</v>
      </c>
      <c r="I989">
        <v>285.76452399999999</v>
      </c>
      <c r="J989">
        <v>398.32</v>
      </c>
      <c r="K989">
        <v>32</v>
      </c>
      <c r="M989">
        <v>0</v>
      </c>
      <c r="N989" s="2">
        <v>42</v>
      </c>
      <c r="O989">
        <v>12002.11</v>
      </c>
      <c r="P989">
        <v>6</v>
      </c>
      <c r="Q989">
        <v>36</v>
      </c>
      <c r="R989">
        <v>5.63</v>
      </c>
      <c r="S989">
        <v>10</v>
      </c>
      <c r="T989">
        <v>34</v>
      </c>
      <c r="U989" s="2">
        <v>13542.88</v>
      </c>
      <c r="V989">
        <v>0</v>
      </c>
      <c r="W989" t="s">
        <v>29</v>
      </c>
      <c r="X989" t="str">
        <f>IF(Table2[[#This Row],[Qty available]]&gt;Table2[[#This Row],[Qty on hand]],"Check","OK")</f>
        <v>OK</v>
      </c>
    </row>
    <row r="990" spans="1:24" x14ac:dyDescent="0.3">
      <c r="A990" t="s">
        <v>143</v>
      </c>
      <c r="B990" t="s">
        <v>144</v>
      </c>
      <c r="C990" t="s">
        <v>25</v>
      </c>
      <c r="D990" t="s">
        <v>26</v>
      </c>
      <c r="E990" t="s">
        <v>27</v>
      </c>
      <c r="F990" s="1" t="s">
        <v>33</v>
      </c>
      <c r="G990" s="2">
        <v>291.29000000000002</v>
      </c>
      <c r="H990">
        <v>291.29000000000002</v>
      </c>
      <c r="I990">
        <v>288.19583299999999</v>
      </c>
      <c r="J990">
        <v>398.32</v>
      </c>
      <c r="K990">
        <v>32</v>
      </c>
      <c r="L990" s="2">
        <v>54</v>
      </c>
      <c r="M990">
        <v>33</v>
      </c>
      <c r="N990" s="2">
        <v>48</v>
      </c>
      <c r="O990">
        <v>13833.4</v>
      </c>
      <c r="P990">
        <v>5</v>
      </c>
      <c r="Q990">
        <v>43</v>
      </c>
      <c r="R990">
        <v>6.5</v>
      </c>
      <c r="S990">
        <v>2</v>
      </c>
      <c r="T990">
        <v>27</v>
      </c>
      <c r="U990" s="2">
        <v>10754.64</v>
      </c>
      <c r="V990">
        <v>0</v>
      </c>
      <c r="W990" t="s">
        <v>29</v>
      </c>
      <c r="X990" t="str">
        <f>IF(Table2[[#This Row],[Qty available]]&gt;Table2[[#This Row],[Qty on hand]],"Check","OK")</f>
        <v>OK</v>
      </c>
    </row>
    <row r="991" spans="1:24" x14ac:dyDescent="0.3">
      <c r="A991" t="s">
        <v>143</v>
      </c>
      <c r="B991" t="s">
        <v>144</v>
      </c>
      <c r="C991" t="s">
        <v>25</v>
      </c>
      <c r="D991" t="s">
        <v>26</v>
      </c>
      <c r="E991" t="s">
        <v>27</v>
      </c>
      <c r="F991" s="1" t="s">
        <v>34</v>
      </c>
      <c r="G991" s="2">
        <v>289.52</v>
      </c>
      <c r="H991">
        <v>289.52</v>
      </c>
      <c r="I991">
        <v>288.19566700000001</v>
      </c>
      <c r="J991">
        <v>415.27</v>
      </c>
      <c r="K991">
        <v>32</v>
      </c>
      <c r="M991">
        <v>0</v>
      </c>
      <c r="N991" s="2">
        <v>30</v>
      </c>
      <c r="O991">
        <v>8645.8700000000008</v>
      </c>
      <c r="P991">
        <v>5</v>
      </c>
      <c r="Q991">
        <v>25</v>
      </c>
      <c r="R991">
        <v>4.88</v>
      </c>
      <c r="S991">
        <v>2</v>
      </c>
      <c r="T991">
        <v>18</v>
      </c>
      <c r="U991" s="2">
        <v>7474.86</v>
      </c>
      <c r="V991">
        <v>0</v>
      </c>
      <c r="W991" t="s">
        <v>29</v>
      </c>
      <c r="X991" t="str">
        <f>IF(Table2[[#This Row],[Qty available]]&gt;Table2[[#This Row],[Qty on hand]],"Check","OK")</f>
        <v>OK</v>
      </c>
    </row>
    <row r="992" spans="1:24" x14ac:dyDescent="0.3">
      <c r="A992" t="s">
        <v>143</v>
      </c>
      <c r="B992" t="s">
        <v>144</v>
      </c>
      <c r="C992" t="s">
        <v>25</v>
      </c>
      <c r="D992" t="s">
        <v>26</v>
      </c>
      <c r="E992" t="s">
        <v>27</v>
      </c>
      <c r="F992" s="1" t="s">
        <v>35</v>
      </c>
      <c r="G992" s="2">
        <v>285.7</v>
      </c>
      <c r="H992">
        <v>285.7</v>
      </c>
      <c r="I992">
        <v>286.76944400000002</v>
      </c>
      <c r="J992">
        <v>415.27</v>
      </c>
      <c r="K992">
        <v>32</v>
      </c>
      <c r="L992" s="2">
        <v>31</v>
      </c>
      <c r="M992">
        <v>40</v>
      </c>
      <c r="N992" s="2">
        <v>36</v>
      </c>
      <c r="O992">
        <v>10323.700000000001</v>
      </c>
      <c r="P992">
        <v>3</v>
      </c>
      <c r="Q992">
        <v>33</v>
      </c>
      <c r="R992">
        <v>5.86</v>
      </c>
      <c r="S992">
        <v>1</v>
      </c>
      <c r="T992">
        <v>34</v>
      </c>
      <c r="U992" s="2">
        <v>14119.18</v>
      </c>
      <c r="V992">
        <v>0</v>
      </c>
      <c r="W992" t="s">
        <v>29</v>
      </c>
      <c r="X992" t="str">
        <f>IF(Table2[[#This Row],[Qty available]]&gt;Table2[[#This Row],[Qty on hand]],"Check","OK")</f>
        <v>OK</v>
      </c>
    </row>
    <row r="993" spans="1:24" x14ac:dyDescent="0.3">
      <c r="A993" t="s">
        <v>143</v>
      </c>
      <c r="B993" t="s">
        <v>144</v>
      </c>
      <c r="C993" t="s">
        <v>25</v>
      </c>
      <c r="D993" t="s">
        <v>26</v>
      </c>
      <c r="E993" t="s">
        <v>27</v>
      </c>
      <c r="F993" s="1" t="s">
        <v>36</v>
      </c>
      <c r="G993" s="2">
        <v>293.3</v>
      </c>
      <c r="H993">
        <v>293.3</v>
      </c>
      <c r="I993">
        <v>290.4674</v>
      </c>
      <c r="J993">
        <v>415.27</v>
      </c>
      <c r="K993">
        <v>32</v>
      </c>
      <c r="L993" s="2">
        <v>30</v>
      </c>
      <c r="M993">
        <v>47</v>
      </c>
      <c r="N993" s="2">
        <v>50</v>
      </c>
      <c r="O993">
        <v>14523.37</v>
      </c>
      <c r="P993">
        <v>9</v>
      </c>
      <c r="Q993">
        <v>41</v>
      </c>
      <c r="R993">
        <v>7.48</v>
      </c>
      <c r="S993">
        <v>7</v>
      </c>
      <c r="T993">
        <v>33</v>
      </c>
      <c r="U993" s="2">
        <v>13703.91</v>
      </c>
      <c r="V993">
        <v>0</v>
      </c>
      <c r="W993" t="s">
        <v>29</v>
      </c>
      <c r="X993" t="str">
        <f>IF(Table2[[#This Row],[Qty available]]&gt;Table2[[#This Row],[Qty on hand]],"Check","OK")</f>
        <v>OK</v>
      </c>
    </row>
    <row r="994" spans="1:24" x14ac:dyDescent="0.3">
      <c r="A994" t="s">
        <v>143</v>
      </c>
      <c r="B994" t="s">
        <v>144</v>
      </c>
      <c r="C994" t="s">
        <v>25</v>
      </c>
      <c r="D994" t="s">
        <v>26</v>
      </c>
      <c r="E994" t="s">
        <v>27</v>
      </c>
      <c r="F994" s="1" t="s">
        <v>37</v>
      </c>
      <c r="G994" s="2">
        <v>297.27999999999997</v>
      </c>
      <c r="H994">
        <v>297.27999999999997</v>
      </c>
      <c r="I994">
        <v>290.46749999999997</v>
      </c>
      <c r="J994">
        <v>415.27</v>
      </c>
      <c r="K994">
        <v>32</v>
      </c>
      <c r="M994">
        <v>0</v>
      </c>
      <c r="N994" s="2">
        <v>28</v>
      </c>
      <c r="O994">
        <v>8133.09</v>
      </c>
      <c r="P994">
        <v>7</v>
      </c>
      <c r="Q994">
        <v>21</v>
      </c>
      <c r="R994">
        <v>4.13</v>
      </c>
      <c r="S994">
        <v>10</v>
      </c>
      <c r="T994">
        <v>22</v>
      </c>
      <c r="U994" s="2">
        <v>9135.94</v>
      </c>
      <c r="V994">
        <v>0</v>
      </c>
      <c r="W994" t="s">
        <v>29</v>
      </c>
      <c r="X994" t="str">
        <f>IF(Table2[[#This Row],[Qty available]]&gt;Table2[[#This Row],[Qty on hand]],"Check","OK")</f>
        <v>OK</v>
      </c>
    </row>
    <row r="995" spans="1:24" x14ac:dyDescent="0.3">
      <c r="A995" t="s">
        <v>143</v>
      </c>
      <c r="B995" t="s">
        <v>144</v>
      </c>
      <c r="C995" t="s">
        <v>25</v>
      </c>
      <c r="D995" t="s">
        <v>26</v>
      </c>
      <c r="E995" t="s">
        <v>27</v>
      </c>
      <c r="F995" s="1" t="s">
        <v>38</v>
      </c>
      <c r="G995" s="2">
        <v>297.93</v>
      </c>
      <c r="H995">
        <v>297.93</v>
      </c>
      <c r="I995">
        <v>295.52830999999998</v>
      </c>
      <c r="J995">
        <v>415.27</v>
      </c>
      <c r="K995">
        <v>32</v>
      </c>
      <c r="L995" s="2">
        <v>28</v>
      </c>
      <c r="M995">
        <v>59</v>
      </c>
      <c r="N995" s="2">
        <v>71</v>
      </c>
      <c r="O995">
        <v>20982.51</v>
      </c>
      <c r="P995">
        <v>5</v>
      </c>
      <c r="Q995">
        <v>66</v>
      </c>
      <c r="R995">
        <v>13</v>
      </c>
      <c r="S995">
        <v>6</v>
      </c>
      <c r="T995">
        <v>16</v>
      </c>
      <c r="U995" s="2">
        <v>6644.32</v>
      </c>
      <c r="V995">
        <v>0</v>
      </c>
      <c r="W995" t="s">
        <v>29</v>
      </c>
      <c r="X995" t="str">
        <f>IF(Table2[[#This Row],[Qty available]]&gt;Table2[[#This Row],[Qty on hand]],"Check","OK")</f>
        <v>OK</v>
      </c>
    </row>
    <row r="996" spans="1:24" x14ac:dyDescent="0.3">
      <c r="A996" t="s">
        <v>143</v>
      </c>
      <c r="B996" t="s">
        <v>144</v>
      </c>
      <c r="C996" t="s">
        <v>25</v>
      </c>
      <c r="D996" t="s">
        <v>26</v>
      </c>
      <c r="E996" t="s">
        <v>27</v>
      </c>
      <c r="F996" s="1" t="s">
        <v>39</v>
      </c>
      <c r="G996" s="2">
        <v>290.64</v>
      </c>
      <c r="H996">
        <v>290.64</v>
      </c>
      <c r="I996">
        <v>294.110725</v>
      </c>
      <c r="J996">
        <v>415.27</v>
      </c>
      <c r="K996">
        <v>32</v>
      </c>
      <c r="L996" s="2">
        <v>27</v>
      </c>
      <c r="M996">
        <v>29</v>
      </c>
      <c r="N996" s="2">
        <v>69</v>
      </c>
      <c r="O996">
        <v>20293.64</v>
      </c>
      <c r="P996">
        <v>8</v>
      </c>
      <c r="Q996">
        <v>61</v>
      </c>
      <c r="R996">
        <v>13.14</v>
      </c>
      <c r="S996">
        <v>4</v>
      </c>
      <c r="T996">
        <v>31</v>
      </c>
      <c r="U996" s="2">
        <v>12873.37</v>
      </c>
      <c r="V996">
        <v>0</v>
      </c>
      <c r="W996" t="s">
        <v>29</v>
      </c>
      <c r="X996" t="str">
        <f>IF(Table2[[#This Row],[Qty available]]&gt;Table2[[#This Row],[Qty on hand]],"Check","OK")</f>
        <v>OK</v>
      </c>
    </row>
    <row r="997" spans="1:24" x14ac:dyDescent="0.3">
      <c r="A997" t="s">
        <v>143</v>
      </c>
      <c r="B997" t="s">
        <v>144</v>
      </c>
      <c r="C997" t="s">
        <v>25</v>
      </c>
      <c r="D997" t="s">
        <v>26</v>
      </c>
      <c r="E997" t="s">
        <v>27</v>
      </c>
      <c r="F997" s="1" t="s">
        <v>40</v>
      </c>
      <c r="G997" s="2">
        <v>298.62</v>
      </c>
      <c r="H997">
        <v>298.62</v>
      </c>
      <c r="I997">
        <v>295.12396799999999</v>
      </c>
      <c r="J997">
        <v>415.27</v>
      </c>
      <c r="K997">
        <v>32</v>
      </c>
      <c r="L997" s="2">
        <v>28</v>
      </c>
      <c r="M997">
        <v>20</v>
      </c>
      <c r="N997" s="2">
        <v>63</v>
      </c>
      <c r="O997">
        <v>18592.810000000001</v>
      </c>
      <c r="P997">
        <v>9</v>
      </c>
      <c r="Q997">
        <v>54</v>
      </c>
      <c r="R997">
        <v>11.34</v>
      </c>
      <c r="S997">
        <v>8</v>
      </c>
      <c r="T997">
        <v>26</v>
      </c>
      <c r="U997" s="2">
        <v>10797.02</v>
      </c>
      <c r="V997">
        <v>0</v>
      </c>
      <c r="W997" t="s">
        <v>29</v>
      </c>
      <c r="X997" t="str">
        <f>IF(Table2[[#This Row],[Qty available]]&gt;Table2[[#This Row],[Qty on hand]],"Check","OK")</f>
        <v>OK</v>
      </c>
    </row>
    <row r="998" spans="1:24" x14ac:dyDescent="0.3">
      <c r="A998" t="s">
        <v>143</v>
      </c>
      <c r="B998" t="s">
        <v>144</v>
      </c>
      <c r="C998" t="s">
        <v>25</v>
      </c>
      <c r="D998" t="s">
        <v>26</v>
      </c>
      <c r="E998" t="s">
        <v>27</v>
      </c>
      <c r="F998" s="1" t="s">
        <v>41</v>
      </c>
      <c r="G998" s="2">
        <v>289.91000000000003</v>
      </c>
      <c r="H998">
        <v>289.91000000000003</v>
      </c>
      <c r="I998">
        <v>295.123898</v>
      </c>
      <c r="J998">
        <v>415.27</v>
      </c>
      <c r="K998">
        <v>32</v>
      </c>
      <c r="M998">
        <v>0</v>
      </c>
      <c r="N998" s="2">
        <v>59</v>
      </c>
      <c r="O998">
        <v>17412.310000000001</v>
      </c>
      <c r="P998">
        <v>2</v>
      </c>
      <c r="Q998">
        <v>57</v>
      </c>
      <c r="R998">
        <v>12.71</v>
      </c>
      <c r="S998">
        <v>14</v>
      </c>
      <c r="T998">
        <v>4</v>
      </c>
      <c r="U998" s="2">
        <v>1661.08</v>
      </c>
      <c r="V998">
        <v>0</v>
      </c>
      <c r="W998" t="s">
        <v>29</v>
      </c>
      <c r="X998" t="str">
        <f>IF(Table2[[#This Row],[Qty available]]&gt;Table2[[#This Row],[Qty on hand]],"Check","OK")</f>
        <v>OK</v>
      </c>
    </row>
    <row r="999" spans="1:24" x14ac:dyDescent="0.3">
      <c r="A999" t="s">
        <v>143</v>
      </c>
      <c r="B999" t="s">
        <v>144</v>
      </c>
      <c r="C999" t="s">
        <v>25</v>
      </c>
      <c r="D999" t="s">
        <v>26</v>
      </c>
      <c r="E999" t="s">
        <v>27</v>
      </c>
      <c r="F999" s="1" t="s">
        <v>42</v>
      </c>
      <c r="G999" s="2">
        <v>299.67</v>
      </c>
      <c r="H999">
        <v>299.67</v>
      </c>
      <c r="I999">
        <v>295.12392899999998</v>
      </c>
      <c r="J999">
        <v>415.27</v>
      </c>
      <c r="K999">
        <v>32</v>
      </c>
      <c r="M999">
        <v>0</v>
      </c>
      <c r="N999" s="2">
        <v>28</v>
      </c>
      <c r="O999">
        <v>8263.4699999999993</v>
      </c>
      <c r="P999">
        <v>8</v>
      </c>
      <c r="Q999">
        <v>20</v>
      </c>
      <c r="R999">
        <v>6.03</v>
      </c>
      <c r="S999">
        <v>7</v>
      </c>
      <c r="T999">
        <v>31</v>
      </c>
      <c r="U999" s="2">
        <v>12873.37</v>
      </c>
      <c r="V999">
        <v>0</v>
      </c>
      <c r="W999" t="s">
        <v>29</v>
      </c>
      <c r="X999" t="str">
        <f>IF(Table2[[#This Row],[Qty available]]&gt;Table2[[#This Row],[Qty on hand]],"Check","OK")</f>
        <v>OK</v>
      </c>
    </row>
    <row r="1000" spans="1:24" x14ac:dyDescent="0.3">
      <c r="A1000" t="s">
        <v>143</v>
      </c>
      <c r="B1000" t="s">
        <v>144</v>
      </c>
      <c r="C1000" t="s">
        <v>25</v>
      </c>
      <c r="D1000" t="s">
        <v>26</v>
      </c>
      <c r="E1000" t="s">
        <v>27</v>
      </c>
      <c r="F1000" s="1" t="s">
        <v>43</v>
      </c>
      <c r="G1000" s="2">
        <v>293.98</v>
      </c>
      <c r="H1000">
        <v>293.98</v>
      </c>
      <c r="I1000">
        <v>294.32804900000002</v>
      </c>
      <c r="J1000">
        <v>415.27</v>
      </c>
      <c r="K1000">
        <v>32</v>
      </c>
      <c r="L1000" s="2">
        <v>29</v>
      </c>
      <c r="M1000">
        <v>64</v>
      </c>
      <c r="N1000" s="2">
        <v>41</v>
      </c>
      <c r="O1000">
        <v>12067.45</v>
      </c>
      <c r="P1000">
        <v>3</v>
      </c>
      <c r="Q1000">
        <v>38</v>
      </c>
      <c r="R1000">
        <v>6.2</v>
      </c>
      <c r="S1000">
        <v>4</v>
      </c>
      <c r="T1000">
        <v>51</v>
      </c>
      <c r="U1000" s="2">
        <v>21178.77</v>
      </c>
      <c r="V1000">
        <v>0</v>
      </c>
      <c r="W1000" t="s">
        <v>29</v>
      </c>
      <c r="X1000" t="str">
        <f>IF(Table2[[#This Row],[Qty available]]&gt;Table2[[#This Row],[Qty on hand]],"Check","OK")</f>
        <v>OK</v>
      </c>
    </row>
    <row r="1001" spans="1:24" x14ac:dyDescent="0.3">
      <c r="A1001" t="s">
        <v>143</v>
      </c>
      <c r="B1001" t="s">
        <v>144</v>
      </c>
      <c r="C1001" t="s">
        <v>25</v>
      </c>
      <c r="D1001" t="s">
        <v>26</v>
      </c>
      <c r="E1001" t="s">
        <v>27</v>
      </c>
      <c r="F1001" s="1" t="s">
        <v>44</v>
      </c>
      <c r="G1001" s="2">
        <v>295.93</v>
      </c>
      <c r="H1001">
        <v>295.93</v>
      </c>
      <c r="I1001">
        <v>294.32818200000003</v>
      </c>
      <c r="J1001">
        <v>415.27</v>
      </c>
      <c r="K1001">
        <v>32</v>
      </c>
      <c r="M1001">
        <v>0</v>
      </c>
      <c r="N1001" s="2">
        <v>11</v>
      </c>
      <c r="O1001">
        <v>3237.61</v>
      </c>
      <c r="P1001">
        <v>2</v>
      </c>
      <c r="Q1001">
        <v>9</v>
      </c>
      <c r="R1001">
        <v>1.29</v>
      </c>
      <c r="S1001">
        <v>0</v>
      </c>
      <c r="T1001">
        <v>30</v>
      </c>
      <c r="U1001" s="2">
        <v>12458.1</v>
      </c>
      <c r="V1001">
        <v>0</v>
      </c>
      <c r="W1001" t="s">
        <v>29</v>
      </c>
      <c r="X1001" t="str">
        <f>IF(Table2[[#This Row],[Qty available]]&gt;Table2[[#This Row],[Qty on hand]],"Check","OK")</f>
        <v>OK</v>
      </c>
    </row>
    <row r="1002" spans="1:24" x14ac:dyDescent="0.3">
      <c r="A1002" t="s">
        <v>143</v>
      </c>
      <c r="B1002" t="s">
        <v>144</v>
      </c>
      <c r="C1002" t="s">
        <v>25</v>
      </c>
      <c r="D1002" t="s">
        <v>26</v>
      </c>
      <c r="E1002" t="s">
        <v>27</v>
      </c>
      <c r="F1002" s="1" t="s">
        <v>45</v>
      </c>
      <c r="G1002" s="2">
        <v>294.48</v>
      </c>
      <c r="H1002">
        <v>294.48</v>
      </c>
      <c r="I1002">
        <v>294.45966099999998</v>
      </c>
      <c r="J1002">
        <v>415.27</v>
      </c>
      <c r="K1002">
        <v>32</v>
      </c>
      <c r="L1002" s="2">
        <v>31</v>
      </c>
      <c r="M1002">
        <v>71</v>
      </c>
      <c r="N1002" s="2">
        <v>59</v>
      </c>
      <c r="O1002">
        <v>17373.12</v>
      </c>
      <c r="P1002">
        <v>3</v>
      </c>
      <c r="Q1002">
        <v>56</v>
      </c>
      <c r="R1002">
        <v>7.46</v>
      </c>
      <c r="S1002">
        <v>1</v>
      </c>
      <c r="T1002">
        <v>23</v>
      </c>
      <c r="U1002" s="2">
        <v>9551.2099999999991</v>
      </c>
      <c r="V1002">
        <v>0</v>
      </c>
      <c r="W1002" t="s">
        <v>29</v>
      </c>
      <c r="X1002" t="str">
        <f>IF(Table2[[#This Row],[Qty available]]&gt;Table2[[#This Row],[Qty on hand]],"Check","OK")</f>
        <v>OK</v>
      </c>
    </row>
    <row r="1003" spans="1:24" x14ac:dyDescent="0.3">
      <c r="A1003" t="s">
        <v>143</v>
      </c>
      <c r="B1003" t="s">
        <v>144</v>
      </c>
      <c r="C1003" t="s">
        <v>25</v>
      </c>
      <c r="D1003" t="s">
        <v>26</v>
      </c>
      <c r="E1003" t="s">
        <v>27</v>
      </c>
      <c r="F1003" s="1" t="s">
        <v>46</v>
      </c>
      <c r="G1003" s="2">
        <v>297.48</v>
      </c>
      <c r="H1003">
        <v>297.48</v>
      </c>
      <c r="I1003">
        <v>295.22428600000001</v>
      </c>
      <c r="J1003">
        <v>432.94</v>
      </c>
      <c r="K1003">
        <v>32</v>
      </c>
      <c r="L1003" s="2">
        <v>28</v>
      </c>
      <c r="M1003">
        <v>20</v>
      </c>
      <c r="N1003" s="2">
        <v>56</v>
      </c>
      <c r="O1003">
        <v>16532.560000000001</v>
      </c>
      <c r="P1003">
        <v>5</v>
      </c>
      <c r="Q1003">
        <v>51</v>
      </c>
      <c r="R1003">
        <v>9.4700000000000006</v>
      </c>
      <c r="S1003">
        <v>2</v>
      </c>
      <c r="T1003">
        <v>23</v>
      </c>
      <c r="U1003" s="2">
        <v>9957.6200000000008</v>
      </c>
      <c r="V1003">
        <v>0</v>
      </c>
      <c r="W1003" t="s">
        <v>29</v>
      </c>
      <c r="X1003" t="str">
        <f>IF(Table2[[#This Row],[Qty available]]&gt;Table2[[#This Row],[Qty on hand]],"Check","OK")</f>
        <v>OK</v>
      </c>
    </row>
    <row r="1004" spans="1:24" x14ac:dyDescent="0.3">
      <c r="A1004" t="s">
        <v>143</v>
      </c>
      <c r="B1004" t="s">
        <v>144</v>
      </c>
      <c r="C1004" t="s">
        <v>25</v>
      </c>
      <c r="D1004" t="s">
        <v>26</v>
      </c>
      <c r="E1004" t="s">
        <v>27</v>
      </c>
      <c r="F1004" s="1" t="s">
        <v>47</v>
      </c>
      <c r="G1004" s="2">
        <v>295.95999999999998</v>
      </c>
      <c r="H1004">
        <v>295.95999999999998</v>
      </c>
      <c r="I1004">
        <v>295.22428600000001</v>
      </c>
      <c r="J1004">
        <v>432.94</v>
      </c>
      <c r="K1004">
        <v>32</v>
      </c>
      <c r="M1004">
        <v>0</v>
      </c>
      <c r="N1004" s="2">
        <v>14</v>
      </c>
      <c r="O1004">
        <v>4133.1400000000003</v>
      </c>
      <c r="P1004">
        <v>5</v>
      </c>
      <c r="Q1004">
        <v>9</v>
      </c>
      <c r="R1004">
        <v>2.0499999999999998</v>
      </c>
      <c r="S1004">
        <v>2</v>
      </c>
      <c r="T1004">
        <v>42</v>
      </c>
      <c r="U1004" s="2">
        <v>18183.48</v>
      </c>
      <c r="V1004">
        <v>0</v>
      </c>
      <c r="W1004" t="s">
        <v>29</v>
      </c>
      <c r="X1004" t="str">
        <f>IF(Table2[[#This Row],[Qty available]]&gt;Table2[[#This Row],[Qty on hand]],"Check","OK")</f>
        <v>OK</v>
      </c>
    </row>
    <row r="1005" spans="1:24" x14ac:dyDescent="0.3">
      <c r="A1005" t="s">
        <v>143</v>
      </c>
      <c r="B1005" t="s">
        <v>144</v>
      </c>
      <c r="C1005" t="s">
        <v>25</v>
      </c>
      <c r="D1005" t="s">
        <v>26</v>
      </c>
      <c r="E1005" t="s">
        <v>27</v>
      </c>
      <c r="F1005" s="1" t="s">
        <v>48</v>
      </c>
      <c r="G1005" s="2">
        <v>304.08</v>
      </c>
      <c r="H1005">
        <v>304.08</v>
      </c>
      <c r="I1005">
        <v>300.43363599999998</v>
      </c>
      <c r="J1005">
        <v>432.94</v>
      </c>
      <c r="K1005">
        <v>32</v>
      </c>
      <c r="L1005" s="2">
        <v>32</v>
      </c>
      <c r="M1005">
        <v>20</v>
      </c>
      <c r="N1005" s="2">
        <v>11</v>
      </c>
      <c r="O1005">
        <v>3304.77</v>
      </c>
      <c r="P1005">
        <v>5</v>
      </c>
      <c r="Q1005">
        <v>6</v>
      </c>
      <c r="R1005">
        <v>1.59</v>
      </c>
      <c r="S1005">
        <v>2</v>
      </c>
      <c r="T1005">
        <v>23</v>
      </c>
      <c r="U1005" s="2">
        <v>9957.6200000000008</v>
      </c>
      <c r="V1005">
        <v>0</v>
      </c>
      <c r="W1005" t="s">
        <v>29</v>
      </c>
      <c r="X1005" t="str">
        <f>IF(Table2[[#This Row],[Qty available]]&gt;Table2[[#This Row],[Qty on hand]],"Check","OK")</f>
        <v>OK</v>
      </c>
    </row>
    <row r="1006" spans="1:24" x14ac:dyDescent="0.3">
      <c r="A1006" t="s">
        <v>143</v>
      </c>
      <c r="B1006" t="s">
        <v>144</v>
      </c>
      <c r="C1006" t="s">
        <v>25</v>
      </c>
      <c r="D1006" t="s">
        <v>26</v>
      </c>
      <c r="E1006" t="s">
        <v>27</v>
      </c>
      <c r="F1006" s="1" t="s">
        <v>49</v>
      </c>
      <c r="G1006" s="2">
        <v>300.27999999999997</v>
      </c>
      <c r="H1006">
        <v>300.27999999999997</v>
      </c>
      <c r="I1006">
        <v>300.2962</v>
      </c>
      <c r="J1006">
        <v>432.94</v>
      </c>
      <c r="K1006">
        <v>32</v>
      </c>
      <c r="L1006" s="2">
        <v>28</v>
      </c>
      <c r="M1006">
        <v>93</v>
      </c>
      <c r="N1006" s="2">
        <v>50</v>
      </c>
      <c r="O1006">
        <v>15014.81</v>
      </c>
      <c r="P1006">
        <v>8</v>
      </c>
      <c r="Q1006">
        <v>42</v>
      </c>
      <c r="R1006">
        <v>5.52</v>
      </c>
      <c r="S1006">
        <v>2</v>
      </c>
      <c r="T1006">
        <v>54</v>
      </c>
      <c r="U1006" s="2">
        <v>23378.76</v>
      </c>
      <c r="V1006">
        <v>0</v>
      </c>
      <c r="W1006" t="s">
        <v>29</v>
      </c>
      <c r="X1006" t="str">
        <f>IF(Table2[[#This Row],[Qty available]]&gt;Table2[[#This Row],[Qty on hand]],"Check","OK")</f>
        <v>OK</v>
      </c>
    </row>
    <row r="1007" spans="1:24" x14ac:dyDescent="0.3">
      <c r="A1007" t="s">
        <v>143</v>
      </c>
      <c r="B1007" t="s">
        <v>144</v>
      </c>
      <c r="C1007" t="s">
        <v>25</v>
      </c>
      <c r="D1007" t="s">
        <v>26</v>
      </c>
      <c r="E1007" t="s">
        <v>27</v>
      </c>
      <c r="F1007" s="1" t="s">
        <v>50</v>
      </c>
      <c r="G1007" s="2">
        <v>300.11</v>
      </c>
      <c r="H1007">
        <v>300.11</v>
      </c>
      <c r="I1007">
        <v>300.29624999999999</v>
      </c>
      <c r="J1007">
        <v>432.94</v>
      </c>
      <c r="K1007">
        <v>32</v>
      </c>
      <c r="M1007">
        <v>0</v>
      </c>
      <c r="N1007" s="2">
        <v>32</v>
      </c>
      <c r="O1007">
        <v>9609.48</v>
      </c>
      <c r="P1007">
        <v>5</v>
      </c>
      <c r="Q1007">
        <v>27</v>
      </c>
      <c r="R1007">
        <v>4.38</v>
      </c>
      <c r="S1007">
        <v>4</v>
      </c>
      <c r="T1007">
        <v>18</v>
      </c>
      <c r="U1007" s="2">
        <v>7792.92</v>
      </c>
      <c r="V1007">
        <v>0</v>
      </c>
      <c r="W1007" t="s">
        <v>29</v>
      </c>
      <c r="X1007" t="str">
        <f>IF(Table2[[#This Row],[Qty available]]&gt;Table2[[#This Row],[Qty on hand]],"Check","OK")</f>
        <v>OK</v>
      </c>
    </row>
    <row r="1008" spans="1:24" x14ac:dyDescent="0.3">
      <c r="A1008" t="s">
        <v>143</v>
      </c>
      <c r="B1008" t="s">
        <v>144</v>
      </c>
      <c r="C1008" t="s">
        <v>25</v>
      </c>
      <c r="D1008" t="s">
        <v>26</v>
      </c>
      <c r="E1008" t="s">
        <v>27</v>
      </c>
      <c r="F1008" s="1" t="s">
        <v>51</v>
      </c>
      <c r="G1008" s="2">
        <v>299.38</v>
      </c>
      <c r="H1008">
        <v>299.38</v>
      </c>
      <c r="I1008">
        <v>299.63057099999997</v>
      </c>
      <c r="J1008">
        <v>432.94</v>
      </c>
      <c r="K1008">
        <v>32</v>
      </c>
      <c r="L1008" s="2">
        <v>31</v>
      </c>
      <c r="M1008">
        <v>85</v>
      </c>
      <c r="N1008" s="2">
        <v>105</v>
      </c>
      <c r="O1008">
        <v>31461.21</v>
      </c>
      <c r="P1008">
        <v>8</v>
      </c>
      <c r="Q1008">
        <v>97</v>
      </c>
      <c r="R1008">
        <v>16.43</v>
      </c>
      <c r="S1008">
        <v>2</v>
      </c>
      <c r="T1008">
        <v>12</v>
      </c>
      <c r="U1008" s="2">
        <v>5195.28</v>
      </c>
      <c r="V1008">
        <v>0</v>
      </c>
      <c r="W1008" t="s">
        <v>29</v>
      </c>
      <c r="X1008" t="str">
        <f>IF(Table2[[#This Row],[Qty available]]&gt;Table2[[#This Row],[Qty on hand]],"Check","OK")</f>
        <v>OK</v>
      </c>
    </row>
    <row r="1009" spans="1:24" x14ac:dyDescent="0.3">
      <c r="A1009" t="s">
        <v>143</v>
      </c>
      <c r="B1009" t="s">
        <v>144</v>
      </c>
      <c r="C1009" t="s">
        <v>25</v>
      </c>
      <c r="D1009" t="s">
        <v>26</v>
      </c>
      <c r="E1009" t="s">
        <v>27</v>
      </c>
      <c r="F1009" s="1" t="s">
        <v>52</v>
      </c>
      <c r="G1009" s="2">
        <v>303.64</v>
      </c>
      <c r="H1009">
        <v>303.64</v>
      </c>
      <c r="I1009">
        <v>299.63057099999997</v>
      </c>
      <c r="J1009">
        <v>432.94</v>
      </c>
      <c r="K1009">
        <v>32</v>
      </c>
      <c r="M1009">
        <v>0</v>
      </c>
      <c r="N1009" s="2">
        <v>70</v>
      </c>
      <c r="O1009">
        <v>20974.14</v>
      </c>
      <c r="P1009">
        <v>4</v>
      </c>
      <c r="Q1009">
        <v>66</v>
      </c>
      <c r="R1009">
        <v>14.15</v>
      </c>
      <c r="S1009">
        <v>0</v>
      </c>
      <c r="T1009">
        <v>35</v>
      </c>
      <c r="U1009" s="2">
        <v>15152.9</v>
      </c>
      <c r="V1009">
        <v>0</v>
      </c>
      <c r="W1009" t="s">
        <v>29</v>
      </c>
      <c r="X1009" t="str">
        <f>IF(Table2[[#This Row],[Qty available]]&gt;Table2[[#This Row],[Qty on hand]],"Check","OK")</f>
        <v>OK</v>
      </c>
    </row>
    <row r="1010" spans="1:24" x14ac:dyDescent="0.3">
      <c r="A1010" t="s">
        <v>145</v>
      </c>
      <c r="B1010" t="s">
        <v>146</v>
      </c>
      <c r="C1010" t="s">
        <v>77</v>
      </c>
      <c r="D1010" t="s">
        <v>78</v>
      </c>
      <c r="E1010" t="s">
        <v>66</v>
      </c>
      <c r="F1010" s="1" t="s">
        <v>28</v>
      </c>
      <c r="G1010" s="2">
        <v>3.21</v>
      </c>
      <c r="H1010">
        <v>3.21</v>
      </c>
      <c r="I1010">
        <v>3.242915</v>
      </c>
      <c r="J1010">
        <v>4.3899999999999997</v>
      </c>
      <c r="K1010">
        <v>22</v>
      </c>
      <c r="L1010" s="2">
        <v>19</v>
      </c>
      <c r="M1010">
        <v>2135</v>
      </c>
      <c r="N1010" s="2">
        <v>3369</v>
      </c>
      <c r="O1010">
        <v>10925.38</v>
      </c>
      <c r="P1010">
        <v>215</v>
      </c>
      <c r="Q1010">
        <v>3154</v>
      </c>
      <c r="R1010">
        <v>14.81</v>
      </c>
      <c r="S1010">
        <v>2</v>
      </c>
      <c r="T1010">
        <v>547</v>
      </c>
      <c r="U1010" s="2">
        <v>2401.33</v>
      </c>
      <c r="V1010">
        <v>0</v>
      </c>
      <c r="W1010" t="s">
        <v>29</v>
      </c>
      <c r="X1010" t="str">
        <f>IF(Table2[[#This Row],[Qty available]]&gt;Table2[[#This Row],[Qty on hand]],"Check","OK")</f>
        <v>OK</v>
      </c>
    </row>
    <row r="1011" spans="1:24" x14ac:dyDescent="0.3">
      <c r="A1011" t="s">
        <v>145</v>
      </c>
      <c r="B1011" t="s">
        <v>146</v>
      </c>
      <c r="C1011" t="s">
        <v>77</v>
      </c>
      <c r="D1011" t="s">
        <v>78</v>
      </c>
      <c r="E1011" t="s">
        <v>66</v>
      </c>
      <c r="F1011" s="1" t="s">
        <v>30</v>
      </c>
      <c r="G1011" s="2">
        <v>3.32</v>
      </c>
      <c r="H1011">
        <v>3.32</v>
      </c>
      <c r="I1011">
        <v>3.2500559999999998</v>
      </c>
      <c r="J1011">
        <v>4.3899999999999997</v>
      </c>
      <c r="K1011">
        <v>22</v>
      </c>
      <c r="L1011" s="2">
        <v>20</v>
      </c>
      <c r="M1011">
        <v>344</v>
      </c>
      <c r="N1011" s="2">
        <v>2658</v>
      </c>
      <c r="O1011">
        <v>8638.65</v>
      </c>
      <c r="P1011">
        <v>359</v>
      </c>
      <c r="Q1011">
        <v>2299</v>
      </c>
      <c r="R1011">
        <v>10.49</v>
      </c>
      <c r="S1011">
        <v>0</v>
      </c>
      <c r="T1011">
        <v>1055</v>
      </c>
      <c r="U1011" s="2">
        <v>4631.45</v>
      </c>
      <c r="V1011">
        <v>0</v>
      </c>
      <c r="W1011" t="s">
        <v>29</v>
      </c>
      <c r="X1011" t="str">
        <f>IF(Table2[[#This Row],[Qty available]]&gt;Table2[[#This Row],[Qty on hand]],"Check","OK")</f>
        <v>OK</v>
      </c>
    </row>
    <row r="1012" spans="1:24" x14ac:dyDescent="0.3">
      <c r="A1012" t="s">
        <v>145</v>
      </c>
      <c r="B1012" t="s">
        <v>146</v>
      </c>
      <c r="C1012" t="s">
        <v>77</v>
      </c>
      <c r="D1012" t="s">
        <v>78</v>
      </c>
      <c r="E1012" t="s">
        <v>66</v>
      </c>
      <c r="F1012" s="1" t="s">
        <v>31</v>
      </c>
      <c r="G1012" s="2">
        <v>3.21</v>
      </c>
      <c r="H1012">
        <v>3.21</v>
      </c>
      <c r="I1012">
        <v>3.2500640000000001</v>
      </c>
      <c r="J1012">
        <v>4.3899999999999997</v>
      </c>
      <c r="K1012">
        <v>22</v>
      </c>
      <c r="M1012">
        <v>0</v>
      </c>
      <c r="N1012" s="2">
        <v>467</v>
      </c>
      <c r="O1012">
        <v>1517.78</v>
      </c>
      <c r="P1012">
        <v>108</v>
      </c>
      <c r="Q1012">
        <v>359</v>
      </c>
      <c r="R1012">
        <v>1.6</v>
      </c>
      <c r="S1012">
        <v>0</v>
      </c>
      <c r="T1012">
        <v>2191</v>
      </c>
      <c r="U1012" s="2">
        <v>9618.49</v>
      </c>
      <c r="V1012">
        <v>0</v>
      </c>
      <c r="W1012" t="s">
        <v>29</v>
      </c>
      <c r="X1012" t="str">
        <f>IF(Table2[[#This Row],[Qty available]]&gt;Table2[[#This Row],[Qty on hand]],"Check","OK")</f>
        <v>OK</v>
      </c>
    </row>
    <row r="1013" spans="1:24" x14ac:dyDescent="0.3">
      <c r="A1013" t="s">
        <v>145</v>
      </c>
      <c r="B1013" t="s">
        <v>146</v>
      </c>
      <c r="C1013" t="s">
        <v>77</v>
      </c>
      <c r="D1013" t="s">
        <v>78</v>
      </c>
      <c r="E1013" t="s">
        <v>66</v>
      </c>
      <c r="F1013" s="1" t="s">
        <v>32</v>
      </c>
      <c r="G1013" s="2">
        <v>3.23</v>
      </c>
      <c r="H1013">
        <v>3.23</v>
      </c>
      <c r="I1013">
        <v>3.2453099999999999</v>
      </c>
      <c r="J1013">
        <v>4.3899999999999997</v>
      </c>
      <c r="K1013">
        <v>22</v>
      </c>
      <c r="L1013" s="2">
        <v>38</v>
      </c>
      <c r="M1013">
        <v>145</v>
      </c>
      <c r="N1013" s="2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612</v>
      </c>
      <c r="U1013" s="2">
        <v>2686.68</v>
      </c>
      <c r="V1013">
        <v>1048</v>
      </c>
      <c r="W1013" t="s">
        <v>59</v>
      </c>
      <c r="X1013" t="str">
        <f>IF(Table2[[#This Row],[Qty available]]&gt;Table2[[#This Row],[Qty on hand]],"Check","OK")</f>
        <v>OK</v>
      </c>
    </row>
    <row r="1014" spans="1:24" x14ac:dyDescent="0.3">
      <c r="A1014" t="s">
        <v>145</v>
      </c>
      <c r="B1014" t="s">
        <v>146</v>
      </c>
      <c r="C1014" t="s">
        <v>77</v>
      </c>
      <c r="D1014" t="s">
        <v>78</v>
      </c>
      <c r="E1014" t="s">
        <v>66</v>
      </c>
      <c r="F1014" s="1" t="s">
        <v>33</v>
      </c>
      <c r="G1014" s="2">
        <v>3.23</v>
      </c>
      <c r="H1014">
        <v>3.23</v>
      </c>
      <c r="I1014">
        <v>3.23</v>
      </c>
      <c r="J1014">
        <v>4.3899999999999997</v>
      </c>
      <c r="K1014">
        <v>22</v>
      </c>
      <c r="L1014" s="2">
        <v>21</v>
      </c>
      <c r="M1014">
        <v>2953</v>
      </c>
      <c r="N1014" s="2">
        <v>1512</v>
      </c>
      <c r="O1014">
        <v>4883.76</v>
      </c>
      <c r="P1014">
        <v>359</v>
      </c>
      <c r="Q1014">
        <v>1153</v>
      </c>
      <c r="R1014">
        <v>4.68</v>
      </c>
      <c r="S1014">
        <v>0</v>
      </c>
      <c r="T1014">
        <v>1441</v>
      </c>
      <c r="U1014" s="2">
        <v>6325.99</v>
      </c>
      <c r="V1014">
        <v>0</v>
      </c>
      <c r="W1014" t="s">
        <v>29</v>
      </c>
      <c r="X1014" t="str">
        <f>IF(Table2[[#This Row],[Qty available]]&gt;Table2[[#This Row],[Qty on hand]],"Check","OK")</f>
        <v>OK</v>
      </c>
    </row>
    <row r="1015" spans="1:24" x14ac:dyDescent="0.3">
      <c r="A1015" t="s">
        <v>145</v>
      </c>
      <c r="B1015" t="s">
        <v>146</v>
      </c>
      <c r="C1015" t="s">
        <v>77</v>
      </c>
      <c r="D1015" t="s">
        <v>78</v>
      </c>
      <c r="E1015" t="s">
        <v>66</v>
      </c>
      <c r="F1015" s="1" t="s">
        <v>34</v>
      </c>
      <c r="G1015" s="2">
        <v>3.33</v>
      </c>
      <c r="H1015">
        <v>3.33</v>
      </c>
      <c r="I1015">
        <v>3.2822300000000002</v>
      </c>
      <c r="J1015">
        <v>4.5999999999999996</v>
      </c>
      <c r="K1015">
        <v>22</v>
      </c>
      <c r="L1015" s="2">
        <v>21</v>
      </c>
      <c r="M1015">
        <v>1653</v>
      </c>
      <c r="N1015" s="2">
        <v>1749</v>
      </c>
      <c r="O1015">
        <v>5740.62</v>
      </c>
      <c r="P1015">
        <v>144</v>
      </c>
      <c r="Q1015">
        <v>1605</v>
      </c>
      <c r="R1015">
        <v>6.48</v>
      </c>
      <c r="S1015">
        <v>0</v>
      </c>
      <c r="T1015">
        <v>1416</v>
      </c>
      <c r="U1015" s="2">
        <v>6513.6</v>
      </c>
      <c r="V1015">
        <v>0</v>
      </c>
      <c r="W1015" t="s">
        <v>29</v>
      </c>
      <c r="X1015" t="str">
        <f>IF(Table2[[#This Row],[Qty available]]&gt;Table2[[#This Row],[Qty on hand]],"Check","OK")</f>
        <v>OK</v>
      </c>
    </row>
    <row r="1016" spans="1:24" x14ac:dyDescent="0.3">
      <c r="A1016" t="s">
        <v>145</v>
      </c>
      <c r="B1016" t="s">
        <v>146</v>
      </c>
      <c r="C1016" t="s">
        <v>77</v>
      </c>
      <c r="D1016" t="s">
        <v>78</v>
      </c>
      <c r="E1016" t="s">
        <v>66</v>
      </c>
      <c r="F1016" s="1" t="s">
        <v>35</v>
      </c>
      <c r="G1016" s="2">
        <v>3.46</v>
      </c>
      <c r="H1016">
        <v>3.46</v>
      </c>
      <c r="I1016">
        <v>3.3835500000000001</v>
      </c>
      <c r="J1016">
        <v>4.5999999999999996</v>
      </c>
      <c r="K1016">
        <v>22</v>
      </c>
      <c r="L1016" s="2">
        <v>21</v>
      </c>
      <c r="M1016">
        <v>2318</v>
      </c>
      <c r="N1016" s="2">
        <v>2882</v>
      </c>
      <c r="O1016">
        <v>9751.39</v>
      </c>
      <c r="P1016">
        <v>287</v>
      </c>
      <c r="Q1016">
        <v>2595</v>
      </c>
      <c r="R1016">
        <v>9.17</v>
      </c>
      <c r="S1016">
        <v>0</v>
      </c>
      <c r="T1016">
        <v>1185</v>
      </c>
      <c r="U1016" s="2">
        <v>5451</v>
      </c>
      <c r="V1016">
        <v>0</v>
      </c>
      <c r="W1016" t="s">
        <v>29</v>
      </c>
      <c r="X1016" t="str">
        <f>IF(Table2[[#This Row],[Qty available]]&gt;Table2[[#This Row],[Qty on hand]],"Check","OK")</f>
        <v>OK</v>
      </c>
    </row>
    <row r="1017" spans="1:24" x14ac:dyDescent="0.3">
      <c r="A1017" t="s">
        <v>145</v>
      </c>
      <c r="B1017" t="s">
        <v>146</v>
      </c>
      <c r="C1017" t="s">
        <v>77</v>
      </c>
      <c r="D1017" t="s">
        <v>78</v>
      </c>
      <c r="E1017" t="s">
        <v>66</v>
      </c>
      <c r="F1017" s="1" t="s">
        <v>36</v>
      </c>
      <c r="G1017" s="2">
        <v>3.46</v>
      </c>
      <c r="H1017">
        <v>3.46</v>
      </c>
      <c r="I1017">
        <v>3.3835489999999999</v>
      </c>
      <c r="J1017">
        <v>4.5999999999999996</v>
      </c>
      <c r="K1017">
        <v>22</v>
      </c>
      <c r="M1017">
        <v>0</v>
      </c>
      <c r="N1017" s="2">
        <v>2068</v>
      </c>
      <c r="O1017">
        <v>6997.18</v>
      </c>
      <c r="P1017">
        <v>323</v>
      </c>
      <c r="Q1017">
        <v>1745</v>
      </c>
      <c r="R1017">
        <v>7.7</v>
      </c>
      <c r="S1017">
        <v>0</v>
      </c>
      <c r="T1017">
        <v>814</v>
      </c>
      <c r="U1017" s="2">
        <v>3744.4</v>
      </c>
      <c r="V1017">
        <v>0</v>
      </c>
      <c r="W1017" t="s">
        <v>29</v>
      </c>
      <c r="X1017" t="str">
        <f>IF(Table2[[#This Row],[Qty available]]&gt;Table2[[#This Row],[Qty on hand]],"Check","OK")</f>
        <v>OK</v>
      </c>
    </row>
    <row r="1018" spans="1:24" x14ac:dyDescent="0.3">
      <c r="A1018" t="s">
        <v>145</v>
      </c>
      <c r="B1018" t="s">
        <v>146</v>
      </c>
      <c r="C1018" t="s">
        <v>77</v>
      </c>
      <c r="D1018" t="s">
        <v>78</v>
      </c>
      <c r="E1018" t="s">
        <v>66</v>
      </c>
      <c r="F1018" s="1" t="s">
        <v>37</v>
      </c>
      <c r="G1018" s="2">
        <v>3.42</v>
      </c>
      <c r="H1018">
        <v>3.42</v>
      </c>
      <c r="I1018">
        <v>3.3912059999999999</v>
      </c>
      <c r="J1018">
        <v>4.5999999999999996</v>
      </c>
      <c r="K1018">
        <v>22</v>
      </c>
      <c r="L1018" s="2">
        <v>20</v>
      </c>
      <c r="M1018">
        <v>550</v>
      </c>
      <c r="N1018" s="2">
        <v>929</v>
      </c>
      <c r="O1018">
        <v>3150.43</v>
      </c>
      <c r="P1018">
        <v>215</v>
      </c>
      <c r="Q1018">
        <v>714</v>
      </c>
      <c r="R1018">
        <v>3.31</v>
      </c>
      <c r="S1018">
        <v>0</v>
      </c>
      <c r="T1018">
        <v>1689</v>
      </c>
      <c r="U1018" s="2">
        <v>7769.4</v>
      </c>
      <c r="V1018">
        <v>0</v>
      </c>
      <c r="W1018" t="s">
        <v>29</v>
      </c>
      <c r="X1018" t="str">
        <f>IF(Table2[[#This Row],[Qty available]]&gt;Table2[[#This Row],[Qty on hand]],"Check","OK")</f>
        <v>OK</v>
      </c>
    </row>
    <row r="1019" spans="1:24" x14ac:dyDescent="0.3">
      <c r="A1019" t="s">
        <v>145</v>
      </c>
      <c r="B1019" t="s">
        <v>146</v>
      </c>
      <c r="C1019" t="s">
        <v>77</v>
      </c>
      <c r="D1019" t="s">
        <v>78</v>
      </c>
      <c r="E1019" t="s">
        <v>66</v>
      </c>
      <c r="F1019" s="1" t="s">
        <v>38</v>
      </c>
      <c r="G1019" s="2">
        <v>3.46</v>
      </c>
      <c r="H1019">
        <v>3.46</v>
      </c>
      <c r="I1019">
        <v>3.4332919999999998</v>
      </c>
      <c r="J1019">
        <v>4.5999999999999996</v>
      </c>
      <c r="K1019">
        <v>22</v>
      </c>
      <c r="L1019" s="2">
        <v>21</v>
      </c>
      <c r="M1019">
        <v>1464</v>
      </c>
      <c r="N1019" s="2">
        <v>1917</v>
      </c>
      <c r="O1019">
        <v>6581.62</v>
      </c>
      <c r="P1019">
        <v>323</v>
      </c>
      <c r="Q1019">
        <v>1594</v>
      </c>
      <c r="R1019">
        <v>8.3699999999999992</v>
      </c>
      <c r="S1019">
        <v>0</v>
      </c>
      <c r="T1019">
        <v>476</v>
      </c>
      <c r="U1019" s="2">
        <v>2189.6</v>
      </c>
      <c r="V1019">
        <v>0</v>
      </c>
      <c r="W1019" t="s">
        <v>29</v>
      </c>
      <c r="X1019" t="str">
        <f>IF(Table2[[#This Row],[Qty available]]&gt;Table2[[#This Row],[Qty on hand]],"Check","OK")</f>
        <v>OK</v>
      </c>
    </row>
    <row r="1020" spans="1:24" x14ac:dyDescent="0.3">
      <c r="A1020" t="s">
        <v>145</v>
      </c>
      <c r="B1020" t="s">
        <v>146</v>
      </c>
      <c r="C1020" t="s">
        <v>77</v>
      </c>
      <c r="D1020" t="s">
        <v>78</v>
      </c>
      <c r="E1020" t="s">
        <v>66</v>
      </c>
      <c r="F1020" s="1" t="s">
        <v>39</v>
      </c>
      <c r="G1020" s="2">
        <v>3.45</v>
      </c>
      <c r="H1020">
        <v>3.45</v>
      </c>
      <c r="I1020">
        <v>3.4426060000000001</v>
      </c>
      <c r="J1020">
        <v>4.5999999999999996</v>
      </c>
      <c r="K1020">
        <v>22</v>
      </c>
      <c r="L1020" s="2">
        <v>22</v>
      </c>
      <c r="M1020">
        <v>2415</v>
      </c>
      <c r="N1020" s="2">
        <v>3281</v>
      </c>
      <c r="O1020">
        <v>11295.19</v>
      </c>
      <c r="P1020">
        <v>359</v>
      </c>
      <c r="Q1020">
        <v>2922</v>
      </c>
      <c r="R1020">
        <v>13.41</v>
      </c>
      <c r="S1020">
        <v>0</v>
      </c>
      <c r="T1020">
        <v>1051</v>
      </c>
      <c r="U1020" s="2">
        <v>4834.6000000000004</v>
      </c>
      <c r="V1020">
        <v>0</v>
      </c>
      <c r="W1020" t="s">
        <v>29</v>
      </c>
      <c r="X1020" t="str">
        <f>IF(Table2[[#This Row],[Qty available]]&gt;Table2[[#This Row],[Qty on hand]],"Check","OK")</f>
        <v>OK</v>
      </c>
    </row>
    <row r="1021" spans="1:24" x14ac:dyDescent="0.3">
      <c r="A1021" t="s">
        <v>145</v>
      </c>
      <c r="B1021" t="s">
        <v>146</v>
      </c>
      <c r="C1021" t="s">
        <v>77</v>
      </c>
      <c r="D1021" t="s">
        <v>78</v>
      </c>
      <c r="E1021" t="s">
        <v>66</v>
      </c>
      <c r="F1021" s="1" t="s">
        <v>40</v>
      </c>
      <c r="G1021" s="2">
        <v>3.45</v>
      </c>
      <c r="H1021">
        <v>3.45</v>
      </c>
      <c r="I1021">
        <v>3.4442940000000002</v>
      </c>
      <c r="J1021">
        <v>4.5999999999999996</v>
      </c>
      <c r="K1021">
        <v>22</v>
      </c>
      <c r="L1021" s="2">
        <v>21</v>
      </c>
      <c r="M1021">
        <v>971</v>
      </c>
      <c r="N1021" s="2">
        <v>3421</v>
      </c>
      <c r="O1021">
        <v>11782.93</v>
      </c>
      <c r="P1021">
        <v>251</v>
      </c>
      <c r="Q1021">
        <v>3170</v>
      </c>
      <c r="R1021">
        <v>19.07</v>
      </c>
      <c r="S1021">
        <v>0</v>
      </c>
      <c r="T1021">
        <v>831</v>
      </c>
      <c r="U1021" s="2">
        <v>3822.6</v>
      </c>
      <c r="V1021">
        <v>0</v>
      </c>
      <c r="W1021" t="s">
        <v>29</v>
      </c>
      <c r="X1021" t="str">
        <f>IF(Table2[[#This Row],[Qty available]]&gt;Table2[[#This Row],[Qty on hand]],"Check","OK")</f>
        <v>OK</v>
      </c>
    </row>
    <row r="1022" spans="1:24" x14ac:dyDescent="0.3">
      <c r="A1022" t="s">
        <v>145</v>
      </c>
      <c r="B1022" t="s">
        <v>146</v>
      </c>
      <c r="C1022" t="s">
        <v>77</v>
      </c>
      <c r="D1022" t="s">
        <v>78</v>
      </c>
      <c r="E1022" t="s">
        <v>66</v>
      </c>
      <c r="F1022" s="1" t="s">
        <v>41</v>
      </c>
      <c r="G1022" s="2">
        <v>3.49</v>
      </c>
      <c r="H1022">
        <v>3.49</v>
      </c>
      <c r="I1022">
        <v>3.444293</v>
      </c>
      <c r="J1022">
        <v>4.5999999999999996</v>
      </c>
      <c r="K1022">
        <v>22</v>
      </c>
      <c r="M1022">
        <v>0</v>
      </c>
      <c r="N1022" s="2">
        <v>2986</v>
      </c>
      <c r="O1022">
        <v>10284.66</v>
      </c>
      <c r="P1022">
        <v>72</v>
      </c>
      <c r="Q1022">
        <v>2914</v>
      </c>
      <c r="R1022">
        <v>16.940000000000001</v>
      </c>
      <c r="S1022">
        <v>0</v>
      </c>
      <c r="T1022">
        <v>435</v>
      </c>
      <c r="U1022" s="2">
        <v>2001</v>
      </c>
      <c r="V1022">
        <v>0</v>
      </c>
      <c r="W1022" t="s">
        <v>29</v>
      </c>
      <c r="X1022" t="str">
        <f>IF(Table2[[#This Row],[Qty available]]&gt;Table2[[#This Row],[Qty on hand]],"Check","OK")</f>
        <v>OK</v>
      </c>
    </row>
    <row r="1023" spans="1:24" x14ac:dyDescent="0.3">
      <c r="A1023" t="s">
        <v>145</v>
      </c>
      <c r="B1023" t="s">
        <v>146</v>
      </c>
      <c r="C1023" t="s">
        <v>77</v>
      </c>
      <c r="D1023" t="s">
        <v>78</v>
      </c>
      <c r="E1023" t="s">
        <v>66</v>
      </c>
      <c r="F1023" s="1" t="s">
        <v>42</v>
      </c>
      <c r="G1023" s="2">
        <v>3.52</v>
      </c>
      <c r="H1023">
        <v>3.52</v>
      </c>
      <c r="I1023">
        <v>3.4467219999999998</v>
      </c>
      <c r="J1023">
        <v>4.5999999999999996</v>
      </c>
      <c r="K1023">
        <v>22</v>
      </c>
      <c r="L1023" s="2">
        <v>22</v>
      </c>
      <c r="M1023">
        <v>99</v>
      </c>
      <c r="N1023" s="2">
        <v>2904</v>
      </c>
      <c r="O1023">
        <v>10009.280000000001</v>
      </c>
      <c r="P1023">
        <v>108</v>
      </c>
      <c r="Q1023">
        <v>2796</v>
      </c>
      <c r="R1023">
        <v>26.38</v>
      </c>
      <c r="S1023">
        <v>2</v>
      </c>
      <c r="T1023">
        <v>181</v>
      </c>
      <c r="U1023" s="2">
        <v>832.6</v>
      </c>
      <c r="V1023">
        <v>0</v>
      </c>
      <c r="W1023" t="s">
        <v>29</v>
      </c>
      <c r="X1023" t="str">
        <f>IF(Table2[[#This Row],[Qty available]]&gt;Table2[[#This Row],[Qty on hand]],"Check","OK")</f>
        <v>OK</v>
      </c>
    </row>
    <row r="1024" spans="1:24" x14ac:dyDescent="0.3">
      <c r="A1024" t="s">
        <v>145</v>
      </c>
      <c r="B1024" t="s">
        <v>146</v>
      </c>
      <c r="C1024" t="s">
        <v>77</v>
      </c>
      <c r="D1024" t="s">
        <v>78</v>
      </c>
      <c r="E1024" t="s">
        <v>66</v>
      </c>
      <c r="F1024" s="1" t="s">
        <v>43</v>
      </c>
      <c r="G1024" s="2">
        <v>3.5</v>
      </c>
      <c r="H1024">
        <v>3.5</v>
      </c>
      <c r="I1024">
        <v>3.4525429999999999</v>
      </c>
      <c r="J1024">
        <v>4.5999999999999996</v>
      </c>
      <c r="K1024">
        <v>22</v>
      </c>
      <c r="L1024" s="2">
        <v>21</v>
      </c>
      <c r="M1024">
        <v>356</v>
      </c>
      <c r="N1024" s="2">
        <v>1699</v>
      </c>
      <c r="O1024">
        <v>5865.87</v>
      </c>
      <c r="P1024">
        <v>72</v>
      </c>
      <c r="Q1024">
        <v>1627</v>
      </c>
      <c r="R1024">
        <v>10.15</v>
      </c>
      <c r="S1024">
        <v>2</v>
      </c>
      <c r="T1024">
        <v>1561</v>
      </c>
      <c r="U1024" s="2">
        <v>7180.6</v>
      </c>
      <c r="V1024">
        <v>0</v>
      </c>
      <c r="W1024" t="s">
        <v>29</v>
      </c>
      <c r="X1024" t="str">
        <f>IF(Table2[[#This Row],[Qty available]]&gt;Table2[[#This Row],[Qty on hand]],"Check","OK")</f>
        <v>OK</v>
      </c>
    </row>
    <row r="1025" spans="1:24" x14ac:dyDescent="0.3">
      <c r="A1025" t="s">
        <v>145</v>
      </c>
      <c r="B1025" t="s">
        <v>146</v>
      </c>
      <c r="C1025" t="s">
        <v>77</v>
      </c>
      <c r="D1025" t="s">
        <v>78</v>
      </c>
      <c r="E1025" t="s">
        <v>66</v>
      </c>
      <c r="F1025" s="1" t="s">
        <v>44</v>
      </c>
      <c r="G1025" s="2">
        <v>3.5</v>
      </c>
      <c r="H1025">
        <v>3.5</v>
      </c>
      <c r="I1025">
        <v>3.4525929999999998</v>
      </c>
      <c r="J1025">
        <v>4.5999999999999996</v>
      </c>
      <c r="K1025">
        <v>22</v>
      </c>
      <c r="M1025">
        <v>0</v>
      </c>
      <c r="N1025" s="2">
        <v>54</v>
      </c>
      <c r="O1025">
        <v>186.44</v>
      </c>
      <c r="P1025">
        <v>54</v>
      </c>
      <c r="Q1025">
        <v>0</v>
      </c>
      <c r="R1025">
        <v>0.21</v>
      </c>
      <c r="S1025">
        <v>0</v>
      </c>
      <c r="T1025">
        <v>1645</v>
      </c>
      <c r="U1025" s="2">
        <v>7567</v>
      </c>
      <c r="V1025">
        <v>0</v>
      </c>
      <c r="W1025" t="s">
        <v>29</v>
      </c>
      <c r="X1025" t="str">
        <f>IF(Table2[[#This Row],[Qty available]]&gt;Table2[[#This Row],[Qty on hand]],"Check","OK")</f>
        <v>OK</v>
      </c>
    </row>
    <row r="1026" spans="1:24" x14ac:dyDescent="0.3">
      <c r="A1026" t="s">
        <v>145</v>
      </c>
      <c r="B1026" t="s">
        <v>146</v>
      </c>
      <c r="C1026" t="s">
        <v>77</v>
      </c>
      <c r="D1026" t="s">
        <v>78</v>
      </c>
      <c r="E1026" t="s">
        <v>66</v>
      </c>
      <c r="F1026" s="1" t="s">
        <v>45</v>
      </c>
      <c r="G1026" s="2">
        <v>3.42</v>
      </c>
      <c r="H1026">
        <v>3.42</v>
      </c>
      <c r="I1026">
        <v>3.4204680000000001</v>
      </c>
      <c r="J1026">
        <v>4.5999999999999996</v>
      </c>
      <c r="K1026">
        <v>22</v>
      </c>
      <c r="L1026" s="2">
        <v>30</v>
      </c>
      <c r="M1026">
        <v>3701</v>
      </c>
      <c r="N1026" s="2">
        <v>2609</v>
      </c>
      <c r="O1026">
        <v>8924</v>
      </c>
      <c r="P1026">
        <v>251</v>
      </c>
      <c r="Q1026">
        <v>2358</v>
      </c>
      <c r="R1026">
        <v>7.88</v>
      </c>
      <c r="S1026">
        <v>0</v>
      </c>
      <c r="T1026">
        <v>1146</v>
      </c>
      <c r="U1026" s="2">
        <v>5271.6</v>
      </c>
      <c r="V1026">
        <v>0</v>
      </c>
      <c r="W1026" t="s">
        <v>29</v>
      </c>
      <c r="X1026" t="str">
        <f>IF(Table2[[#This Row],[Qty available]]&gt;Table2[[#This Row],[Qty on hand]],"Check","OK")</f>
        <v>OK</v>
      </c>
    </row>
    <row r="1027" spans="1:24" x14ac:dyDescent="0.3">
      <c r="A1027" t="s">
        <v>145</v>
      </c>
      <c r="B1027" t="s">
        <v>146</v>
      </c>
      <c r="C1027" t="s">
        <v>77</v>
      </c>
      <c r="D1027" t="s">
        <v>78</v>
      </c>
      <c r="E1027" t="s">
        <v>66</v>
      </c>
      <c r="F1027" s="1" t="s">
        <v>46</v>
      </c>
      <c r="G1027" s="2">
        <v>3.47</v>
      </c>
      <c r="H1027">
        <v>3.47</v>
      </c>
      <c r="I1027">
        <v>3.437932</v>
      </c>
      <c r="J1027">
        <v>4.82</v>
      </c>
      <c r="K1027">
        <v>22</v>
      </c>
      <c r="L1027" s="2">
        <v>22</v>
      </c>
      <c r="M1027">
        <v>1421</v>
      </c>
      <c r="N1027" s="2">
        <v>2863</v>
      </c>
      <c r="O1027">
        <v>9842.7999999999993</v>
      </c>
      <c r="P1027">
        <v>180</v>
      </c>
      <c r="Q1027">
        <v>2683</v>
      </c>
      <c r="R1027">
        <v>9.3000000000000007</v>
      </c>
      <c r="S1027">
        <v>0</v>
      </c>
      <c r="T1027">
        <v>1167</v>
      </c>
      <c r="U1027" s="2">
        <v>5624.94</v>
      </c>
      <c r="V1027">
        <v>0</v>
      </c>
      <c r="W1027" t="s">
        <v>29</v>
      </c>
      <c r="X1027" t="str">
        <f>IF(Table2[[#This Row],[Qty available]]&gt;Table2[[#This Row],[Qty on hand]],"Check","OK")</f>
        <v>OK</v>
      </c>
    </row>
    <row r="1028" spans="1:24" x14ac:dyDescent="0.3">
      <c r="A1028" t="s">
        <v>145</v>
      </c>
      <c r="B1028" t="s">
        <v>146</v>
      </c>
      <c r="C1028" t="s">
        <v>77</v>
      </c>
      <c r="D1028" t="s">
        <v>78</v>
      </c>
      <c r="E1028" t="s">
        <v>66</v>
      </c>
      <c r="F1028" s="1" t="s">
        <v>47</v>
      </c>
      <c r="G1028" s="2">
        <v>3.74</v>
      </c>
      <c r="H1028">
        <v>3.74</v>
      </c>
      <c r="I1028">
        <v>3.5123549999999999</v>
      </c>
      <c r="J1028">
        <v>4.82</v>
      </c>
      <c r="K1028">
        <v>22</v>
      </c>
      <c r="L1028" s="2">
        <v>19</v>
      </c>
      <c r="M1028">
        <v>936</v>
      </c>
      <c r="N1028" s="2">
        <v>2157</v>
      </c>
      <c r="O1028">
        <v>7576.15</v>
      </c>
      <c r="P1028">
        <v>359</v>
      </c>
      <c r="Q1028">
        <v>1798</v>
      </c>
      <c r="R1028">
        <v>7.01</v>
      </c>
      <c r="S1028">
        <v>0</v>
      </c>
      <c r="T1028">
        <v>1642</v>
      </c>
      <c r="U1028" s="2">
        <v>7914.44</v>
      </c>
      <c r="V1028">
        <v>0</v>
      </c>
      <c r="W1028" t="s">
        <v>29</v>
      </c>
      <c r="X1028" t="str">
        <f>IF(Table2[[#This Row],[Qty available]]&gt;Table2[[#This Row],[Qty on hand]],"Check","OK")</f>
        <v>OK</v>
      </c>
    </row>
    <row r="1029" spans="1:24" x14ac:dyDescent="0.3">
      <c r="A1029" t="s">
        <v>145</v>
      </c>
      <c r="B1029" t="s">
        <v>146</v>
      </c>
      <c r="C1029" t="s">
        <v>77</v>
      </c>
      <c r="D1029" t="s">
        <v>78</v>
      </c>
      <c r="E1029" t="s">
        <v>66</v>
      </c>
      <c r="F1029" s="1" t="s">
        <v>48</v>
      </c>
      <c r="G1029" s="2">
        <v>3.62</v>
      </c>
      <c r="H1029">
        <v>3.62</v>
      </c>
      <c r="I1029">
        <v>3.543069</v>
      </c>
      <c r="J1029">
        <v>4.82</v>
      </c>
      <c r="K1029">
        <v>22</v>
      </c>
      <c r="L1029" s="2">
        <v>28</v>
      </c>
      <c r="M1029">
        <v>861</v>
      </c>
      <c r="N1029" s="2">
        <v>1007</v>
      </c>
      <c r="O1029">
        <v>3567.87</v>
      </c>
      <c r="P1029">
        <v>251</v>
      </c>
      <c r="Q1029">
        <v>756</v>
      </c>
      <c r="R1029">
        <v>2.66</v>
      </c>
      <c r="S1029">
        <v>2</v>
      </c>
      <c r="T1029">
        <v>2011</v>
      </c>
      <c r="U1029" s="2">
        <v>9693.02</v>
      </c>
      <c r="V1029">
        <v>0</v>
      </c>
      <c r="W1029" t="s">
        <v>29</v>
      </c>
      <c r="X1029" t="str">
        <f>IF(Table2[[#This Row],[Qty available]]&gt;Table2[[#This Row],[Qty on hand]],"Check","OK")</f>
        <v>OK</v>
      </c>
    </row>
    <row r="1030" spans="1:24" x14ac:dyDescent="0.3">
      <c r="A1030" t="s">
        <v>145</v>
      </c>
      <c r="B1030" t="s">
        <v>146</v>
      </c>
      <c r="C1030" t="s">
        <v>77</v>
      </c>
      <c r="D1030" t="s">
        <v>78</v>
      </c>
      <c r="E1030" t="s">
        <v>66</v>
      </c>
      <c r="F1030" s="1" t="s">
        <v>49</v>
      </c>
      <c r="G1030" s="2">
        <v>3.74</v>
      </c>
      <c r="H1030">
        <v>3.74</v>
      </c>
      <c r="I1030">
        <v>3.6791659999999999</v>
      </c>
      <c r="J1030">
        <v>4.82</v>
      </c>
      <c r="K1030">
        <v>22</v>
      </c>
      <c r="L1030" s="2">
        <v>22</v>
      </c>
      <c r="M1030">
        <v>2253</v>
      </c>
      <c r="N1030" s="2">
        <v>1546</v>
      </c>
      <c r="O1030">
        <v>5687.99</v>
      </c>
      <c r="P1030">
        <v>359</v>
      </c>
      <c r="Q1030">
        <v>1187</v>
      </c>
      <c r="R1030">
        <v>3.79</v>
      </c>
      <c r="S1030">
        <v>0</v>
      </c>
      <c r="T1030">
        <v>1714</v>
      </c>
      <c r="U1030" s="2">
        <v>8261.48</v>
      </c>
      <c r="V1030">
        <v>0</v>
      </c>
      <c r="W1030" t="s">
        <v>29</v>
      </c>
      <c r="X1030" t="str">
        <f>IF(Table2[[#This Row],[Qty available]]&gt;Table2[[#This Row],[Qty on hand]],"Check","OK")</f>
        <v>OK</v>
      </c>
    </row>
    <row r="1031" spans="1:24" x14ac:dyDescent="0.3">
      <c r="A1031" t="s">
        <v>145</v>
      </c>
      <c r="B1031" t="s">
        <v>146</v>
      </c>
      <c r="C1031" t="s">
        <v>77</v>
      </c>
      <c r="D1031" t="s">
        <v>78</v>
      </c>
      <c r="E1031" t="s">
        <v>66</v>
      </c>
      <c r="F1031" s="1" t="s">
        <v>50</v>
      </c>
      <c r="G1031" s="2">
        <v>3.7</v>
      </c>
      <c r="H1031">
        <v>3.7</v>
      </c>
      <c r="I1031">
        <v>3.6891639999999999</v>
      </c>
      <c r="J1031">
        <v>4.82</v>
      </c>
      <c r="K1031">
        <v>22</v>
      </c>
      <c r="L1031" s="2">
        <v>19</v>
      </c>
      <c r="M1031">
        <v>1426</v>
      </c>
      <c r="N1031" s="2">
        <v>2296</v>
      </c>
      <c r="O1031">
        <v>8470.32</v>
      </c>
      <c r="P1031">
        <v>180</v>
      </c>
      <c r="Q1031">
        <v>2116</v>
      </c>
      <c r="R1031">
        <v>6.78</v>
      </c>
      <c r="S1031">
        <v>0</v>
      </c>
      <c r="T1031">
        <v>676</v>
      </c>
      <c r="U1031" s="2">
        <v>3258.32</v>
      </c>
      <c r="V1031">
        <v>0</v>
      </c>
      <c r="W1031" t="s">
        <v>29</v>
      </c>
      <c r="X1031" t="str">
        <f>IF(Table2[[#This Row],[Qty available]]&gt;Table2[[#This Row],[Qty on hand]],"Check","OK")</f>
        <v>OK</v>
      </c>
    </row>
    <row r="1032" spans="1:24" x14ac:dyDescent="0.3">
      <c r="A1032" t="s">
        <v>145</v>
      </c>
      <c r="B1032" t="s">
        <v>146</v>
      </c>
      <c r="C1032" t="s">
        <v>77</v>
      </c>
      <c r="D1032" t="s">
        <v>78</v>
      </c>
      <c r="E1032" t="s">
        <v>66</v>
      </c>
      <c r="F1032" s="1" t="s">
        <v>51</v>
      </c>
      <c r="G1032" s="2">
        <v>3.74</v>
      </c>
      <c r="H1032">
        <v>3.74</v>
      </c>
      <c r="I1032">
        <v>3.7091129999999999</v>
      </c>
      <c r="J1032">
        <v>4.82</v>
      </c>
      <c r="K1032">
        <v>22</v>
      </c>
      <c r="L1032" s="2">
        <v>22</v>
      </c>
      <c r="M1032">
        <v>1483</v>
      </c>
      <c r="N1032" s="2">
        <v>2988</v>
      </c>
      <c r="O1032">
        <v>11082.83</v>
      </c>
      <c r="P1032">
        <v>287</v>
      </c>
      <c r="Q1032">
        <v>2701</v>
      </c>
      <c r="R1032">
        <v>12.35</v>
      </c>
      <c r="S1032">
        <v>0</v>
      </c>
      <c r="T1032">
        <v>791</v>
      </c>
      <c r="U1032" s="2">
        <v>3812.62</v>
      </c>
      <c r="V1032">
        <v>0</v>
      </c>
      <c r="W1032" t="s">
        <v>29</v>
      </c>
      <c r="X1032" t="str">
        <f>IF(Table2[[#This Row],[Qty available]]&gt;Table2[[#This Row],[Qty on hand]],"Check","OK")</f>
        <v>OK</v>
      </c>
    </row>
    <row r="1033" spans="1:24" x14ac:dyDescent="0.3">
      <c r="A1033" t="s">
        <v>145</v>
      </c>
      <c r="B1033" t="s">
        <v>146</v>
      </c>
      <c r="C1033" t="s">
        <v>77</v>
      </c>
      <c r="D1033" t="s">
        <v>78</v>
      </c>
      <c r="E1033" t="s">
        <v>66</v>
      </c>
      <c r="F1033" s="1" t="s">
        <v>52</v>
      </c>
      <c r="G1033" s="2">
        <v>3.6</v>
      </c>
      <c r="H1033">
        <v>3.6</v>
      </c>
      <c r="I1033">
        <v>3.7049340000000002</v>
      </c>
      <c r="J1033">
        <v>4.82</v>
      </c>
      <c r="K1033">
        <v>22</v>
      </c>
      <c r="L1033" s="2">
        <v>20</v>
      </c>
      <c r="M1033">
        <v>119</v>
      </c>
      <c r="N1033" s="2">
        <v>2667</v>
      </c>
      <c r="O1033">
        <v>9881.06</v>
      </c>
      <c r="P1033">
        <v>215</v>
      </c>
      <c r="Q1033">
        <v>2452</v>
      </c>
      <c r="R1033">
        <v>18.38</v>
      </c>
      <c r="S1033">
        <v>1</v>
      </c>
      <c r="T1033">
        <v>440</v>
      </c>
      <c r="U1033" s="2">
        <v>2120.8000000000002</v>
      </c>
      <c r="V1033">
        <v>0</v>
      </c>
      <c r="W1033" t="s">
        <v>29</v>
      </c>
      <c r="X1033" t="str">
        <f>IF(Table2[[#This Row],[Qty available]]&gt;Table2[[#This Row],[Qty on hand]],"Check","OK")</f>
        <v>OK</v>
      </c>
    </row>
    <row r="1034" spans="1:24" x14ac:dyDescent="0.3">
      <c r="A1034" t="s">
        <v>147</v>
      </c>
      <c r="B1034" t="s">
        <v>148</v>
      </c>
      <c r="C1034" t="s">
        <v>91</v>
      </c>
      <c r="D1034" t="s">
        <v>92</v>
      </c>
      <c r="E1034" t="s">
        <v>66</v>
      </c>
      <c r="F1034" s="1" t="s">
        <v>28</v>
      </c>
      <c r="G1034" s="2">
        <v>3.01</v>
      </c>
      <c r="H1034">
        <v>3.01</v>
      </c>
      <c r="I1034">
        <v>3.0223179999999998</v>
      </c>
      <c r="J1034">
        <v>4.4000000000000004</v>
      </c>
      <c r="K1034">
        <v>28</v>
      </c>
      <c r="L1034" s="2">
        <v>44</v>
      </c>
      <c r="M1034">
        <v>206</v>
      </c>
      <c r="N1034" s="2">
        <v>617</v>
      </c>
      <c r="O1034">
        <v>1864.77</v>
      </c>
      <c r="P1034">
        <v>70</v>
      </c>
      <c r="Q1034">
        <v>547</v>
      </c>
      <c r="R1034">
        <v>2.06</v>
      </c>
      <c r="S1034">
        <v>1</v>
      </c>
      <c r="T1034">
        <v>1467</v>
      </c>
      <c r="U1034" s="2">
        <v>6454.8</v>
      </c>
      <c r="V1034">
        <v>0</v>
      </c>
      <c r="W1034" t="s">
        <v>29</v>
      </c>
      <c r="X1034" t="str">
        <f>IF(Table2[[#This Row],[Qty available]]&gt;Table2[[#This Row],[Qty on hand]],"Check","OK")</f>
        <v>OK</v>
      </c>
    </row>
    <row r="1035" spans="1:24" x14ac:dyDescent="0.3">
      <c r="A1035" t="s">
        <v>147</v>
      </c>
      <c r="B1035" t="s">
        <v>148</v>
      </c>
      <c r="C1035" t="s">
        <v>91</v>
      </c>
      <c r="D1035" t="s">
        <v>92</v>
      </c>
      <c r="E1035" t="s">
        <v>66</v>
      </c>
      <c r="F1035" s="1" t="s">
        <v>30</v>
      </c>
      <c r="G1035" s="2">
        <v>3.24</v>
      </c>
      <c r="H1035">
        <v>3.24</v>
      </c>
      <c r="I1035">
        <v>3.2092160000000001</v>
      </c>
      <c r="J1035">
        <v>4.4000000000000004</v>
      </c>
      <c r="K1035">
        <v>28</v>
      </c>
      <c r="L1035" s="2">
        <v>25</v>
      </c>
      <c r="M1035">
        <v>3746</v>
      </c>
      <c r="N1035" s="2">
        <v>2846</v>
      </c>
      <c r="O1035">
        <v>9133.43</v>
      </c>
      <c r="P1035">
        <v>349</v>
      </c>
      <c r="Q1035">
        <v>2497</v>
      </c>
      <c r="R1035">
        <v>7.65</v>
      </c>
      <c r="S1035">
        <v>1</v>
      </c>
      <c r="T1035">
        <v>1517</v>
      </c>
      <c r="U1035" s="2">
        <v>6674.8</v>
      </c>
      <c r="V1035">
        <v>0</v>
      </c>
      <c r="W1035" t="s">
        <v>29</v>
      </c>
      <c r="X1035" t="str">
        <f>IF(Table2[[#This Row],[Qty available]]&gt;Table2[[#This Row],[Qty on hand]],"Check","OK")</f>
        <v>OK</v>
      </c>
    </row>
    <row r="1036" spans="1:24" x14ac:dyDescent="0.3">
      <c r="A1036" t="s">
        <v>147</v>
      </c>
      <c r="B1036" t="s">
        <v>148</v>
      </c>
      <c r="C1036" t="s">
        <v>91</v>
      </c>
      <c r="D1036" t="s">
        <v>92</v>
      </c>
      <c r="E1036" t="s">
        <v>66</v>
      </c>
      <c r="F1036" s="1" t="s">
        <v>31</v>
      </c>
      <c r="G1036" s="2">
        <v>3.25</v>
      </c>
      <c r="H1036">
        <v>3.25</v>
      </c>
      <c r="I1036">
        <v>3.2251189999999998</v>
      </c>
      <c r="J1036">
        <v>4.4000000000000004</v>
      </c>
      <c r="K1036">
        <v>28</v>
      </c>
      <c r="L1036" s="2">
        <v>24</v>
      </c>
      <c r="M1036">
        <v>1819</v>
      </c>
      <c r="N1036" s="2">
        <v>2553</v>
      </c>
      <c r="O1036">
        <v>8233.73</v>
      </c>
      <c r="P1036">
        <v>314</v>
      </c>
      <c r="Q1036">
        <v>2239</v>
      </c>
      <c r="R1036">
        <v>6.51</v>
      </c>
      <c r="S1036">
        <v>0</v>
      </c>
      <c r="T1036">
        <v>2112</v>
      </c>
      <c r="U1036" s="2">
        <v>9292.7999999999993</v>
      </c>
      <c r="V1036">
        <v>0</v>
      </c>
      <c r="W1036" t="s">
        <v>29</v>
      </c>
      <c r="X1036" t="str">
        <f>IF(Table2[[#This Row],[Qty available]]&gt;Table2[[#This Row],[Qty on hand]],"Check","OK")</f>
        <v>OK</v>
      </c>
    </row>
    <row r="1037" spans="1:24" x14ac:dyDescent="0.3">
      <c r="A1037" t="s">
        <v>147</v>
      </c>
      <c r="B1037" t="s">
        <v>148</v>
      </c>
      <c r="C1037" t="s">
        <v>91</v>
      </c>
      <c r="D1037" t="s">
        <v>92</v>
      </c>
      <c r="E1037" t="s">
        <v>66</v>
      </c>
      <c r="F1037" s="1" t="s">
        <v>32</v>
      </c>
      <c r="G1037" s="2">
        <v>3.2</v>
      </c>
      <c r="H1037">
        <v>3.2</v>
      </c>
      <c r="I1037">
        <v>3.2251210000000001</v>
      </c>
      <c r="J1037">
        <v>4.4000000000000004</v>
      </c>
      <c r="K1037">
        <v>28</v>
      </c>
      <c r="M1037">
        <v>0</v>
      </c>
      <c r="N1037" s="2">
        <v>2115</v>
      </c>
      <c r="O1037">
        <v>6821.13</v>
      </c>
      <c r="P1037">
        <v>279</v>
      </c>
      <c r="Q1037">
        <v>1836</v>
      </c>
      <c r="R1037">
        <v>6.83</v>
      </c>
      <c r="S1037">
        <v>1</v>
      </c>
      <c r="T1037">
        <v>438</v>
      </c>
      <c r="U1037" s="2">
        <v>1927.2</v>
      </c>
      <c r="V1037">
        <v>0</v>
      </c>
      <c r="W1037" t="s">
        <v>29</v>
      </c>
      <c r="X1037" t="str">
        <f>IF(Table2[[#This Row],[Qty available]]&gt;Table2[[#This Row],[Qty on hand]],"Check","OK")</f>
        <v>OK</v>
      </c>
    </row>
    <row r="1038" spans="1:24" x14ac:dyDescent="0.3">
      <c r="A1038" t="s">
        <v>147</v>
      </c>
      <c r="B1038" t="s">
        <v>148</v>
      </c>
      <c r="C1038" t="s">
        <v>91</v>
      </c>
      <c r="D1038" t="s">
        <v>92</v>
      </c>
      <c r="E1038" t="s">
        <v>66</v>
      </c>
      <c r="F1038" s="1" t="s">
        <v>33</v>
      </c>
      <c r="G1038" s="2">
        <v>3.26</v>
      </c>
      <c r="H1038">
        <v>3.26</v>
      </c>
      <c r="I1038">
        <v>3.2397830000000001</v>
      </c>
      <c r="J1038">
        <v>4.4000000000000004</v>
      </c>
      <c r="K1038">
        <v>28</v>
      </c>
      <c r="L1038" s="2">
        <v>44</v>
      </c>
      <c r="M1038">
        <v>1534</v>
      </c>
      <c r="N1038" s="2">
        <v>2258</v>
      </c>
      <c r="O1038">
        <v>7315.43</v>
      </c>
      <c r="P1038">
        <v>314</v>
      </c>
      <c r="Q1038">
        <v>1944</v>
      </c>
      <c r="R1038">
        <v>7.53</v>
      </c>
      <c r="S1038">
        <v>2</v>
      </c>
      <c r="T1038">
        <v>1391</v>
      </c>
      <c r="U1038" s="2">
        <v>6120.4</v>
      </c>
      <c r="V1038">
        <v>0</v>
      </c>
      <c r="W1038" t="s">
        <v>29</v>
      </c>
      <c r="X1038" t="str">
        <f>IF(Table2[[#This Row],[Qty available]]&gt;Table2[[#This Row],[Qty on hand]],"Check","OK")</f>
        <v>OK</v>
      </c>
    </row>
    <row r="1039" spans="1:24" x14ac:dyDescent="0.3">
      <c r="A1039" t="s">
        <v>147</v>
      </c>
      <c r="B1039" t="s">
        <v>148</v>
      </c>
      <c r="C1039" t="s">
        <v>91</v>
      </c>
      <c r="D1039" t="s">
        <v>92</v>
      </c>
      <c r="E1039" t="s">
        <v>66</v>
      </c>
      <c r="F1039" s="1" t="s">
        <v>34</v>
      </c>
      <c r="G1039" s="2">
        <v>3.24</v>
      </c>
      <c r="H1039">
        <v>3.24</v>
      </c>
      <c r="I1039">
        <v>3.239878</v>
      </c>
      <c r="J1039">
        <v>4.5199999999999996</v>
      </c>
      <c r="K1039">
        <v>28</v>
      </c>
      <c r="L1039" s="2">
        <v>27</v>
      </c>
      <c r="M1039">
        <v>1772</v>
      </c>
      <c r="N1039" s="2">
        <v>3365</v>
      </c>
      <c r="O1039">
        <v>10902.19</v>
      </c>
      <c r="P1039">
        <v>244</v>
      </c>
      <c r="Q1039">
        <v>3121</v>
      </c>
      <c r="R1039">
        <v>17.350000000000001</v>
      </c>
      <c r="S1039">
        <v>2</v>
      </c>
      <c r="T1039">
        <v>665</v>
      </c>
      <c r="U1039" s="2">
        <v>3005.8</v>
      </c>
      <c r="V1039">
        <v>0</v>
      </c>
      <c r="W1039" t="s">
        <v>29</v>
      </c>
      <c r="X1039" t="str">
        <f>IF(Table2[[#This Row],[Qty available]]&gt;Table2[[#This Row],[Qty on hand]],"Check","OK")</f>
        <v>OK</v>
      </c>
    </row>
    <row r="1040" spans="1:24" x14ac:dyDescent="0.3">
      <c r="A1040" t="s">
        <v>147</v>
      </c>
      <c r="B1040" t="s">
        <v>148</v>
      </c>
      <c r="C1040" t="s">
        <v>91</v>
      </c>
      <c r="D1040" t="s">
        <v>92</v>
      </c>
      <c r="E1040" t="s">
        <v>66</v>
      </c>
      <c r="F1040" s="1" t="s">
        <v>35</v>
      </c>
      <c r="G1040" s="2">
        <v>3.18</v>
      </c>
      <c r="H1040">
        <v>3.18</v>
      </c>
      <c r="I1040">
        <v>3.2398760000000002</v>
      </c>
      <c r="J1040">
        <v>4.5199999999999996</v>
      </c>
      <c r="K1040">
        <v>28</v>
      </c>
      <c r="M1040">
        <v>0</v>
      </c>
      <c r="N1040" s="2">
        <v>1694</v>
      </c>
      <c r="O1040">
        <v>5488.35</v>
      </c>
      <c r="P1040">
        <v>279</v>
      </c>
      <c r="Q1040">
        <v>1415</v>
      </c>
      <c r="R1040">
        <v>5.84</v>
      </c>
      <c r="S1040">
        <v>0</v>
      </c>
      <c r="T1040">
        <v>1671</v>
      </c>
      <c r="U1040" s="2">
        <v>7552.92</v>
      </c>
      <c r="V1040">
        <v>0</v>
      </c>
      <c r="W1040" t="s">
        <v>29</v>
      </c>
      <c r="X1040" t="str">
        <f>IF(Table2[[#This Row],[Qty available]]&gt;Table2[[#This Row],[Qty on hand]],"Check","OK")</f>
        <v>OK</v>
      </c>
    </row>
    <row r="1041" spans="1:24" x14ac:dyDescent="0.3">
      <c r="A1041" t="s">
        <v>147</v>
      </c>
      <c r="B1041" t="s">
        <v>148</v>
      </c>
      <c r="C1041" t="s">
        <v>91</v>
      </c>
      <c r="D1041" t="s">
        <v>92</v>
      </c>
      <c r="E1041" t="s">
        <v>66</v>
      </c>
      <c r="F1041" s="1" t="s">
        <v>36</v>
      </c>
      <c r="G1041" s="2">
        <v>3.18</v>
      </c>
      <c r="H1041">
        <v>3.18</v>
      </c>
      <c r="I1041">
        <v>3.222</v>
      </c>
      <c r="J1041">
        <v>4.5199999999999996</v>
      </c>
      <c r="K1041">
        <v>28</v>
      </c>
      <c r="L1041" s="2">
        <v>39</v>
      </c>
      <c r="M1041">
        <v>721</v>
      </c>
      <c r="N1041" s="2">
        <v>970</v>
      </c>
      <c r="O1041">
        <v>3125.34</v>
      </c>
      <c r="P1041">
        <v>314</v>
      </c>
      <c r="Q1041">
        <v>656</v>
      </c>
      <c r="R1041">
        <v>3.26</v>
      </c>
      <c r="S1041">
        <v>0</v>
      </c>
      <c r="T1041">
        <v>1445</v>
      </c>
      <c r="U1041" s="2">
        <v>6531.4</v>
      </c>
      <c r="V1041">
        <v>0</v>
      </c>
      <c r="W1041" t="s">
        <v>29</v>
      </c>
      <c r="X1041" t="str">
        <f>IF(Table2[[#This Row],[Qty available]]&gt;Table2[[#This Row],[Qty on hand]],"Check","OK")</f>
        <v>OK</v>
      </c>
    </row>
    <row r="1042" spans="1:24" x14ac:dyDescent="0.3">
      <c r="A1042" t="s">
        <v>147</v>
      </c>
      <c r="B1042" t="s">
        <v>148</v>
      </c>
      <c r="C1042" t="s">
        <v>91</v>
      </c>
      <c r="D1042" t="s">
        <v>92</v>
      </c>
      <c r="E1042" t="s">
        <v>66</v>
      </c>
      <c r="F1042" s="1" t="s">
        <v>37</v>
      </c>
      <c r="G1042" s="2">
        <v>3.24</v>
      </c>
      <c r="H1042">
        <v>3.24</v>
      </c>
      <c r="I1042">
        <v>3.2358250000000002</v>
      </c>
      <c r="J1042">
        <v>4.5199999999999996</v>
      </c>
      <c r="K1042">
        <v>28</v>
      </c>
      <c r="L1042" s="2">
        <v>24</v>
      </c>
      <c r="M1042">
        <v>3210</v>
      </c>
      <c r="N1042" s="2">
        <v>2795</v>
      </c>
      <c r="O1042">
        <v>9044.1299999999992</v>
      </c>
      <c r="P1042">
        <v>349</v>
      </c>
      <c r="Q1042">
        <v>2446</v>
      </c>
      <c r="R1042">
        <v>8.16</v>
      </c>
      <c r="S1042">
        <v>0</v>
      </c>
      <c r="T1042">
        <v>1385</v>
      </c>
      <c r="U1042" s="2">
        <v>6260.2</v>
      </c>
      <c r="V1042">
        <v>0</v>
      </c>
      <c r="W1042" t="s">
        <v>29</v>
      </c>
      <c r="X1042" t="str">
        <f>IF(Table2[[#This Row],[Qty available]]&gt;Table2[[#This Row],[Qty on hand]],"Check","OK")</f>
        <v>OK</v>
      </c>
    </row>
    <row r="1043" spans="1:24" x14ac:dyDescent="0.3">
      <c r="A1043" t="s">
        <v>147</v>
      </c>
      <c r="B1043" t="s">
        <v>148</v>
      </c>
      <c r="C1043" t="s">
        <v>91</v>
      </c>
      <c r="D1043" t="s">
        <v>92</v>
      </c>
      <c r="E1043" t="s">
        <v>66</v>
      </c>
      <c r="F1043" s="1" t="s">
        <v>38</v>
      </c>
      <c r="G1043" s="2">
        <v>3.19</v>
      </c>
      <c r="H1043">
        <v>3.19</v>
      </c>
      <c r="I1043">
        <v>3.2161550000000001</v>
      </c>
      <c r="J1043">
        <v>4.5199999999999996</v>
      </c>
      <c r="K1043">
        <v>28</v>
      </c>
      <c r="L1043" s="2">
        <v>24</v>
      </c>
      <c r="M1043">
        <v>2102</v>
      </c>
      <c r="N1043" s="2">
        <v>4263</v>
      </c>
      <c r="O1043">
        <v>13710.47</v>
      </c>
      <c r="P1043">
        <v>209</v>
      </c>
      <c r="Q1043">
        <v>4054</v>
      </c>
      <c r="R1043">
        <v>16</v>
      </c>
      <c r="S1043">
        <v>2</v>
      </c>
      <c r="T1043">
        <v>634</v>
      </c>
      <c r="U1043" s="2">
        <v>2865.68</v>
      </c>
      <c r="V1043">
        <v>0</v>
      </c>
      <c r="W1043" t="s">
        <v>29</v>
      </c>
      <c r="X1043" t="str">
        <f>IF(Table2[[#This Row],[Qty available]]&gt;Table2[[#This Row],[Qty on hand]],"Check","OK")</f>
        <v>OK</v>
      </c>
    </row>
    <row r="1044" spans="1:24" x14ac:dyDescent="0.3">
      <c r="A1044" t="s">
        <v>147</v>
      </c>
      <c r="B1044" t="s">
        <v>148</v>
      </c>
      <c r="C1044" t="s">
        <v>91</v>
      </c>
      <c r="D1044" t="s">
        <v>92</v>
      </c>
      <c r="E1044" t="s">
        <v>66</v>
      </c>
      <c r="F1044" s="1" t="s">
        <v>39</v>
      </c>
      <c r="G1044" s="2">
        <v>3.21</v>
      </c>
      <c r="H1044">
        <v>3.21</v>
      </c>
      <c r="I1044">
        <v>3.2161559999999998</v>
      </c>
      <c r="J1044">
        <v>4.5199999999999996</v>
      </c>
      <c r="K1044">
        <v>28</v>
      </c>
      <c r="M1044">
        <v>0</v>
      </c>
      <c r="N1044" s="2">
        <v>2997</v>
      </c>
      <c r="O1044">
        <v>9638.82</v>
      </c>
      <c r="P1044">
        <v>279</v>
      </c>
      <c r="Q1044">
        <v>2718</v>
      </c>
      <c r="R1044">
        <v>11.99</v>
      </c>
      <c r="S1044">
        <v>1</v>
      </c>
      <c r="T1044">
        <v>1266</v>
      </c>
      <c r="U1044" s="2">
        <v>5722.32</v>
      </c>
      <c r="V1044">
        <v>0</v>
      </c>
      <c r="W1044" t="s">
        <v>29</v>
      </c>
      <c r="X1044" t="str">
        <f>IF(Table2[[#This Row],[Qty available]]&gt;Table2[[#This Row],[Qty on hand]],"Check","OK")</f>
        <v>OK</v>
      </c>
    </row>
    <row r="1045" spans="1:24" x14ac:dyDescent="0.3">
      <c r="A1045" t="s">
        <v>147</v>
      </c>
      <c r="B1045" t="s">
        <v>148</v>
      </c>
      <c r="C1045" t="s">
        <v>91</v>
      </c>
      <c r="D1045" t="s">
        <v>92</v>
      </c>
      <c r="E1045" t="s">
        <v>66</v>
      </c>
      <c r="F1045" s="1" t="s">
        <v>40</v>
      </c>
      <c r="G1045" s="2">
        <v>3.21</v>
      </c>
      <c r="H1045">
        <v>3.21</v>
      </c>
      <c r="I1045">
        <v>3.2136719999999999</v>
      </c>
      <c r="J1045">
        <v>4.5199999999999996</v>
      </c>
      <c r="K1045">
        <v>28</v>
      </c>
      <c r="L1045" s="2">
        <v>25</v>
      </c>
      <c r="M1045">
        <v>2029</v>
      </c>
      <c r="N1045" s="2">
        <v>3516</v>
      </c>
      <c r="O1045">
        <v>11299.27</v>
      </c>
      <c r="P1045">
        <v>209</v>
      </c>
      <c r="Q1045">
        <v>3307</v>
      </c>
      <c r="R1045">
        <v>13.55</v>
      </c>
      <c r="S1045">
        <v>0</v>
      </c>
      <c r="T1045">
        <v>1510</v>
      </c>
      <c r="U1045" s="2">
        <v>6825.2</v>
      </c>
      <c r="V1045">
        <v>0</v>
      </c>
      <c r="W1045" t="s">
        <v>29</v>
      </c>
      <c r="X1045" t="str">
        <f>IF(Table2[[#This Row],[Qty available]]&gt;Table2[[#This Row],[Qty on hand]],"Check","OK")</f>
        <v>OK</v>
      </c>
    </row>
    <row r="1046" spans="1:24" x14ac:dyDescent="0.3">
      <c r="A1046" t="s">
        <v>147</v>
      </c>
      <c r="B1046" t="s">
        <v>148</v>
      </c>
      <c r="C1046" t="s">
        <v>91</v>
      </c>
      <c r="D1046" t="s">
        <v>92</v>
      </c>
      <c r="E1046" t="s">
        <v>66</v>
      </c>
      <c r="F1046" s="1" t="s">
        <v>41</v>
      </c>
      <c r="G1046" s="2">
        <v>3.21</v>
      </c>
      <c r="H1046">
        <v>3.21</v>
      </c>
      <c r="I1046">
        <v>3.2136710000000002</v>
      </c>
      <c r="J1046">
        <v>4.5199999999999996</v>
      </c>
      <c r="K1046">
        <v>28</v>
      </c>
      <c r="M1046">
        <v>0</v>
      </c>
      <c r="N1046" s="2">
        <v>2397</v>
      </c>
      <c r="O1046">
        <v>7703.17</v>
      </c>
      <c r="P1046">
        <v>105</v>
      </c>
      <c r="Q1046">
        <v>2292</v>
      </c>
      <c r="R1046">
        <v>8.09</v>
      </c>
      <c r="S1046">
        <v>2</v>
      </c>
      <c r="T1046">
        <v>1119</v>
      </c>
      <c r="U1046" s="2">
        <v>5057.88</v>
      </c>
      <c r="V1046">
        <v>0</v>
      </c>
      <c r="W1046" t="s">
        <v>29</v>
      </c>
      <c r="X1046" t="str">
        <f>IF(Table2[[#This Row],[Qty available]]&gt;Table2[[#This Row],[Qty on hand]],"Check","OK")</f>
        <v>OK</v>
      </c>
    </row>
    <row r="1047" spans="1:24" x14ac:dyDescent="0.3">
      <c r="A1047" t="s">
        <v>147</v>
      </c>
      <c r="B1047" t="s">
        <v>148</v>
      </c>
      <c r="C1047" t="s">
        <v>91</v>
      </c>
      <c r="D1047" t="s">
        <v>92</v>
      </c>
      <c r="E1047" t="s">
        <v>66</v>
      </c>
      <c r="F1047" s="1" t="s">
        <v>42</v>
      </c>
      <c r="G1047" s="2">
        <v>3.41</v>
      </c>
      <c r="H1047">
        <v>3.41</v>
      </c>
      <c r="I1047">
        <v>3.3094000000000001</v>
      </c>
      <c r="J1047">
        <v>4.5199999999999996</v>
      </c>
      <c r="K1047">
        <v>28</v>
      </c>
      <c r="L1047" s="2">
        <v>25</v>
      </c>
      <c r="M1047">
        <v>2281</v>
      </c>
      <c r="N1047" s="2">
        <v>4353</v>
      </c>
      <c r="O1047">
        <v>14405.82</v>
      </c>
      <c r="P1047">
        <v>244</v>
      </c>
      <c r="Q1047">
        <v>4109</v>
      </c>
      <c r="R1047">
        <v>19.37</v>
      </c>
      <c r="S1047">
        <v>0</v>
      </c>
      <c r="T1047">
        <v>325</v>
      </c>
      <c r="U1047" s="2">
        <v>1469</v>
      </c>
      <c r="V1047">
        <v>0</v>
      </c>
      <c r="W1047" t="s">
        <v>29</v>
      </c>
      <c r="X1047" t="str">
        <f>IF(Table2[[#This Row],[Qty available]]&gt;Table2[[#This Row],[Qty on hand]],"Check","OK")</f>
        <v>OK</v>
      </c>
    </row>
    <row r="1048" spans="1:24" x14ac:dyDescent="0.3">
      <c r="A1048" t="s">
        <v>147</v>
      </c>
      <c r="B1048" t="s">
        <v>148</v>
      </c>
      <c r="C1048" t="s">
        <v>91</v>
      </c>
      <c r="D1048" t="s">
        <v>92</v>
      </c>
      <c r="E1048" t="s">
        <v>66</v>
      </c>
      <c r="F1048" s="1" t="s">
        <v>43</v>
      </c>
      <c r="G1048" s="2">
        <v>3.38</v>
      </c>
      <c r="H1048">
        <v>3.38</v>
      </c>
      <c r="I1048">
        <v>3.309402</v>
      </c>
      <c r="J1048">
        <v>4.5199999999999996</v>
      </c>
      <c r="K1048">
        <v>28</v>
      </c>
      <c r="M1048">
        <v>0</v>
      </c>
      <c r="N1048" s="2">
        <v>3193</v>
      </c>
      <c r="O1048">
        <v>10566.92</v>
      </c>
      <c r="P1048">
        <v>105</v>
      </c>
      <c r="Q1048">
        <v>3088</v>
      </c>
      <c r="R1048">
        <v>15.94</v>
      </c>
      <c r="S1048">
        <v>1</v>
      </c>
      <c r="T1048">
        <v>1160</v>
      </c>
      <c r="U1048" s="2">
        <v>5243.2</v>
      </c>
      <c r="V1048">
        <v>0</v>
      </c>
      <c r="W1048" t="s">
        <v>29</v>
      </c>
      <c r="X1048" t="str">
        <f>IF(Table2[[#This Row],[Qty available]]&gt;Table2[[#This Row],[Qty on hand]],"Check","OK")</f>
        <v>OK</v>
      </c>
    </row>
    <row r="1049" spans="1:24" x14ac:dyDescent="0.3">
      <c r="A1049" t="s">
        <v>147</v>
      </c>
      <c r="B1049" t="s">
        <v>148</v>
      </c>
      <c r="C1049" t="s">
        <v>91</v>
      </c>
      <c r="D1049" t="s">
        <v>92</v>
      </c>
      <c r="E1049" t="s">
        <v>66</v>
      </c>
      <c r="F1049" s="1" t="s">
        <v>44</v>
      </c>
      <c r="G1049" s="2">
        <v>3.49</v>
      </c>
      <c r="H1049">
        <v>3.49</v>
      </c>
      <c r="I1049">
        <v>3.3610519999999999</v>
      </c>
      <c r="J1049">
        <v>4.5199999999999996</v>
      </c>
      <c r="K1049">
        <v>28</v>
      </c>
      <c r="L1049" s="2">
        <v>24</v>
      </c>
      <c r="M1049">
        <v>1279</v>
      </c>
      <c r="N1049" s="2">
        <v>3696</v>
      </c>
      <c r="O1049">
        <v>12422.45</v>
      </c>
      <c r="P1049">
        <v>209</v>
      </c>
      <c r="Q1049">
        <v>3487</v>
      </c>
      <c r="R1049">
        <v>21.48</v>
      </c>
      <c r="S1049">
        <v>0</v>
      </c>
      <c r="T1049">
        <v>776</v>
      </c>
      <c r="U1049" s="2">
        <v>3507.52</v>
      </c>
      <c r="V1049">
        <v>0</v>
      </c>
      <c r="W1049" t="s">
        <v>29</v>
      </c>
      <c r="X1049" t="str">
        <f>IF(Table2[[#This Row],[Qty available]]&gt;Table2[[#This Row],[Qty on hand]],"Check","OK")</f>
        <v>OK</v>
      </c>
    </row>
    <row r="1050" spans="1:24" x14ac:dyDescent="0.3">
      <c r="A1050" t="s">
        <v>147</v>
      </c>
      <c r="B1050" t="s">
        <v>148</v>
      </c>
      <c r="C1050" t="s">
        <v>91</v>
      </c>
      <c r="D1050" t="s">
        <v>92</v>
      </c>
      <c r="E1050" t="s">
        <v>66</v>
      </c>
      <c r="F1050" s="1" t="s">
        <v>45</v>
      </c>
      <c r="G1050" s="2">
        <v>3.44</v>
      </c>
      <c r="H1050">
        <v>3.44</v>
      </c>
      <c r="I1050">
        <v>3.3781789999999998</v>
      </c>
      <c r="J1050">
        <v>4.5199999999999996</v>
      </c>
      <c r="K1050">
        <v>28</v>
      </c>
      <c r="L1050" s="2">
        <v>26</v>
      </c>
      <c r="M1050">
        <v>1024</v>
      </c>
      <c r="N1050" s="2">
        <v>3806</v>
      </c>
      <c r="O1050">
        <v>12857.35</v>
      </c>
      <c r="P1050">
        <v>279</v>
      </c>
      <c r="Q1050">
        <v>3527</v>
      </c>
      <c r="R1050">
        <v>17.55</v>
      </c>
      <c r="S1050">
        <v>1</v>
      </c>
      <c r="T1050">
        <v>914</v>
      </c>
      <c r="U1050" s="2">
        <v>4131.28</v>
      </c>
      <c r="V1050">
        <v>0</v>
      </c>
      <c r="W1050" t="s">
        <v>29</v>
      </c>
      <c r="X1050" t="str">
        <f>IF(Table2[[#This Row],[Qty available]]&gt;Table2[[#This Row],[Qty on hand]],"Check","OK")</f>
        <v>OK</v>
      </c>
    </row>
    <row r="1051" spans="1:24" x14ac:dyDescent="0.3">
      <c r="A1051" t="s">
        <v>147</v>
      </c>
      <c r="B1051" t="s">
        <v>148</v>
      </c>
      <c r="C1051" t="s">
        <v>91</v>
      </c>
      <c r="D1051" t="s">
        <v>92</v>
      </c>
      <c r="E1051" t="s">
        <v>66</v>
      </c>
      <c r="F1051" s="1" t="s">
        <v>46</v>
      </c>
      <c r="G1051" s="2">
        <v>3.44</v>
      </c>
      <c r="H1051">
        <v>3.44</v>
      </c>
      <c r="I1051">
        <v>3.3781789999999998</v>
      </c>
      <c r="J1051">
        <v>4.6500000000000004</v>
      </c>
      <c r="K1051">
        <v>28</v>
      </c>
      <c r="M1051">
        <v>0</v>
      </c>
      <c r="N1051" s="2">
        <v>3344</v>
      </c>
      <c r="O1051">
        <v>11296.63</v>
      </c>
      <c r="P1051">
        <v>175</v>
      </c>
      <c r="Q1051">
        <v>3169</v>
      </c>
      <c r="R1051">
        <v>19.98</v>
      </c>
      <c r="S1051">
        <v>0</v>
      </c>
      <c r="T1051">
        <v>462</v>
      </c>
      <c r="U1051" s="2">
        <v>2148.3000000000002</v>
      </c>
      <c r="V1051">
        <v>0</v>
      </c>
      <c r="W1051" t="s">
        <v>29</v>
      </c>
      <c r="X1051" t="str">
        <f>IF(Table2[[#This Row],[Qty available]]&gt;Table2[[#This Row],[Qty on hand]],"Check","OK")</f>
        <v>OK</v>
      </c>
    </row>
    <row r="1052" spans="1:24" x14ac:dyDescent="0.3">
      <c r="A1052" t="s">
        <v>147</v>
      </c>
      <c r="B1052" t="s">
        <v>148</v>
      </c>
      <c r="C1052" t="s">
        <v>91</v>
      </c>
      <c r="D1052" t="s">
        <v>92</v>
      </c>
      <c r="E1052" t="s">
        <v>66</v>
      </c>
      <c r="F1052" s="1" t="s">
        <v>47</v>
      </c>
      <c r="G1052" s="2">
        <v>3.45</v>
      </c>
      <c r="H1052">
        <v>3.45</v>
      </c>
      <c r="I1052">
        <v>3.3877950000000001</v>
      </c>
      <c r="J1052">
        <v>4.6500000000000004</v>
      </c>
      <c r="K1052">
        <v>28</v>
      </c>
      <c r="L1052" s="2">
        <v>26</v>
      </c>
      <c r="M1052">
        <v>517</v>
      </c>
      <c r="N1052" s="2">
        <v>3374</v>
      </c>
      <c r="O1052">
        <v>11430.42</v>
      </c>
      <c r="P1052">
        <v>314</v>
      </c>
      <c r="Q1052">
        <v>3060</v>
      </c>
      <c r="R1052">
        <v>23.29</v>
      </c>
      <c r="S1052">
        <v>0</v>
      </c>
      <c r="T1052">
        <v>487</v>
      </c>
      <c r="U1052" s="2">
        <v>2264.5500000000002</v>
      </c>
      <c r="V1052">
        <v>0</v>
      </c>
      <c r="W1052" t="s">
        <v>29</v>
      </c>
      <c r="X1052" t="str">
        <f>IF(Table2[[#This Row],[Qty available]]&gt;Table2[[#This Row],[Qty on hand]],"Check","OK")</f>
        <v>OK</v>
      </c>
    </row>
    <row r="1053" spans="1:24" x14ac:dyDescent="0.3">
      <c r="A1053" t="s">
        <v>147</v>
      </c>
      <c r="B1053" t="s">
        <v>148</v>
      </c>
      <c r="C1053" t="s">
        <v>91</v>
      </c>
      <c r="D1053" t="s">
        <v>92</v>
      </c>
      <c r="E1053" t="s">
        <v>66</v>
      </c>
      <c r="F1053" s="1" t="s">
        <v>48</v>
      </c>
      <c r="G1053" s="2">
        <v>3.36</v>
      </c>
      <c r="H1053">
        <v>3.36</v>
      </c>
      <c r="I1053">
        <v>3.387794</v>
      </c>
      <c r="J1053">
        <v>4.6500000000000004</v>
      </c>
      <c r="K1053">
        <v>28</v>
      </c>
      <c r="M1053">
        <v>0</v>
      </c>
      <c r="N1053" s="2">
        <v>2099</v>
      </c>
      <c r="O1053">
        <v>7110.98</v>
      </c>
      <c r="P1053">
        <v>209</v>
      </c>
      <c r="Q1053">
        <v>1890</v>
      </c>
      <c r="R1053">
        <v>12</v>
      </c>
      <c r="S1053">
        <v>1</v>
      </c>
      <c r="T1053">
        <v>1275</v>
      </c>
      <c r="U1053" s="2">
        <v>5928.75</v>
      </c>
      <c r="V1053">
        <v>0</v>
      </c>
      <c r="W1053" t="s">
        <v>29</v>
      </c>
      <c r="X1053" t="str">
        <f>IF(Table2[[#This Row],[Qty available]]&gt;Table2[[#This Row],[Qty on hand]],"Check","OK")</f>
        <v>OK</v>
      </c>
    </row>
    <row r="1054" spans="1:24" x14ac:dyDescent="0.3">
      <c r="A1054" t="s">
        <v>147</v>
      </c>
      <c r="B1054" t="s">
        <v>148</v>
      </c>
      <c r="C1054" t="s">
        <v>91</v>
      </c>
      <c r="D1054" t="s">
        <v>92</v>
      </c>
      <c r="E1054" t="s">
        <v>66</v>
      </c>
      <c r="F1054" s="1" t="s">
        <v>49</v>
      </c>
      <c r="G1054" s="2">
        <v>3.42</v>
      </c>
      <c r="H1054">
        <v>3.42</v>
      </c>
      <c r="I1054">
        <v>3.3937580000000001</v>
      </c>
      <c r="J1054">
        <v>4.6500000000000004</v>
      </c>
      <c r="K1054">
        <v>28</v>
      </c>
      <c r="L1054" s="2">
        <v>34</v>
      </c>
      <c r="M1054">
        <v>477</v>
      </c>
      <c r="N1054" s="2">
        <v>1687</v>
      </c>
      <c r="O1054">
        <v>5725.27</v>
      </c>
      <c r="P1054">
        <v>349</v>
      </c>
      <c r="Q1054">
        <v>1338</v>
      </c>
      <c r="R1054">
        <v>8.36</v>
      </c>
      <c r="S1054">
        <v>0</v>
      </c>
      <c r="T1054">
        <v>889</v>
      </c>
      <c r="U1054" s="2">
        <v>4133.8500000000004</v>
      </c>
      <c r="V1054">
        <v>0</v>
      </c>
      <c r="W1054" t="s">
        <v>29</v>
      </c>
      <c r="X1054" t="str">
        <f>IF(Table2[[#This Row],[Qty available]]&gt;Table2[[#This Row],[Qty on hand]],"Check","OK")</f>
        <v>OK</v>
      </c>
    </row>
    <row r="1055" spans="1:24" x14ac:dyDescent="0.3">
      <c r="A1055" t="s">
        <v>147</v>
      </c>
      <c r="B1055" t="s">
        <v>148</v>
      </c>
      <c r="C1055" t="s">
        <v>91</v>
      </c>
      <c r="D1055" t="s">
        <v>92</v>
      </c>
      <c r="E1055" t="s">
        <v>66</v>
      </c>
      <c r="F1055" s="1" t="s">
        <v>50</v>
      </c>
      <c r="G1055" s="2">
        <v>3.38</v>
      </c>
      <c r="H1055">
        <v>3.38</v>
      </c>
      <c r="I1055">
        <v>3.3851070000000001</v>
      </c>
      <c r="J1055">
        <v>4.6500000000000004</v>
      </c>
      <c r="K1055">
        <v>28</v>
      </c>
      <c r="L1055" s="2">
        <v>26</v>
      </c>
      <c r="M1055">
        <v>2858</v>
      </c>
      <c r="N1055" s="2">
        <v>3554</v>
      </c>
      <c r="O1055">
        <v>12030.67</v>
      </c>
      <c r="P1055">
        <v>140</v>
      </c>
      <c r="Q1055">
        <v>3414</v>
      </c>
      <c r="R1055">
        <v>14.64</v>
      </c>
      <c r="S1055">
        <v>0</v>
      </c>
      <c r="T1055">
        <v>991</v>
      </c>
      <c r="U1055" s="2">
        <v>4608.1499999999996</v>
      </c>
      <c r="V1055">
        <v>0</v>
      </c>
      <c r="W1055" t="s">
        <v>29</v>
      </c>
      <c r="X1055" t="str">
        <f>IF(Table2[[#This Row],[Qty available]]&gt;Table2[[#This Row],[Qty on hand]],"Check","OK")</f>
        <v>OK</v>
      </c>
    </row>
    <row r="1056" spans="1:24" x14ac:dyDescent="0.3">
      <c r="A1056" t="s">
        <v>147</v>
      </c>
      <c r="B1056" t="s">
        <v>148</v>
      </c>
      <c r="C1056" t="s">
        <v>91</v>
      </c>
      <c r="D1056" t="s">
        <v>92</v>
      </c>
      <c r="E1056" t="s">
        <v>66</v>
      </c>
      <c r="F1056" s="1" t="s">
        <v>51</v>
      </c>
      <c r="G1056" s="2">
        <v>3.42</v>
      </c>
      <c r="H1056">
        <v>3.42</v>
      </c>
      <c r="I1056">
        <v>3.3891610000000001</v>
      </c>
      <c r="J1056">
        <v>4.6500000000000004</v>
      </c>
      <c r="K1056">
        <v>28</v>
      </c>
      <c r="L1056" s="2">
        <v>27</v>
      </c>
      <c r="M1056">
        <v>467</v>
      </c>
      <c r="N1056" s="2">
        <v>3134</v>
      </c>
      <c r="O1056">
        <v>10621.63</v>
      </c>
      <c r="P1056">
        <v>70</v>
      </c>
      <c r="Q1056">
        <v>3064</v>
      </c>
      <c r="R1056">
        <v>14.89</v>
      </c>
      <c r="S1056">
        <v>0</v>
      </c>
      <c r="T1056">
        <v>887</v>
      </c>
      <c r="U1056" s="2">
        <v>4124.55</v>
      </c>
      <c r="V1056">
        <v>0</v>
      </c>
      <c r="W1056" t="s">
        <v>29</v>
      </c>
      <c r="X1056" t="str">
        <f>IF(Table2[[#This Row],[Qty available]]&gt;Table2[[#This Row],[Qty on hand]],"Check","OK")</f>
        <v>OK</v>
      </c>
    </row>
    <row r="1057" spans="1:24" x14ac:dyDescent="0.3">
      <c r="A1057" t="s">
        <v>147</v>
      </c>
      <c r="B1057" t="s">
        <v>148</v>
      </c>
      <c r="C1057" t="s">
        <v>91</v>
      </c>
      <c r="D1057" t="s">
        <v>92</v>
      </c>
      <c r="E1057" t="s">
        <v>66</v>
      </c>
      <c r="F1057" s="1" t="s">
        <v>52</v>
      </c>
      <c r="G1057" s="2">
        <v>3.48</v>
      </c>
      <c r="H1057">
        <v>3.48</v>
      </c>
      <c r="I1057">
        <v>3.4019780000000002</v>
      </c>
      <c r="J1057">
        <v>4.6500000000000004</v>
      </c>
      <c r="K1057">
        <v>28</v>
      </c>
      <c r="L1057" s="2">
        <v>26</v>
      </c>
      <c r="M1057">
        <v>515</v>
      </c>
      <c r="N1057" s="2">
        <v>1567</v>
      </c>
      <c r="O1057">
        <v>5330.9</v>
      </c>
      <c r="P1057">
        <v>314</v>
      </c>
      <c r="Q1057">
        <v>1253</v>
      </c>
      <c r="R1057">
        <v>5.2</v>
      </c>
      <c r="S1057">
        <v>0</v>
      </c>
      <c r="T1057">
        <v>2082</v>
      </c>
      <c r="U1057" s="2">
        <v>9681.2999999999993</v>
      </c>
      <c r="V1057">
        <v>0</v>
      </c>
      <c r="W1057" t="s">
        <v>29</v>
      </c>
      <c r="X1057" t="str">
        <f>IF(Table2[[#This Row],[Qty available]]&gt;Table2[[#This Row],[Qty on hand]],"Check","OK")</f>
        <v>OK</v>
      </c>
    </row>
    <row r="1058" spans="1:24" x14ac:dyDescent="0.3">
      <c r="A1058" t="s">
        <v>149</v>
      </c>
      <c r="B1058" t="s">
        <v>150</v>
      </c>
      <c r="C1058" t="s">
        <v>69</v>
      </c>
      <c r="D1058" t="s">
        <v>70</v>
      </c>
      <c r="E1058" t="s">
        <v>27</v>
      </c>
      <c r="F1058" s="1" t="s">
        <v>28</v>
      </c>
      <c r="G1058" s="2">
        <v>1.37</v>
      </c>
      <c r="H1058">
        <v>1.37</v>
      </c>
      <c r="I1058">
        <v>1.357491</v>
      </c>
      <c r="J1058">
        <v>1.93</v>
      </c>
      <c r="K1058">
        <v>26</v>
      </c>
      <c r="L1058" s="2">
        <v>38</v>
      </c>
      <c r="M1058">
        <v>693</v>
      </c>
      <c r="N1058" s="2">
        <v>574</v>
      </c>
      <c r="O1058">
        <v>779.2</v>
      </c>
      <c r="P1058">
        <v>104</v>
      </c>
      <c r="Q1058">
        <v>470</v>
      </c>
      <c r="R1058">
        <v>3.51</v>
      </c>
      <c r="S1058">
        <v>0</v>
      </c>
      <c r="T1058">
        <v>635</v>
      </c>
      <c r="U1058" s="2">
        <v>1225.55</v>
      </c>
      <c r="V1058">
        <v>0</v>
      </c>
      <c r="W1058" t="s">
        <v>29</v>
      </c>
      <c r="X1058" t="str">
        <f>IF(Table2[[#This Row],[Qty available]]&gt;Table2[[#This Row],[Qty on hand]],"Check","OK")</f>
        <v>OK</v>
      </c>
    </row>
    <row r="1059" spans="1:24" x14ac:dyDescent="0.3">
      <c r="A1059" t="s">
        <v>149</v>
      </c>
      <c r="B1059" t="s">
        <v>150</v>
      </c>
      <c r="C1059" t="s">
        <v>69</v>
      </c>
      <c r="D1059" t="s">
        <v>70</v>
      </c>
      <c r="E1059" t="s">
        <v>27</v>
      </c>
      <c r="F1059" s="1" t="s">
        <v>30</v>
      </c>
      <c r="G1059" s="2">
        <v>1.35</v>
      </c>
      <c r="H1059">
        <v>1.35</v>
      </c>
      <c r="I1059">
        <v>1.352169</v>
      </c>
      <c r="J1059">
        <v>1.93</v>
      </c>
      <c r="K1059">
        <v>26</v>
      </c>
      <c r="L1059" s="2">
        <v>26</v>
      </c>
      <c r="M1059">
        <v>1408</v>
      </c>
      <c r="N1059" s="2">
        <v>1263</v>
      </c>
      <c r="O1059">
        <v>1707.79</v>
      </c>
      <c r="P1059">
        <v>104</v>
      </c>
      <c r="Q1059">
        <v>1159</v>
      </c>
      <c r="R1059">
        <v>8.32</v>
      </c>
      <c r="S1059">
        <v>1</v>
      </c>
      <c r="T1059">
        <v>719</v>
      </c>
      <c r="U1059" s="2">
        <v>1387.67</v>
      </c>
      <c r="V1059">
        <v>0</v>
      </c>
      <c r="W1059" t="s">
        <v>29</v>
      </c>
      <c r="X1059" t="str">
        <f>IF(Table2[[#This Row],[Qty available]]&gt;Table2[[#This Row],[Qty on hand]],"Check","OK")</f>
        <v>OK</v>
      </c>
    </row>
    <row r="1060" spans="1:24" x14ac:dyDescent="0.3">
      <c r="A1060" t="s">
        <v>149</v>
      </c>
      <c r="B1060" t="s">
        <v>150</v>
      </c>
      <c r="C1060" t="s">
        <v>69</v>
      </c>
      <c r="D1060" t="s">
        <v>70</v>
      </c>
      <c r="E1060" t="s">
        <v>27</v>
      </c>
      <c r="F1060" s="1" t="s">
        <v>31</v>
      </c>
      <c r="G1060" s="2">
        <v>1.37</v>
      </c>
      <c r="H1060">
        <v>1.37</v>
      </c>
      <c r="I1060">
        <v>1.360841</v>
      </c>
      <c r="J1060">
        <v>1.93</v>
      </c>
      <c r="K1060">
        <v>26</v>
      </c>
      <c r="L1060" s="2">
        <v>25</v>
      </c>
      <c r="M1060">
        <v>1196</v>
      </c>
      <c r="N1060" s="2">
        <v>1450</v>
      </c>
      <c r="O1060">
        <v>1973.22</v>
      </c>
      <c r="P1060">
        <v>145</v>
      </c>
      <c r="Q1060">
        <v>1305</v>
      </c>
      <c r="R1060">
        <v>7.98</v>
      </c>
      <c r="S1060">
        <v>1</v>
      </c>
      <c r="T1060">
        <v>1009</v>
      </c>
      <c r="U1060" s="2">
        <v>1947.37</v>
      </c>
      <c r="V1060">
        <v>0</v>
      </c>
      <c r="W1060" t="s">
        <v>29</v>
      </c>
      <c r="X1060" t="str">
        <f>IF(Table2[[#This Row],[Qty available]]&gt;Table2[[#This Row],[Qty on hand]],"Check","OK")</f>
        <v>OK</v>
      </c>
    </row>
    <row r="1061" spans="1:24" x14ac:dyDescent="0.3">
      <c r="A1061" t="s">
        <v>149</v>
      </c>
      <c r="B1061" t="s">
        <v>150</v>
      </c>
      <c r="C1061" t="s">
        <v>69</v>
      </c>
      <c r="D1061" t="s">
        <v>70</v>
      </c>
      <c r="E1061" t="s">
        <v>27</v>
      </c>
      <c r="F1061" s="1" t="s">
        <v>32</v>
      </c>
      <c r="G1061" s="2">
        <v>1.42</v>
      </c>
      <c r="H1061">
        <v>1.42</v>
      </c>
      <c r="I1061">
        <v>1.3608370000000001</v>
      </c>
      <c r="J1061">
        <v>1.93</v>
      </c>
      <c r="K1061">
        <v>26</v>
      </c>
      <c r="M1061">
        <v>0</v>
      </c>
      <c r="N1061" s="2">
        <v>1123</v>
      </c>
      <c r="O1061">
        <v>1528.22</v>
      </c>
      <c r="P1061">
        <v>62</v>
      </c>
      <c r="Q1061">
        <v>1061</v>
      </c>
      <c r="R1061">
        <v>7.18</v>
      </c>
      <c r="S1061">
        <v>0</v>
      </c>
      <c r="T1061">
        <v>327</v>
      </c>
      <c r="U1061" s="2">
        <v>631.11</v>
      </c>
      <c r="V1061">
        <v>0</v>
      </c>
      <c r="W1061" t="s">
        <v>29</v>
      </c>
      <c r="X1061" t="str">
        <f>IF(Table2[[#This Row],[Qty available]]&gt;Table2[[#This Row],[Qty on hand]],"Check","OK")</f>
        <v>OK</v>
      </c>
    </row>
    <row r="1062" spans="1:24" x14ac:dyDescent="0.3">
      <c r="A1062" t="s">
        <v>149</v>
      </c>
      <c r="B1062" t="s">
        <v>150</v>
      </c>
      <c r="C1062" t="s">
        <v>69</v>
      </c>
      <c r="D1062" t="s">
        <v>70</v>
      </c>
      <c r="E1062" t="s">
        <v>27</v>
      </c>
      <c r="F1062" s="1" t="s">
        <v>33</v>
      </c>
      <c r="G1062" s="2">
        <v>1.41</v>
      </c>
      <c r="H1062">
        <v>1.41</v>
      </c>
      <c r="I1062">
        <v>1.3851</v>
      </c>
      <c r="J1062">
        <v>1.93</v>
      </c>
      <c r="K1062">
        <v>26</v>
      </c>
      <c r="L1062" s="2">
        <v>24</v>
      </c>
      <c r="M1062">
        <v>1094</v>
      </c>
      <c r="N1062" s="2">
        <v>1655</v>
      </c>
      <c r="O1062">
        <v>2292.34</v>
      </c>
      <c r="P1062">
        <v>62</v>
      </c>
      <c r="Q1062">
        <v>1593</v>
      </c>
      <c r="R1062">
        <v>11.46</v>
      </c>
      <c r="S1062">
        <v>0</v>
      </c>
      <c r="T1062">
        <v>562</v>
      </c>
      <c r="U1062" s="2">
        <v>1084.6600000000001</v>
      </c>
      <c r="V1062">
        <v>0</v>
      </c>
      <c r="W1062" t="s">
        <v>29</v>
      </c>
      <c r="X1062" t="str">
        <f>IF(Table2[[#This Row],[Qty available]]&gt;Table2[[#This Row],[Qty on hand]],"Check","OK")</f>
        <v>OK</v>
      </c>
    </row>
    <row r="1063" spans="1:24" x14ac:dyDescent="0.3">
      <c r="A1063" t="s">
        <v>149</v>
      </c>
      <c r="B1063" t="s">
        <v>150</v>
      </c>
      <c r="C1063" t="s">
        <v>69</v>
      </c>
      <c r="D1063" t="s">
        <v>70</v>
      </c>
      <c r="E1063" t="s">
        <v>27</v>
      </c>
      <c r="F1063" s="1" t="s">
        <v>34</v>
      </c>
      <c r="G1063" s="2">
        <v>1.42</v>
      </c>
      <c r="H1063">
        <v>1.42</v>
      </c>
      <c r="I1063">
        <v>1.3905259999999999</v>
      </c>
      <c r="J1063">
        <v>2</v>
      </c>
      <c r="K1063">
        <v>26</v>
      </c>
      <c r="L1063" s="2">
        <v>26</v>
      </c>
      <c r="M1063">
        <v>305</v>
      </c>
      <c r="N1063" s="2">
        <v>1121</v>
      </c>
      <c r="O1063">
        <v>1558.78</v>
      </c>
      <c r="P1063">
        <v>62</v>
      </c>
      <c r="Q1063">
        <v>1059</v>
      </c>
      <c r="R1063">
        <v>8.34</v>
      </c>
      <c r="S1063">
        <v>0</v>
      </c>
      <c r="T1063">
        <v>839</v>
      </c>
      <c r="U1063" s="2">
        <v>1678</v>
      </c>
      <c r="V1063">
        <v>0</v>
      </c>
      <c r="W1063" t="s">
        <v>29</v>
      </c>
      <c r="X1063" t="str">
        <f>IF(Table2[[#This Row],[Qty available]]&gt;Table2[[#This Row],[Qty on hand]],"Check","OK")</f>
        <v>OK</v>
      </c>
    </row>
    <row r="1064" spans="1:24" x14ac:dyDescent="0.3">
      <c r="A1064" t="s">
        <v>149</v>
      </c>
      <c r="B1064" t="s">
        <v>150</v>
      </c>
      <c r="C1064" t="s">
        <v>69</v>
      </c>
      <c r="D1064" t="s">
        <v>70</v>
      </c>
      <c r="E1064" t="s">
        <v>27</v>
      </c>
      <c r="F1064" s="1" t="s">
        <v>35</v>
      </c>
      <c r="G1064" s="2">
        <v>1.38</v>
      </c>
      <c r="H1064">
        <v>1.38</v>
      </c>
      <c r="I1064">
        <v>1.386269</v>
      </c>
      <c r="J1064">
        <v>2</v>
      </c>
      <c r="K1064">
        <v>26</v>
      </c>
      <c r="L1064" s="2">
        <v>31</v>
      </c>
      <c r="M1064">
        <v>760</v>
      </c>
      <c r="N1064" s="2">
        <v>796</v>
      </c>
      <c r="O1064">
        <v>1103.47</v>
      </c>
      <c r="P1064">
        <v>166</v>
      </c>
      <c r="Q1064">
        <v>630</v>
      </c>
      <c r="R1064">
        <v>4.12</v>
      </c>
      <c r="S1064">
        <v>0</v>
      </c>
      <c r="T1064">
        <v>1085</v>
      </c>
      <c r="U1064" s="2">
        <v>2170</v>
      </c>
      <c r="V1064">
        <v>0</v>
      </c>
      <c r="W1064" t="s">
        <v>29</v>
      </c>
      <c r="X1064" t="str">
        <f>IF(Table2[[#This Row],[Qty available]]&gt;Table2[[#This Row],[Qty on hand]],"Check","OK")</f>
        <v>OK</v>
      </c>
    </row>
    <row r="1065" spans="1:24" x14ac:dyDescent="0.3">
      <c r="A1065" t="s">
        <v>149</v>
      </c>
      <c r="B1065" t="s">
        <v>150</v>
      </c>
      <c r="C1065" t="s">
        <v>69</v>
      </c>
      <c r="D1065" t="s">
        <v>70</v>
      </c>
      <c r="E1065" t="s">
        <v>27</v>
      </c>
      <c r="F1065" s="1" t="s">
        <v>36</v>
      </c>
      <c r="G1065" s="2">
        <v>1.38</v>
      </c>
      <c r="H1065">
        <v>1.38</v>
      </c>
      <c r="I1065">
        <v>1.3862699999999999</v>
      </c>
      <c r="J1065">
        <v>2</v>
      </c>
      <c r="K1065">
        <v>26</v>
      </c>
      <c r="M1065">
        <v>0</v>
      </c>
      <c r="N1065" s="2">
        <v>488</v>
      </c>
      <c r="O1065">
        <v>676.5</v>
      </c>
      <c r="P1065">
        <v>208</v>
      </c>
      <c r="Q1065">
        <v>280</v>
      </c>
      <c r="R1065">
        <v>2.78</v>
      </c>
      <c r="S1065">
        <v>5</v>
      </c>
      <c r="T1065">
        <v>308</v>
      </c>
      <c r="U1065" s="2">
        <v>616</v>
      </c>
      <c r="V1065">
        <v>0</v>
      </c>
      <c r="W1065" t="s">
        <v>29</v>
      </c>
      <c r="X1065" t="str">
        <f>IF(Table2[[#This Row],[Qty available]]&gt;Table2[[#This Row],[Qty on hand]],"Check","OK")</f>
        <v>OK</v>
      </c>
    </row>
    <row r="1066" spans="1:24" x14ac:dyDescent="0.3">
      <c r="A1066" t="s">
        <v>149</v>
      </c>
      <c r="B1066" t="s">
        <v>150</v>
      </c>
      <c r="C1066" t="s">
        <v>69</v>
      </c>
      <c r="D1066" t="s">
        <v>70</v>
      </c>
      <c r="E1066" t="s">
        <v>27</v>
      </c>
      <c r="F1066" s="1" t="s">
        <v>37</v>
      </c>
      <c r="G1066" s="2">
        <v>1.41</v>
      </c>
      <c r="H1066">
        <v>1.41</v>
      </c>
      <c r="I1066">
        <v>1.4054819999999999</v>
      </c>
      <c r="J1066">
        <v>2</v>
      </c>
      <c r="K1066">
        <v>26</v>
      </c>
      <c r="L1066" s="2">
        <v>43</v>
      </c>
      <c r="M1066">
        <v>2075</v>
      </c>
      <c r="N1066" s="2">
        <v>1868</v>
      </c>
      <c r="O1066">
        <v>2625.44</v>
      </c>
      <c r="P1066">
        <v>104</v>
      </c>
      <c r="Q1066">
        <v>1764</v>
      </c>
      <c r="R1066">
        <v>11.76</v>
      </c>
      <c r="S1066">
        <v>1</v>
      </c>
      <c r="T1066">
        <v>695</v>
      </c>
      <c r="U1066" s="2">
        <v>1390</v>
      </c>
      <c r="V1066">
        <v>0</v>
      </c>
      <c r="W1066" t="s">
        <v>29</v>
      </c>
      <c r="X1066" t="str">
        <f>IF(Table2[[#This Row],[Qty available]]&gt;Table2[[#This Row],[Qty on hand]],"Check","OK")</f>
        <v>OK</v>
      </c>
    </row>
    <row r="1067" spans="1:24" x14ac:dyDescent="0.3">
      <c r="A1067" t="s">
        <v>149</v>
      </c>
      <c r="B1067" t="s">
        <v>150</v>
      </c>
      <c r="C1067" t="s">
        <v>69</v>
      </c>
      <c r="D1067" t="s">
        <v>70</v>
      </c>
      <c r="E1067" t="s">
        <v>27</v>
      </c>
      <c r="F1067" s="1" t="s">
        <v>38</v>
      </c>
      <c r="G1067" s="2">
        <v>1.38</v>
      </c>
      <c r="H1067">
        <v>1.38</v>
      </c>
      <c r="I1067">
        <v>1.4012800000000001</v>
      </c>
      <c r="J1067">
        <v>2</v>
      </c>
      <c r="K1067">
        <v>26</v>
      </c>
      <c r="L1067" s="2">
        <v>25</v>
      </c>
      <c r="M1067">
        <v>369</v>
      </c>
      <c r="N1067" s="2">
        <v>1336</v>
      </c>
      <c r="O1067">
        <v>1872.11</v>
      </c>
      <c r="P1067">
        <v>208</v>
      </c>
      <c r="Q1067">
        <v>1128</v>
      </c>
      <c r="R1067">
        <v>9.1199999999999992</v>
      </c>
      <c r="S1067">
        <v>0</v>
      </c>
      <c r="T1067">
        <v>901</v>
      </c>
      <c r="U1067" s="2">
        <v>1802</v>
      </c>
      <c r="V1067">
        <v>0</v>
      </c>
      <c r="W1067" t="s">
        <v>29</v>
      </c>
      <c r="X1067" t="str">
        <f>IF(Table2[[#This Row],[Qty available]]&gt;Table2[[#This Row],[Qty on hand]],"Check","OK")</f>
        <v>OK</v>
      </c>
    </row>
    <row r="1068" spans="1:24" x14ac:dyDescent="0.3">
      <c r="A1068" t="s">
        <v>149</v>
      </c>
      <c r="B1068" t="s">
        <v>150</v>
      </c>
      <c r="C1068" t="s">
        <v>69</v>
      </c>
      <c r="D1068" t="s">
        <v>70</v>
      </c>
      <c r="E1068" t="s">
        <v>27</v>
      </c>
      <c r="F1068" s="1" t="s">
        <v>39</v>
      </c>
      <c r="G1068" s="2">
        <v>1.37</v>
      </c>
      <c r="H1068">
        <v>1.37</v>
      </c>
      <c r="I1068">
        <v>1.4012789999999999</v>
      </c>
      <c r="J1068">
        <v>2</v>
      </c>
      <c r="K1068">
        <v>26</v>
      </c>
      <c r="M1068">
        <v>0</v>
      </c>
      <c r="N1068" s="2">
        <v>477</v>
      </c>
      <c r="O1068">
        <v>668.41</v>
      </c>
      <c r="P1068">
        <v>145</v>
      </c>
      <c r="Q1068">
        <v>332</v>
      </c>
      <c r="R1068">
        <v>2.5499999999999998</v>
      </c>
      <c r="S1068">
        <v>0</v>
      </c>
      <c r="T1068">
        <v>859</v>
      </c>
      <c r="U1068" s="2">
        <v>1718</v>
      </c>
      <c r="V1068">
        <v>0</v>
      </c>
      <c r="W1068" t="s">
        <v>29</v>
      </c>
      <c r="X1068" t="str">
        <f>IF(Table2[[#This Row],[Qty available]]&gt;Table2[[#This Row],[Qty on hand]],"Check","OK")</f>
        <v>OK</v>
      </c>
    </row>
    <row r="1069" spans="1:24" x14ac:dyDescent="0.3">
      <c r="A1069" t="s">
        <v>149</v>
      </c>
      <c r="B1069" t="s">
        <v>150</v>
      </c>
      <c r="C1069" t="s">
        <v>69</v>
      </c>
      <c r="D1069" t="s">
        <v>70</v>
      </c>
      <c r="E1069" t="s">
        <v>27</v>
      </c>
      <c r="F1069" s="1" t="s">
        <v>40</v>
      </c>
      <c r="G1069" s="2">
        <v>1.38</v>
      </c>
      <c r="H1069">
        <v>1.38</v>
      </c>
      <c r="I1069">
        <v>1.3840520000000001</v>
      </c>
      <c r="J1069">
        <v>2</v>
      </c>
      <c r="K1069">
        <v>26</v>
      </c>
      <c r="L1069" s="2">
        <v>24</v>
      </c>
      <c r="M1069">
        <v>2029</v>
      </c>
      <c r="N1069" s="2">
        <v>2394</v>
      </c>
      <c r="O1069">
        <v>3313.42</v>
      </c>
      <c r="P1069">
        <v>42</v>
      </c>
      <c r="Q1069">
        <v>2352</v>
      </c>
      <c r="R1069">
        <v>16.809999999999999</v>
      </c>
      <c r="S1069">
        <v>2</v>
      </c>
      <c r="T1069">
        <v>112</v>
      </c>
      <c r="U1069" s="2">
        <v>224</v>
      </c>
      <c r="V1069">
        <v>0</v>
      </c>
      <c r="W1069" t="s">
        <v>29</v>
      </c>
      <c r="X1069" t="str">
        <f>IF(Table2[[#This Row],[Qty available]]&gt;Table2[[#This Row],[Qty on hand]],"Check","OK")</f>
        <v>OK</v>
      </c>
    </row>
    <row r="1070" spans="1:24" x14ac:dyDescent="0.3">
      <c r="A1070" t="s">
        <v>149</v>
      </c>
      <c r="B1070" t="s">
        <v>150</v>
      </c>
      <c r="C1070" t="s">
        <v>69</v>
      </c>
      <c r="D1070" t="s">
        <v>70</v>
      </c>
      <c r="E1070" t="s">
        <v>27</v>
      </c>
      <c r="F1070" s="1" t="s">
        <v>41</v>
      </c>
      <c r="G1070" s="2">
        <v>1.41</v>
      </c>
      <c r="H1070">
        <v>1.41</v>
      </c>
      <c r="I1070">
        <v>1.3840539999999999</v>
      </c>
      <c r="J1070">
        <v>2</v>
      </c>
      <c r="K1070">
        <v>26</v>
      </c>
      <c r="M1070">
        <v>0</v>
      </c>
      <c r="N1070" s="2">
        <v>1924</v>
      </c>
      <c r="O1070">
        <v>2662.92</v>
      </c>
      <c r="P1070">
        <v>125</v>
      </c>
      <c r="Q1070">
        <v>1799</v>
      </c>
      <c r="R1070">
        <v>17.55</v>
      </c>
      <c r="S1070">
        <v>1</v>
      </c>
      <c r="T1070">
        <v>470</v>
      </c>
      <c r="U1070" s="2">
        <v>940</v>
      </c>
      <c r="V1070">
        <v>0</v>
      </c>
      <c r="W1070" t="s">
        <v>29</v>
      </c>
      <c r="X1070" t="str">
        <f>IF(Table2[[#This Row],[Qty available]]&gt;Table2[[#This Row],[Qty on hand]],"Check","OK")</f>
        <v>OK</v>
      </c>
    </row>
    <row r="1071" spans="1:24" x14ac:dyDescent="0.3">
      <c r="A1071" t="s">
        <v>149</v>
      </c>
      <c r="B1071" t="s">
        <v>150</v>
      </c>
      <c r="C1071" t="s">
        <v>69</v>
      </c>
      <c r="D1071" t="s">
        <v>70</v>
      </c>
      <c r="E1071" t="s">
        <v>27</v>
      </c>
      <c r="F1071" s="1" t="s">
        <v>42</v>
      </c>
      <c r="G1071" s="2">
        <v>1.38</v>
      </c>
      <c r="H1071">
        <v>1.38</v>
      </c>
      <c r="I1071">
        <v>1.3828879999999999</v>
      </c>
      <c r="J1071">
        <v>2</v>
      </c>
      <c r="K1071">
        <v>26</v>
      </c>
      <c r="L1071" s="2">
        <v>24</v>
      </c>
      <c r="M1071">
        <v>777</v>
      </c>
      <c r="N1071" s="2">
        <v>1991</v>
      </c>
      <c r="O1071">
        <v>2753.33</v>
      </c>
      <c r="P1071">
        <v>166</v>
      </c>
      <c r="Q1071">
        <v>1825</v>
      </c>
      <c r="R1071">
        <v>20.25</v>
      </c>
      <c r="S1071">
        <v>0</v>
      </c>
      <c r="T1071">
        <v>710</v>
      </c>
      <c r="U1071" s="2">
        <v>1420</v>
      </c>
      <c r="V1071">
        <v>0</v>
      </c>
      <c r="W1071" t="s">
        <v>29</v>
      </c>
      <c r="X1071" t="str">
        <f>IF(Table2[[#This Row],[Qty available]]&gt;Table2[[#This Row],[Qty on hand]],"Check","OK")</f>
        <v>OK</v>
      </c>
    </row>
    <row r="1072" spans="1:24" x14ac:dyDescent="0.3">
      <c r="A1072" t="s">
        <v>149</v>
      </c>
      <c r="B1072" t="s">
        <v>150</v>
      </c>
      <c r="C1072" t="s">
        <v>69</v>
      </c>
      <c r="D1072" t="s">
        <v>70</v>
      </c>
      <c r="E1072" t="s">
        <v>27</v>
      </c>
      <c r="F1072" s="1" t="s">
        <v>43</v>
      </c>
      <c r="G1072" s="2">
        <v>1.42</v>
      </c>
      <c r="H1072">
        <v>1.42</v>
      </c>
      <c r="I1072">
        <v>1.393845</v>
      </c>
      <c r="J1072">
        <v>2</v>
      </c>
      <c r="K1072">
        <v>26</v>
      </c>
      <c r="L1072" s="2">
        <v>24</v>
      </c>
      <c r="M1072">
        <v>834</v>
      </c>
      <c r="N1072" s="2">
        <v>2458</v>
      </c>
      <c r="O1072">
        <v>3426.07</v>
      </c>
      <c r="P1072">
        <v>42</v>
      </c>
      <c r="Q1072">
        <v>2416</v>
      </c>
      <c r="R1072">
        <v>20.66</v>
      </c>
      <c r="S1072">
        <v>0</v>
      </c>
      <c r="T1072">
        <v>367</v>
      </c>
      <c r="U1072" s="2">
        <v>734</v>
      </c>
      <c r="V1072">
        <v>0</v>
      </c>
      <c r="W1072" t="s">
        <v>29</v>
      </c>
      <c r="X1072" t="str">
        <f>IF(Table2[[#This Row],[Qty available]]&gt;Table2[[#This Row],[Qty on hand]],"Check","OK")</f>
        <v>OK</v>
      </c>
    </row>
    <row r="1073" spans="1:24" x14ac:dyDescent="0.3">
      <c r="A1073" t="s">
        <v>149</v>
      </c>
      <c r="B1073" t="s">
        <v>150</v>
      </c>
      <c r="C1073" t="s">
        <v>69</v>
      </c>
      <c r="D1073" t="s">
        <v>70</v>
      </c>
      <c r="E1073" t="s">
        <v>27</v>
      </c>
      <c r="F1073" s="1" t="s">
        <v>44</v>
      </c>
      <c r="G1073" s="2">
        <v>1.44</v>
      </c>
      <c r="H1073">
        <v>1.44</v>
      </c>
      <c r="I1073">
        <v>1.3938470000000001</v>
      </c>
      <c r="J1073">
        <v>2</v>
      </c>
      <c r="K1073">
        <v>26</v>
      </c>
      <c r="M1073">
        <v>0</v>
      </c>
      <c r="N1073" s="2">
        <v>1721</v>
      </c>
      <c r="O1073">
        <v>2398.81</v>
      </c>
      <c r="P1073">
        <v>145</v>
      </c>
      <c r="Q1073">
        <v>1576</v>
      </c>
      <c r="R1073">
        <v>12.47</v>
      </c>
      <c r="S1073">
        <v>1</v>
      </c>
      <c r="T1073">
        <v>737</v>
      </c>
      <c r="U1073" s="2">
        <v>1474</v>
      </c>
      <c r="V1073">
        <v>0</v>
      </c>
      <c r="W1073" t="s">
        <v>29</v>
      </c>
      <c r="X1073" t="str">
        <f>IF(Table2[[#This Row],[Qty available]]&gt;Table2[[#This Row],[Qty on hand]],"Check","OK")</f>
        <v>OK</v>
      </c>
    </row>
    <row r="1074" spans="1:24" x14ac:dyDescent="0.3">
      <c r="A1074" t="s">
        <v>149</v>
      </c>
      <c r="B1074" t="s">
        <v>150</v>
      </c>
      <c r="C1074" t="s">
        <v>69</v>
      </c>
      <c r="D1074" t="s">
        <v>70</v>
      </c>
      <c r="E1074" t="s">
        <v>27</v>
      </c>
      <c r="F1074" s="1" t="s">
        <v>45</v>
      </c>
      <c r="G1074" s="2">
        <v>1.47</v>
      </c>
      <c r="H1074">
        <v>1.47</v>
      </c>
      <c r="I1074">
        <v>1.399195</v>
      </c>
      <c r="J1074">
        <v>2</v>
      </c>
      <c r="K1074">
        <v>26</v>
      </c>
      <c r="L1074" s="2">
        <v>33</v>
      </c>
      <c r="M1074">
        <v>130</v>
      </c>
      <c r="N1074" s="2">
        <v>1553</v>
      </c>
      <c r="O1074">
        <v>2172.9499999999998</v>
      </c>
      <c r="P1074">
        <v>145</v>
      </c>
      <c r="Q1074">
        <v>1408</v>
      </c>
      <c r="R1074">
        <v>14.56</v>
      </c>
      <c r="S1074">
        <v>6</v>
      </c>
      <c r="T1074">
        <v>298</v>
      </c>
      <c r="U1074" s="2">
        <v>596</v>
      </c>
      <c r="V1074">
        <v>0</v>
      </c>
      <c r="W1074" t="s">
        <v>29</v>
      </c>
      <c r="X1074" t="str">
        <f>IF(Table2[[#This Row],[Qty available]]&gt;Table2[[#This Row],[Qty on hand]],"Check","OK")</f>
        <v>OK</v>
      </c>
    </row>
    <row r="1075" spans="1:24" x14ac:dyDescent="0.3">
      <c r="A1075" t="s">
        <v>149</v>
      </c>
      <c r="B1075" t="s">
        <v>150</v>
      </c>
      <c r="C1075" t="s">
        <v>69</v>
      </c>
      <c r="D1075" t="s">
        <v>70</v>
      </c>
      <c r="E1075" t="s">
        <v>27</v>
      </c>
      <c r="F1075" s="1" t="s">
        <v>46</v>
      </c>
      <c r="G1075" s="2">
        <v>1.43</v>
      </c>
      <c r="H1075">
        <v>1.43</v>
      </c>
      <c r="I1075">
        <v>1.4086920000000001</v>
      </c>
      <c r="J1075">
        <v>2.0699999999999998</v>
      </c>
      <c r="K1075">
        <v>26</v>
      </c>
      <c r="L1075" s="2">
        <v>38</v>
      </c>
      <c r="M1075">
        <v>692</v>
      </c>
      <c r="N1075" s="2">
        <v>1728</v>
      </c>
      <c r="O1075">
        <v>2434.2199999999998</v>
      </c>
      <c r="P1075">
        <v>83</v>
      </c>
      <c r="Q1075">
        <v>1645</v>
      </c>
      <c r="R1075">
        <v>14.32</v>
      </c>
      <c r="S1075">
        <v>0</v>
      </c>
      <c r="T1075">
        <v>517</v>
      </c>
      <c r="U1075" s="2">
        <v>1070.19</v>
      </c>
      <c r="V1075">
        <v>0</v>
      </c>
      <c r="W1075" t="s">
        <v>29</v>
      </c>
      <c r="X1075" t="str">
        <f>IF(Table2[[#This Row],[Qty available]]&gt;Table2[[#This Row],[Qty on hand]],"Check","OK")</f>
        <v>OK</v>
      </c>
    </row>
    <row r="1076" spans="1:24" x14ac:dyDescent="0.3">
      <c r="A1076" t="s">
        <v>149</v>
      </c>
      <c r="B1076" t="s">
        <v>150</v>
      </c>
      <c r="C1076" t="s">
        <v>69</v>
      </c>
      <c r="D1076" t="s">
        <v>70</v>
      </c>
      <c r="E1076" t="s">
        <v>27</v>
      </c>
      <c r="F1076" s="1" t="s">
        <v>47</v>
      </c>
      <c r="G1076" s="2">
        <v>1.42</v>
      </c>
      <c r="H1076">
        <v>1.42</v>
      </c>
      <c r="I1076">
        <v>1.41164</v>
      </c>
      <c r="J1076">
        <v>2.0699999999999998</v>
      </c>
      <c r="K1076">
        <v>26</v>
      </c>
      <c r="L1076" s="2">
        <v>23</v>
      </c>
      <c r="M1076">
        <v>609</v>
      </c>
      <c r="N1076" s="2">
        <v>1494</v>
      </c>
      <c r="O1076">
        <v>2108.9899999999998</v>
      </c>
      <c r="P1076">
        <v>83</v>
      </c>
      <c r="Q1076">
        <v>1411</v>
      </c>
      <c r="R1076">
        <v>11.59</v>
      </c>
      <c r="S1076">
        <v>0</v>
      </c>
      <c r="T1076">
        <v>843</v>
      </c>
      <c r="U1076" s="2">
        <v>1745.01</v>
      </c>
      <c r="V1076">
        <v>0</v>
      </c>
      <c r="W1076" t="s">
        <v>29</v>
      </c>
      <c r="X1076" t="str">
        <f>IF(Table2[[#This Row],[Qty available]]&gt;Table2[[#This Row],[Qty on hand]],"Check","OK")</f>
        <v>OK</v>
      </c>
    </row>
    <row r="1077" spans="1:24" x14ac:dyDescent="0.3">
      <c r="A1077" t="s">
        <v>149</v>
      </c>
      <c r="B1077" t="s">
        <v>150</v>
      </c>
      <c r="C1077" t="s">
        <v>69</v>
      </c>
      <c r="D1077" t="s">
        <v>70</v>
      </c>
      <c r="E1077" t="s">
        <v>27</v>
      </c>
      <c r="F1077" s="1" t="s">
        <v>48</v>
      </c>
      <c r="G1077" s="2">
        <v>1.45</v>
      </c>
      <c r="H1077">
        <v>1.45</v>
      </c>
      <c r="I1077">
        <v>1.4116409999999999</v>
      </c>
      <c r="J1077">
        <v>2.0699999999999998</v>
      </c>
      <c r="K1077">
        <v>26</v>
      </c>
      <c r="M1077">
        <v>0</v>
      </c>
      <c r="N1077" s="2">
        <v>1048</v>
      </c>
      <c r="O1077">
        <v>1479.4</v>
      </c>
      <c r="P1077">
        <v>187</v>
      </c>
      <c r="Q1077">
        <v>861</v>
      </c>
      <c r="R1077">
        <v>7.38</v>
      </c>
      <c r="S1077">
        <v>0</v>
      </c>
      <c r="T1077">
        <v>446</v>
      </c>
      <c r="U1077" s="2">
        <v>923.22</v>
      </c>
      <c r="V1077">
        <v>0</v>
      </c>
      <c r="W1077" t="s">
        <v>29</v>
      </c>
      <c r="X1077" t="str">
        <f>IF(Table2[[#This Row],[Qty available]]&gt;Table2[[#This Row],[Qty on hand]],"Check","OK")</f>
        <v>OK</v>
      </c>
    </row>
    <row r="1078" spans="1:24" x14ac:dyDescent="0.3">
      <c r="A1078" t="s">
        <v>149</v>
      </c>
      <c r="B1078" t="s">
        <v>150</v>
      </c>
      <c r="C1078" t="s">
        <v>69</v>
      </c>
      <c r="D1078" t="s">
        <v>70</v>
      </c>
      <c r="E1078" t="s">
        <v>27</v>
      </c>
      <c r="F1078" s="1" t="s">
        <v>49</v>
      </c>
      <c r="G1078" s="2">
        <v>1.43</v>
      </c>
      <c r="H1078">
        <v>1.43</v>
      </c>
      <c r="I1078">
        <v>1.413416</v>
      </c>
      <c r="J1078">
        <v>2.0699999999999998</v>
      </c>
      <c r="K1078">
        <v>26</v>
      </c>
      <c r="L1078" s="2">
        <v>34</v>
      </c>
      <c r="M1078">
        <v>112</v>
      </c>
      <c r="N1078" s="2">
        <v>966</v>
      </c>
      <c r="O1078">
        <v>1365.36</v>
      </c>
      <c r="P1078">
        <v>83</v>
      </c>
      <c r="Q1078">
        <v>883</v>
      </c>
      <c r="R1078">
        <v>8.56</v>
      </c>
      <c r="S1078">
        <v>1</v>
      </c>
      <c r="T1078">
        <v>194</v>
      </c>
      <c r="U1078" s="2">
        <v>401.58</v>
      </c>
      <c r="V1078">
        <v>0</v>
      </c>
      <c r="W1078" t="s">
        <v>29</v>
      </c>
      <c r="X1078" t="str">
        <f>IF(Table2[[#This Row],[Qty available]]&gt;Table2[[#This Row],[Qty on hand]],"Check","OK")</f>
        <v>OK</v>
      </c>
    </row>
    <row r="1079" spans="1:24" x14ac:dyDescent="0.3">
      <c r="A1079" t="s">
        <v>149</v>
      </c>
      <c r="B1079" t="s">
        <v>150</v>
      </c>
      <c r="C1079" t="s">
        <v>69</v>
      </c>
      <c r="D1079" t="s">
        <v>70</v>
      </c>
      <c r="E1079" t="s">
        <v>27</v>
      </c>
      <c r="F1079" s="1" t="s">
        <v>50</v>
      </c>
      <c r="G1079" s="2">
        <v>1.47</v>
      </c>
      <c r="H1079">
        <v>1.47</v>
      </c>
      <c r="I1079">
        <v>1.413416</v>
      </c>
      <c r="J1079">
        <v>2.0699999999999998</v>
      </c>
      <c r="K1079">
        <v>26</v>
      </c>
      <c r="M1079">
        <v>0</v>
      </c>
      <c r="N1079" s="2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966</v>
      </c>
      <c r="U1079" s="2">
        <v>1999.62</v>
      </c>
      <c r="V1079">
        <v>124</v>
      </c>
      <c r="W1079" t="s">
        <v>59</v>
      </c>
      <c r="X1079" t="str">
        <f>IF(Table2[[#This Row],[Qty available]]&gt;Table2[[#This Row],[Qty on hand]],"Check","OK")</f>
        <v>OK</v>
      </c>
    </row>
    <row r="1080" spans="1:24" x14ac:dyDescent="0.3">
      <c r="A1080" t="s">
        <v>149</v>
      </c>
      <c r="B1080" t="s">
        <v>150</v>
      </c>
      <c r="C1080" t="s">
        <v>69</v>
      </c>
      <c r="D1080" t="s">
        <v>70</v>
      </c>
      <c r="E1080" t="s">
        <v>27</v>
      </c>
      <c r="F1080" s="1" t="s">
        <v>51</v>
      </c>
      <c r="G1080" s="2">
        <v>1.42</v>
      </c>
      <c r="H1080">
        <v>1.42</v>
      </c>
      <c r="I1080">
        <v>1.42</v>
      </c>
      <c r="J1080">
        <v>2.0699999999999998</v>
      </c>
      <c r="K1080">
        <v>26</v>
      </c>
      <c r="L1080" s="2">
        <v>45</v>
      </c>
      <c r="M1080">
        <v>1361</v>
      </c>
      <c r="N1080" s="2">
        <v>908</v>
      </c>
      <c r="O1080">
        <v>1289.3599999999999</v>
      </c>
      <c r="P1080">
        <v>42</v>
      </c>
      <c r="Q1080">
        <v>866</v>
      </c>
      <c r="R1080">
        <v>7.4</v>
      </c>
      <c r="S1080">
        <v>1</v>
      </c>
      <c r="T1080">
        <v>453</v>
      </c>
      <c r="U1080" s="2">
        <v>937.71</v>
      </c>
      <c r="V1080">
        <v>0</v>
      </c>
      <c r="W1080" t="s">
        <v>29</v>
      </c>
      <c r="X1080" t="str">
        <f>IF(Table2[[#This Row],[Qty available]]&gt;Table2[[#This Row],[Qty on hand]],"Check","OK")</f>
        <v>OK</v>
      </c>
    </row>
    <row r="1081" spans="1:24" x14ac:dyDescent="0.3">
      <c r="A1081" t="s">
        <v>149</v>
      </c>
      <c r="B1081" t="s">
        <v>150</v>
      </c>
      <c r="C1081" t="s">
        <v>69</v>
      </c>
      <c r="D1081" t="s">
        <v>70</v>
      </c>
      <c r="E1081" t="s">
        <v>27</v>
      </c>
      <c r="F1081" s="1" t="s">
        <v>52</v>
      </c>
      <c r="G1081" s="2">
        <v>1.44</v>
      </c>
      <c r="H1081">
        <v>1.44</v>
      </c>
      <c r="I1081">
        <v>1.430879</v>
      </c>
      <c r="J1081">
        <v>2.0699999999999998</v>
      </c>
      <c r="K1081">
        <v>26</v>
      </c>
      <c r="L1081" s="2">
        <v>44</v>
      </c>
      <c r="M1081">
        <v>1083</v>
      </c>
      <c r="N1081" s="2">
        <v>1706</v>
      </c>
      <c r="O1081">
        <v>2441.08</v>
      </c>
      <c r="P1081">
        <v>208</v>
      </c>
      <c r="Q1081">
        <v>1498</v>
      </c>
      <c r="R1081">
        <v>13.16</v>
      </c>
      <c r="S1081">
        <v>6</v>
      </c>
      <c r="T1081">
        <v>285</v>
      </c>
      <c r="U1081" s="2">
        <v>589.95000000000005</v>
      </c>
      <c r="V1081">
        <v>0</v>
      </c>
      <c r="W1081" t="s">
        <v>29</v>
      </c>
      <c r="X1081" t="str">
        <f>IF(Table2[[#This Row],[Qty available]]&gt;Table2[[#This Row],[Qty on hand]],"Check","OK")</f>
        <v>OK</v>
      </c>
    </row>
    <row r="1082" spans="1:24" x14ac:dyDescent="0.3">
      <c r="A1082" t="s">
        <v>151</v>
      </c>
      <c r="B1082" t="s">
        <v>152</v>
      </c>
      <c r="C1082" t="s">
        <v>25</v>
      </c>
      <c r="D1082" t="s">
        <v>26</v>
      </c>
      <c r="E1082" t="s">
        <v>27</v>
      </c>
      <c r="F1082" s="1" t="s">
        <v>28</v>
      </c>
      <c r="G1082" s="2">
        <v>6.14</v>
      </c>
      <c r="H1082">
        <v>6.69</v>
      </c>
      <c r="I1082">
        <v>6.6447260000000004</v>
      </c>
      <c r="J1082">
        <v>9.16</v>
      </c>
      <c r="K1082">
        <v>30</v>
      </c>
      <c r="L1082" s="2">
        <v>36</v>
      </c>
      <c r="M1082">
        <v>1867</v>
      </c>
      <c r="N1082" s="2">
        <v>3610</v>
      </c>
      <c r="O1082">
        <v>23987.46</v>
      </c>
      <c r="P1082">
        <v>221</v>
      </c>
      <c r="Q1082">
        <v>3389</v>
      </c>
      <c r="R1082">
        <v>15.83</v>
      </c>
      <c r="S1082">
        <v>0</v>
      </c>
      <c r="T1082">
        <v>1045</v>
      </c>
      <c r="U1082" s="2">
        <v>9572.2000000000007</v>
      </c>
      <c r="V1082">
        <v>0</v>
      </c>
      <c r="W1082" t="s">
        <v>29</v>
      </c>
      <c r="X1082" t="str">
        <f>IF(Table2[[#This Row],[Qty available]]&gt;Table2[[#This Row],[Qty on hand]],"Check","OK")</f>
        <v>OK</v>
      </c>
    </row>
    <row r="1083" spans="1:24" x14ac:dyDescent="0.3">
      <c r="A1083" t="s">
        <v>151</v>
      </c>
      <c r="B1083" t="s">
        <v>152</v>
      </c>
      <c r="C1083" t="s">
        <v>25</v>
      </c>
      <c r="D1083" t="s">
        <v>26</v>
      </c>
      <c r="E1083" t="s">
        <v>27</v>
      </c>
      <c r="F1083" s="1" t="s">
        <v>30</v>
      </c>
      <c r="G1083" s="2">
        <v>6.1</v>
      </c>
      <c r="H1083">
        <v>6.65</v>
      </c>
      <c r="I1083">
        <v>6.6464429999999997</v>
      </c>
      <c r="J1083">
        <v>9.16</v>
      </c>
      <c r="K1083">
        <v>30</v>
      </c>
      <c r="L1083" s="2">
        <v>29</v>
      </c>
      <c r="M1083">
        <v>1742</v>
      </c>
      <c r="N1083" s="2">
        <v>3649</v>
      </c>
      <c r="O1083">
        <v>24252.87</v>
      </c>
      <c r="P1083">
        <v>147</v>
      </c>
      <c r="Q1083">
        <v>3502</v>
      </c>
      <c r="R1083">
        <v>13.61</v>
      </c>
      <c r="S1083">
        <v>1</v>
      </c>
      <c r="T1083">
        <v>1703</v>
      </c>
      <c r="U1083" s="2">
        <v>15599.48</v>
      </c>
      <c r="V1083">
        <v>0</v>
      </c>
      <c r="W1083" t="s">
        <v>29</v>
      </c>
      <c r="X1083" t="str">
        <f>IF(Table2[[#This Row],[Qty available]]&gt;Table2[[#This Row],[Qty on hand]],"Check","OK")</f>
        <v>OK</v>
      </c>
    </row>
    <row r="1084" spans="1:24" x14ac:dyDescent="0.3">
      <c r="A1084" t="s">
        <v>151</v>
      </c>
      <c r="B1084" t="s">
        <v>152</v>
      </c>
      <c r="C1084" t="s">
        <v>25</v>
      </c>
      <c r="D1084" t="s">
        <v>26</v>
      </c>
      <c r="E1084" t="s">
        <v>27</v>
      </c>
      <c r="F1084" s="1" t="s">
        <v>31</v>
      </c>
      <c r="G1084" s="2">
        <v>6</v>
      </c>
      <c r="H1084">
        <v>6.54</v>
      </c>
      <c r="I1084">
        <v>6.6176349999999999</v>
      </c>
      <c r="J1084">
        <v>9.16</v>
      </c>
      <c r="K1084">
        <v>30</v>
      </c>
      <c r="L1084" s="2">
        <v>29</v>
      </c>
      <c r="M1084">
        <v>1354</v>
      </c>
      <c r="N1084" s="2">
        <v>4422</v>
      </c>
      <c r="O1084">
        <v>29263.18</v>
      </c>
      <c r="P1084">
        <v>295</v>
      </c>
      <c r="Q1084">
        <v>4127</v>
      </c>
      <c r="R1084">
        <v>17.27</v>
      </c>
      <c r="S1084">
        <v>0</v>
      </c>
      <c r="T1084">
        <v>581</v>
      </c>
      <c r="U1084" s="2">
        <v>5321.96</v>
      </c>
      <c r="V1084">
        <v>0</v>
      </c>
      <c r="W1084" t="s">
        <v>29</v>
      </c>
      <c r="X1084" t="str">
        <f>IF(Table2[[#This Row],[Qty available]]&gt;Table2[[#This Row],[Qty on hand]],"Check","OK")</f>
        <v>OK</v>
      </c>
    </row>
    <row r="1085" spans="1:24" x14ac:dyDescent="0.3">
      <c r="A1085" t="s">
        <v>151</v>
      </c>
      <c r="B1085" t="s">
        <v>152</v>
      </c>
      <c r="C1085" t="s">
        <v>25</v>
      </c>
      <c r="D1085" t="s">
        <v>26</v>
      </c>
      <c r="E1085" t="s">
        <v>27</v>
      </c>
      <c r="F1085" s="1" t="s">
        <v>32</v>
      </c>
      <c r="G1085" s="2">
        <v>6.08</v>
      </c>
      <c r="H1085">
        <v>6.63</v>
      </c>
      <c r="I1085">
        <v>6.6176329999999997</v>
      </c>
      <c r="J1085">
        <v>9.16</v>
      </c>
      <c r="K1085">
        <v>30</v>
      </c>
      <c r="M1085">
        <v>0</v>
      </c>
      <c r="N1085" s="2">
        <v>2484</v>
      </c>
      <c r="O1085">
        <v>16438.2</v>
      </c>
      <c r="P1085">
        <v>147</v>
      </c>
      <c r="Q1085">
        <v>2337</v>
      </c>
      <c r="R1085">
        <v>7.73</v>
      </c>
      <c r="S1085">
        <v>1</v>
      </c>
      <c r="T1085">
        <v>1938</v>
      </c>
      <c r="U1085" s="2">
        <v>17752.080000000002</v>
      </c>
      <c r="V1085">
        <v>0</v>
      </c>
      <c r="W1085" t="s">
        <v>29</v>
      </c>
      <c r="X1085" t="str">
        <f>IF(Table2[[#This Row],[Qty available]]&gt;Table2[[#This Row],[Qty on hand]],"Check","OK")</f>
        <v>OK</v>
      </c>
    </row>
    <row r="1086" spans="1:24" x14ac:dyDescent="0.3">
      <c r="A1086" t="s">
        <v>151</v>
      </c>
      <c r="B1086" t="s">
        <v>152</v>
      </c>
      <c r="C1086" t="s">
        <v>25</v>
      </c>
      <c r="D1086" t="s">
        <v>26</v>
      </c>
      <c r="E1086" t="s">
        <v>27</v>
      </c>
      <c r="F1086" s="1" t="s">
        <v>33</v>
      </c>
      <c r="G1086" s="2">
        <v>6.15</v>
      </c>
      <c r="H1086">
        <v>6.7</v>
      </c>
      <c r="I1086">
        <v>6.6671069999999997</v>
      </c>
      <c r="J1086">
        <v>9.16</v>
      </c>
      <c r="K1086">
        <v>30</v>
      </c>
      <c r="L1086" s="2">
        <v>28</v>
      </c>
      <c r="M1086">
        <v>3736</v>
      </c>
      <c r="N1086" s="2">
        <v>4310</v>
      </c>
      <c r="O1086">
        <v>28735.23</v>
      </c>
      <c r="P1086">
        <v>221</v>
      </c>
      <c r="Q1086">
        <v>4089</v>
      </c>
      <c r="R1086">
        <v>12.79</v>
      </c>
      <c r="S1086">
        <v>2</v>
      </c>
      <c r="T1086">
        <v>1910</v>
      </c>
      <c r="U1086" s="2">
        <v>17495.599999999999</v>
      </c>
      <c r="V1086">
        <v>0</v>
      </c>
      <c r="W1086" t="s">
        <v>29</v>
      </c>
      <c r="X1086" t="str">
        <f>IF(Table2[[#This Row],[Qty available]]&gt;Table2[[#This Row],[Qty on hand]],"Check","OK")</f>
        <v>OK</v>
      </c>
    </row>
    <row r="1087" spans="1:24" x14ac:dyDescent="0.3">
      <c r="A1087" t="s">
        <v>151</v>
      </c>
      <c r="B1087" t="s">
        <v>152</v>
      </c>
      <c r="C1087" t="s">
        <v>25</v>
      </c>
      <c r="D1087" t="s">
        <v>26</v>
      </c>
      <c r="E1087" t="s">
        <v>27</v>
      </c>
      <c r="F1087" s="1" t="s">
        <v>34</v>
      </c>
      <c r="G1087" s="2">
        <v>6.13</v>
      </c>
      <c r="H1087">
        <v>6.68</v>
      </c>
      <c r="I1087">
        <v>6.6671069999999997</v>
      </c>
      <c r="J1087">
        <v>9.44</v>
      </c>
      <c r="K1087">
        <v>30</v>
      </c>
      <c r="M1087">
        <v>0</v>
      </c>
      <c r="N1087" s="2">
        <v>4241</v>
      </c>
      <c r="O1087">
        <v>28275.200000000001</v>
      </c>
      <c r="P1087">
        <v>258</v>
      </c>
      <c r="Q1087">
        <v>3983</v>
      </c>
      <c r="R1087">
        <v>13.92</v>
      </c>
      <c r="S1087">
        <v>2</v>
      </c>
      <c r="T1087">
        <v>69</v>
      </c>
      <c r="U1087" s="2">
        <v>651.36</v>
      </c>
      <c r="V1087">
        <v>0</v>
      </c>
      <c r="W1087" t="s">
        <v>29</v>
      </c>
      <c r="X1087" t="str">
        <f>IF(Table2[[#This Row],[Qty available]]&gt;Table2[[#This Row],[Qty on hand]],"Check","OK")</f>
        <v>OK</v>
      </c>
    </row>
    <row r="1088" spans="1:24" x14ac:dyDescent="0.3">
      <c r="A1088" t="s">
        <v>151</v>
      </c>
      <c r="B1088" t="s">
        <v>152</v>
      </c>
      <c r="C1088" t="s">
        <v>25</v>
      </c>
      <c r="D1088" t="s">
        <v>26</v>
      </c>
      <c r="E1088" t="s">
        <v>27</v>
      </c>
      <c r="F1088" s="1" t="s">
        <v>35</v>
      </c>
      <c r="G1088" s="2">
        <v>5.96</v>
      </c>
      <c r="H1088">
        <v>6.5</v>
      </c>
      <c r="I1088">
        <v>6.616028</v>
      </c>
      <c r="J1088">
        <v>9.44</v>
      </c>
      <c r="K1088">
        <v>30</v>
      </c>
      <c r="L1088" s="2">
        <v>29</v>
      </c>
      <c r="M1088">
        <v>1867</v>
      </c>
      <c r="N1088" s="2">
        <v>5144</v>
      </c>
      <c r="O1088">
        <v>34032.85</v>
      </c>
      <c r="P1088">
        <v>258</v>
      </c>
      <c r="Q1088">
        <v>4886</v>
      </c>
      <c r="R1088">
        <v>22.47</v>
      </c>
      <c r="S1088">
        <v>0</v>
      </c>
      <c r="T1088">
        <v>964</v>
      </c>
      <c r="U1088" s="2">
        <v>9100.16</v>
      </c>
      <c r="V1088">
        <v>0</v>
      </c>
      <c r="W1088" t="s">
        <v>29</v>
      </c>
      <c r="X1088" t="str">
        <f>IF(Table2[[#This Row],[Qty available]]&gt;Table2[[#This Row],[Qty on hand]],"Check","OK")</f>
        <v>OK</v>
      </c>
    </row>
    <row r="1089" spans="1:24" x14ac:dyDescent="0.3">
      <c r="A1089" t="s">
        <v>151</v>
      </c>
      <c r="B1089" t="s">
        <v>152</v>
      </c>
      <c r="C1089" t="s">
        <v>25</v>
      </c>
      <c r="D1089" t="s">
        <v>26</v>
      </c>
      <c r="E1089" t="s">
        <v>27</v>
      </c>
      <c r="F1089" s="1" t="s">
        <v>36</v>
      </c>
      <c r="G1089" s="2">
        <v>6.29</v>
      </c>
      <c r="H1089">
        <v>6.86</v>
      </c>
      <c r="I1089">
        <v>6.616028</v>
      </c>
      <c r="J1089">
        <v>9.44</v>
      </c>
      <c r="K1089">
        <v>30</v>
      </c>
      <c r="M1089">
        <v>0</v>
      </c>
      <c r="N1089" s="2">
        <v>4534</v>
      </c>
      <c r="O1089">
        <v>29997.07</v>
      </c>
      <c r="P1089">
        <v>74</v>
      </c>
      <c r="Q1089">
        <v>4460</v>
      </c>
      <c r="R1089">
        <v>35.090000000000003</v>
      </c>
      <c r="S1089">
        <v>1</v>
      </c>
      <c r="T1089">
        <v>610</v>
      </c>
      <c r="U1089" s="2">
        <v>5758.4</v>
      </c>
      <c r="V1089">
        <v>0</v>
      </c>
      <c r="W1089" t="s">
        <v>29</v>
      </c>
      <c r="X1089" t="str">
        <f>IF(Table2[[#This Row],[Qty available]]&gt;Table2[[#This Row],[Qty on hand]],"Check","OK")</f>
        <v>OK</v>
      </c>
    </row>
    <row r="1090" spans="1:24" x14ac:dyDescent="0.3">
      <c r="A1090" t="s">
        <v>151</v>
      </c>
      <c r="B1090" t="s">
        <v>152</v>
      </c>
      <c r="C1090" t="s">
        <v>25</v>
      </c>
      <c r="D1090" t="s">
        <v>26</v>
      </c>
      <c r="E1090" t="s">
        <v>27</v>
      </c>
      <c r="F1090" s="1" t="s">
        <v>37</v>
      </c>
      <c r="G1090" s="2">
        <v>6.24</v>
      </c>
      <c r="H1090">
        <v>6.8</v>
      </c>
      <c r="I1090">
        <v>6.6426759999999998</v>
      </c>
      <c r="J1090">
        <v>9.44</v>
      </c>
      <c r="K1090">
        <v>30</v>
      </c>
      <c r="L1090" s="2">
        <v>26</v>
      </c>
      <c r="M1090">
        <v>768</v>
      </c>
      <c r="N1090" s="2">
        <v>3972</v>
      </c>
      <c r="O1090">
        <v>26384.71</v>
      </c>
      <c r="P1090">
        <v>368</v>
      </c>
      <c r="Q1090">
        <v>3604</v>
      </c>
      <c r="R1090">
        <v>17.98</v>
      </c>
      <c r="S1090">
        <v>0</v>
      </c>
      <c r="T1090">
        <v>1330</v>
      </c>
      <c r="U1090" s="2">
        <v>12555.2</v>
      </c>
      <c r="V1090">
        <v>0</v>
      </c>
      <c r="W1090" t="s">
        <v>29</v>
      </c>
      <c r="X1090" t="str">
        <f>IF(Table2[[#This Row],[Qty available]]&gt;Table2[[#This Row],[Qty on hand]],"Check","OK")</f>
        <v>OK</v>
      </c>
    </row>
    <row r="1091" spans="1:24" x14ac:dyDescent="0.3">
      <c r="A1091" t="s">
        <v>151</v>
      </c>
      <c r="B1091" t="s">
        <v>152</v>
      </c>
      <c r="C1091" t="s">
        <v>25</v>
      </c>
      <c r="D1091" t="s">
        <v>26</v>
      </c>
      <c r="E1091" t="s">
        <v>27</v>
      </c>
      <c r="F1091" s="1" t="s">
        <v>38</v>
      </c>
      <c r="G1091" s="2">
        <v>6.29</v>
      </c>
      <c r="H1091">
        <v>6.86</v>
      </c>
      <c r="I1091">
        <v>6.6426780000000001</v>
      </c>
      <c r="J1091">
        <v>9.44</v>
      </c>
      <c r="K1091">
        <v>30</v>
      </c>
      <c r="M1091">
        <v>0</v>
      </c>
      <c r="N1091" s="2">
        <v>3014</v>
      </c>
      <c r="O1091">
        <v>20021.03</v>
      </c>
      <c r="P1091">
        <v>147</v>
      </c>
      <c r="Q1091">
        <v>2867</v>
      </c>
      <c r="R1091">
        <v>13.52</v>
      </c>
      <c r="S1091">
        <v>4</v>
      </c>
      <c r="T1091">
        <v>958</v>
      </c>
      <c r="U1091" s="2">
        <v>9043.52</v>
      </c>
      <c r="V1091">
        <v>0</v>
      </c>
      <c r="W1091" t="s">
        <v>29</v>
      </c>
      <c r="X1091" t="str">
        <f>IF(Table2[[#This Row],[Qty available]]&gt;Table2[[#This Row],[Qty on hand]],"Check","OK")</f>
        <v>OK</v>
      </c>
    </row>
    <row r="1092" spans="1:24" x14ac:dyDescent="0.3">
      <c r="A1092" t="s">
        <v>151</v>
      </c>
      <c r="B1092" t="s">
        <v>152</v>
      </c>
      <c r="C1092" t="s">
        <v>25</v>
      </c>
      <c r="D1092" t="s">
        <v>26</v>
      </c>
      <c r="E1092" t="s">
        <v>27</v>
      </c>
      <c r="F1092" s="1" t="s">
        <v>39</v>
      </c>
      <c r="G1092" s="2">
        <v>6.35</v>
      </c>
      <c r="H1092">
        <v>6.92</v>
      </c>
      <c r="I1092">
        <v>6.716234</v>
      </c>
      <c r="J1092">
        <v>9.44</v>
      </c>
      <c r="K1092">
        <v>30</v>
      </c>
      <c r="L1092" s="2">
        <v>30</v>
      </c>
      <c r="M1092">
        <v>1088</v>
      </c>
      <c r="N1092" s="2">
        <v>3582</v>
      </c>
      <c r="O1092">
        <v>24057.55</v>
      </c>
      <c r="P1092">
        <v>331</v>
      </c>
      <c r="Q1092">
        <v>3251</v>
      </c>
      <c r="R1092">
        <v>16.77</v>
      </c>
      <c r="S1092">
        <v>3</v>
      </c>
      <c r="T1092">
        <v>520</v>
      </c>
      <c r="U1092" s="2">
        <v>4908.8</v>
      </c>
      <c r="V1092">
        <v>0</v>
      </c>
      <c r="W1092" t="s">
        <v>29</v>
      </c>
      <c r="X1092" t="str">
        <f>IF(Table2[[#This Row],[Qty available]]&gt;Table2[[#This Row],[Qty on hand]],"Check","OK")</f>
        <v>OK</v>
      </c>
    </row>
    <row r="1093" spans="1:24" x14ac:dyDescent="0.3">
      <c r="A1093" t="s">
        <v>151</v>
      </c>
      <c r="B1093" t="s">
        <v>152</v>
      </c>
      <c r="C1093" t="s">
        <v>25</v>
      </c>
      <c r="D1093" t="s">
        <v>26</v>
      </c>
      <c r="E1093" t="s">
        <v>27</v>
      </c>
      <c r="F1093" s="1" t="s">
        <v>40</v>
      </c>
      <c r="G1093" s="2">
        <v>6.13</v>
      </c>
      <c r="H1093">
        <v>6.68</v>
      </c>
      <c r="I1093">
        <v>6.701956</v>
      </c>
      <c r="J1093">
        <v>9.44</v>
      </c>
      <c r="K1093">
        <v>30</v>
      </c>
      <c r="L1093" s="2">
        <v>30</v>
      </c>
      <c r="M1093">
        <v>2329</v>
      </c>
      <c r="N1093" s="2">
        <v>4442</v>
      </c>
      <c r="O1093">
        <v>29770.09</v>
      </c>
      <c r="P1093">
        <v>368</v>
      </c>
      <c r="Q1093">
        <v>4074</v>
      </c>
      <c r="R1093">
        <v>19.809999999999999</v>
      </c>
      <c r="S1093">
        <v>0</v>
      </c>
      <c r="T1093">
        <v>1469</v>
      </c>
      <c r="U1093" s="2">
        <v>13867.36</v>
      </c>
      <c r="V1093">
        <v>0</v>
      </c>
      <c r="W1093" t="s">
        <v>29</v>
      </c>
      <c r="X1093" t="str">
        <f>IF(Table2[[#This Row],[Qty available]]&gt;Table2[[#This Row],[Qty on hand]],"Check","OK")</f>
        <v>OK</v>
      </c>
    </row>
    <row r="1094" spans="1:24" x14ac:dyDescent="0.3">
      <c r="A1094" t="s">
        <v>151</v>
      </c>
      <c r="B1094" t="s">
        <v>152</v>
      </c>
      <c r="C1094" t="s">
        <v>25</v>
      </c>
      <c r="D1094" t="s">
        <v>26</v>
      </c>
      <c r="E1094" t="s">
        <v>27</v>
      </c>
      <c r="F1094" s="1" t="s">
        <v>41</v>
      </c>
      <c r="G1094" s="2">
        <v>6.12</v>
      </c>
      <c r="H1094">
        <v>6.67</v>
      </c>
      <c r="I1094">
        <v>6.7019570000000002</v>
      </c>
      <c r="J1094">
        <v>9.44</v>
      </c>
      <c r="K1094">
        <v>30</v>
      </c>
      <c r="M1094">
        <v>0</v>
      </c>
      <c r="N1094" s="2">
        <v>3112</v>
      </c>
      <c r="O1094">
        <v>20856.490000000002</v>
      </c>
      <c r="P1094">
        <v>258</v>
      </c>
      <c r="Q1094">
        <v>2854</v>
      </c>
      <c r="R1094">
        <v>12.32</v>
      </c>
      <c r="S1094">
        <v>0</v>
      </c>
      <c r="T1094">
        <v>1330</v>
      </c>
      <c r="U1094" s="2">
        <v>12555.2</v>
      </c>
      <c r="V1094">
        <v>0</v>
      </c>
      <c r="W1094" t="s">
        <v>29</v>
      </c>
      <c r="X1094" t="str">
        <f>IF(Table2[[#This Row],[Qty available]]&gt;Table2[[#This Row],[Qty on hand]],"Check","OK")</f>
        <v>OK</v>
      </c>
    </row>
    <row r="1095" spans="1:24" x14ac:dyDescent="0.3">
      <c r="A1095" t="s">
        <v>151</v>
      </c>
      <c r="B1095" t="s">
        <v>152</v>
      </c>
      <c r="C1095" t="s">
        <v>25</v>
      </c>
      <c r="D1095" t="s">
        <v>26</v>
      </c>
      <c r="E1095" t="s">
        <v>27</v>
      </c>
      <c r="F1095" s="1" t="s">
        <v>42</v>
      </c>
      <c r="G1095" s="2">
        <v>6.2</v>
      </c>
      <c r="H1095">
        <v>6.76</v>
      </c>
      <c r="I1095">
        <v>6.7228709999999996</v>
      </c>
      <c r="J1095">
        <v>9.44</v>
      </c>
      <c r="K1095">
        <v>30</v>
      </c>
      <c r="L1095" s="2">
        <v>27</v>
      </c>
      <c r="M1095">
        <v>1753</v>
      </c>
      <c r="N1095" s="2">
        <v>3633</v>
      </c>
      <c r="O1095">
        <v>24424.19</v>
      </c>
      <c r="P1095">
        <v>184</v>
      </c>
      <c r="Q1095">
        <v>3449</v>
      </c>
      <c r="R1095">
        <v>11.85</v>
      </c>
      <c r="S1095">
        <v>1</v>
      </c>
      <c r="T1095">
        <v>1232</v>
      </c>
      <c r="U1095" s="2">
        <v>11630.08</v>
      </c>
      <c r="V1095">
        <v>0</v>
      </c>
      <c r="W1095" t="s">
        <v>29</v>
      </c>
      <c r="X1095" t="str">
        <f>IF(Table2[[#This Row],[Qty available]]&gt;Table2[[#This Row],[Qty on hand]],"Check","OK")</f>
        <v>OK</v>
      </c>
    </row>
    <row r="1096" spans="1:24" x14ac:dyDescent="0.3">
      <c r="A1096" t="s">
        <v>151</v>
      </c>
      <c r="B1096" t="s">
        <v>152</v>
      </c>
      <c r="C1096" t="s">
        <v>25</v>
      </c>
      <c r="D1096" t="s">
        <v>26</v>
      </c>
      <c r="E1096" t="s">
        <v>27</v>
      </c>
      <c r="F1096" s="1" t="s">
        <v>43</v>
      </c>
      <c r="G1096" s="2">
        <v>6.35</v>
      </c>
      <c r="H1096">
        <v>6.92</v>
      </c>
      <c r="I1096">
        <v>6.7916999999999996</v>
      </c>
      <c r="J1096">
        <v>9.44</v>
      </c>
      <c r="K1096">
        <v>30</v>
      </c>
      <c r="L1096" s="2">
        <v>28</v>
      </c>
      <c r="M1096">
        <v>1949</v>
      </c>
      <c r="N1096" s="2">
        <v>4211</v>
      </c>
      <c r="O1096">
        <v>28599.85</v>
      </c>
      <c r="P1096">
        <v>184</v>
      </c>
      <c r="Q1096">
        <v>4027</v>
      </c>
      <c r="R1096">
        <v>13.92</v>
      </c>
      <c r="S1096">
        <v>1</v>
      </c>
      <c r="T1096">
        <v>1371</v>
      </c>
      <c r="U1096" s="2">
        <v>12942.24</v>
      </c>
      <c r="V1096">
        <v>0</v>
      </c>
      <c r="W1096" t="s">
        <v>29</v>
      </c>
      <c r="X1096" t="str">
        <f>IF(Table2[[#This Row],[Qty available]]&gt;Table2[[#This Row],[Qty on hand]],"Check","OK")</f>
        <v>OK</v>
      </c>
    </row>
    <row r="1097" spans="1:24" x14ac:dyDescent="0.3">
      <c r="A1097" t="s">
        <v>151</v>
      </c>
      <c r="B1097" t="s">
        <v>152</v>
      </c>
      <c r="C1097" t="s">
        <v>25</v>
      </c>
      <c r="D1097" t="s">
        <v>26</v>
      </c>
      <c r="E1097" t="s">
        <v>27</v>
      </c>
      <c r="F1097" s="1" t="s">
        <v>44</v>
      </c>
      <c r="G1097" s="2">
        <v>6.34</v>
      </c>
      <c r="H1097">
        <v>6.91</v>
      </c>
      <c r="I1097">
        <v>6.8178679999999998</v>
      </c>
      <c r="J1097">
        <v>9.44</v>
      </c>
      <c r="K1097">
        <v>30</v>
      </c>
      <c r="L1097" s="2">
        <v>26</v>
      </c>
      <c r="M1097">
        <v>1196</v>
      </c>
      <c r="N1097" s="2">
        <v>4540</v>
      </c>
      <c r="O1097">
        <v>30953.119999999999</v>
      </c>
      <c r="P1097">
        <v>258</v>
      </c>
      <c r="Q1097">
        <v>4282</v>
      </c>
      <c r="R1097">
        <v>17.2</v>
      </c>
      <c r="S1097">
        <v>0</v>
      </c>
      <c r="T1097">
        <v>867</v>
      </c>
      <c r="U1097" s="2">
        <v>8184.48</v>
      </c>
      <c r="V1097">
        <v>0</v>
      </c>
      <c r="W1097" t="s">
        <v>29</v>
      </c>
      <c r="X1097" t="str">
        <f>IF(Table2[[#This Row],[Qty available]]&gt;Table2[[#This Row],[Qty on hand]],"Check","OK")</f>
        <v>OK</v>
      </c>
    </row>
    <row r="1098" spans="1:24" x14ac:dyDescent="0.3">
      <c r="A1098" t="s">
        <v>151</v>
      </c>
      <c r="B1098" t="s">
        <v>152</v>
      </c>
      <c r="C1098" t="s">
        <v>25</v>
      </c>
      <c r="D1098" t="s">
        <v>26</v>
      </c>
      <c r="E1098" t="s">
        <v>27</v>
      </c>
      <c r="F1098" s="1" t="s">
        <v>45</v>
      </c>
      <c r="G1098" s="2">
        <v>6.15</v>
      </c>
      <c r="H1098">
        <v>6.7</v>
      </c>
      <c r="I1098">
        <v>6.8178669999999997</v>
      </c>
      <c r="J1098">
        <v>9.44</v>
      </c>
      <c r="K1098">
        <v>30</v>
      </c>
      <c r="M1098">
        <v>0</v>
      </c>
      <c r="N1098" s="2">
        <v>2953</v>
      </c>
      <c r="O1098">
        <v>20133.16</v>
      </c>
      <c r="P1098">
        <v>147</v>
      </c>
      <c r="Q1098">
        <v>2806</v>
      </c>
      <c r="R1098">
        <v>10.15</v>
      </c>
      <c r="S1098">
        <v>0</v>
      </c>
      <c r="T1098">
        <v>1587</v>
      </c>
      <c r="U1098" s="2">
        <v>14981.28</v>
      </c>
      <c r="V1098">
        <v>0</v>
      </c>
      <c r="W1098" t="s">
        <v>29</v>
      </c>
      <c r="X1098" t="str">
        <f>IF(Table2[[#This Row],[Qty available]]&gt;Table2[[#This Row],[Qty on hand]],"Check","OK")</f>
        <v>OK</v>
      </c>
    </row>
    <row r="1099" spans="1:24" x14ac:dyDescent="0.3">
      <c r="A1099" t="s">
        <v>151</v>
      </c>
      <c r="B1099" t="s">
        <v>152</v>
      </c>
      <c r="C1099" t="s">
        <v>25</v>
      </c>
      <c r="D1099" t="s">
        <v>26</v>
      </c>
      <c r="E1099" t="s">
        <v>27</v>
      </c>
      <c r="F1099" s="1" t="s">
        <v>46</v>
      </c>
      <c r="G1099" s="2">
        <v>6.3</v>
      </c>
      <c r="H1099">
        <v>6.87</v>
      </c>
      <c r="I1099">
        <v>6.8469699999999998</v>
      </c>
      <c r="J1099">
        <v>9.7200000000000006</v>
      </c>
      <c r="K1099">
        <v>30</v>
      </c>
      <c r="L1099" s="2">
        <v>27</v>
      </c>
      <c r="M1099">
        <v>3732</v>
      </c>
      <c r="N1099" s="2">
        <v>5519</v>
      </c>
      <c r="O1099">
        <v>37788.43</v>
      </c>
      <c r="P1099">
        <v>221</v>
      </c>
      <c r="Q1099">
        <v>5298</v>
      </c>
      <c r="R1099">
        <v>19.600000000000001</v>
      </c>
      <c r="S1099">
        <v>0</v>
      </c>
      <c r="T1099">
        <v>1166</v>
      </c>
      <c r="U1099" s="2">
        <v>11333.52</v>
      </c>
      <c r="V1099">
        <v>0</v>
      </c>
      <c r="W1099" t="s">
        <v>29</v>
      </c>
      <c r="X1099" t="str">
        <f>IF(Table2[[#This Row],[Qty available]]&gt;Table2[[#This Row],[Qty on hand]],"Check","OK")</f>
        <v>OK</v>
      </c>
    </row>
    <row r="1100" spans="1:24" x14ac:dyDescent="0.3">
      <c r="A1100" t="s">
        <v>151</v>
      </c>
      <c r="B1100" t="s">
        <v>152</v>
      </c>
      <c r="C1100" t="s">
        <v>25</v>
      </c>
      <c r="D1100" t="s">
        <v>26</v>
      </c>
      <c r="E1100" t="s">
        <v>27</v>
      </c>
      <c r="F1100" s="1" t="s">
        <v>47</v>
      </c>
      <c r="G1100" s="2">
        <v>6.26</v>
      </c>
      <c r="H1100">
        <v>6.82</v>
      </c>
      <c r="I1100">
        <v>6.8469709999999999</v>
      </c>
      <c r="J1100">
        <v>9.7200000000000006</v>
      </c>
      <c r="K1100">
        <v>30</v>
      </c>
      <c r="M1100">
        <v>0</v>
      </c>
      <c r="N1100" s="2">
        <v>3516</v>
      </c>
      <c r="O1100">
        <v>24073.95</v>
      </c>
      <c r="P1100">
        <v>331</v>
      </c>
      <c r="Q1100">
        <v>3185</v>
      </c>
      <c r="R1100">
        <v>9.5</v>
      </c>
      <c r="S1100">
        <v>0</v>
      </c>
      <c r="T1100">
        <v>2003</v>
      </c>
      <c r="U1100" s="2">
        <v>19469.16</v>
      </c>
      <c r="V1100">
        <v>0</v>
      </c>
      <c r="W1100" t="s">
        <v>29</v>
      </c>
      <c r="X1100" t="str">
        <f>IF(Table2[[#This Row],[Qty available]]&gt;Table2[[#This Row],[Qty on hand]],"Check","OK")</f>
        <v>OK</v>
      </c>
    </row>
    <row r="1101" spans="1:24" x14ac:dyDescent="0.3">
      <c r="A1101" t="s">
        <v>151</v>
      </c>
      <c r="B1101" t="s">
        <v>152</v>
      </c>
      <c r="C1101" t="s">
        <v>25</v>
      </c>
      <c r="D1101" t="s">
        <v>26</v>
      </c>
      <c r="E1101" t="s">
        <v>27</v>
      </c>
      <c r="F1101" s="1" t="s">
        <v>48</v>
      </c>
      <c r="G1101" s="2">
        <v>6.44</v>
      </c>
      <c r="H1101">
        <v>7.02</v>
      </c>
      <c r="I1101">
        <v>6.9177179999999998</v>
      </c>
      <c r="J1101">
        <v>9.7200000000000006</v>
      </c>
      <c r="K1101">
        <v>30</v>
      </c>
      <c r="L1101" s="2">
        <v>30</v>
      </c>
      <c r="M1101">
        <v>2432</v>
      </c>
      <c r="N1101" s="2">
        <v>4846</v>
      </c>
      <c r="O1101">
        <v>33523.26</v>
      </c>
      <c r="P1101">
        <v>368</v>
      </c>
      <c r="Q1101">
        <v>4478</v>
      </c>
      <c r="R1101">
        <v>14.43</v>
      </c>
      <c r="S1101">
        <v>0</v>
      </c>
      <c r="T1101">
        <v>1102</v>
      </c>
      <c r="U1101" s="2">
        <v>10711.44</v>
      </c>
      <c r="V1101">
        <v>0</v>
      </c>
      <c r="W1101" t="s">
        <v>29</v>
      </c>
      <c r="X1101" t="str">
        <f>IF(Table2[[#This Row],[Qty available]]&gt;Table2[[#This Row],[Qty on hand]],"Check","OK")</f>
        <v>OK</v>
      </c>
    </row>
    <row r="1102" spans="1:24" x14ac:dyDescent="0.3">
      <c r="A1102" t="s">
        <v>151</v>
      </c>
      <c r="B1102" t="s">
        <v>152</v>
      </c>
      <c r="C1102" t="s">
        <v>25</v>
      </c>
      <c r="D1102" t="s">
        <v>26</v>
      </c>
      <c r="E1102" t="s">
        <v>27</v>
      </c>
      <c r="F1102" s="1" t="s">
        <v>49</v>
      </c>
      <c r="G1102" s="2">
        <v>6.45</v>
      </c>
      <c r="H1102">
        <v>7.03</v>
      </c>
      <c r="I1102">
        <v>6.9195190000000002</v>
      </c>
      <c r="J1102">
        <v>9.7200000000000006</v>
      </c>
      <c r="K1102">
        <v>30</v>
      </c>
      <c r="L1102" s="2">
        <v>28</v>
      </c>
      <c r="M1102">
        <v>79</v>
      </c>
      <c r="N1102" s="2">
        <v>2887</v>
      </c>
      <c r="O1102">
        <v>19976.650000000001</v>
      </c>
      <c r="P1102">
        <v>331</v>
      </c>
      <c r="Q1102">
        <v>2556</v>
      </c>
      <c r="R1102">
        <v>7.38</v>
      </c>
      <c r="S1102">
        <v>0</v>
      </c>
      <c r="T1102">
        <v>2038</v>
      </c>
      <c r="U1102" s="2">
        <v>19809.36</v>
      </c>
      <c r="V1102">
        <v>0</v>
      </c>
      <c r="W1102" t="s">
        <v>29</v>
      </c>
      <c r="X1102" t="str">
        <f>IF(Table2[[#This Row],[Qty available]]&gt;Table2[[#This Row],[Qty on hand]],"Check","OK")</f>
        <v>OK</v>
      </c>
    </row>
    <row r="1103" spans="1:24" x14ac:dyDescent="0.3">
      <c r="A1103" t="s">
        <v>151</v>
      </c>
      <c r="B1103" t="s">
        <v>152</v>
      </c>
      <c r="C1103" t="s">
        <v>25</v>
      </c>
      <c r="D1103" t="s">
        <v>26</v>
      </c>
      <c r="E1103" t="s">
        <v>27</v>
      </c>
      <c r="F1103" s="1" t="s">
        <v>50</v>
      </c>
      <c r="G1103" s="2">
        <v>6.41</v>
      </c>
      <c r="H1103">
        <v>6.99</v>
      </c>
      <c r="I1103">
        <v>6.9411440000000004</v>
      </c>
      <c r="J1103">
        <v>9.7200000000000006</v>
      </c>
      <c r="K1103">
        <v>30</v>
      </c>
      <c r="L1103" s="2">
        <v>27</v>
      </c>
      <c r="M1103">
        <v>1278</v>
      </c>
      <c r="N1103" s="2">
        <v>2534</v>
      </c>
      <c r="O1103">
        <v>17588.86</v>
      </c>
      <c r="P1103">
        <v>258</v>
      </c>
      <c r="Q1103">
        <v>2276</v>
      </c>
      <c r="R1103">
        <v>6.9</v>
      </c>
      <c r="S1103">
        <v>0</v>
      </c>
      <c r="T1103">
        <v>1631</v>
      </c>
      <c r="U1103" s="2">
        <v>15853.32</v>
      </c>
      <c r="V1103">
        <v>0</v>
      </c>
      <c r="W1103" t="s">
        <v>29</v>
      </c>
      <c r="X1103" t="str">
        <f>IF(Table2[[#This Row],[Qty available]]&gt;Table2[[#This Row],[Qty on hand]],"Check","OK")</f>
        <v>OK</v>
      </c>
    </row>
    <row r="1104" spans="1:24" x14ac:dyDescent="0.3">
      <c r="A1104" t="s">
        <v>151</v>
      </c>
      <c r="B1104" t="s">
        <v>152</v>
      </c>
      <c r="C1104" t="s">
        <v>25</v>
      </c>
      <c r="D1104" t="s">
        <v>26</v>
      </c>
      <c r="E1104" t="s">
        <v>27</v>
      </c>
      <c r="F1104" s="1" t="s">
        <v>51</v>
      </c>
      <c r="G1104" s="2">
        <v>6.45</v>
      </c>
      <c r="H1104">
        <v>7.03</v>
      </c>
      <c r="I1104">
        <v>6.9843669999999998</v>
      </c>
      <c r="J1104">
        <v>9.7200000000000006</v>
      </c>
      <c r="K1104">
        <v>30</v>
      </c>
      <c r="L1104" s="2">
        <v>26</v>
      </c>
      <c r="M1104">
        <v>2400</v>
      </c>
      <c r="N1104" s="2">
        <v>3813</v>
      </c>
      <c r="O1104">
        <v>26631.39</v>
      </c>
      <c r="P1104">
        <v>147</v>
      </c>
      <c r="Q1104">
        <v>3666</v>
      </c>
      <c r="R1104">
        <v>10.46</v>
      </c>
      <c r="S1104">
        <v>1</v>
      </c>
      <c r="T1104">
        <v>1121</v>
      </c>
      <c r="U1104" s="2">
        <v>10896.12</v>
      </c>
      <c r="V1104">
        <v>0</v>
      </c>
      <c r="W1104" t="s">
        <v>29</v>
      </c>
      <c r="X1104" t="str">
        <f>IF(Table2[[#This Row],[Qty available]]&gt;Table2[[#This Row],[Qty on hand]],"Check","OK")</f>
        <v>OK</v>
      </c>
    </row>
    <row r="1105" spans="1:24" x14ac:dyDescent="0.3">
      <c r="A1105" t="s">
        <v>151</v>
      </c>
      <c r="B1105" t="s">
        <v>152</v>
      </c>
      <c r="C1105" t="s">
        <v>25</v>
      </c>
      <c r="D1105" t="s">
        <v>26</v>
      </c>
      <c r="E1105" t="s">
        <v>27</v>
      </c>
      <c r="F1105" s="1" t="s">
        <v>52</v>
      </c>
      <c r="G1105" s="2">
        <v>6.47</v>
      </c>
      <c r="H1105">
        <v>7.05</v>
      </c>
      <c r="I1105">
        <v>6.9865620000000002</v>
      </c>
      <c r="J1105">
        <v>9.7200000000000006</v>
      </c>
      <c r="K1105">
        <v>30</v>
      </c>
      <c r="L1105" s="2">
        <v>28</v>
      </c>
      <c r="M1105">
        <v>132</v>
      </c>
      <c r="N1105" s="2">
        <v>2481</v>
      </c>
      <c r="O1105">
        <v>17333.66</v>
      </c>
      <c r="P1105">
        <v>258</v>
      </c>
      <c r="Q1105">
        <v>2223</v>
      </c>
      <c r="R1105">
        <v>7.73</v>
      </c>
      <c r="S1105">
        <v>1</v>
      </c>
      <c r="T1105">
        <v>1464</v>
      </c>
      <c r="U1105" s="2">
        <v>14230.08</v>
      </c>
      <c r="V1105">
        <v>0</v>
      </c>
      <c r="W1105" t="s">
        <v>29</v>
      </c>
      <c r="X1105" t="str">
        <f>IF(Table2[[#This Row],[Qty available]]&gt;Table2[[#This Row],[Qty on hand]],"Check","OK")</f>
        <v>OK</v>
      </c>
    </row>
    <row r="1106" spans="1:24" x14ac:dyDescent="0.3">
      <c r="A1106" t="s">
        <v>153</v>
      </c>
      <c r="B1106" t="s">
        <v>154</v>
      </c>
      <c r="C1106" t="s">
        <v>91</v>
      </c>
      <c r="D1106" t="s">
        <v>92</v>
      </c>
      <c r="E1106" t="s">
        <v>27</v>
      </c>
      <c r="F1106" s="1" t="s">
        <v>28</v>
      </c>
      <c r="G1106" s="2">
        <v>19.04</v>
      </c>
      <c r="H1106">
        <v>19.04</v>
      </c>
      <c r="I1106">
        <v>19.108637999999999</v>
      </c>
      <c r="J1106">
        <v>25.99</v>
      </c>
      <c r="K1106">
        <v>36</v>
      </c>
      <c r="L1106" s="2">
        <v>52</v>
      </c>
      <c r="M1106">
        <v>100</v>
      </c>
      <c r="N1106" s="2">
        <v>257</v>
      </c>
      <c r="O1106">
        <v>4910.92</v>
      </c>
      <c r="P1106">
        <v>44</v>
      </c>
      <c r="Q1106">
        <v>213</v>
      </c>
      <c r="R1106">
        <v>8.98</v>
      </c>
      <c r="S1106">
        <v>2</v>
      </c>
      <c r="T1106">
        <v>179</v>
      </c>
      <c r="U1106" s="2">
        <v>4652.21</v>
      </c>
      <c r="V1106">
        <v>0</v>
      </c>
      <c r="W1106" t="s">
        <v>29</v>
      </c>
      <c r="X1106" t="str">
        <f>IF(Table2[[#This Row],[Qty available]]&gt;Table2[[#This Row],[Qty on hand]],"Check","OK")</f>
        <v>OK</v>
      </c>
    </row>
    <row r="1107" spans="1:24" x14ac:dyDescent="0.3">
      <c r="A1107" t="s">
        <v>153</v>
      </c>
      <c r="B1107" t="s">
        <v>154</v>
      </c>
      <c r="C1107" t="s">
        <v>91</v>
      </c>
      <c r="D1107" t="s">
        <v>92</v>
      </c>
      <c r="E1107" t="s">
        <v>27</v>
      </c>
      <c r="F1107" s="1" t="s">
        <v>30</v>
      </c>
      <c r="G1107" s="2">
        <v>20.69</v>
      </c>
      <c r="H1107">
        <v>20.69</v>
      </c>
      <c r="I1107">
        <v>19.108649</v>
      </c>
      <c r="J1107">
        <v>25.99</v>
      </c>
      <c r="K1107">
        <v>36</v>
      </c>
      <c r="M1107">
        <v>0</v>
      </c>
      <c r="N1107" s="2">
        <v>185</v>
      </c>
      <c r="O1107">
        <v>3535.1</v>
      </c>
      <c r="P1107">
        <v>24</v>
      </c>
      <c r="Q1107">
        <v>161</v>
      </c>
      <c r="R1107">
        <v>6.77</v>
      </c>
      <c r="S1107">
        <v>0</v>
      </c>
      <c r="T1107">
        <v>72</v>
      </c>
      <c r="U1107" s="2">
        <v>1871.28</v>
      </c>
      <c r="V1107">
        <v>0</v>
      </c>
      <c r="W1107" t="s">
        <v>29</v>
      </c>
      <c r="X1107" t="str">
        <f>IF(Table2[[#This Row],[Qty available]]&gt;Table2[[#This Row],[Qty on hand]],"Check","OK")</f>
        <v>OK</v>
      </c>
    </row>
    <row r="1108" spans="1:24" x14ac:dyDescent="0.3">
      <c r="A1108" t="s">
        <v>153</v>
      </c>
      <c r="B1108" t="s">
        <v>154</v>
      </c>
      <c r="C1108" t="s">
        <v>91</v>
      </c>
      <c r="D1108" t="s">
        <v>92</v>
      </c>
      <c r="E1108" t="s">
        <v>27</v>
      </c>
      <c r="F1108" s="1" t="s">
        <v>31</v>
      </c>
      <c r="G1108" s="2">
        <v>20.2</v>
      </c>
      <c r="H1108">
        <v>20.2</v>
      </c>
      <c r="I1108">
        <v>19.491568999999998</v>
      </c>
      <c r="J1108">
        <v>25.99</v>
      </c>
      <c r="K1108">
        <v>36</v>
      </c>
      <c r="L1108" s="2">
        <v>50</v>
      </c>
      <c r="M1108">
        <v>100</v>
      </c>
      <c r="N1108" s="2">
        <v>153</v>
      </c>
      <c r="O1108">
        <v>2982.21</v>
      </c>
      <c r="P1108">
        <v>34</v>
      </c>
      <c r="Q1108">
        <v>119</v>
      </c>
      <c r="R1108">
        <v>5.19</v>
      </c>
      <c r="S1108">
        <v>1</v>
      </c>
      <c r="T1108">
        <v>132</v>
      </c>
      <c r="U1108" s="2">
        <v>3430.68</v>
      </c>
      <c r="V1108">
        <v>0</v>
      </c>
      <c r="W1108" t="s">
        <v>29</v>
      </c>
      <c r="X1108" t="str">
        <f>IF(Table2[[#This Row],[Qty available]]&gt;Table2[[#This Row],[Qty on hand]],"Check","OK")</f>
        <v>OK</v>
      </c>
    </row>
    <row r="1109" spans="1:24" x14ac:dyDescent="0.3">
      <c r="A1109" t="s">
        <v>153</v>
      </c>
      <c r="B1109" t="s">
        <v>154</v>
      </c>
      <c r="C1109" t="s">
        <v>91</v>
      </c>
      <c r="D1109" t="s">
        <v>92</v>
      </c>
      <c r="E1109" t="s">
        <v>27</v>
      </c>
      <c r="F1109" s="1" t="s">
        <v>32</v>
      </c>
      <c r="G1109" s="2">
        <v>20.43</v>
      </c>
      <c r="H1109">
        <v>20.43</v>
      </c>
      <c r="I1109">
        <v>19.907857</v>
      </c>
      <c r="J1109">
        <v>25.99</v>
      </c>
      <c r="K1109">
        <v>36</v>
      </c>
      <c r="L1109" s="2">
        <v>33</v>
      </c>
      <c r="M1109">
        <v>122</v>
      </c>
      <c r="N1109" s="2">
        <v>98</v>
      </c>
      <c r="O1109">
        <v>1950.97</v>
      </c>
      <c r="P1109">
        <v>19</v>
      </c>
      <c r="Q1109">
        <v>79</v>
      </c>
      <c r="R1109">
        <v>3.38</v>
      </c>
      <c r="S1109">
        <v>2</v>
      </c>
      <c r="T1109">
        <v>177</v>
      </c>
      <c r="U1109" s="2">
        <v>4600.2299999999996</v>
      </c>
      <c r="V1109">
        <v>0</v>
      </c>
      <c r="W1109" t="s">
        <v>29</v>
      </c>
      <c r="X1109" t="str">
        <f>IF(Table2[[#This Row],[Qty available]]&gt;Table2[[#This Row],[Qty on hand]],"Check","OK")</f>
        <v>OK</v>
      </c>
    </row>
    <row r="1110" spans="1:24" x14ac:dyDescent="0.3">
      <c r="A1110" t="s">
        <v>153</v>
      </c>
      <c r="B1110" t="s">
        <v>154</v>
      </c>
      <c r="C1110" t="s">
        <v>91</v>
      </c>
      <c r="D1110" t="s">
        <v>92</v>
      </c>
      <c r="E1110" t="s">
        <v>27</v>
      </c>
      <c r="F1110" s="1" t="s">
        <v>33</v>
      </c>
      <c r="G1110" s="2">
        <v>20.239999999999998</v>
      </c>
      <c r="H1110">
        <v>20.239999999999998</v>
      </c>
      <c r="I1110">
        <v>20.163405000000001</v>
      </c>
      <c r="J1110">
        <v>25.99</v>
      </c>
      <c r="K1110">
        <v>36</v>
      </c>
      <c r="L1110" s="2">
        <v>57</v>
      </c>
      <c r="M1110">
        <v>327</v>
      </c>
      <c r="N1110" s="2">
        <v>232</v>
      </c>
      <c r="O1110">
        <v>4677.91</v>
      </c>
      <c r="P1110">
        <v>34</v>
      </c>
      <c r="Q1110">
        <v>198</v>
      </c>
      <c r="R1110">
        <v>6.07</v>
      </c>
      <c r="S1110">
        <v>1</v>
      </c>
      <c r="T1110">
        <v>193</v>
      </c>
      <c r="U1110" s="2">
        <v>5016.07</v>
      </c>
      <c r="V1110">
        <v>0</v>
      </c>
      <c r="W1110" t="s">
        <v>29</v>
      </c>
      <c r="X1110" t="str">
        <f>IF(Table2[[#This Row],[Qty available]]&gt;Table2[[#This Row],[Qty on hand]],"Check","OK")</f>
        <v>OK</v>
      </c>
    </row>
    <row r="1111" spans="1:24" x14ac:dyDescent="0.3">
      <c r="A1111" t="s">
        <v>153</v>
      </c>
      <c r="B1111" t="s">
        <v>154</v>
      </c>
      <c r="C1111" t="s">
        <v>91</v>
      </c>
      <c r="D1111" t="s">
        <v>92</v>
      </c>
      <c r="E1111" t="s">
        <v>27</v>
      </c>
      <c r="F1111" s="1" t="s">
        <v>34</v>
      </c>
      <c r="G1111" s="2">
        <v>20.27</v>
      </c>
      <c r="H1111">
        <v>20.27</v>
      </c>
      <c r="I1111">
        <v>20.201495000000001</v>
      </c>
      <c r="J1111">
        <v>26.67</v>
      </c>
      <c r="K1111">
        <v>36</v>
      </c>
      <c r="L1111" s="2">
        <v>45</v>
      </c>
      <c r="M1111">
        <v>129</v>
      </c>
      <c r="N1111" s="2">
        <v>321</v>
      </c>
      <c r="O1111">
        <v>6484.68</v>
      </c>
      <c r="P1111">
        <v>15</v>
      </c>
      <c r="Q1111">
        <v>306</v>
      </c>
      <c r="R1111">
        <v>10.07</v>
      </c>
      <c r="S1111">
        <v>0</v>
      </c>
      <c r="T1111">
        <v>40</v>
      </c>
      <c r="U1111" s="2">
        <v>1066.8</v>
      </c>
      <c r="V1111">
        <v>0</v>
      </c>
      <c r="W1111" t="s">
        <v>29</v>
      </c>
      <c r="X1111" t="str">
        <f>IF(Table2[[#This Row],[Qty available]]&gt;Table2[[#This Row],[Qty on hand]],"Check","OK")</f>
        <v>OK</v>
      </c>
    </row>
    <row r="1112" spans="1:24" x14ac:dyDescent="0.3">
      <c r="A1112" t="s">
        <v>153</v>
      </c>
      <c r="B1112" t="s">
        <v>154</v>
      </c>
      <c r="C1112" t="s">
        <v>91</v>
      </c>
      <c r="D1112" t="s">
        <v>92</v>
      </c>
      <c r="E1112" t="s">
        <v>27</v>
      </c>
      <c r="F1112" s="1" t="s">
        <v>35</v>
      </c>
      <c r="G1112" s="2">
        <v>20.010000000000002</v>
      </c>
      <c r="H1112">
        <v>20.010000000000002</v>
      </c>
      <c r="I1112">
        <v>20.156020000000002</v>
      </c>
      <c r="J1112">
        <v>26.67</v>
      </c>
      <c r="K1112">
        <v>36</v>
      </c>
      <c r="L1112" s="2">
        <v>35</v>
      </c>
      <c r="M1112">
        <v>100</v>
      </c>
      <c r="N1112" s="2">
        <v>304</v>
      </c>
      <c r="O1112">
        <v>6127.43</v>
      </c>
      <c r="P1112">
        <v>44</v>
      </c>
      <c r="Q1112">
        <v>260</v>
      </c>
      <c r="R1112">
        <v>11.17</v>
      </c>
      <c r="S1112">
        <v>2</v>
      </c>
      <c r="T1112">
        <v>117</v>
      </c>
      <c r="U1112" s="2">
        <v>3120.39</v>
      </c>
      <c r="V1112">
        <v>0</v>
      </c>
      <c r="W1112" t="s">
        <v>29</v>
      </c>
      <c r="X1112" t="str">
        <f>IF(Table2[[#This Row],[Qty available]]&gt;Table2[[#This Row],[Qty on hand]],"Check","OK")</f>
        <v>OK</v>
      </c>
    </row>
    <row r="1113" spans="1:24" x14ac:dyDescent="0.3">
      <c r="A1113" t="s">
        <v>153</v>
      </c>
      <c r="B1113" t="s">
        <v>154</v>
      </c>
      <c r="C1113" t="s">
        <v>91</v>
      </c>
      <c r="D1113" t="s">
        <v>92</v>
      </c>
      <c r="E1113" t="s">
        <v>27</v>
      </c>
      <c r="F1113" s="1" t="s">
        <v>36</v>
      </c>
      <c r="G1113" s="2">
        <v>19.940000000000001</v>
      </c>
      <c r="H1113">
        <v>19.940000000000001</v>
      </c>
      <c r="I1113">
        <v>20.10257</v>
      </c>
      <c r="J1113">
        <v>26.67</v>
      </c>
      <c r="K1113">
        <v>36</v>
      </c>
      <c r="L1113" s="2">
        <v>55</v>
      </c>
      <c r="M1113">
        <v>100</v>
      </c>
      <c r="N1113" s="2">
        <v>214</v>
      </c>
      <c r="O1113">
        <v>4301.95</v>
      </c>
      <c r="P1113">
        <v>19</v>
      </c>
      <c r="Q1113">
        <v>195</v>
      </c>
      <c r="R1113">
        <v>7.84</v>
      </c>
      <c r="S1113">
        <v>0</v>
      </c>
      <c r="T1113">
        <v>190</v>
      </c>
      <c r="U1113" s="2">
        <v>5067.3</v>
      </c>
      <c r="V1113">
        <v>0</v>
      </c>
      <c r="W1113" t="s">
        <v>29</v>
      </c>
      <c r="X1113" t="str">
        <f>IF(Table2[[#This Row],[Qty available]]&gt;Table2[[#This Row],[Qty on hand]],"Check","OK")</f>
        <v>OK</v>
      </c>
    </row>
    <row r="1114" spans="1:24" x14ac:dyDescent="0.3">
      <c r="A1114" t="s">
        <v>153</v>
      </c>
      <c r="B1114" t="s">
        <v>154</v>
      </c>
      <c r="C1114" t="s">
        <v>91</v>
      </c>
      <c r="D1114" t="s">
        <v>92</v>
      </c>
      <c r="E1114" t="s">
        <v>27</v>
      </c>
      <c r="F1114" s="1" t="s">
        <v>37</v>
      </c>
      <c r="G1114" s="2">
        <v>20.69</v>
      </c>
      <c r="H1114">
        <v>20.69</v>
      </c>
      <c r="I1114">
        <v>20.102523000000001</v>
      </c>
      <c r="J1114">
        <v>26.67</v>
      </c>
      <c r="K1114">
        <v>36</v>
      </c>
      <c r="M1114">
        <v>0</v>
      </c>
      <c r="N1114" s="2">
        <v>107</v>
      </c>
      <c r="O1114">
        <v>2150.9699999999998</v>
      </c>
      <c r="P1114">
        <v>24</v>
      </c>
      <c r="Q1114">
        <v>83</v>
      </c>
      <c r="R1114">
        <v>3.4</v>
      </c>
      <c r="S1114">
        <v>0</v>
      </c>
      <c r="T1114">
        <v>107</v>
      </c>
      <c r="U1114" s="2">
        <v>2853.69</v>
      </c>
      <c r="V1114">
        <v>0</v>
      </c>
      <c r="W1114" t="s">
        <v>29</v>
      </c>
      <c r="X1114" t="str">
        <f>IF(Table2[[#This Row],[Qty available]]&gt;Table2[[#This Row],[Qty on hand]],"Check","OK")</f>
        <v>OK</v>
      </c>
    </row>
    <row r="1115" spans="1:24" x14ac:dyDescent="0.3">
      <c r="A1115" t="s">
        <v>153</v>
      </c>
      <c r="B1115" t="s">
        <v>154</v>
      </c>
      <c r="C1115" t="s">
        <v>91</v>
      </c>
      <c r="D1115" t="s">
        <v>92</v>
      </c>
      <c r="E1115" t="s">
        <v>27</v>
      </c>
      <c r="F1115" s="1" t="s">
        <v>38</v>
      </c>
      <c r="G1115" s="2">
        <v>20.37</v>
      </c>
      <c r="H1115">
        <v>20.37</v>
      </c>
      <c r="I1115">
        <v>20.286788000000001</v>
      </c>
      <c r="J1115">
        <v>26.67</v>
      </c>
      <c r="K1115">
        <v>36</v>
      </c>
      <c r="L1115" s="2">
        <v>55</v>
      </c>
      <c r="M1115">
        <v>237</v>
      </c>
      <c r="N1115" s="2">
        <v>165</v>
      </c>
      <c r="O1115">
        <v>3347.32</v>
      </c>
      <c r="P1115">
        <v>15</v>
      </c>
      <c r="Q1115">
        <v>150</v>
      </c>
      <c r="R1115">
        <v>4.51</v>
      </c>
      <c r="S1115">
        <v>3</v>
      </c>
      <c r="T1115">
        <v>179</v>
      </c>
      <c r="U1115" s="2">
        <v>4773.93</v>
      </c>
      <c r="V1115">
        <v>0</v>
      </c>
      <c r="W1115" t="s">
        <v>29</v>
      </c>
      <c r="X1115" t="str">
        <f>IF(Table2[[#This Row],[Qty available]]&gt;Table2[[#This Row],[Qty on hand]],"Check","OK")</f>
        <v>OK</v>
      </c>
    </row>
    <row r="1116" spans="1:24" x14ac:dyDescent="0.3">
      <c r="A1116" t="s">
        <v>153</v>
      </c>
      <c r="B1116" t="s">
        <v>154</v>
      </c>
      <c r="C1116" t="s">
        <v>91</v>
      </c>
      <c r="D1116" t="s">
        <v>92</v>
      </c>
      <c r="E1116" t="s">
        <v>27</v>
      </c>
      <c r="F1116" s="1" t="s">
        <v>39</v>
      </c>
      <c r="G1116" s="2">
        <v>19.98</v>
      </c>
      <c r="H1116">
        <v>19.98</v>
      </c>
      <c r="I1116">
        <v>20.286788000000001</v>
      </c>
      <c r="J1116">
        <v>26.67</v>
      </c>
      <c r="K1116">
        <v>36</v>
      </c>
      <c r="M1116">
        <v>0</v>
      </c>
      <c r="N1116" s="2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165</v>
      </c>
      <c r="U1116" s="2">
        <v>4400.55</v>
      </c>
      <c r="V1116">
        <v>63</v>
      </c>
      <c r="W1116" t="s">
        <v>59</v>
      </c>
      <c r="X1116" t="str">
        <f>IF(Table2[[#This Row],[Qty available]]&gt;Table2[[#This Row],[Qty on hand]],"Check","OK")</f>
        <v>OK</v>
      </c>
    </row>
    <row r="1117" spans="1:24" x14ac:dyDescent="0.3">
      <c r="A1117" t="s">
        <v>153</v>
      </c>
      <c r="B1117" t="s">
        <v>154</v>
      </c>
      <c r="C1117" t="s">
        <v>91</v>
      </c>
      <c r="D1117" t="s">
        <v>92</v>
      </c>
      <c r="E1117" t="s">
        <v>27</v>
      </c>
      <c r="F1117" s="1" t="s">
        <v>40</v>
      </c>
      <c r="G1117" s="2">
        <v>20.43</v>
      </c>
      <c r="H1117">
        <v>20.43</v>
      </c>
      <c r="I1117">
        <v>20.286788000000001</v>
      </c>
      <c r="J1117">
        <v>26.67</v>
      </c>
      <c r="K1117">
        <v>36</v>
      </c>
      <c r="M1117">
        <v>0</v>
      </c>
      <c r="N1117" s="2">
        <v>0</v>
      </c>
      <c r="O1117">
        <v>0</v>
      </c>
      <c r="P1117">
        <v>0</v>
      </c>
      <c r="Q1117">
        <v>0</v>
      </c>
      <c r="R1117">
        <v>0</v>
      </c>
      <c r="S1117">
        <v>31</v>
      </c>
      <c r="T1117">
        <v>0</v>
      </c>
      <c r="U1117" s="2">
        <v>0</v>
      </c>
      <c r="V1117">
        <v>89</v>
      </c>
      <c r="W1117" t="s">
        <v>59</v>
      </c>
      <c r="X1117" t="str">
        <f>IF(Table2[[#This Row],[Qty available]]&gt;Table2[[#This Row],[Qty on hand]],"Check","OK")</f>
        <v>OK</v>
      </c>
    </row>
    <row r="1118" spans="1:24" x14ac:dyDescent="0.3">
      <c r="A1118" t="s">
        <v>153</v>
      </c>
      <c r="B1118" t="s">
        <v>154</v>
      </c>
      <c r="C1118" t="s">
        <v>91</v>
      </c>
      <c r="D1118" t="s">
        <v>92</v>
      </c>
      <c r="E1118" t="s">
        <v>27</v>
      </c>
      <c r="F1118" s="1" t="s">
        <v>41</v>
      </c>
      <c r="G1118" s="2">
        <v>20.309999999999999</v>
      </c>
      <c r="H1118">
        <v>20.309999999999999</v>
      </c>
      <c r="I1118">
        <v>20.309999999999999</v>
      </c>
      <c r="J1118">
        <v>26.67</v>
      </c>
      <c r="K1118">
        <v>36</v>
      </c>
      <c r="L1118" s="2">
        <v>36</v>
      </c>
      <c r="M1118">
        <v>326</v>
      </c>
      <c r="N1118" s="2">
        <v>217</v>
      </c>
      <c r="O1118">
        <v>4407.2700000000004</v>
      </c>
      <c r="P1118">
        <v>19</v>
      </c>
      <c r="Q1118">
        <v>198</v>
      </c>
      <c r="R1118">
        <v>10.41</v>
      </c>
      <c r="S1118">
        <v>3</v>
      </c>
      <c r="T1118">
        <v>109</v>
      </c>
      <c r="U1118" s="2">
        <v>2907.03</v>
      </c>
      <c r="V1118">
        <v>0</v>
      </c>
      <c r="W1118" t="s">
        <v>29</v>
      </c>
      <c r="X1118" t="str">
        <f>IF(Table2[[#This Row],[Qty available]]&gt;Table2[[#This Row],[Qty on hand]],"Check","OK")</f>
        <v>OK</v>
      </c>
    </row>
    <row r="1119" spans="1:24" x14ac:dyDescent="0.3">
      <c r="A1119" t="s">
        <v>153</v>
      </c>
      <c r="B1119" t="s">
        <v>154</v>
      </c>
      <c r="C1119" t="s">
        <v>91</v>
      </c>
      <c r="D1119" t="s">
        <v>92</v>
      </c>
      <c r="E1119" t="s">
        <v>27</v>
      </c>
      <c r="F1119" s="1" t="s">
        <v>42</v>
      </c>
      <c r="G1119" s="2">
        <v>21.34</v>
      </c>
      <c r="H1119">
        <v>21.34</v>
      </c>
      <c r="I1119">
        <v>20.801411999999999</v>
      </c>
      <c r="J1119">
        <v>26.67</v>
      </c>
      <c r="K1119">
        <v>36</v>
      </c>
      <c r="L1119" s="2">
        <v>33</v>
      </c>
      <c r="M1119">
        <v>198</v>
      </c>
      <c r="N1119" s="2">
        <v>255</v>
      </c>
      <c r="O1119">
        <v>5304.36</v>
      </c>
      <c r="P1119">
        <v>24</v>
      </c>
      <c r="Q1119">
        <v>231</v>
      </c>
      <c r="R1119">
        <v>12.46</v>
      </c>
      <c r="S1119">
        <v>1</v>
      </c>
      <c r="T1119">
        <v>160</v>
      </c>
      <c r="U1119" s="2">
        <v>4267.2</v>
      </c>
      <c r="V1119">
        <v>0</v>
      </c>
      <c r="W1119" t="s">
        <v>29</v>
      </c>
      <c r="X1119" t="str">
        <f>IF(Table2[[#This Row],[Qty available]]&gt;Table2[[#This Row],[Qty on hand]],"Check","OK")</f>
        <v>OK</v>
      </c>
    </row>
    <row r="1120" spans="1:24" x14ac:dyDescent="0.3">
      <c r="A1120" t="s">
        <v>153</v>
      </c>
      <c r="B1120" t="s">
        <v>154</v>
      </c>
      <c r="C1120" t="s">
        <v>91</v>
      </c>
      <c r="D1120" t="s">
        <v>92</v>
      </c>
      <c r="E1120" t="s">
        <v>27</v>
      </c>
      <c r="F1120" s="1" t="s">
        <v>43</v>
      </c>
      <c r="G1120" s="2">
        <v>21.82</v>
      </c>
      <c r="H1120">
        <v>21.82</v>
      </c>
      <c r="I1120">
        <v>21.181818</v>
      </c>
      <c r="J1120">
        <v>26.67</v>
      </c>
      <c r="K1120">
        <v>36</v>
      </c>
      <c r="L1120" s="2">
        <v>32</v>
      </c>
      <c r="M1120">
        <v>152</v>
      </c>
      <c r="N1120" s="2">
        <v>407</v>
      </c>
      <c r="O1120">
        <v>8621</v>
      </c>
      <c r="P1120">
        <v>44</v>
      </c>
      <c r="Q1120">
        <v>363</v>
      </c>
      <c r="R1120">
        <v>19.670000000000002</v>
      </c>
      <c r="S1120">
        <v>31</v>
      </c>
      <c r="T1120">
        <v>0</v>
      </c>
      <c r="U1120" s="2">
        <v>0</v>
      </c>
      <c r="V1120">
        <v>0</v>
      </c>
      <c r="W1120" t="s">
        <v>29</v>
      </c>
      <c r="X1120" t="str">
        <f>IF(Table2[[#This Row],[Qty available]]&gt;Table2[[#This Row],[Qty on hand]],"Check","OK")</f>
        <v>OK</v>
      </c>
    </row>
    <row r="1121" spans="1:24" x14ac:dyDescent="0.3">
      <c r="A1121" t="s">
        <v>153</v>
      </c>
      <c r="B1121" t="s">
        <v>154</v>
      </c>
      <c r="C1121" t="s">
        <v>91</v>
      </c>
      <c r="D1121" t="s">
        <v>92</v>
      </c>
      <c r="E1121" t="s">
        <v>27</v>
      </c>
      <c r="F1121" s="1" t="s">
        <v>44</v>
      </c>
      <c r="G1121" s="2">
        <v>21.55</v>
      </c>
      <c r="H1121">
        <v>21.55</v>
      </c>
      <c r="I1121">
        <v>21.181826000000001</v>
      </c>
      <c r="J1121">
        <v>26.67</v>
      </c>
      <c r="K1121">
        <v>36</v>
      </c>
      <c r="M1121">
        <v>0</v>
      </c>
      <c r="N1121" s="2">
        <v>219</v>
      </c>
      <c r="O1121">
        <v>4638.82</v>
      </c>
      <c r="P1121">
        <v>19</v>
      </c>
      <c r="Q1121">
        <v>200</v>
      </c>
      <c r="R1121">
        <v>8.27</v>
      </c>
      <c r="S1121">
        <v>1</v>
      </c>
      <c r="T1121">
        <v>188</v>
      </c>
      <c r="U1121" s="2">
        <v>5013.96</v>
      </c>
      <c r="V1121">
        <v>0</v>
      </c>
      <c r="W1121" t="s">
        <v>29</v>
      </c>
      <c r="X1121" t="str">
        <f>IF(Table2[[#This Row],[Qty available]]&gt;Table2[[#This Row],[Qty on hand]],"Check","OK")</f>
        <v>OK</v>
      </c>
    </row>
    <row r="1122" spans="1:24" x14ac:dyDescent="0.3">
      <c r="A1122" t="s">
        <v>153</v>
      </c>
      <c r="B1122" t="s">
        <v>154</v>
      </c>
      <c r="C1122" t="s">
        <v>91</v>
      </c>
      <c r="D1122" t="s">
        <v>92</v>
      </c>
      <c r="E1122" t="s">
        <v>27</v>
      </c>
      <c r="F1122" s="1" t="s">
        <v>45</v>
      </c>
      <c r="G1122" s="2">
        <v>21.41</v>
      </c>
      <c r="H1122">
        <v>21.41</v>
      </c>
      <c r="I1122">
        <v>21.253360000000001</v>
      </c>
      <c r="J1122">
        <v>26.67</v>
      </c>
      <c r="K1122">
        <v>36</v>
      </c>
      <c r="L1122" s="2">
        <v>54</v>
      </c>
      <c r="M1122">
        <v>100</v>
      </c>
      <c r="N1122" s="2">
        <v>253</v>
      </c>
      <c r="O1122">
        <v>5377.1</v>
      </c>
      <c r="P1122">
        <v>15</v>
      </c>
      <c r="Q1122">
        <v>238</v>
      </c>
      <c r="R1122">
        <v>13.09</v>
      </c>
      <c r="S1122">
        <v>3</v>
      </c>
      <c r="T1122">
        <v>66</v>
      </c>
      <c r="U1122" s="2">
        <v>1760.22</v>
      </c>
      <c r="V1122">
        <v>0</v>
      </c>
      <c r="W1122" t="s">
        <v>29</v>
      </c>
      <c r="X1122" t="str">
        <f>IF(Table2[[#This Row],[Qty available]]&gt;Table2[[#This Row],[Qty on hand]],"Check","OK")</f>
        <v>OK</v>
      </c>
    </row>
    <row r="1123" spans="1:24" x14ac:dyDescent="0.3">
      <c r="A1123" t="s">
        <v>153</v>
      </c>
      <c r="B1123" t="s">
        <v>154</v>
      </c>
      <c r="C1123" t="s">
        <v>91</v>
      </c>
      <c r="D1123" t="s">
        <v>92</v>
      </c>
      <c r="E1123" t="s">
        <v>27</v>
      </c>
      <c r="F1123" s="1" t="s">
        <v>46</v>
      </c>
      <c r="G1123" s="2">
        <v>21.44</v>
      </c>
      <c r="H1123">
        <v>21.44</v>
      </c>
      <c r="I1123">
        <v>21.334354999999999</v>
      </c>
      <c r="J1123">
        <v>27.36</v>
      </c>
      <c r="K1123">
        <v>36</v>
      </c>
      <c r="L1123" s="2">
        <v>36</v>
      </c>
      <c r="M1123">
        <v>194</v>
      </c>
      <c r="N1123" s="2">
        <v>248</v>
      </c>
      <c r="O1123">
        <v>5290.92</v>
      </c>
      <c r="P1123">
        <v>44</v>
      </c>
      <c r="Q1123">
        <v>204</v>
      </c>
      <c r="R1123">
        <v>7.04</v>
      </c>
      <c r="S1123">
        <v>2</v>
      </c>
      <c r="T1123">
        <v>199</v>
      </c>
      <c r="U1123" s="2">
        <v>5444.64</v>
      </c>
      <c r="V1123">
        <v>0</v>
      </c>
      <c r="W1123" t="s">
        <v>29</v>
      </c>
      <c r="X1123" t="str">
        <f>IF(Table2[[#This Row],[Qty available]]&gt;Table2[[#This Row],[Qty on hand]],"Check","OK")</f>
        <v>OK</v>
      </c>
    </row>
    <row r="1124" spans="1:24" x14ac:dyDescent="0.3">
      <c r="A1124" t="s">
        <v>153</v>
      </c>
      <c r="B1124" t="s">
        <v>154</v>
      </c>
      <c r="C1124" t="s">
        <v>91</v>
      </c>
      <c r="D1124" t="s">
        <v>92</v>
      </c>
      <c r="E1124" t="s">
        <v>27</v>
      </c>
      <c r="F1124" s="1" t="s">
        <v>47</v>
      </c>
      <c r="G1124" s="2">
        <v>21.26</v>
      </c>
      <c r="H1124">
        <v>21.26</v>
      </c>
      <c r="I1124">
        <v>21.334367</v>
      </c>
      <c r="J1124">
        <v>27.36</v>
      </c>
      <c r="K1124">
        <v>36</v>
      </c>
      <c r="M1124">
        <v>0</v>
      </c>
      <c r="N1124" s="2">
        <v>158</v>
      </c>
      <c r="O1124">
        <v>3370.83</v>
      </c>
      <c r="P1124">
        <v>19</v>
      </c>
      <c r="Q1124">
        <v>139</v>
      </c>
      <c r="R1124">
        <v>5.72</v>
      </c>
      <c r="S1124">
        <v>0</v>
      </c>
      <c r="T1124">
        <v>90</v>
      </c>
      <c r="U1124" s="2">
        <v>2462.4</v>
      </c>
      <c r="V1124">
        <v>0</v>
      </c>
      <c r="W1124" t="s">
        <v>29</v>
      </c>
      <c r="X1124" t="str">
        <f>IF(Table2[[#This Row],[Qty available]]&gt;Table2[[#This Row],[Qty on hand]],"Check","OK")</f>
        <v>OK</v>
      </c>
    </row>
    <row r="1125" spans="1:24" x14ac:dyDescent="0.3">
      <c r="A1125" t="s">
        <v>153</v>
      </c>
      <c r="B1125" t="s">
        <v>154</v>
      </c>
      <c r="C1125" t="s">
        <v>91</v>
      </c>
      <c r="D1125" t="s">
        <v>92</v>
      </c>
      <c r="E1125" t="s">
        <v>27</v>
      </c>
      <c r="F1125" s="1" t="s">
        <v>48</v>
      </c>
      <c r="G1125" s="2">
        <v>21.44</v>
      </c>
      <c r="H1125">
        <v>21.44</v>
      </c>
      <c r="I1125">
        <v>21.393789000000002</v>
      </c>
      <c r="J1125">
        <v>27.36</v>
      </c>
      <c r="K1125">
        <v>36</v>
      </c>
      <c r="L1125" s="2">
        <v>33</v>
      </c>
      <c r="M1125">
        <v>203</v>
      </c>
      <c r="N1125" s="2">
        <v>190</v>
      </c>
      <c r="O1125">
        <v>4064.82</v>
      </c>
      <c r="P1125">
        <v>15</v>
      </c>
      <c r="Q1125">
        <v>175</v>
      </c>
      <c r="R1125">
        <v>5.25</v>
      </c>
      <c r="S1125">
        <v>0</v>
      </c>
      <c r="T1125">
        <v>171</v>
      </c>
      <c r="U1125" s="2">
        <v>4678.5600000000004</v>
      </c>
      <c r="V1125">
        <v>0</v>
      </c>
      <c r="W1125" t="s">
        <v>29</v>
      </c>
      <c r="X1125" t="str">
        <f>IF(Table2[[#This Row],[Qty available]]&gt;Table2[[#This Row],[Qty on hand]],"Check","OK")</f>
        <v>OK</v>
      </c>
    </row>
    <row r="1126" spans="1:24" x14ac:dyDescent="0.3">
      <c r="A1126" t="s">
        <v>153</v>
      </c>
      <c r="B1126" t="s">
        <v>154</v>
      </c>
      <c r="C1126" t="s">
        <v>91</v>
      </c>
      <c r="D1126" t="s">
        <v>92</v>
      </c>
      <c r="E1126" t="s">
        <v>27</v>
      </c>
      <c r="F1126" s="1" t="s">
        <v>49</v>
      </c>
      <c r="G1126" s="2">
        <v>21.6</v>
      </c>
      <c r="H1126">
        <v>21.6</v>
      </c>
      <c r="I1126">
        <v>21.464887000000001</v>
      </c>
      <c r="J1126">
        <v>27.36</v>
      </c>
      <c r="K1126">
        <v>36</v>
      </c>
      <c r="L1126" s="2">
        <v>31</v>
      </c>
      <c r="M1126">
        <v>100</v>
      </c>
      <c r="N1126" s="2">
        <v>221</v>
      </c>
      <c r="O1126">
        <v>4743.74</v>
      </c>
      <c r="P1126">
        <v>29</v>
      </c>
      <c r="Q1126">
        <v>192</v>
      </c>
      <c r="R1126">
        <v>8.8000000000000007</v>
      </c>
      <c r="S1126">
        <v>2</v>
      </c>
      <c r="T1126">
        <v>69</v>
      </c>
      <c r="U1126" s="2">
        <v>1887.84</v>
      </c>
      <c r="V1126">
        <v>0</v>
      </c>
      <c r="W1126" t="s">
        <v>29</v>
      </c>
      <c r="X1126" t="str">
        <f>IF(Table2[[#This Row],[Qty available]]&gt;Table2[[#This Row],[Qty on hand]],"Check","OK")</f>
        <v>OK</v>
      </c>
    </row>
    <row r="1127" spans="1:24" x14ac:dyDescent="0.3">
      <c r="A1127" t="s">
        <v>153</v>
      </c>
      <c r="B1127" t="s">
        <v>154</v>
      </c>
      <c r="C1127" t="s">
        <v>91</v>
      </c>
      <c r="D1127" t="s">
        <v>92</v>
      </c>
      <c r="E1127" t="s">
        <v>27</v>
      </c>
      <c r="F1127" s="1" t="s">
        <v>50</v>
      </c>
      <c r="G1127" s="2">
        <v>21.1</v>
      </c>
      <c r="H1127">
        <v>21.1</v>
      </c>
      <c r="I1127">
        <v>21.339299</v>
      </c>
      <c r="J1127">
        <v>27.36</v>
      </c>
      <c r="K1127">
        <v>36</v>
      </c>
      <c r="L1127" s="2">
        <v>32</v>
      </c>
      <c r="M1127">
        <v>116</v>
      </c>
      <c r="N1127" s="2">
        <v>271</v>
      </c>
      <c r="O1127">
        <v>5782.95</v>
      </c>
      <c r="P1127">
        <v>34</v>
      </c>
      <c r="Q1127">
        <v>237</v>
      </c>
      <c r="R1127">
        <v>11.51</v>
      </c>
      <c r="S1127">
        <v>8</v>
      </c>
      <c r="T1127">
        <v>66</v>
      </c>
      <c r="U1127" s="2">
        <v>1805.76</v>
      </c>
      <c r="V1127">
        <v>0</v>
      </c>
      <c r="W1127" t="s">
        <v>29</v>
      </c>
      <c r="X1127" t="str">
        <f>IF(Table2[[#This Row],[Qty available]]&gt;Table2[[#This Row],[Qty on hand]],"Check","OK")</f>
        <v>OK</v>
      </c>
    </row>
    <row r="1128" spans="1:24" x14ac:dyDescent="0.3">
      <c r="A1128" t="s">
        <v>153</v>
      </c>
      <c r="B1128" t="s">
        <v>154</v>
      </c>
      <c r="C1128" t="s">
        <v>91</v>
      </c>
      <c r="D1128" t="s">
        <v>92</v>
      </c>
      <c r="E1128" t="s">
        <v>27</v>
      </c>
      <c r="F1128" s="1" t="s">
        <v>51</v>
      </c>
      <c r="G1128" s="2">
        <v>21.65</v>
      </c>
      <c r="H1128">
        <v>21.65</v>
      </c>
      <c r="I1128">
        <v>21.454629000000001</v>
      </c>
      <c r="J1128">
        <v>27.36</v>
      </c>
      <c r="K1128">
        <v>36</v>
      </c>
      <c r="L1128" s="2">
        <v>35</v>
      </c>
      <c r="M1128">
        <v>160</v>
      </c>
      <c r="N1128" s="2">
        <v>283</v>
      </c>
      <c r="O1128">
        <v>6071.66</v>
      </c>
      <c r="P1128">
        <v>44</v>
      </c>
      <c r="Q1128">
        <v>239</v>
      </c>
      <c r="R1128">
        <v>13.14</v>
      </c>
      <c r="S1128">
        <v>1</v>
      </c>
      <c r="T1128">
        <v>148</v>
      </c>
      <c r="U1128" s="2">
        <v>4049.28</v>
      </c>
      <c r="V1128">
        <v>0</v>
      </c>
      <c r="W1128" t="s">
        <v>29</v>
      </c>
      <c r="X1128" t="str">
        <f>IF(Table2[[#This Row],[Qty available]]&gt;Table2[[#This Row],[Qty on hand]],"Check","OK")</f>
        <v>OK</v>
      </c>
    </row>
    <row r="1129" spans="1:24" x14ac:dyDescent="0.3">
      <c r="A1129" t="s">
        <v>153</v>
      </c>
      <c r="B1129" t="s">
        <v>154</v>
      </c>
      <c r="C1129" t="s">
        <v>91</v>
      </c>
      <c r="D1129" t="s">
        <v>92</v>
      </c>
      <c r="E1129" t="s">
        <v>27</v>
      </c>
      <c r="F1129" s="1" t="s">
        <v>52</v>
      </c>
      <c r="G1129" s="2">
        <v>21.53</v>
      </c>
      <c r="H1129">
        <v>21.53</v>
      </c>
      <c r="I1129">
        <v>21.474305000000001</v>
      </c>
      <c r="J1129">
        <v>27.36</v>
      </c>
      <c r="K1129">
        <v>36</v>
      </c>
      <c r="L1129" s="2">
        <v>55</v>
      </c>
      <c r="M1129">
        <v>100</v>
      </c>
      <c r="N1129" s="2">
        <v>295</v>
      </c>
      <c r="O1129">
        <v>6334.92</v>
      </c>
      <c r="P1129">
        <v>19</v>
      </c>
      <c r="Q1129">
        <v>276</v>
      </c>
      <c r="R1129">
        <v>12.84</v>
      </c>
      <c r="S1129">
        <v>0</v>
      </c>
      <c r="T1129">
        <v>88</v>
      </c>
      <c r="U1129" s="2">
        <v>2407.6799999999998</v>
      </c>
      <c r="V1129">
        <v>0</v>
      </c>
      <c r="W1129" t="s">
        <v>29</v>
      </c>
      <c r="X1129" t="str">
        <f>IF(Table2[[#This Row],[Qty available]]&gt;Table2[[#This Row],[Qty on hand]],"Check","OK")</f>
        <v>OK</v>
      </c>
    </row>
    <row r="1130" spans="1:24" x14ac:dyDescent="0.3">
      <c r="A1130" t="s">
        <v>155</v>
      </c>
      <c r="B1130" t="s">
        <v>156</v>
      </c>
      <c r="C1130" t="s">
        <v>91</v>
      </c>
      <c r="D1130" t="s">
        <v>92</v>
      </c>
      <c r="E1130" t="s">
        <v>66</v>
      </c>
      <c r="F1130" s="1" t="s">
        <v>28</v>
      </c>
      <c r="G1130" s="2">
        <v>16.79</v>
      </c>
      <c r="H1130">
        <v>17.84</v>
      </c>
      <c r="I1130">
        <v>18.014289999999999</v>
      </c>
      <c r="J1130">
        <v>25.79</v>
      </c>
      <c r="K1130">
        <v>16</v>
      </c>
      <c r="L1130" s="2">
        <v>14</v>
      </c>
      <c r="M1130">
        <v>507</v>
      </c>
      <c r="N1130" s="2">
        <v>725</v>
      </c>
      <c r="O1130">
        <v>13060.36</v>
      </c>
      <c r="P1130">
        <v>89</v>
      </c>
      <c r="Q1130">
        <v>636</v>
      </c>
      <c r="R1130">
        <v>12.22</v>
      </c>
      <c r="S1130">
        <v>1</v>
      </c>
      <c r="T1130">
        <v>232</v>
      </c>
      <c r="U1130" s="2">
        <v>5983.28</v>
      </c>
      <c r="V1130">
        <v>0</v>
      </c>
      <c r="W1130" t="s">
        <v>29</v>
      </c>
      <c r="X1130" t="str">
        <f>IF(Table2[[#This Row],[Qty available]]&gt;Table2[[#This Row],[Qty on hand]],"Check","OK")</f>
        <v>OK</v>
      </c>
    </row>
    <row r="1131" spans="1:24" x14ac:dyDescent="0.3">
      <c r="A1131" t="s">
        <v>155</v>
      </c>
      <c r="B1131" t="s">
        <v>156</v>
      </c>
      <c r="C1131" t="s">
        <v>91</v>
      </c>
      <c r="D1131" t="s">
        <v>92</v>
      </c>
      <c r="E1131" t="s">
        <v>66</v>
      </c>
      <c r="F1131" s="1" t="s">
        <v>30</v>
      </c>
      <c r="G1131" s="2">
        <v>17.579999999999998</v>
      </c>
      <c r="H1131">
        <v>18.68</v>
      </c>
      <c r="I1131">
        <v>18.014292000000001</v>
      </c>
      <c r="J1131">
        <v>25.79</v>
      </c>
      <c r="K1131">
        <v>16</v>
      </c>
      <c r="M1131">
        <v>0</v>
      </c>
      <c r="N1131" s="2">
        <v>643</v>
      </c>
      <c r="O1131">
        <v>11583.19</v>
      </c>
      <c r="P1131">
        <v>89</v>
      </c>
      <c r="Q1131">
        <v>554</v>
      </c>
      <c r="R1131">
        <v>15.14</v>
      </c>
      <c r="S1131">
        <v>0</v>
      </c>
      <c r="T1131">
        <v>82</v>
      </c>
      <c r="U1131" s="2">
        <v>2114.7800000000002</v>
      </c>
      <c r="V1131">
        <v>0</v>
      </c>
      <c r="W1131" t="s">
        <v>29</v>
      </c>
      <c r="X1131" t="str">
        <f>IF(Table2[[#This Row],[Qty available]]&gt;Table2[[#This Row],[Qty on hand]],"Check","OK")</f>
        <v>OK</v>
      </c>
    </row>
    <row r="1132" spans="1:24" x14ac:dyDescent="0.3">
      <c r="A1132" t="s">
        <v>155</v>
      </c>
      <c r="B1132" t="s">
        <v>156</v>
      </c>
      <c r="C1132" t="s">
        <v>91</v>
      </c>
      <c r="D1132" t="s">
        <v>92</v>
      </c>
      <c r="E1132" t="s">
        <v>66</v>
      </c>
      <c r="F1132" s="1" t="s">
        <v>31</v>
      </c>
      <c r="G1132" s="2">
        <v>17.690000000000001</v>
      </c>
      <c r="H1132">
        <v>18.8</v>
      </c>
      <c r="I1132">
        <v>18.181632</v>
      </c>
      <c r="J1132">
        <v>25.79</v>
      </c>
      <c r="K1132">
        <v>16</v>
      </c>
      <c r="L1132" s="2">
        <v>15</v>
      </c>
      <c r="M1132">
        <v>174</v>
      </c>
      <c r="N1132" s="2">
        <v>527</v>
      </c>
      <c r="O1132">
        <v>9581.7199999999993</v>
      </c>
      <c r="P1132">
        <v>53</v>
      </c>
      <c r="Q1132">
        <v>474</v>
      </c>
      <c r="R1132">
        <v>11.34</v>
      </c>
      <c r="S1132">
        <v>0</v>
      </c>
      <c r="T1132">
        <v>290</v>
      </c>
      <c r="U1132" s="2">
        <v>7479.1</v>
      </c>
      <c r="V1132">
        <v>0</v>
      </c>
      <c r="W1132" t="s">
        <v>29</v>
      </c>
      <c r="X1132" t="str">
        <f>IF(Table2[[#This Row],[Qty available]]&gt;Table2[[#This Row],[Qty on hand]],"Check","OK")</f>
        <v>OK</v>
      </c>
    </row>
    <row r="1133" spans="1:24" x14ac:dyDescent="0.3">
      <c r="A1133" t="s">
        <v>155</v>
      </c>
      <c r="B1133" t="s">
        <v>156</v>
      </c>
      <c r="C1133" t="s">
        <v>91</v>
      </c>
      <c r="D1133" t="s">
        <v>92</v>
      </c>
      <c r="E1133" t="s">
        <v>66</v>
      </c>
      <c r="F1133" s="1" t="s">
        <v>32</v>
      </c>
      <c r="G1133" s="2">
        <v>17.670000000000002</v>
      </c>
      <c r="H1133">
        <v>18.78</v>
      </c>
      <c r="I1133">
        <v>18.200339</v>
      </c>
      <c r="J1133">
        <v>25.79</v>
      </c>
      <c r="K1133">
        <v>16</v>
      </c>
      <c r="L1133" s="2">
        <v>16</v>
      </c>
      <c r="M1133">
        <v>17</v>
      </c>
      <c r="N1133" s="2">
        <v>443</v>
      </c>
      <c r="O1133">
        <v>8062.75</v>
      </c>
      <c r="P1133">
        <v>44</v>
      </c>
      <c r="Q1133">
        <v>399</v>
      </c>
      <c r="R1133">
        <v>12.31</v>
      </c>
      <c r="S1133">
        <v>5</v>
      </c>
      <c r="T1133">
        <v>101</v>
      </c>
      <c r="U1133" s="2">
        <v>2604.79</v>
      </c>
      <c r="V1133">
        <v>0</v>
      </c>
      <c r="W1133" t="s">
        <v>29</v>
      </c>
      <c r="X1133" t="str">
        <f>IF(Table2[[#This Row],[Qty available]]&gt;Table2[[#This Row],[Qty on hand]],"Check","OK")</f>
        <v>OK</v>
      </c>
    </row>
    <row r="1134" spans="1:24" x14ac:dyDescent="0.3">
      <c r="A1134" t="s">
        <v>155</v>
      </c>
      <c r="B1134" t="s">
        <v>156</v>
      </c>
      <c r="C1134" t="s">
        <v>91</v>
      </c>
      <c r="D1134" t="s">
        <v>92</v>
      </c>
      <c r="E1134" t="s">
        <v>66</v>
      </c>
      <c r="F1134" s="1" t="s">
        <v>33</v>
      </c>
      <c r="G1134" s="2">
        <v>17.62</v>
      </c>
      <c r="H1134">
        <v>18.72</v>
      </c>
      <c r="I1134">
        <v>18.378443999999998</v>
      </c>
      <c r="J1134">
        <v>25.79</v>
      </c>
      <c r="K1134">
        <v>16</v>
      </c>
      <c r="L1134" s="2">
        <v>14</v>
      </c>
      <c r="M1134">
        <v>231</v>
      </c>
      <c r="N1134" s="2">
        <v>405</v>
      </c>
      <c r="O1134">
        <v>7443.27</v>
      </c>
      <c r="P1134">
        <v>53</v>
      </c>
      <c r="Q1134">
        <v>352</v>
      </c>
      <c r="R1134">
        <v>8.06</v>
      </c>
      <c r="S1134">
        <v>1</v>
      </c>
      <c r="T1134">
        <v>269</v>
      </c>
      <c r="U1134" s="2">
        <v>6937.51</v>
      </c>
      <c r="V1134">
        <v>0</v>
      </c>
      <c r="W1134" t="s">
        <v>29</v>
      </c>
      <c r="X1134" t="str">
        <f>IF(Table2[[#This Row],[Qty available]]&gt;Table2[[#This Row],[Qty on hand]],"Check","OK")</f>
        <v>OK</v>
      </c>
    </row>
    <row r="1135" spans="1:24" x14ac:dyDescent="0.3">
      <c r="A1135" t="s">
        <v>155</v>
      </c>
      <c r="B1135" t="s">
        <v>156</v>
      </c>
      <c r="C1135" t="s">
        <v>91</v>
      </c>
      <c r="D1135" t="s">
        <v>92</v>
      </c>
      <c r="E1135" t="s">
        <v>66</v>
      </c>
      <c r="F1135" s="1" t="s">
        <v>34</v>
      </c>
      <c r="G1135" s="2">
        <v>18.239999999999998</v>
      </c>
      <c r="H1135">
        <v>19.38</v>
      </c>
      <c r="I1135">
        <v>18.733053999999999</v>
      </c>
      <c r="J1135">
        <v>26.45</v>
      </c>
      <c r="K1135">
        <v>16</v>
      </c>
      <c r="L1135" s="2">
        <v>14</v>
      </c>
      <c r="M1135">
        <v>222</v>
      </c>
      <c r="N1135" s="2">
        <v>298</v>
      </c>
      <c r="O1135">
        <v>5582.45</v>
      </c>
      <c r="P1135">
        <v>62</v>
      </c>
      <c r="Q1135">
        <v>236</v>
      </c>
      <c r="R1135">
        <v>5.48</v>
      </c>
      <c r="S1135">
        <v>0</v>
      </c>
      <c r="T1135">
        <v>329</v>
      </c>
      <c r="U1135" s="2">
        <v>8702.0499999999993</v>
      </c>
      <c r="V1135">
        <v>0</v>
      </c>
      <c r="W1135" t="s">
        <v>29</v>
      </c>
      <c r="X1135" t="str">
        <f>IF(Table2[[#This Row],[Qty available]]&gt;Table2[[#This Row],[Qty on hand]],"Check","OK")</f>
        <v>OK</v>
      </c>
    </row>
    <row r="1136" spans="1:24" x14ac:dyDescent="0.3">
      <c r="A1136" t="s">
        <v>155</v>
      </c>
      <c r="B1136" t="s">
        <v>156</v>
      </c>
      <c r="C1136" t="s">
        <v>91</v>
      </c>
      <c r="D1136" t="s">
        <v>92</v>
      </c>
      <c r="E1136" t="s">
        <v>66</v>
      </c>
      <c r="F1136" s="1" t="s">
        <v>35</v>
      </c>
      <c r="G1136" s="2">
        <v>18.25</v>
      </c>
      <c r="H1136">
        <v>19.39</v>
      </c>
      <c r="I1136">
        <v>19.115038999999999</v>
      </c>
      <c r="J1136">
        <v>26.45</v>
      </c>
      <c r="K1136">
        <v>16</v>
      </c>
      <c r="L1136" s="2">
        <v>15</v>
      </c>
      <c r="M1136">
        <v>414</v>
      </c>
      <c r="N1136" s="2">
        <v>510</v>
      </c>
      <c r="O1136">
        <v>9748.67</v>
      </c>
      <c r="P1136">
        <v>53</v>
      </c>
      <c r="Q1136">
        <v>457</v>
      </c>
      <c r="R1136">
        <v>8.1999999999999993</v>
      </c>
      <c r="S1136">
        <v>0</v>
      </c>
      <c r="T1136">
        <v>202</v>
      </c>
      <c r="U1136" s="2">
        <v>5342.9</v>
      </c>
      <c r="V1136">
        <v>0</v>
      </c>
      <c r="W1136" t="s">
        <v>29</v>
      </c>
      <c r="X1136" t="str">
        <f>IF(Table2[[#This Row],[Qty available]]&gt;Table2[[#This Row],[Qty on hand]],"Check","OK")</f>
        <v>OK</v>
      </c>
    </row>
    <row r="1137" spans="1:24" x14ac:dyDescent="0.3">
      <c r="A1137" t="s">
        <v>155</v>
      </c>
      <c r="B1137" t="s">
        <v>156</v>
      </c>
      <c r="C1137" t="s">
        <v>91</v>
      </c>
      <c r="D1137" t="s">
        <v>92</v>
      </c>
      <c r="E1137" t="s">
        <v>66</v>
      </c>
      <c r="F1137" s="1" t="s">
        <v>36</v>
      </c>
      <c r="G1137" s="2">
        <v>17.670000000000002</v>
      </c>
      <c r="H1137">
        <v>18.78</v>
      </c>
      <c r="I1137">
        <v>18.974384000000001</v>
      </c>
      <c r="J1137">
        <v>26.45</v>
      </c>
      <c r="K1137">
        <v>16</v>
      </c>
      <c r="L1137" s="2">
        <v>20</v>
      </c>
      <c r="M1137">
        <v>369</v>
      </c>
      <c r="N1137" s="2">
        <v>666</v>
      </c>
      <c r="O1137">
        <v>12636.94</v>
      </c>
      <c r="P1137">
        <v>27</v>
      </c>
      <c r="Q1137">
        <v>639</v>
      </c>
      <c r="R1137">
        <v>11.38</v>
      </c>
      <c r="S1137">
        <v>3</v>
      </c>
      <c r="T1137">
        <v>213</v>
      </c>
      <c r="U1137" s="2">
        <v>5633.85</v>
      </c>
      <c r="V1137">
        <v>0</v>
      </c>
      <c r="W1137" t="s">
        <v>29</v>
      </c>
      <c r="X1137" t="str">
        <f>IF(Table2[[#This Row],[Qty available]]&gt;Table2[[#This Row],[Qty on hand]],"Check","OK")</f>
        <v>OK</v>
      </c>
    </row>
    <row r="1138" spans="1:24" x14ac:dyDescent="0.3">
      <c r="A1138" t="s">
        <v>155</v>
      </c>
      <c r="B1138" t="s">
        <v>156</v>
      </c>
      <c r="C1138" t="s">
        <v>91</v>
      </c>
      <c r="D1138" t="s">
        <v>92</v>
      </c>
      <c r="E1138" t="s">
        <v>66</v>
      </c>
      <c r="F1138" s="1" t="s">
        <v>37</v>
      </c>
      <c r="G1138" s="2">
        <v>18.07</v>
      </c>
      <c r="H1138">
        <v>19.2</v>
      </c>
      <c r="I1138">
        <v>18.974374999999998</v>
      </c>
      <c r="J1138">
        <v>26.45</v>
      </c>
      <c r="K1138">
        <v>16</v>
      </c>
      <c r="M1138">
        <v>0</v>
      </c>
      <c r="N1138" s="2">
        <v>480</v>
      </c>
      <c r="O1138">
        <v>9107.7000000000007</v>
      </c>
      <c r="P1138">
        <v>18</v>
      </c>
      <c r="Q1138">
        <v>462</v>
      </c>
      <c r="R1138">
        <v>10.5</v>
      </c>
      <c r="S1138">
        <v>0</v>
      </c>
      <c r="T1138">
        <v>186</v>
      </c>
      <c r="U1138" s="2">
        <v>4919.7</v>
      </c>
      <c r="V1138">
        <v>0</v>
      </c>
      <c r="W1138" t="s">
        <v>29</v>
      </c>
      <c r="X1138" t="str">
        <f>IF(Table2[[#This Row],[Qty available]]&gt;Table2[[#This Row],[Qty on hand]],"Check","OK")</f>
        <v>OK</v>
      </c>
    </row>
    <row r="1139" spans="1:24" x14ac:dyDescent="0.3">
      <c r="A1139" t="s">
        <v>155</v>
      </c>
      <c r="B1139" t="s">
        <v>156</v>
      </c>
      <c r="C1139" t="s">
        <v>91</v>
      </c>
      <c r="D1139" t="s">
        <v>92</v>
      </c>
      <c r="E1139" t="s">
        <v>66</v>
      </c>
      <c r="F1139" s="1" t="s">
        <v>38</v>
      </c>
      <c r="G1139" s="2">
        <v>18.22</v>
      </c>
      <c r="H1139">
        <v>19.36</v>
      </c>
      <c r="I1139">
        <v>19.074788000000002</v>
      </c>
      <c r="J1139">
        <v>26.45</v>
      </c>
      <c r="K1139">
        <v>16</v>
      </c>
      <c r="L1139" s="2">
        <v>15</v>
      </c>
      <c r="M1139">
        <v>169</v>
      </c>
      <c r="N1139" s="2">
        <v>589</v>
      </c>
      <c r="O1139">
        <v>11235.05</v>
      </c>
      <c r="P1139">
        <v>36</v>
      </c>
      <c r="Q1139">
        <v>553</v>
      </c>
      <c r="R1139">
        <v>16.68</v>
      </c>
      <c r="S1139">
        <v>1</v>
      </c>
      <c r="T1139">
        <v>60</v>
      </c>
      <c r="U1139" s="2">
        <v>1587</v>
      </c>
      <c r="V1139">
        <v>0</v>
      </c>
      <c r="W1139" t="s">
        <v>29</v>
      </c>
      <c r="X1139" t="str">
        <f>IF(Table2[[#This Row],[Qty available]]&gt;Table2[[#This Row],[Qty on hand]],"Check","OK")</f>
        <v>OK</v>
      </c>
    </row>
    <row r="1140" spans="1:24" x14ac:dyDescent="0.3">
      <c r="A1140" t="s">
        <v>155</v>
      </c>
      <c r="B1140" t="s">
        <v>156</v>
      </c>
      <c r="C1140" t="s">
        <v>91</v>
      </c>
      <c r="D1140" t="s">
        <v>92</v>
      </c>
      <c r="E1140" t="s">
        <v>66</v>
      </c>
      <c r="F1140" s="1" t="s">
        <v>39</v>
      </c>
      <c r="G1140" s="2">
        <v>17.829999999999998</v>
      </c>
      <c r="H1140">
        <v>18.95</v>
      </c>
      <c r="I1140">
        <v>19.069154999999999</v>
      </c>
      <c r="J1140">
        <v>26.45</v>
      </c>
      <c r="K1140">
        <v>16</v>
      </c>
      <c r="L1140" s="2">
        <v>26</v>
      </c>
      <c r="M1140">
        <v>28</v>
      </c>
      <c r="N1140" s="2">
        <v>71</v>
      </c>
      <c r="O1140">
        <v>1353.91</v>
      </c>
      <c r="P1140">
        <v>18</v>
      </c>
      <c r="Q1140">
        <v>53</v>
      </c>
      <c r="R1140">
        <v>1.18</v>
      </c>
      <c r="S1140">
        <v>2</v>
      </c>
      <c r="T1140">
        <v>546</v>
      </c>
      <c r="U1140" s="2">
        <v>14441.7</v>
      </c>
      <c r="V1140">
        <v>0</v>
      </c>
      <c r="W1140" t="s">
        <v>29</v>
      </c>
      <c r="X1140" t="str">
        <f>IF(Table2[[#This Row],[Qty available]]&gt;Table2[[#This Row],[Qty on hand]],"Check","OK")</f>
        <v>OK</v>
      </c>
    </row>
    <row r="1141" spans="1:24" x14ac:dyDescent="0.3">
      <c r="A1141" t="s">
        <v>155</v>
      </c>
      <c r="B1141" t="s">
        <v>156</v>
      </c>
      <c r="C1141" t="s">
        <v>91</v>
      </c>
      <c r="D1141" t="s">
        <v>92</v>
      </c>
      <c r="E1141" t="s">
        <v>66</v>
      </c>
      <c r="F1141" s="1" t="s">
        <v>40</v>
      </c>
      <c r="G1141" s="2">
        <v>17.78</v>
      </c>
      <c r="H1141">
        <v>18.89</v>
      </c>
      <c r="I1141">
        <v>18.911735</v>
      </c>
      <c r="J1141">
        <v>26.45</v>
      </c>
      <c r="K1141">
        <v>16</v>
      </c>
      <c r="L1141" s="2">
        <v>14</v>
      </c>
      <c r="M1141">
        <v>514</v>
      </c>
      <c r="N1141" s="2">
        <v>415</v>
      </c>
      <c r="O1141">
        <v>7848.37</v>
      </c>
      <c r="P1141">
        <v>62</v>
      </c>
      <c r="Q1141">
        <v>353</v>
      </c>
      <c r="R1141">
        <v>7.03</v>
      </c>
      <c r="S1141">
        <v>1</v>
      </c>
      <c r="T1141">
        <v>170</v>
      </c>
      <c r="U1141" s="2">
        <v>4496.5</v>
      </c>
      <c r="V1141">
        <v>0</v>
      </c>
      <c r="W1141" t="s">
        <v>29</v>
      </c>
      <c r="X1141" t="str">
        <f>IF(Table2[[#This Row],[Qty available]]&gt;Table2[[#This Row],[Qty on hand]],"Check","OK")</f>
        <v>OK</v>
      </c>
    </row>
    <row r="1142" spans="1:24" x14ac:dyDescent="0.3">
      <c r="A1142" t="s">
        <v>155</v>
      </c>
      <c r="B1142" t="s">
        <v>156</v>
      </c>
      <c r="C1142" t="s">
        <v>91</v>
      </c>
      <c r="D1142" t="s">
        <v>92</v>
      </c>
      <c r="E1142" t="s">
        <v>66</v>
      </c>
      <c r="F1142" s="1" t="s">
        <v>41</v>
      </c>
      <c r="G1142" s="2">
        <v>17.829999999999998</v>
      </c>
      <c r="H1142">
        <v>18.95</v>
      </c>
      <c r="I1142">
        <v>18.933104</v>
      </c>
      <c r="J1142">
        <v>26.45</v>
      </c>
      <c r="K1142">
        <v>16</v>
      </c>
      <c r="L1142" s="2">
        <v>14</v>
      </c>
      <c r="M1142">
        <v>525</v>
      </c>
      <c r="N1142" s="2">
        <v>596</v>
      </c>
      <c r="O1142">
        <v>11284.13</v>
      </c>
      <c r="P1142">
        <v>80</v>
      </c>
      <c r="Q1142">
        <v>516</v>
      </c>
      <c r="R1142">
        <v>7.39</v>
      </c>
      <c r="S1142">
        <v>0</v>
      </c>
      <c r="T1142">
        <v>344</v>
      </c>
      <c r="U1142" s="2">
        <v>9098.7999999999993</v>
      </c>
      <c r="V1142">
        <v>0</v>
      </c>
      <c r="W1142" t="s">
        <v>29</v>
      </c>
      <c r="X1142" t="str">
        <f>IF(Table2[[#This Row],[Qty available]]&gt;Table2[[#This Row],[Qty on hand]],"Check","OK")</f>
        <v>OK</v>
      </c>
    </row>
    <row r="1143" spans="1:24" x14ac:dyDescent="0.3">
      <c r="A1143" t="s">
        <v>155</v>
      </c>
      <c r="B1143" t="s">
        <v>156</v>
      </c>
      <c r="C1143" t="s">
        <v>91</v>
      </c>
      <c r="D1143" t="s">
        <v>92</v>
      </c>
      <c r="E1143" t="s">
        <v>66</v>
      </c>
      <c r="F1143" s="1" t="s">
        <v>42</v>
      </c>
      <c r="G1143" s="2">
        <v>18.809999999999999</v>
      </c>
      <c r="H1143">
        <v>19.989999999999998</v>
      </c>
      <c r="I1143">
        <v>19.276624000000002</v>
      </c>
      <c r="J1143">
        <v>26.45</v>
      </c>
      <c r="K1143">
        <v>16</v>
      </c>
      <c r="L1143" s="2">
        <v>14</v>
      </c>
      <c r="M1143">
        <v>287</v>
      </c>
      <c r="N1143" s="2">
        <v>859</v>
      </c>
      <c r="O1143">
        <v>16558.62</v>
      </c>
      <c r="P1143">
        <v>89</v>
      </c>
      <c r="Q1143">
        <v>770</v>
      </c>
      <c r="R1143">
        <v>20.98</v>
      </c>
      <c r="S1143">
        <v>11</v>
      </c>
      <c r="T1143">
        <v>24</v>
      </c>
      <c r="U1143" s="2">
        <v>634.79999999999995</v>
      </c>
      <c r="V1143">
        <v>0</v>
      </c>
      <c r="W1143" t="s">
        <v>29</v>
      </c>
      <c r="X1143" t="str">
        <f>IF(Table2[[#This Row],[Qty available]]&gt;Table2[[#This Row],[Qty on hand]],"Check","OK")</f>
        <v>OK</v>
      </c>
    </row>
    <row r="1144" spans="1:24" x14ac:dyDescent="0.3">
      <c r="A1144" t="s">
        <v>155</v>
      </c>
      <c r="B1144" t="s">
        <v>156</v>
      </c>
      <c r="C1144" t="s">
        <v>91</v>
      </c>
      <c r="D1144" t="s">
        <v>92</v>
      </c>
      <c r="E1144" t="s">
        <v>66</v>
      </c>
      <c r="F1144" s="1" t="s">
        <v>43</v>
      </c>
      <c r="G1144" s="2">
        <v>18.920000000000002</v>
      </c>
      <c r="H1144">
        <v>20.100000000000001</v>
      </c>
      <c r="I1144">
        <v>19.276622</v>
      </c>
      <c r="J1144">
        <v>26.45</v>
      </c>
      <c r="K1144">
        <v>16</v>
      </c>
      <c r="M1144">
        <v>0</v>
      </c>
      <c r="N1144" s="2">
        <v>592</v>
      </c>
      <c r="O1144">
        <v>11411.76</v>
      </c>
      <c r="P1144">
        <v>89</v>
      </c>
      <c r="Q1144">
        <v>503</v>
      </c>
      <c r="R1144">
        <v>12.12</v>
      </c>
      <c r="S1144">
        <v>1</v>
      </c>
      <c r="T1144">
        <v>267</v>
      </c>
      <c r="U1144" s="2">
        <v>7062.15</v>
      </c>
      <c r="V1144">
        <v>0</v>
      </c>
      <c r="W1144" t="s">
        <v>29</v>
      </c>
      <c r="X1144" t="str">
        <f>IF(Table2[[#This Row],[Qty available]]&gt;Table2[[#This Row],[Qty on hand]],"Check","OK")</f>
        <v>OK</v>
      </c>
    </row>
    <row r="1145" spans="1:24" x14ac:dyDescent="0.3">
      <c r="A1145" t="s">
        <v>155</v>
      </c>
      <c r="B1145" t="s">
        <v>156</v>
      </c>
      <c r="C1145" t="s">
        <v>91</v>
      </c>
      <c r="D1145" t="s">
        <v>92</v>
      </c>
      <c r="E1145" t="s">
        <v>66</v>
      </c>
      <c r="F1145" s="1" t="s">
        <v>44</v>
      </c>
      <c r="G1145" s="2">
        <v>18.63</v>
      </c>
      <c r="H1145">
        <v>19.8</v>
      </c>
      <c r="I1145">
        <v>19.474195999999999</v>
      </c>
      <c r="J1145">
        <v>26.45</v>
      </c>
      <c r="K1145">
        <v>16</v>
      </c>
      <c r="L1145" s="2">
        <v>14</v>
      </c>
      <c r="M1145">
        <v>359</v>
      </c>
      <c r="N1145" s="2">
        <v>765</v>
      </c>
      <c r="O1145">
        <v>14897.76</v>
      </c>
      <c r="P1145">
        <v>62</v>
      </c>
      <c r="Q1145">
        <v>703</v>
      </c>
      <c r="R1145">
        <v>21.08</v>
      </c>
      <c r="S1145">
        <v>4</v>
      </c>
      <c r="T1145">
        <v>186</v>
      </c>
      <c r="U1145" s="2">
        <v>4919.7</v>
      </c>
      <c r="V1145">
        <v>0</v>
      </c>
      <c r="W1145" t="s">
        <v>29</v>
      </c>
      <c r="X1145" t="str">
        <f>IF(Table2[[#This Row],[Qty available]]&gt;Table2[[#This Row],[Qty on hand]],"Check","OK")</f>
        <v>OK</v>
      </c>
    </row>
    <row r="1146" spans="1:24" x14ac:dyDescent="0.3">
      <c r="A1146" t="s">
        <v>155</v>
      </c>
      <c r="B1146" t="s">
        <v>156</v>
      </c>
      <c r="C1146" t="s">
        <v>91</v>
      </c>
      <c r="D1146" t="s">
        <v>92</v>
      </c>
      <c r="E1146" t="s">
        <v>66</v>
      </c>
      <c r="F1146" s="1" t="s">
        <v>45</v>
      </c>
      <c r="G1146" s="2">
        <v>19.16</v>
      </c>
      <c r="H1146">
        <v>20.36</v>
      </c>
      <c r="I1146">
        <v>19.533611000000001</v>
      </c>
      <c r="J1146">
        <v>26.45</v>
      </c>
      <c r="K1146">
        <v>16</v>
      </c>
      <c r="L1146" s="2">
        <v>23</v>
      </c>
      <c r="M1146">
        <v>55</v>
      </c>
      <c r="N1146" s="2">
        <v>540</v>
      </c>
      <c r="O1146">
        <v>10548.15</v>
      </c>
      <c r="P1146">
        <v>36</v>
      </c>
      <c r="Q1146">
        <v>504</v>
      </c>
      <c r="R1146">
        <v>9.68</v>
      </c>
      <c r="S1146">
        <v>0</v>
      </c>
      <c r="T1146">
        <v>280</v>
      </c>
      <c r="U1146" s="2">
        <v>7406</v>
      </c>
      <c r="V1146">
        <v>0</v>
      </c>
      <c r="W1146" t="s">
        <v>29</v>
      </c>
      <c r="X1146" t="str">
        <f>IF(Table2[[#This Row],[Qty available]]&gt;Table2[[#This Row],[Qty on hand]],"Check","OK")</f>
        <v>OK</v>
      </c>
    </row>
    <row r="1147" spans="1:24" x14ac:dyDescent="0.3">
      <c r="A1147" t="s">
        <v>155</v>
      </c>
      <c r="B1147" t="s">
        <v>156</v>
      </c>
      <c r="C1147" t="s">
        <v>91</v>
      </c>
      <c r="D1147" t="s">
        <v>92</v>
      </c>
      <c r="E1147" t="s">
        <v>66</v>
      </c>
      <c r="F1147" s="1" t="s">
        <v>46</v>
      </c>
      <c r="G1147" s="2">
        <v>18.63</v>
      </c>
      <c r="H1147">
        <v>19.8</v>
      </c>
      <c r="I1147">
        <v>19.609729000000002</v>
      </c>
      <c r="J1147">
        <v>27.12</v>
      </c>
      <c r="K1147">
        <v>16</v>
      </c>
      <c r="L1147" s="2">
        <v>28</v>
      </c>
      <c r="M1147">
        <v>216</v>
      </c>
      <c r="N1147" s="2">
        <v>479</v>
      </c>
      <c r="O1147">
        <v>9393.06</v>
      </c>
      <c r="P1147">
        <v>18</v>
      </c>
      <c r="Q1147">
        <v>461</v>
      </c>
      <c r="R1147">
        <v>8.2899999999999991</v>
      </c>
      <c r="S1147">
        <v>2</v>
      </c>
      <c r="T1147">
        <v>277</v>
      </c>
      <c r="U1147" s="2">
        <v>7512.24</v>
      </c>
      <c r="V1147">
        <v>0</v>
      </c>
      <c r="W1147" t="s">
        <v>29</v>
      </c>
      <c r="X1147" t="str">
        <f>IF(Table2[[#This Row],[Qty available]]&gt;Table2[[#This Row],[Qty on hand]],"Check","OK")</f>
        <v>OK</v>
      </c>
    </row>
    <row r="1148" spans="1:24" x14ac:dyDescent="0.3">
      <c r="A1148" t="s">
        <v>155</v>
      </c>
      <c r="B1148" t="s">
        <v>156</v>
      </c>
      <c r="C1148" t="s">
        <v>91</v>
      </c>
      <c r="D1148" t="s">
        <v>92</v>
      </c>
      <c r="E1148" t="s">
        <v>66</v>
      </c>
      <c r="F1148" s="1" t="s">
        <v>47</v>
      </c>
      <c r="G1148" s="2">
        <v>19.28</v>
      </c>
      <c r="H1148">
        <v>20.49</v>
      </c>
      <c r="I1148">
        <v>19.920973</v>
      </c>
      <c r="J1148">
        <v>27.12</v>
      </c>
      <c r="K1148">
        <v>16</v>
      </c>
      <c r="L1148" s="2">
        <v>15</v>
      </c>
      <c r="M1148">
        <v>262</v>
      </c>
      <c r="N1148" s="2">
        <v>678</v>
      </c>
      <c r="O1148">
        <v>13506.42</v>
      </c>
      <c r="P1148">
        <v>53</v>
      </c>
      <c r="Q1148">
        <v>625</v>
      </c>
      <c r="R1148">
        <v>14.06</v>
      </c>
      <c r="S1148">
        <v>2</v>
      </c>
      <c r="T1148">
        <v>63</v>
      </c>
      <c r="U1148" s="2">
        <v>1708.56</v>
      </c>
      <c r="V1148">
        <v>0</v>
      </c>
      <c r="W1148" t="s">
        <v>29</v>
      </c>
      <c r="X1148" t="str">
        <f>IF(Table2[[#This Row],[Qty available]]&gt;Table2[[#This Row],[Qty on hand]],"Check","OK")</f>
        <v>OK</v>
      </c>
    </row>
    <row r="1149" spans="1:24" x14ac:dyDescent="0.3">
      <c r="A1149" t="s">
        <v>155</v>
      </c>
      <c r="B1149" t="s">
        <v>156</v>
      </c>
      <c r="C1149" t="s">
        <v>91</v>
      </c>
      <c r="D1149" t="s">
        <v>92</v>
      </c>
      <c r="E1149" t="s">
        <v>66</v>
      </c>
      <c r="F1149" s="1" t="s">
        <v>48</v>
      </c>
      <c r="G1149" s="2">
        <v>19.2</v>
      </c>
      <c r="H1149">
        <v>20.399999999999999</v>
      </c>
      <c r="I1149">
        <v>19.999032</v>
      </c>
      <c r="J1149">
        <v>27.12</v>
      </c>
      <c r="K1149">
        <v>16</v>
      </c>
      <c r="L1149" s="2">
        <v>14</v>
      </c>
      <c r="M1149">
        <v>132</v>
      </c>
      <c r="N1149" s="2">
        <v>630</v>
      </c>
      <c r="O1149">
        <v>12599.39</v>
      </c>
      <c r="P1149">
        <v>27</v>
      </c>
      <c r="Q1149">
        <v>603</v>
      </c>
      <c r="R1149">
        <v>15.4</v>
      </c>
      <c r="S1149">
        <v>7</v>
      </c>
      <c r="T1149">
        <v>180</v>
      </c>
      <c r="U1149" s="2">
        <v>4881.6000000000004</v>
      </c>
      <c r="V1149">
        <v>0</v>
      </c>
      <c r="W1149" t="s">
        <v>29</v>
      </c>
      <c r="X1149" t="str">
        <f>IF(Table2[[#This Row],[Qty available]]&gt;Table2[[#This Row],[Qty on hand]],"Check","OK")</f>
        <v>OK</v>
      </c>
    </row>
    <row r="1150" spans="1:24" x14ac:dyDescent="0.3">
      <c r="A1150" t="s">
        <v>155</v>
      </c>
      <c r="B1150" t="s">
        <v>156</v>
      </c>
      <c r="C1150" t="s">
        <v>91</v>
      </c>
      <c r="D1150" t="s">
        <v>92</v>
      </c>
      <c r="E1150" t="s">
        <v>66</v>
      </c>
      <c r="F1150" s="1" t="s">
        <v>49</v>
      </c>
      <c r="G1150" s="2">
        <v>19.059999999999999</v>
      </c>
      <c r="H1150">
        <v>20.25</v>
      </c>
      <c r="I1150">
        <v>19.999034999999999</v>
      </c>
      <c r="J1150">
        <v>27.12</v>
      </c>
      <c r="K1150">
        <v>16</v>
      </c>
      <c r="M1150">
        <v>0</v>
      </c>
      <c r="N1150" s="2">
        <v>342</v>
      </c>
      <c r="O1150">
        <v>6839.67</v>
      </c>
      <c r="P1150">
        <v>71</v>
      </c>
      <c r="Q1150">
        <v>271</v>
      </c>
      <c r="R1150">
        <v>8.4600000000000009</v>
      </c>
      <c r="S1150">
        <v>0</v>
      </c>
      <c r="T1150">
        <v>288</v>
      </c>
      <c r="U1150" s="2">
        <v>7810.56</v>
      </c>
      <c r="V1150">
        <v>0</v>
      </c>
      <c r="W1150" t="s">
        <v>29</v>
      </c>
      <c r="X1150" t="str">
        <f>IF(Table2[[#This Row],[Qty available]]&gt;Table2[[#This Row],[Qty on hand]],"Check","OK")</f>
        <v>OK</v>
      </c>
    </row>
    <row r="1151" spans="1:24" x14ac:dyDescent="0.3">
      <c r="A1151" t="s">
        <v>155</v>
      </c>
      <c r="B1151" t="s">
        <v>156</v>
      </c>
      <c r="C1151" t="s">
        <v>91</v>
      </c>
      <c r="D1151" t="s">
        <v>92</v>
      </c>
      <c r="E1151" t="s">
        <v>66</v>
      </c>
      <c r="F1151" s="1" t="s">
        <v>50</v>
      </c>
      <c r="G1151" s="2">
        <v>19.16</v>
      </c>
      <c r="H1151">
        <v>20.36</v>
      </c>
      <c r="I1151">
        <v>20.154256</v>
      </c>
      <c r="J1151">
        <v>27.12</v>
      </c>
      <c r="K1151">
        <v>16</v>
      </c>
      <c r="L1151" s="2">
        <v>23</v>
      </c>
      <c r="M1151">
        <v>258</v>
      </c>
      <c r="N1151" s="2">
        <v>336</v>
      </c>
      <c r="O1151">
        <v>6771.83</v>
      </c>
      <c r="P1151">
        <v>27</v>
      </c>
      <c r="Q1151">
        <v>309</v>
      </c>
      <c r="R1151">
        <v>5.97</v>
      </c>
      <c r="S1151">
        <v>5</v>
      </c>
      <c r="T1151">
        <v>264</v>
      </c>
      <c r="U1151" s="2">
        <v>7159.68</v>
      </c>
      <c r="V1151">
        <v>0</v>
      </c>
      <c r="W1151" t="s">
        <v>29</v>
      </c>
      <c r="X1151" t="str">
        <f>IF(Table2[[#This Row],[Qty available]]&gt;Table2[[#This Row],[Qty on hand]],"Check","OK")</f>
        <v>OK</v>
      </c>
    </row>
    <row r="1152" spans="1:24" x14ac:dyDescent="0.3">
      <c r="A1152" t="s">
        <v>155</v>
      </c>
      <c r="B1152" t="s">
        <v>156</v>
      </c>
      <c r="C1152" t="s">
        <v>91</v>
      </c>
      <c r="D1152" t="s">
        <v>92</v>
      </c>
      <c r="E1152" t="s">
        <v>66</v>
      </c>
      <c r="F1152" s="1" t="s">
        <v>51</v>
      </c>
      <c r="G1152" s="2">
        <v>19.18</v>
      </c>
      <c r="H1152">
        <v>20.38</v>
      </c>
      <c r="I1152">
        <v>20.227682999999999</v>
      </c>
      <c r="J1152">
        <v>27.12</v>
      </c>
      <c r="K1152">
        <v>16</v>
      </c>
      <c r="L1152" s="2">
        <v>19</v>
      </c>
      <c r="M1152">
        <v>162</v>
      </c>
      <c r="N1152" s="2">
        <v>423</v>
      </c>
      <c r="O1152">
        <v>8556.31</v>
      </c>
      <c r="P1152">
        <v>62</v>
      </c>
      <c r="Q1152">
        <v>361</v>
      </c>
      <c r="R1152">
        <v>8.8699999999999992</v>
      </c>
      <c r="S1152">
        <v>1</v>
      </c>
      <c r="T1152">
        <v>75</v>
      </c>
      <c r="U1152" s="2">
        <v>2034</v>
      </c>
      <c r="V1152">
        <v>0</v>
      </c>
      <c r="W1152" t="s">
        <v>29</v>
      </c>
      <c r="X1152" t="str">
        <f>IF(Table2[[#This Row],[Qty available]]&gt;Table2[[#This Row],[Qty on hand]],"Check","OK")</f>
        <v>OK</v>
      </c>
    </row>
    <row r="1153" spans="1:24" x14ac:dyDescent="0.3">
      <c r="A1153" t="s">
        <v>155</v>
      </c>
      <c r="B1153" t="s">
        <v>156</v>
      </c>
      <c r="C1153" t="s">
        <v>91</v>
      </c>
      <c r="D1153" t="s">
        <v>92</v>
      </c>
      <c r="E1153" t="s">
        <v>66</v>
      </c>
      <c r="F1153" s="1" t="s">
        <v>52</v>
      </c>
      <c r="G1153" s="2">
        <v>19.09</v>
      </c>
      <c r="H1153">
        <v>20.28</v>
      </c>
      <c r="I1153">
        <v>20.247204</v>
      </c>
      <c r="J1153">
        <v>27.12</v>
      </c>
      <c r="K1153">
        <v>16</v>
      </c>
      <c r="L1153" s="2">
        <v>14</v>
      </c>
      <c r="M1153">
        <v>252</v>
      </c>
      <c r="N1153" s="2">
        <v>329</v>
      </c>
      <c r="O1153">
        <v>6661.33</v>
      </c>
      <c r="P1153">
        <v>89</v>
      </c>
      <c r="Q1153">
        <v>240</v>
      </c>
      <c r="R1153">
        <v>6.31</v>
      </c>
      <c r="S1153">
        <v>0</v>
      </c>
      <c r="T1153">
        <v>346</v>
      </c>
      <c r="U1153" s="2">
        <v>9383.52</v>
      </c>
      <c r="V1153">
        <v>0</v>
      </c>
      <c r="W1153" t="s">
        <v>29</v>
      </c>
      <c r="X1153" t="str">
        <f>IF(Table2[[#This Row],[Qty available]]&gt;Table2[[#This Row],[Qty on hand]],"Check","OK")</f>
        <v>OK</v>
      </c>
    </row>
    <row r="1154" spans="1:24" x14ac:dyDescent="0.3">
      <c r="A1154" t="s">
        <v>157</v>
      </c>
      <c r="B1154" t="s">
        <v>158</v>
      </c>
      <c r="C1154" t="s">
        <v>77</v>
      </c>
      <c r="D1154" t="s">
        <v>78</v>
      </c>
      <c r="E1154" t="s">
        <v>27</v>
      </c>
      <c r="F1154" s="1" t="s">
        <v>28</v>
      </c>
      <c r="G1154" s="2">
        <v>3.74</v>
      </c>
      <c r="H1154">
        <v>3.74</v>
      </c>
      <c r="I1154">
        <v>3.672552</v>
      </c>
      <c r="J1154">
        <v>5.15</v>
      </c>
      <c r="K1154">
        <v>32</v>
      </c>
      <c r="M1154">
        <v>0</v>
      </c>
      <c r="N1154" s="2">
        <v>529</v>
      </c>
      <c r="O1154">
        <v>1942.78</v>
      </c>
      <c r="P1154">
        <v>29</v>
      </c>
      <c r="Q1154">
        <v>500</v>
      </c>
      <c r="R1154">
        <v>8.73</v>
      </c>
      <c r="S1154">
        <v>1</v>
      </c>
      <c r="T1154">
        <v>245</v>
      </c>
      <c r="U1154" s="2">
        <v>1261.75</v>
      </c>
      <c r="V1154">
        <v>0</v>
      </c>
      <c r="W1154" t="s">
        <v>29</v>
      </c>
      <c r="X1154" t="str">
        <f>IF(Table2[[#This Row],[Qty available]]&gt;Table2[[#This Row],[Qty on hand]],"Check","OK")</f>
        <v>OK</v>
      </c>
    </row>
    <row r="1155" spans="1:24" x14ac:dyDescent="0.3">
      <c r="A1155" t="s">
        <v>157</v>
      </c>
      <c r="B1155" t="s">
        <v>158</v>
      </c>
      <c r="C1155" t="s">
        <v>77</v>
      </c>
      <c r="D1155" t="s">
        <v>78</v>
      </c>
      <c r="E1155" t="s">
        <v>27</v>
      </c>
      <c r="F1155" s="1" t="s">
        <v>30</v>
      </c>
      <c r="G1155" s="2">
        <v>3.63</v>
      </c>
      <c r="H1155">
        <v>3.63</v>
      </c>
      <c r="I1155">
        <v>3.6594540000000002</v>
      </c>
      <c r="J1155">
        <v>5.15</v>
      </c>
      <c r="K1155">
        <v>32</v>
      </c>
      <c r="L1155" s="2">
        <v>31</v>
      </c>
      <c r="M1155">
        <v>235</v>
      </c>
      <c r="N1155" s="2">
        <v>421</v>
      </c>
      <c r="O1155">
        <v>1540.63</v>
      </c>
      <c r="P1155">
        <v>39</v>
      </c>
      <c r="Q1155">
        <v>382</v>
      </c>
      <c r="R1155">
        <v>5.57</v>
      </c>
      <c r="S1155">
        <v>9</v>
      </c>
      <c r="T1155">
        <v>343</v>
      </c>
      <c r="U1155" s="2">
        <v>1766.45</v>
      </c>
      <c r="V1155">
        <v>0</v>
      </c>
      <c r="W1155" t="s">
        <v>29</v>
      </c>
      <c r="X1155" t="str">
        <f>IF(Table2[[#This Row],[Qty available]]&gt;Table2[[#This Row],[Qty on hand]],"Check","OK")</f>
        <v>OK</v>
      </c>
    </row>
    <row r="1156" spans="1:24" x14ac:dyDescent="0.3">
      <c r="A1156" t="s">
        <v>157</v>
      </c>
      <c r="B1156" t="s">
        <v>158</v>
      </c>
      <c r="C1156" t="s">
        <v>77</v>
      </c>
      <c r="D1156" t="s">
        <v>78</v>
      </c>
      <c r="E1156" t="s">
        <v>27</v>
      </c>
      <c r="F1156" s="1" t="s">
        <v>31</v>
      </c>
      <c r="G1156" s="2">
        <v>3.71</v>
      </c>
      <c r="H1156">
        <v>3.71</v>
      </c>
      <c r="I1156">
        <v>3.6594120000000001</v>
      </c>
      <c r="J1156">
        <v>5.15</v>
      </c>
      <c r="K1156">
        <v>32</v>
      </c>
      <c r="M1156">
        <v>0</v>
      </c>
      <c r="N1156" s="2">
        <v>85</v>
      </c>
      <c r="O1156">
        <v>311.05</v>
      </c>
      <c r="P1156">
        <v>48</v>
      </c>
      <c r="Q1156">
        <v>37</v>
      </c>
      <c r="R1156">
        <v>1.2</v>
      </c>
      <c r="S1156">
        <v>0</v>
      </c>
      <c r="T1156">
        <v>336</v>
      </c>
      <c r="U1156" s="2">
        <v>1730.4</v>
      </c>
      <c r="V1156">
        <v>0</v>
      </c>
      <c r="W1156" t="s">
        <v>29</v>
      </c>
      <c r="X1156" t="str">
        <f>IF(Table2[[#This Row],[Qty available]]&gt;Table2[[#This Row],[Qty on hand]],"Check","OK")</f>
        <v>OK</v>
      </c>
    </row>
    <row r="1157" spans="1:24" x14ac:dyDescent="0.3">
      <c r="A1157" t="s">
        <v>157</v>
      </c>
      <c r="B1157" t="s">
        <v>158</v>
      </c>
      <c r="C1157" t="s">
        <v>77</v>
      </c>
      <c r="D1157" t="s">
        <v>78</v>
      </c>
      <c r="E1157" t="s">
        <v>27</v>
      </c>
      <c r="F1157" s="1" t="s">
        <v>32</v>
      </c>
      <c r="G1157" s="2">
        <v>3.63</v>
      </c>
      <c r="H1157">
        <v>3.63</v>
      </c>
      <c r="I1157">
        <v>3.631939</v>
      </c>
      <c r="J1157">
        <v>5.15</v>
      </c>
      <c r="K1157">
        <v>32</v>
      </c>
      <c r="L1157" s="2">
        <v>40</v>
      </c>
      <c r="M1157">
        <v>1206</v>
      </c>
      <c r="N1157" s="2">
        <v>949</v>
      </c>
      <c r="O1157">
        <v>3446.71</v>
      </c>
      <c r="P1157">
        <v>68</v>
      </c>
      <c r="Q1157">
        <v>881</v>
      </c>
      <c r="R1157">
        <v>12.22</v>
      </c>
      <c r="S1157">
        <v>3</v>
      </c>
      <c r="T1157">
        <v>342</v>
      </c>
      <c r="U1157" s="2">
        <v>1761.3</v>
      </c>
      <c r="V1157">
        <v>0</v>
      </c>
      <c r="W1157" t="s">
        <v>29</v>
      </c>
      <c r="X1157" t="str">
        <f>IF(Table2[[#This Row],[Qty available]]&gt;Table2[[#This Row],[Qty on hand]],"Check","OK")</f>
        <v>OK</v>
      </c>
    </row>
    <row r="1158" spans="1:24" x14ac:dyDescent="0.3">
      <c r="A1158" t="s">
        <v>157</v>
      </c>
      <c r="B1158" t="s">
        <v>158</v>
      </c>
      <c r="C1158" t="s">
        <v>77</v>
      </c>
      <c r="D1158" t="s">
        <v>78</v>
      </c>
      <c r="E1158" t="s">
        <v>27</v>
      </c>
      <c r="F1158" s="1" t="s">
        <v>33</v>
      </c>
      <c r="G1158" s="2">
        <v>3.73</v>
      </c>
      <c r="H1158">
        <v>3.73</v>
      </c>
      <c r="I1158">
        <v>3.6346500000000002</v>
      </c>
      <c r="J1158">
        <v>5.15</v>
      </c>
      <c r="K1158">
        <v>32</v>
      </c>
      <c r="L1158" s="2">
        <v>31</v>
      </c>
      <c r="M1158">
        <v>27</v>
      </c>
      <c r="N1158" s="2">
        <v>585</v>
      </c>
      <c r="O1158">
        <v>2126.27</v>
      </c>
      <c r="P1158">
        <v>97</v>
      </c>
      <c r="Q1158">
        <v>488</v>
      </c>
      <c r="R1158">
        <v>7.19</v>
      </c>
      <c r="S1158">
        <v>0</v>
      </c>
      <c r="T1158">
        <v>391</v>
      </c>
      <c r="U1158" s="2">
        <v>2013.65</v>
      </c>
      <c r="V1158">
        <v>0</v>
      </c>
      <c r="W1158" t="s">
        <v>29</v>
      </c>
      <c r="X1158" t="str">
        <f>IF(Table2[[#This Row],[Qty available]]&gt;Table2[[#This Row],[Qty on hand]],"Check","OK")</f>
        <v>OK</v>
      </c>
    </row>
    <row r="1159" spans="1:24" x14ac:dyDescent="0.3">
      <c r="A1159" t="s">
        <v>157</v>
      </c>
      <c r="B1159" t="s">
        <v>158</v>
      </c>
      <c r="C1159" t="s">
        <v>77</v>
      </c>
      <c r="D1159" t="s">
        <v>78</v>
      </c>
      <c r="E1159" t="s">
        <v>27</v>
      </c>
      <c r="F1159" s="1" t="s">
        <v>34</v>
      </c>
      <c r="G1159" s="2">
        <v>3.69</v>
      </c>
      <c r="H1159">
        <v>3.69</v>
      </c>
      <c r="I1159">
        <v>3.634649</v>
      </c>
      <c r="J1159">
        <v>5.38</v>
      </c>
      <c r="K1159">
        <v>32</v>
      </c>
      <c r="M1159">
        <v>0</v>
      </c>
      <c r="N1159" s="2">
        <v>185</v>
      </c>
      <c r="O1159">
        <v>672.41</v>
      </c>
      <c r="P1159">
        <v>68</v>
      </c>
      <c r="Q1159">
        <v>117</v>
      </c>
      <c r="R1159">
        <v>2.1</v>
      </c>
      <c r="S1159">
        <v>0</v>
      </c>
      <c r="T1159">
        <v>400</v>
      </c>
      <c r="U1159" s="2">
        <v>2152</v>
      </c>
      <c r="V1159">
        <v>0</v>
      </c>
      <c r="W1159" t="s">
        <v>29</v>
      </c>
      <c r="X1159" t="str">
        <f>IF(Table2[[#This Row],[Qty available]]&gt;Table2[[#This Row],[Qty on hand]],"Check","OK")</f>
        <v>OK</v>
      </c>
    </row>
    <row r="1160" spans="1:24" x14ac:dyDescent="0.3">
      <c r="A1160" t="s">
        <v>157</v>
      </c>
      <c r="B1160" t="s">
        <v>158</v>
      </c>
      <c r="C1160" t="s">
        <v>77</v>
      </c>
      <c r="D1160" t="s">
        <v>78</v>
      </c>
      <c r="E1160" t="s">
        <v>27</v>
      </c>
      <c r="F1160" s="1" t="s">
        <v>35</v>
      </c>
      <c r="G1160" s="2">
        <v>3.86</v>
      </c>
      <c r="H1160">
        <v>3.86</v>
      </c>
      <c r="I1160">
        <v>3.774041</v>
      </c>
      <c r="J1160">
        <v>5.38</v>
      </c>
      <c r="K1160">
        <v>32</v>
      </c>
      <c r="L1160" s="2">
        <v>47</v>
      </c>
      <c r="M1160">
        <v>300</v>
      </c>
      <c r="N1160" s="2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485</v>
      </c>
      <c r="U1160" s="2">
        <v>2609.3000000000002</v>
      </c>
      <c r="V1160">
        <v>16</v>
      </c>
      <c r="W1160" t="s">
        <v>59</v>
      </c>
      <c r="X1160" t="str">
        <f>IF(Table2[[#This Row],[Qty available]]&gt;Table2[[#This Row],[Qty on hand]],"Check","OK")</f>
        <v>OK</v>
      </c>
    </row>
    <row r="1161" spans="1:24" x14ac:dyDescent="0.3">
      <c r="A1161" t="s">
        <v>157</v>
      </c>
      <c r="B1161" t="s">
        <v>158</v>
      </c>
      <c r="C1161" t="s">
        <v>77</v>
      </c>
      <c r="D1161" t="s">
        <v>78</v>
      </c>
      <c r="E1161" t="s">
        <v>27</v>
      </c>
      <c r="F1161" s="1" t="s">
        <v>36</v>
      </c>
      <c r="G1161" s="2">
        <v>3.97</v>
      </c>
      <c r="H1161">
        <v>3.97</v>
      </c>
      <c r="I1161">
        <v>3.97</v>
      </c>
      <c r="J1161">
        <v>5.38</v>
      </c>
      <c r="K1161">
        <v>32</v>
      </c>
      <c r="L1161" s="2">
        <v>47</v>
      </c>
      <c r="M1161">
        <v>696</v>
      </c>
      <c r="N1161" s="2">
        <v>374</v>
      </c>
      <c r="O1161">
        <v>1484.78</v>
      </c>
      <c r="P1161">
        <v>77</v>
      </c>
      <c r="Q1161">
        <v>297</v>
      </c>
      <c r="R1161">
        <v>3.94</v>
      </c>
      <c r="S1161">
        <v>1</v>
      </c>
      <c r="T1161">
        <v>322</v>
      </c>
      <c r="U1161" s="2">
        <v>1732.36</v>
      </c>
      <c r="V1161">
        <v>0</v>
      </c>
      <c r="W1161" t="s">
        <v>29</v>
      </c>
      <c r="X1161" t="str">
        <f>IF(Table2[[#This Row],[Qty available]]&gt;Table2[[#This Row],[Qty on hand]],"Check","OK")</f>
        <v>OK</v>
      </c>
    </row>
    <row r="1162" spans="1:24" x14ac:dyDescent="0.3">
      <c r="A1162" t="s">
        <v>157</v>
      </c>
      <c r="B1162" t="s">
        <v>158</v>
      </c>
      <c r="C1162" t="s">
        <v>77</v>
      </c>
      <c r="D1162" t="s">
        <v>78</v>
      </c>
      <c r="E1162" t="s">
        <v>27</v>
      </c>
      <c r="F1162" s="1" t="s">
        <v>37</v>
      </c>
      <c r="G1162" s="2">
        <v>3.93</v>
      </c>
      <c r="H1162">
        <v>3.93</v>
      </c>
      <c r="I1162">
        <v>3.9421439999999999</v>
      </c>
      <c r="J1162">
        <v>5.38</v>
      </c>
      <c r="K1162">
        <v>32</v>
      </c>
      <c r="L1162" s="2">
        <v>31</v>
      </c>
      <c r="M1162">
        <v>858</v>
      </c>
      <c r="N1162" s="2">
        <v>821</v>
      </c>
      <c r="O1162">
        <v>3236.5</v>
      </c>
      <c r="P1162">
        <v>19</v>
      </c>
      <c r="Q1162">
        <v>802</v>
      </c>
      <c r="R1162">
        <v>8.86</v>
      </c>
      <c r="S1162">
        <v>1</v>
      </c>
      <c r="T1162">
        <v>411</v>
      </c>
      <c r="U1162" s="2">
        <v>2211.1799999999998</v>
      </c>
      <c r="V1162">
        <v>0</v>
      </c>
      <c r="W1162" t="s">
        <v>29</v>
      </c>
      <c r="X1162" t="str">
        <f>IF(Table2[[#This Row],[Qty available]]&gt;Table2[[#This Row],[Qty on hand]],"Check","OK")</f>
        <v>OK</v>
      </c>
    </row>
    <row r="1163" spans="1:24" x14ac:dyDescent="0.3">
      <c r="A1163" t="s">
        <v>157</v>
      </c>
      <c r="B1163" t="s">
        <v>158</v>
      </c>
      <c r="C1163" t="s">
        <v>77</v>
      </c>
      <c r="D1163" t="s">
        <v>78</v>
      </c>
      <c r="E1163" t="s">
        <v>27</v>
      </c>
      <c r="F1163" s="1" t="s">
        <v>38</v>
      </c>
      <c r="G1163" s="2">
        <v>3.93</v>
      </c>
      <c r="H1163">
        <v>3.93</v>
      </c>
      <c r="I1163">
        <v>3.9421460000000002</v>
      </c>
      <c r="J1163">
        <v>5.38</v>
      </c>
      <c r="K1163">
        <v>32</v>
      </c>
      <c r="M1163">
        <v>0</v>
      </c>
      <c r="N1163" s="2">
        <v>522</v>
      </c>
      <c r="O1163">
        <v>2057.8000000000002</v>
      </c>
      <c r="P1163">
        <v>19</v>
      </c>
      <c r="Q1163">
        <v>503</v>
      </c>
      <c r="R1163">
        <v>6.58</v>
      </c>
      <c r="S1163">
        <v>0</v>
      </c>
      <c r="T1163">
        <v>299</v>
      </c>
      <c r="U1163" s="2">
        <v>1608.62</v>
      </c>
      <c r="V1163">
        <v>0</v>
      </c>
      <c r="W1163" t="s">
        <v>29</v>
      </c>
      <c r="X1163" t="str">
        <f>IF(Table2[[#This Row],[Qty available]]&gt;Table2[[#This Row],[Qty on hand]],"Check","OK")</f>
        <v>OK</v>
      </c>
    </row>
    <row r="1164" spans="1:24" x14ac:dyDescent="0.3">
      <c r="A1164" t="s">
        <v>157</v>
      </c>
      <c r="B1164" t="s">
        <v>158</v>
      </c>
      <c r="C1164" t="s">
        <v>77</v>
      </c>
      <c r="D1164" t="s">
        <v>78</v>
      </c>
      <c r="E1164" t="s">
        <v>27</v>
      </c>
      <c r="F1164" s="1" t="s">
        <v>39</v>
      </c>
      <c r="G1164" s="2">
        <v>4</v>
      </c>
      <c r="H1164">
        <v>4</v>
      </c>
      <c r="I1164">
        <v>3.9760170000000001</v>
      </c>
      <c r="J1164">
        <v>5.38</v>
      </c>
      <c r="K1164">
        <v>32</v>
      </c>
      <c r="L1164" s="2">
        <v>31</v>
      </c>
      <c r="M1164">
        <v>737</v>
      </c>
      <c r="N1164" s="2">
        <v>964</v>
      </c>
      <c r="O1164">
        <v>3832.88</v>
      </c>
      <c r="P1164">
        <v>87</v>
      </c>
      <c r="Q1164">
        <v>877</v>
      </c>
      <c r="R1164">
        <v>12.61</v>
      </c>
      <c r="S1164">
        <v>2</v>
      </c>
      <c r="T1164">
        <v>295</v>
      </c>
      <c r="U1164" s="2">
        <v>1587.1</v>
      </c>
      <c r="V1164">
        <v>0</v>
      </c>
      <c r="W1164" t="s">
        <v>29</v>
      </c>
      <c r="X1164" t="str">
        <f>IF(Table2[[#This Row],[Qty available]]&gt;Table2[[#This Row],[Qty on hand]],"Check","OK")</f>
        <v>OK</v>
      </c>
    </row>
    <row r="1165" spans="1:24" x14ac:dyDescent="0.3">
      <c r="A1165" t="s">
        <v>157</v>
      </c>
      <c r="B1165" t="s">
        <v>158</v>
      </c>
      <c r="C1165" t="s">
        <v>77</v>
      </c>
      <c r="D1165" t="s">
        <v>78</v>
      </c>
      <c r="E1165" t="s">
        <v>27</v>
      </c>
      <c r="F1165" s="1" t="s">
        <v>40</v>
      </c>
      <c r="G1165" s="2">
        <v>3.85</v>
      </c>
      <c r="H1165">
        <v>3.85</v>
      </c>
      <c r="I1165">
        <v>3.947422</v>
      </c>
      <c r="J1165">
        <v>5.38</v>
      </c>
      <c r="K1165">
        <v>32</v>
      </c>
      <c r="L1165" s="2">
        <v>31</v>
      </c>
      <c r="M1165">
        <v>283</v>
      </c>
      <c r="N1165" s="2">
        <v>741</v>
      </c>
      <c r="O1165">
        <v>2925.04</v>
      </c>
      <c r="P1165">
        <v>87</v>
      </c>
      <c r="Q1165">
        <v>654</v>
      </c>
      <c r="R1165">
        <v>8.85</v>
      </c>
      <c r="S1165">
        <v>0</v>
      </c>
      <c r="T1165">
        <v>506</v>
      </c>
      <c r="U1165" s="2">
        <v>2722.28</v>
      </c>
      <c r="V1165">
        <v>0</v>
      </c>
      <c r="W1165" t="s">
        <v>29</v>
      </c>
      <c r="X1165" t="str">
        <f>IF(Table2[[#This Row],[Qty available]]&gt;Table2[[#This Row],[Qty on hand]],"Check","OK")</f>
        <v>OK</v>
      </c>
    </row>
    <row r="1166" spans="1:24" x14ac:dyDescent="0.3">
      <c r="A1166" t="s">
        <v>157</v>
      </c>
      <c r="B1166" t="s">
        <v>158</v>
      </c>
      <c r="C1166" t="s">
        <v>77</v>
      </c>
      <c r="D1166" t="s">
        <v>78</v>
      </c>
      <c r="E1166" t="s">
        <v>27</v>
      </c>
      <c r="F1166" s="1" t="s">
        <v>41</v>
      </c>
      <c r="G1166" s="2">
        <v>3.92</v>
      </c>
      <c r="H1166">
        <v>3.92</v>
      </c>
      <c r="I1166">
        <v>3.947416</v>
      </c>
      <c r="J1166">
        <v>5.38</v>
      </c>
      <c r="K1166">
        <v>32</v>
      </c>
      <c r="M1166">
        <v>0</v>
      </c>
      <c r="N1166" s="2">
        <v>534</v>
      </c>
      <c r="O1166">
        <v>2107.92</v>
      </c>
      <c r="P1166">
        <v>58</v>
      </c>
      <c r="Q1166">
        <v>476</v>
      </c>
      <c r="R1166">
        <v>6.96</v>
      </c>
      <c r="S1166">
        <v>0</v>
      </c>
      <c r="T1166">
        <v>207</v>
      </c>
      <c r="U1166" s="2">
        <v>1113.6600000000001</v>
      </c>
      <c r="V1166">
        <v>0</v>
      </c>
      <c r="W1166" t="s">
        <v>29</v>
      </c>
      <c r="X1166" t="str">
        <f>IF(Table2[[#This Row],[Qty available]]&gt;Table2[[#This Row],[Qty on hand]],"Check","OK")</f>
        <v>OK</v>
      </c>
    </row>
    <row r="1167" spans="1:24" x14ac:dyDescent="0.3">
      <c r="A1167" t="s">
        <v>157</v>
      </c>
      <c r="B1167" t="s">
        <v>158</v>
      </c>
      <c r="C1167" t="s">
        <v>77</v>
      </c>
      <c r="D1167" t="s">
        <v>78</v>
      </c>
      <c r="E1167" t="s">
        <v>27</v>
      </c>
      <c r="F1167" s="1" t="s">
        <v>42</v>
      </c>
      <c r="G1167" s="2">
        <v>3.9</v>
      </c>
      <c r="H1167">
        <v>3.9</v>
      </c>
      <c r="I1167">
        <v>3.9228670000000001</v>
      </c>
      <c r="J1167">
        <v>5.38</v>
      </c>
      <c r="K1167">
        <v>32</v>
      </c>
      <c r="L1167" s="2">
        <v>31</v>
      </c>
      <c r="M1167">
        <v>573</v>
      </c>
      <c r="N1167" s="2">
        <v>715</v>
      </c>
      <c r="O1167">
        <v>2804.85</v>
      </c>
      <c r="P1167">
        <v>39</v>
      </c>
      <c r="Q1167">
        <v>676</v>
      </c>
      <c r="R1167">
        <v>8.5</v>
      </c>
      <c r="S1167">
        <v>1</v>
      </c>
      <c r="T1167">
        <v>392</v>
      </c>
      <c r="U1167" s="2">
        <v>2108.96</v>
      </c>
      <c r="V1167">
        <v>0</v>
      </c>
      <c r="W1167" t="s">
        <v>29</v>
      </c>
      <c r="X1167" t="str">
        <f>IF(Table2[[#This Row],[Qty available]]&gt;Table2[[#This Row],[Qty on hand]],"Check","OK")</f>
        <v>OK</v>
      </c>
    </row>
    <row r="1168" spans="1:24" x14ac:dyDescent="0.3">
      <c r="A1168" t="s">
        <v>157</v>
      </c>
      <c r="B1168" t="s">
        <v>158</v>
      </c>
      <c r="C1168" t="s">
        <v>77</v>
      </c>
      <c r="D1168" t="s">
        <v>78</v>
      </c>
      <c r="E1168" t="s">
        <v>27</v>
      </c>
      <c r="F1168" s="1" t="s">
        <v>43</v>
      </c>
      <c r="G1168" s="2">
        <v>3.85</v>
      </c>
      <c r="H1168">
        <v>3.85</v>
      </c>
      <c r="I1168">
        <v>3.8885070000000002</v>
      </c>
      <c r="J1168">
        <v>5.38</v>
      </c>
      <c r="K1168">
        <v>32</v>
      </c>
      <c r="L1168" s="2">
        <v>28</v>
      </c>
      <c r="M1168">
        <v>638</v>
      </c>
      <c r="N1168" s="2">
        <v>1018</v>
      </c>
      <c r="O1168">
        <v>3958.5</v>
      </c>
      <c r="P1168">
        <v>39</v>
      </c>
      <c r="Q1168">
        <v>979</v>
      </c>
      <c r="R1168">
        <v>14.17</v>
      </c>
      <c r="S1168">
        <v>2</v>
      </c>
      <c r="T1168">
        <v>335</v>
      </c>
      <c r="U1168" s="2">
        <v>1802.3</v>
      </c>
      <c r="V1168">
        <v>0</v>
      </c>
      <c r="W1168" t="s">
        <v>29</v>
      </c>
      <c r="X1168" t="str">
        <f>IF(Table2[[#This Row],[Qty available]]&gt;Table2[[#This Row],[Qty on hand]],"Check","OK")</f>
        <v>OK</v>
      </c>
    </row>
    <row r="1169" spans="1:24" x14ac:dyDescent="0.3">
      <c r="A1169" t="s">
        <v>157</v>
      </c>
      <c r="B1169" t="s">
        <v>158</v>
      </c>
      <c r="C1169" t="s">
        <v>77</v>
      </c>
      <c r="D1169" t="s">
        <v>78</v>
      </c>
      <c r="E1169" t="s">
        <v>27</v>
      </c>
      <c r="F1169" s="1" t="s">
        <v>44</v>
      </c>
      <c r="G1169" s="2">
        <v>3.95</v>
      </c>
      <c r="H1169">
        <v>3.95</v>
      </c>
      <c r="I1169">
        <v>3.9079600000000001</v>
      </c>
      <c r="J1169">
        <v>5.38</v>
      </c>
      <c r="K1169">
        <v>32</v>
      </c>
      <c r="L1169" s="2">
        <v>30</v>
      </c>
      <c r="M1169">
        <v>471</v>
      </c>
      <c r="N1169" s="2">
        <v>1137</v>
      </c>
      <c r="O1169">
        <v>4443.3500000000004</v>
      </c>
      <c r="P1169">
        <v>77</v>
      </c>
      <c r="Q1169">
        <v>1060</v>
      </c>
      <c r="R1169">
        <v>13.85</v>
      </c>
      <c r="S1169">
        <v>2</v>
      </c>
      <c r="T1169">
        <v>352</v>
      </c>
      <c r="U1169" s="2">
        <v>1893.76</v>
      </c>
      <c r="V1169">
        <v>0</v>
      </c>
      <c r="W1169" t="s">
        <v>29</v>
      </c>
      <c r="X1169" t="str">
        <f>IF(Table2[[#This Row],[Qty available]]&gt;Table2[[#This Row],[Qty on hand]],"Check","OK")</f>
        <v>OK</v>
      </c>
    </row>
    <row r="1170" spans="1:24" x14ac:dyDescent="0.3">
      <c r="A1170" t="s">
        <v>157</v>
      </c>
      <c r="B1170" t="s">
        <v>158</v>
      </c>
      <c r="C1170" t="s">
        <v>77</v>
      </c>
      <c r="D1170" t="s">
        <v>78</v>
      </c>
      <c r="E1170" t="s">
        <v>27</v>
      </c>
      <c r="F1170" s="1" t="s">
        <v>45</v>
      </c>
      <c r="G1170" s="2">
        <v>3.96</v>
      </c>
      <c r="H1170">
        <v>3.96</v>
      </c>
      <c r="I1170">
        <v>3.9161700000000002</v>
      </c>
      <c r="J1170">
        <v>5.38</v>
      </c>
      <c r="K1170">
        <v>32</v>
      </c>
      <c r="L1170" s="2">
        <v>27</v>
      </c>
      <c r="M1170">
        <v>213</v>
      </c>
      <c r="N1170" s="2">
        <v>974</v>
      </c>
      <c r="O1170">
        <v>3814.35</v>
      </c>
      <c r="P1170">
        <v>19</v>
      </c>
      <c r="Q1170">
        <v>955</v>
      </c>
      <c r="R1170">
        <v>12.04</v>
      </c>
      <c r="S1170">
        <v>1</v>
      </c>
      <c r="T1170">
        <v>376</v>
      </c>
      <c r="U1170" s="2">
        <v>2022.88</v>
      </c>
      <c r="V1170">
        <v>0</v>
      </c>
      <c r="W1170" t="s">
        <v>29</v>
      </c>
      <c r="X1170" t="str">
        <f>IF(Table2[[#This Row],[Qty available]]&gt;Table2[[#This Row],[Qty on hand]],"Check","OK")</f>
        <v>OK</v>
      </c>
    </row>
    <row r="1171" spans="1:24" x14ac:dyDescent="0.3">
      <c r="A1171" t="s">
        <v>157</v>
      </c>
      <c r="B1171" t="s">
        <v>158</v>
      </c>
      <c r="C1171" t="s">
        <v>77</v>
      </c>
      <c r="D1171" t="s">
        <v>78</v>
      </c>
      <c r="E1171" t="s">
        <v>27</v>
      </c>
      <c r="F1171" s="1" t="s">
        <v>46</v>
      </c>
      <c r="G1171" s="2">
        <v>3.94</v>
      </c>
      <c r="H1171">
        <v>3.94</v>
      </c>
      <c r="I1171">
        <v>3.9161640000000002</v>
      </c>
      <c r="J1171">
        <v>5.62</v>
      </c>
      <c r="K1171">
        <v>32</v>
      </c>
      <c r="M1171">
        <v>0</v>
      </c>
      <c r="N1171" s="2">
        <v>709</v>
      </c>
      <c r="O1171">
        <v>2776.56</v>
      </c>
      <c r="P1171">
        <v>68</v>
      </c>
      <c r="Q1171">
        <v>641</v>
      </c>
      <c r="R1171">
        <v>9.18</v>
      </c>
      <c r="S1171">
        <v>4</v>
      </c>
      <c r="T1171">
        <v>265</v>
      </c>
      <c r="U1171" s="2">
        <v>1489.3</v>
      </c>
      <c r="V1171">
        <v>0</v>
      </c>
      <c r="W1171" t="s">
        <v>29</v>
      </c>
      <c r="X1171" t="str">
        <f>IF(Table2[[#This Row],[Qty available]]&gt;Table2[[#This Row],[Qty on hand]],"Check","OK")</f>
        <v>OK</v>
      </c>
    </row>
    <row r="1172" spans="1:24" x14ac:dyDescent="0.3">
      <c r="A1172" t="s">
        <v>157</v>
      </c>
      <c r="B1172" t="s">
        <v>158</v>
      </c>
      <c r="C1172" t="s">
        <v>77</v>
      </c>
      <c r="D1172" t="s">
        <v>78</v>
      </c>
      <c r="E1172" t="s">
        <v>27</v>
      </c>
      <c r="F1172" s="1" t="s">
        <v>47</v>
      </c>
      <c r="G1172" s="2">
        <v>4.2</v>
      </c>
      <c r="H1172">
        <v>4.2</v>
      </c>
      <c r="I1172">
        <v>3.9888349999999999</v>
      </c>
      <c r="J1172">
        <v>5.62</v>
      </c>
      <c r="K1172">
        <v>32</v>
      </c>
      <c r="L1172" s="2">
        <v>45</v>
      </c>
      <c r="M1172">
        <v>244</v>
      </c>
      <c r="N1172" s="2">
        <v>661</v>
      </c>
      <c r="O1172">
        <v>2636.62</v>
      </c>
      <c r="P1172">
        <v>58</v>
      </c>
      <c r="Q1172">
        <v>603</v>
      </c>
      <c r="R1172">
        <v>9.11</v>
      </c>
      <c r="S1172">
        <v>0</v>
      </c>
      <c r="T1172">
        <v>292</v>
      </c>
      <c r="U1172" s="2">
        <v>1641.04</v>
      </c>
      <c r="V1172">
        <v>0</v>
      </c>
      <c r="W1172" t="s">
        <v>29</v>
      </c>
      <c r="X1172" t="str">
        <f>IF(Table2[[#This Row],[Qty available]]&gt;Table2[[#This Row],[Qty on hand]],"Check","OK")</f>
        <v>OK</v>
      </c>
    </row>
    <row r="1173" spans="1:24" x14ac:dyDescent="0.3">
      <c r="A1173" t="s">
        <v>157</v>
      </c>
      <c r="B1173" t="s">
        <v>158</v>
      </c>
      <c r="C1173" t="s">
        <v>77</v>
      </c>
      <c r="D1173" t="s">
        <v>78</v>
      </c>
      <c r="E1173" t="s">
        <v>27</v>
      </c>
      <c r="F1173" s="1" t="s">
        <v>48</v>
      </c>
      <c r="G1173" s="2">
        <v>4.13</v>
      </c>
      <c r="H1173">
        <v>4.13</v>
      </c>
      <c r="I1173">
        <v>4.0551089999999999</v>
      </c>
      <c r="J1173">
        <v>5.62</v>
      </c>
      <c r="K1173">
        <v>32</v>
      </c>
      <c r="L1173" s="2">
        <v>28</v>
      </c>
      <c r="M1173">
        <v>585</v>
      </c>
      <c r="N1173" s="2">
        <v>918</v>
      </c>
      <c r="O1173">
        <v>3722.59</v>
      </c>
      <c r="P1173">
        <v>87</v>
      </c>
      <c r="Q1173">
        <v>831</v>
      </c>
      <c r="R1173">
        <v>13.19</v>
      </c>
      <c r="S1173">
        <v>0</v>
      </c>
      <c r="T1173">
        <v>328</v>
      </c>
      <c r="U1173" s="2">
        <v>1843.36</v>
      </c>
      <c r="V1173">
        <v>0</v>
      </c>
      <c r="W1173" t="s">
        <v>29</v>
      </c>
      <c r="X1173" t="str">
        <f>IF(Table2[[#This Row],[Qty available]]&gt;Table2[[#This Row],[Qty on hand]],"Check","OK")</f>
        <v>OK</v>
      </c>
    </row>
    <row r="1174" spans="1:24" x14ac:dyDescent="0.3">
      <c r="A1174" t="s">
        <v>157</v>
      </c>
      <c r="B1174" t="s">
        <v>158</v>
      </c>
      <c r="C1174" t="s">
        <v>77</v>
      </c>
      <c r="D1174" t="s">
        <v>78</v>
      </c>
      <c r="E1174" t="s">
        <v>27</v>
      </c>
      <c r="F1174" s="1" t="s">
        <v>49</v>
      </c>
      <c r="G1174" s="2">
        <v>4.12</v>
      </c>
      <c r="H1174">
        <v>4.12</v>
      </c>
      <c r="I1174">
        <v>4.0551019999999998</v>
      </c>
      <c r="J1174">
        <v>5.62</v>
      </c>
      <c r="K1174">
        <v>32</v>
      </c>
      <c r="M1174">
        <v>0</v>
      </c>
      <c r="N1174" s="2">
        <v>688</v>
      </c>
      <c r="O1174">
        <v>2789.91</v>
      </c>
      <c r="P1174">
        <v>68</v>
      </c>
      <c r="Q1174">
        <v>620</v>
      </c>
      <c r="R1174">
        <v>10.64</v>
      </c>
      <c r="S1174">
        <v>0</v>
      </c>
      <c r="T1174">
        <v>230</v>
      </c>
      <c r="U1174" s="2">
        <v>1292.5999999999999</v>
      </c>
      <c r="V1174">
        <v>0</v>
      </c>
      <c r="W1174" t="s">
        <v>29</v>
      </c>
      <c r="X1174" t="str">
        <f>IF(Table2[[#This Row],[Qty available]]&gt;Table2[[#This Row],[Qty on hand]],"Check","OK")</f>
        <v>OK</v>
      </c>
    </row>
    <row r="1175" spans="1:24" x14ac:dyDescent="0.3">
      <c r="A1175" t="s">
        <v>157</v>
      </c>
      <c r="B1175" t="s">
        <v>158</v>
      </c>
      <c r="C1175" t="s">
        <v>77</v>
      </c>
      <c r="D1175" t="s">
        <v>78</v>
      </c>
      <c r="E1175" t="s">
        <v>27</v>
      </c>
      <c r="F1175" s="1" t="s">
        <v>50</v>
      </c>
      <c r="G1175" s="2">
        <v>4.17</v>
      </c>
      <c r="H1175">
        <v>4.17</v>
      </c>
      <c r="I1175">
        <v>4.1116599999999996</v>
      </c>
      <c r="J1175">
        <v>5.62</v>
      </c>
      <c r="K1175">
        <v>32</v>
      </c>
      <c r="L1175" s="2">
        <v>46</v>
      </c>
      <c r="M1175">
        <v>667</v>
      </c>
      <c r="N1175" s="2">
        <v>970</v>
      </c>
      <c r="O1175">
        <v>3988.31</v>
      </c>
      <c r="P1175">
        <v>39</v>
      </c>
      <c r="Q1175">
        <v>931</v>
      </c>
      <c r="R1175">
        <v>13.37</v>
      </c>
      <c r="S1175">
        <v>1</v>
      </c>
      <c r="T1175">
        <v>385</v>
      </c>
      <c r="U1175" s="2">
        <v>2163.6999999999998</v>
      </c>
      <c r="V1175">
        <v>0</v>
      </c>
      <c r="W1175" t="s">
        <v>29</v>
      </c>
      <c r="X1175" t="str">
        <f>IF(Table2[[#This Row],[Qty available]]&gt;Table2[[#This Row],[Qty on hand]],"Check","OK")</f>
        <v>OK</v>
      </c>
    </row>
    <row r="1176" spans="1:24" x14ac:dyDescent="0.3">
      <c r="A1176" t="s">
        <v>157</v>
      </c>
      <c r="B1176" t="s">
        <v>158</v>
      </c>
      <c r="C1176" t="s">
        <v>77</v>
      </c>
      <c r="D1176" t="s">
        <v>78</v>
      </c>
      <c r="E1176" t="s">
        <v>27</v>
      </c>
      <c r="F1176" s="1" t="s">
        <v>51</v>
      </c>
      <c r="G1176" s="2">
        <v>4.1900000000000004</v>
      </c>
      <c r="H1176">
        <v>4.1900000000000004</v>
      </c>
      <c r="I1176">
        <v>4.1382709999999996</v>
      </c>
      <c r="J1176">
        <v>5.62</v>
      </c>
      <c r="K1176">
        <v>32</v>
      </c>
      <c r="L1176" s="2">
        <v>29</v>
      </c>
      <c r="M1176">
        <v>499</v>
      </c>
      <c r="N1176" s="2">
        <v>1261</v>
      </c>
      <c r="O1176">
        <v>5218.3599999999997</v>
      </c>
      <c r="P1176">
        <v>77</v>
      </c>
      <c r="Q1176">
        <v>1184</v>
      </c>
      <c r="R1176">
        <v>20.14</v>
      </c>
      <c r="S1176">
        <v>2</v>
      </c>
      <c r="T1176">
        <v>208</v>
      </c>
      <c r="U1176" s="2">
        <v>1168.96</v>
      </c>
      <c r="V1176">
        <v>0</v>
      </c>
      <c r="W1176" t="s">
        <v>29</v>
      </c>
      <c r="X1176" t="str">
        <f>IF(Table2[[#This Row],[Qty available]]&gt;Table2[[#This Row],[Qty on hand]],"Check","OK")</f>
        <v>OK</v>
      </c>
    </row>
    <row r="1177" spans="1:24" x14ac:dyDescent="0.3">
      <c r="A1177" t="s">
        <v>157</v>
      </c>
      <c r="B1177" t="s">
        <v>158</v>
      </c>
      <c r="C1177" t="s">
        <v>77</v>
      </c>
      <c r="D1177" t="s">
        <v>78</v>
      </c>
      <c r="E1177" t="s">
        <v>27</v>
      </c>
      <c r="F1177" s="1" t="s">
        <v>52</v>
      </c>
      <c r="G1177" s="2">
        <v>4.22</v>
      </c>
      <c r="H1177">
        <v>4.22</v>
      </c>
      <c r="I1177">
        <v>4.1382719999999997</v>
      </c>
      <c r="J1177">
        <v>5.62</v>
      </c>
      <c r="K1177">
        <v>32</v>
      </c>
      <c r="M1177">
        <v>0</v>
      </c>
      <c r="N1177" s="2">
        <v>949</v>
      </c>
      <c r="O1177">
        <v>3927.22</v>
      </c>
      <c r="P1177">
        <v>39</v>
      </c>
      <c r="Q1177">
        <v>910</v>
      </c>
      <c r="R1177">
        <v>13.78</v>
      </c>
      <c r="S1177">
        <v>0</v>
      </c>
      <c r="T1177">
        <v>312</v>
      </c>
      <c r="U1177" s="2">
        <v>1753.44</v>
      </c>
      <c r="V1177">
        <v>0</v>
      </c>
      <c r="W1177" t="s">
        <v>29</v>
      </c>
      <c r="X1177" t="str">
        <f>IF(Table2[[#This Row],[Qty available]]&gt;Table2[[#This Row],[Qty on hand]],"Check","OK")</f>
        <v>OK</v>
      </c>
    </row>
    <row r="1178" spans="1:24" x14ac:dyDescent="0.3">
      <c r="A1178" t="s">
        <v>159</v>
      </c>
      <c r="B1178" t="s">
        <v>160</v>
      </c>
      <c r="C1178" t="s">
        <v>77</v>
      </c>
      <c r="D1178" t="s">
        <v>78</v>
      </c>
      <c r="E1178" t="s">
        <v>27</v>
      </c>
      <c r="F1178" s="1" t="s">
        <v>28</v>
      </c>
      <c r="G1178" s="2">
        <v>2.76</v>
      </c>
      <c r="H1178">
        <v>2.76</v>
      </c>
      <c r="I1178">
        <v>2.740599</v>
      </c>
      <c r="J1178">
        <v>3.72</v>
      </c>
      <c r="K1178">
        <v>25</v>
      </c>
      <c r="L1178" s="2">
        <v>25</v>
      </c>
      <c r="M1178">
        <v>414</v>
      </c>
      <c r="N1178" s="2">
        <v>968</v>
      </c>
      <c r="O1178">
        <v>2652.9</v>
      </c>
      <c r="P1178">
        <v>34</v>
      </c>
      <c r="Q1178">
        <v>934</v>
      </c>
      <c r="R1178">
        <v>15.18</v>
      </c>
      <c r="S1178">
        <v>2</v>
      </c>
      <c r="T1178">
        <v>244</v>
      </c>
      <c r="U1178" s="2">
        <v>907.68</v>
      </c>
      <c r="V1178">
        <v>0</v>
      </c>
      <c r="W1178" t="s">
        <v>29</v>
      </c>
      <c r="X1178" t="str">
        <f>IF(Table2[[#This Row],[Qty available]]&gt;Table2[[#This Row],[Qty on hand]],"Check","OK")</f>
        <v>OK</v>
      </c>
    </row>
    <row r="1179" spans="1:24" x14ac:dyDescent="0.3">
      <c r="A1179" t="s">
        <v>159</v>
      </c>
      <c r="B1179" t="s">
        <v>160</v>
      </c>
      <c r="C1179" t="s">
        <v>77</v>
      </c>
      <c r="D1179" t="s">
        <v>78</v>
      </c>
      <c r="E1179" t="s">
        <v>27</v>
      </c>
      <c r="F1179" s="1" t="s">
        <v>30</v>
      </c>
      <c r="G1179" s="2">
        <v>2.82</v>
      </c>
      <c r="H1179">
        <v>2.82</v>
      </c>
      <c r="I1179">
        <v>2.7473559999999999</v>
      </c>
      <c r="J1179">
        <v>3.72</v>
      </c>
      <c r="K1179">
        <v>25</v>
      </c>
      <c r="L1179" s="2">
        <v>23</v>
      </c>
      <c r="M1179">
        <v>90</v>
      </c>
      <c r="N1179" s="2">
        <v>571</v>
      </c>
      <c r="O1179">
        <v>1568.74</v>
      </c>
      <c r="P1179">
        <v>45</v>
      </c>
      <c r="Q1179">
        <v>526</v>
      </c>
      <c r="R1179">
        <v>6.77</v>
      </c>
      <c r="S1179">
        <v>3</v>
      </c>
      <c r="T1179">
        <v>487</v>
      </c>
      <c r="U1179" s="2">
        <v>1811.64</v>
      </c>
      <c r="V1179">
        <v>0</v>
      </c>
      <c r="W1179" t="s">
        <v>29</v>
      </c>
      <c r="X1179" t="str">
        <f>IF(Table2[[#This Row],[Qty available]]&gt;Table2[[#This Row],[Qty on hand]],"Check","OK")</f>
        <v>OK</v>
      </c>
    </row>
    <row r="1180" spans="1:24" x14ac:dyDescent="0.3">
      <c r="A1180" t="s">
        <v>159</v>
      </c>
      <c r="B1180" t="s">
        <v>160</v>
      </c>
      <c r="C1180" t="s">
        <v>77</v>
      </c>
      <c r="D1180" t="s">
        <v>78</v>
      </c>
      <c r="E1180" t="s">
        <v>27</v>
      </c>
      <c r="F1180" s="1" t="s">
        <v>31</v>
      </c>
      <c r="G1180" s="2">
        <v>2.82</v>
      </c>
      <c r="H1180">
        <v>2.82</v>
      </c>
      <c r="I1180">
        <v>2.770562</v>
      </c>
      <c r="J1180">
        <v>3.72</v>
      </c>
      <c r="K1180">
        <v>25</v>
      </c>
      <c r="L1180" s="2">
        <v>23</v>
      </c>
      <c r="M1180">
        <v>268</v>
      </c>
      <c r="N1180" s="2">
        <v>427</v>
      </c>
      <c r="O1180">
        <v>1183.03</v>
      </c>
      <c r="P1180">
        <v>56</v>
      </c>
      <c r="Q1180">
        <v>371</v>
      </c>
      <c r="R1180">
        <v>4.8600000000000003</v>
      </c>
      <c r="S1180">
        <v>9</v>
      </c>
      <c r="T1180">
        <v>412</v>
      </c>
      <c r="U1180" s="2">
        <v>1532.64</v>
      </c>
      <c r="V1180">
        <v>0</v>
      </c>
      <c r="W1180" t="s">
        <v>29</v>
      </c>
      <c r="X1180" t="str">
        <f>IF(Table2[[#This Row],[Qty available]]&gt;Table2[[#This Row],[Qty on hand]],"Check","OK")</f>
        <v>OK</v>
      </c>
    </row>
    <row r="1181" spans="1:24" x14ac:dyDescent="0.3">
      <c r="A1181" t="s">
        <v>159</v>
      </c>
      <c r="B1181" t="s">
        <v>160</v>
      </c>
      <c r="C1181" t="s">
        <v>77</v>
      </c>
      <c r="D1181" t="s">
        <v>78</v>
      </c>
      <c r="E1181" t="s">
        <v>27</v>
      </c>
      <c r="F1181" s="1" t="s">
        <v>32</v>
      </c>
      <c r="G1181" s="2">
        <v>2.72</v>
      </c>
      <c r="H1181">
        <v>2.72</v>
      </c>
      <c r="I1181">
        <v>2.7386279999999998</v>
      </c>
      <c r="J1181">
        <v>3.72</v>
      </c>
      <c r="K1181">
        <v>25</v>
      </c>
      <c r="L1181" s="2">
        <v>23</v>
      </c>
      <c r="M1181">
        <v>732</v>
      </c>
      <c r="N1181" s="2">
        <v>787</v>
      </c>
      <c r="O1181">
        <v>2155.3000000000002</v>
      </c>
      <c r="P1181">
        <v>34</v>
      </c>
      <c r="Q1181">
        <v>753</v>
      </c>
      <c r="R1181">
        <v>8.14</v>
      </c>
      <c r="S1181">
        <v>4</v>
      </c>
      <c r="T1181">
        <v>372</v>
      </c>
      <c r="U1181" s="2">
        <v>1383.84</v>
      </c>
      <c r="V1181">
        <v>0</v>
      </c>
      <c r="W1181" t="s">
        <v>29</v>
      </c>
      <c r="X1181" t="str">
        <f>IF(Table2[[#This Row],[Qty available]]&gt;Table2[[#This Row],[Qty on hand]],"Check","OK")</f>
        <v>OK</v>
      </c>
    </row>
    <row r="1182" spans="1:24" x14ac:dyDescent="0.3">
      <c r="A1182" t="s">
        <v>159</v>
      </c>
      <c r="B1182" t="s">
        <v>160</v>
      </c>
      <c r="C1182" t="s">
        <v>77</v>
      </c>
      <c r="D1182" t="s">
        <v>78</v>
      </c>
      <c r="E1182" t="s">
        <v>27</v>
      </c>
      <c r="F1182" s="1" t="s">
        <v>33</v>
      </c>
      <c r="G1182" s="2">
        <v>2.74</v>
      </c>
      <c r="H1182">
        <v>2.74</v>
      </c>
      <c r="I1182">
        <v>2.7392970000000001</v>
      </c>
      <c r="J1182">
        <v>3.72</v>
      </c>
      <c r="K1182">
        <v>25</v>
      </c>
      <c r="L1182" s="2">
        <v>21</v>
      </c>
      <c r="M1182">
        <v>741</v>
      </c>
      <c r="N1182" s="2">
        <v>911</v>
      </c>
      <c r="O1182">
        <v>2495.5</v>
      </c>
      <c r="P1182">
        <v>67</v>
      </c>
      <c r="Q1182">
        <v>844</v>
      </c>
      <c r="R1182">
        <v>8.5500000000000007</v>
      </c>
      <c r="S1182">
        <v>0</v>
      </c>
      <c r="T1182">
        <v>617</v>
      </c>
      <c r="U1182" s="2">
        <v>2295.2399999999998</v>
      </c>
      <c r="V1182">
        <v>0</v>
      </c>
      <c r="W1182" t="s">
        <v>29</v>
      </c>
      <c r="X1182" t="str">
        <f>IF(Table2[[#This Row],[Qty available]]&gt;Table2[[#This Row],[Qty on hand]],"Check","OK")</f>
        <v>OK</v>
      </c>
    </row>
    <row r="1183" spans="1:24" x14ac:dyDescent="0.3">
      <c r="A1183" t="s">
        <v>159</v>
      </c>
      <c r="B1183" t="s">
        <v>160</v>
      </c>
      <c r="C1183" t="s">
        <v>77</v>
      </c>
      <c r="D1183" t="s">
        <v>78</v>
      </c>
      <c r="E1183" t="s">
        <v>27</v>
      </c>
      <c r="F1183" s="1" t="s">
        <v>34</v>
      </c>
      <c r="G1183" s="2">
        <v>2.72</v>
      </c>
      <c r="H1183">
        <v>2.72</v>
      </c>
      <c r="I1183">
        <v>2.7363219999999999</v>
      </c>
      <c r="J1183">
        <v>3.87</v>
      </c>
      <c r="K1183">
        <v>25</v>
      </c>
      <c r="L1183" s="2">
        <v>22</v>
      </c>
      <c r="M1183">
        <v>166</v>
      </c>
      <c r="N1183" s="2">
        <v>802</v>
      </c>
      <c r="O1183">
        <v>2194.5300000000002</v>
      </c>
      <c r="P1183">
        <v>22</v>
      </c>
      <c r="Q1183">
        <v>780</v>
      </c>
      <c r="R1183">
        <v>8.16</v>
      </c>
      <c r="S1183">
        <v>3</v>
      </c>
      <c r="T1183">
        <v>275</v>
      </c>
      <c r="U1183" s="2">
        <v>1064.25</v>
      </c>
      <c r="V1183">
        <v>0</v>
      </c>
      <c r="W1183" t="s">
        <v>29</v>
      </c>
      <c r="X1183" t="str">
        <f>IF(Table2[[#This Row],[Qty available]]&gt;Table2[[#This Row],[Qty on hand]],"Check","OK")</f>
        <v>OK</v>
      </c>
    </row>
    <row r="1184" spans="1:24" x14ac:dyDescent="0.3">
      <c r="A1184" t="s">
        <v>159</v>
      </c>
      <c r="B1184" t="s">
        <v>160</v>
      </c>
      <c r="C1184" t="s">
        <v>77</v>
      </c>
      <c r="D1184" t="s">
        <v>78</v>
      </c>
      <c r="E1184" t="s">
        <v>27</v>
      </c>
      <c r="F1184" s="1" t="s">
        <v>35</v>
      </c>
      <c r="G1184" s="2">
        <v>2.96</v>
      </c>
      <c r="H1184">
        <v>2.96</v>
      </c>
      <c r="I1184">
        <v>2.811617</v>
      </c>
      <c r="J1184">
        <v>3.87</v>
      </c>
      <c r="K1184">
        <v>25</v>
      </c>
      <c r="L1184" s="2">
        <v>22</v>
      </c>
      <c r="M1184">
        <v>407</v>
      </c>
      <c r="N1184" s="2">
        <v>983</v>
      </c>
      <c r="O1184">
        <v>2763.82</v>
      </c>
      <c r="P1184">
        <v>112</v>
      </c>
      <c r="Q1184">
        <v>871</v>
      </c>
      <c r="R1184">
        <v>11.3</v>
      </c>
      <c r="S1184">
        <v>0</v>
      </c>
      <c r="T1184">
        <v>226</v>
      </c>
      <c r="U1184" s="2">
        <v>874.62</v>
      </c>
      <c r="V1184">
        <v>0</v>
      </c>
      <c r="W1184" t="s">
        <v>29</v>
      </c>
      <c r="X1184" t="str">
        <f>IF(Table2[[#This Row],[Qty available]]&gt;Table2[[#This Row],[Qty on hand]],"Check","OK")</f>
        <v>OK</v>
      </c>
    </row>
    <row r="1185" spans="1:24" x14ac:dyDescent="0.3">
      <c r="A1185" t="s">
        <v>159</v>
      </c>
      <c r="B1185" t="s">
        <v>160</v>
      </c>
      <c r="C1185" t="s">
        <v>77</v>
      </c>
      <c r="D1185" t="s">
        <v>78</v>
      </c>
      <c r="E1185" t="s">
        <v>27</v>
      </c>
      <c r="F1185" s="1" t="s">
        <v>36</v>
      </c>
      <c r="G1185" s="2">
        <v>2.93</v>
      </c>
      <c r="H1185">
        <v>2.93</v>
      </c>
      <c r="I1185">
        <v>2.8505090000000002</v>
      </c>
      <c r="J1185">
        <v>3.87</v>
      </c>
      <c r="K1185">
        <v>25</v>
      </c>
      <c r="L1185" s="2">
        <v>25</v>
      </c>
      <c r="M1185">
        <v>481</v>
      </c>
      <c r="N1185" s="2">
        <v>1160</v>
      </c>
      <c r="O1185">
        <v>3306.59</v>
      </c>
      <c r="P1185">
        <v>22</v>
      </c>
      <c r="Q1185">
        <v>1138</v>
      </c>
      <c r="R1185">
        <v>18.32</v>
      </c>
      <c r="S1185">
        <v>0</v>
      </c>
      <c r="T1185">
        <v>304</v>
      </c>
      <c r="U1185" s="2">
        <v>1176.48</v>
      </c>
      <c r="V1185">
        <v>0</v>
      </c>
      <c r="W1185" t="s">
        <v>29</v>
      </c>
      <c r="X1185" t="str">
        <f>IF(Table2[[#This Row],[Qty available]]&gt;Table2[[#This Row],[Qty on hand]],"Check","OK")</f>
        <v>OK</v>
      </c>
    </row>
    <row r="1186" spans="1:24" x14ac:dyDescent="0.3">
      <c r="A1186" t="s">
        <v>159</v>
      </c>
      <c r="B1186" t="s">
        <v>160</v>
      </c>
      <c r="C1186" t="s">
        <v>77</v>
      </c>
      <c r="D1186" t="s">
        <v>78</v>
      </c>
      <c r="E1186" t="s">
        <v>27</v>
      </c>
      <c r="F1186" s="1" t="s">
        <v>37</v>
      </c>
      <c r="G1186" s="2">
        <v>2.94</v>
      </c>
      <c r="H1186">
        <v>2.94</v>
      </c>
      <c r="I1186">
        <v>2.8520249999999998</v>
      </c>
      <c r="J1186">
        <v>3.87</v>
      </c>
      <c r="K1186">
        <v>25</v>
      </c>
      <c r="L1186" s="2">
        <v>31</v>
      </c>
      <c r="M1186">
        <v>20</v>
      </c>
      <c r="N1186" s="2">
        <v>953</v>
      </c>
      <c r="O1186">
        <v>2717.98</v>
      </c>
      <c r="P1186">
        <v>90</v>
      </c>
      <c r="Q1186">
        <v>863</v>
      </c>
      <c r="R1186">
        <v>16.55</v>
      </c>
      <c r="S1186">
        <v>5</v>
      </c>
      <c r="T1186">
        <v>227</v>
      </c>
      <c r="U1186" s="2">
        <v>878.49</v>
      </c>
      <c r="V1186">
        <v>0</v>
      </c>
      <c r="W1186" t="s">
        <v>29</v>
      </c>
      <c r="X1186" t="str">
        <f>IF(Table2[[#This Row],[Qty available]]&gt;Table2[[#This Row],[Qty on hand]],"Check","OK")</f>
        <v>OK</v>
      </c>
    </row>
    <row r="1187" spans="1:24" x14ac:dyDescent="0.3">
      <c r="A1187" t="s">
        <v>159</v>
      </c>
      <c r="B1187" t="s">
        <v>160</v>
      </c>
      <c r="C1187" t="s">
        <v>77</v>
      </c>
      <c r="D1187" t="s">
        <v>78</v>
      </c>
      <c r="E1187" t="s">
        <v>27</v>
      </c>
      <c r="F1187" s="1" t="s">
        <v>38</v>
      </c>
      <c r="G1187" s="2">
        <v>2.91</v>
      </c>
      <c r="H1187">
        <v>2.91</v>
      </c>
      <c r="I1187">
        <v>2.8733110000000002</v>
      </c>
      <c r="J1187">
        <v>3.87</v>
      </c>
      <c r="K1187">
        <v>25</v>
      </c>
      <c r="L1187" s="2">
        <v>22</v>
      </c>
      <c r="M1187">
        <v>553</v>
      </c>
      <c r="N1187" s="2">
        <v>1184</v>
      </c>
      <c r="O1187">
        <v>3402</v>
      </c>
      <c r="P1187">
        <v>22</v>
      </c>
      <c r="Q1187">
        <v>1162</v>
      </c>
      <c r="R1187">
        <v>18.04</v>
      </c>
      <c r="S1187">
        <v>0</v>
      </c>
      <c r="T1187">
        <v>322</v>
      </c>
      <c r="U1187" s="2">
        <v>1246.1400000000001</v>
      </c>
      <c r="V1187">
        <v>0</v>
      </c>
      <c r="W1187" t="s">
        <v>29</v>
      </c>
      <c r="X1187" t="str">
        <f>IF(Table2[[#This Row],[Qty available]]&gt;Table2[[#This Row],[Qty on hand]],"Check","OK")</f>
        <v>OK</v>
      </c>
    </row>
    <row r="1188" spans="1:24" x14ac:dyDescent="0.3">
      <c r="A1188" t="s">
        <v>159</v>
      </c>
      <c r="B1188" t="s">
        <v>160</v>
      </c>
      <c r="C1188" t="s">
        <v>77</v>
      </c>
      <c r="D1188" t="s">
        <v>78</v>
      </c>
      <c r="E1188" t="s">
        <v>27</v>
      </c>
      <c r="F1188" s="1" t="s">
        <v>39</v>
      </c>
      <c r="G1188" s="2">
        <v>2.89</v>
      </c>
      <c r="H1188">
        <v>2.89</v>
      </c>
      <c r="I1188">
        <v>2.8733140000000001</v>
      </c>
      <c r="J1188">
        <v>3.87</v>
      </c>
      <c r="K1188">
        <v>25</v>
      </c>
      <c r="M1188">
        <v>0</v>
      </c>
      <c r="N1188" s="2">
        <v>1029</v>
      </c>
      <c r="O1188">
        <v>2956.64</v>
      </c>
      <c r="P1188">
        <v>22</v>
      </c>
      <c r="Q1188">
        <v>1007</v>
      </c>
      <c r="R1188">
        <v>19.21</v>
      </c>
      <c r="S1188">
        <v>2</v>
      </c>
      <c r="T1188">
        <v>155</v>
      </c>
      <c r="U1188" s="2">
        <v>599.85</v>
      </c>
      <c r="V1188">
        <v>0</v>
      </c>
      <c r="W1188" t="s">
        <v>29</v>
      </c>
      <c r="X1188" t="str">
        <f>IF(Table2[[#This Row],[Qty available]]&gt;Table2[[#This Row],[Qty on hand]],"Check","OK")</f>
        <v>OK</v>
      </c>
    </row>
    <row r="1189" spans="1:24" x14ac:dyDescent="0.3">
      <c r="A1189" t="s">
        <v>159</v>
      </c>
      <c r="B1189" t="s">
        <v>160</v>
      </c>
      <c r="C1189" t="s">
        <v>77</v>
      </c>
      <c r="D1189" t="s">
        <v>78</v>
      </c>
      <c r="E1189" t="s">
        <v>27</v>
      </c>
      <c r="F1189" s="1" t="s">
        <v>40</v>
      </c>
      <c r="G1189" s="2">
        <v>2.96</v>
      </c>
      <c r="H1189">
        <v>2.96</v>
      </c>
      <c r="I1189">
        <v>2.87331</v>
      </c>
      <c r="J1189">
        <v>3.87</v>
      </c>
      <c r="K1189">
        <v>25</v>
      </c>
      <c r="M1189">
        <v>0</v>
      </c>
      <c r="N1189" s="2">
        <v>713</v>
      </c>
      <c r="O1189">
        <v>2048.67</v>
      </c>
      <c r="P1189">
        <v>101</v>
      </c>
      <c r="Q1189">
        <v>612</v>
      </c>
      <c r="R1189">
        <v>11.82</v>
      </c>
      <c r="S1189">
        <v>0</v>
      </c>
      <c r="T1189">
        <v>316</v>
      </c>
      <c r="U1189" s="2">
        <v>1222.92</v>
      </c>
      <c r="V1189">
        <v>0</v>
      </c>
      <c r="W1189" t="s">
        <v>29</v>
      </c>
      <c r="X1189" t="str">
        <f>IF(Table2[[#This Row],[Qty available]]&gt;Table2[[#This Row],[Qty on hand]],"Check","OK")</f>
        <v>OK</v>
      </c>
    </row>
    <row r="1190" spans="1:24" x14ac:dyDescent="0.3">
      <c r="A1190" t="s">
        <v>159</v>
      </c>
      <c r="B1190" t="s">
        <v>160</v>
      </c>
      <c r="C1190" t="s">
        <v>77</v>
      </c>
      <c r="D1190" t="s">
        <v>78</v>
      </c>
      <c r="E1190" t="s">
        <v>27</v>
      </c>
      <c r="F1190" s="1" t="s">
        <v>41</v>
      </c>
      <c r="G1190" s="2">
        <v>2.96</v>
      </c>
      <c r="H1190">
        <v>2.96</v>
      </c>
      <c r="I1190">
        <v>2.9039570000000001</v>
      </c>
      <c r="J1190">
        <v>3.87</v>
      </c>
      <c r="K1190">
        <v>25</v>
      </c>
      <c r="L1190" s="2">
        <v>22</v>
      </c>
      <c r="M1190">
        <v>390</v>
      </c>
      <c r="N1190" s="2">
        <v>657</v>
      </c>
      <c r="O1190">
        <v>1907.9</v>
      </c>
      <c r="P1190">
        <v>101</v>
      </c>
      <c r="Q1190">
        <v>556</v>
      </c>
      <c r="R1190">
        <v>9.42</v>
      </c>
      <c r="S1190">
        <v>2</v>
      </c>
      <c r="T1190">
        <v>446</v>
      </c>
      <c r="U1190" s="2">
        <v>1726.02</v>
      </c>
      <c r="V1190">
        <v>0</v>
      </c>
      <c r="W1190" t="s">
        <v>29</v>
      </c>
      <c r="X1190" t="str">
        <f>IF(Table2[[#This Row],[Qty available]]&gt;Table2[[#This Row],[Qty on hand]],"Check","OK")</f>
        <v>OK</v>
      </c>
    </row>
    <row r="1191" spans="1:24" x14ac:dyDescent="0.3">
      <c r="A1191" t="s">
        <v>159</v>
      </c>
      <c r="B1191" t="s">
        <v>160</v>
      </c>
      <c r="C1191" t="s">
        <v>77</v>
      </c>
      <c r="D1191" t="s">
        <v>78</v>
      </c>
      <c r="E1191" t="s">
        <v>27</v>
      </c>
      <c r="F1191" s="1" t="s">
        <v>42</v>
      </c>
      <c r="G1191" s="2">
        <v>2.99</v>
      </c>
      <c r="H1191">
        <v>2.99</v>
      </c>
      <c r="I1191">
        <v>2.9349029999999998</v>
      </c>
      <c r="J1191">
        <v>3.87</v>
      </c>
      <c r="K1191">
        <v>25</v>
      </c>
      <c r="L1191" s="2">
        <v>21</v>
      </c>
      <c r="M1191">
        <v>369</v>
      </c>
      <c r="N1191" s="2">
        <v>826</v>
      </c>
      <c r="O1191">
        <v>2424.23</v>
      </c>
      <c r="P1191">
        <v>22</v>
      </c>
      <c r="Q1191">
        <v>804</v>
      </c>
      <c r="R1191">
        <v>11.28</v>
      </c>
      <c r="S1191">
        <v>0</v>
      </c>
      <c r="T1191">
        <v>200</v>
      </c>
      <c r="U1191" s="2">
        <v>774</v>
      </c>
      <c r="V1191">
        <v>0</v>
      </c>
      <c r="W1191" t="s">
        <v>29</v>
      </c>
      <c r="X1191" t="str">
        <f>IF(Table2[[#This Row],[Qty available]]&gt;Table2[[#This Row],[Qty on hand]],"Check","OK")</f>
        <v>OK</v>
      </c>
    </row>
    <row r="1192" spans="1:24" x14ac:dyDescent="0.3">
      <c r="A1192" t="s">
        <v>159</v>
      </c>
      <c r="B1192" t="s">
        <v>160</v>
      </c>
      <c r="C1192" t="s">
        <v>77</v>
      </c>
      <c r="D1192" t="s">
        <v>78</v>
      </c>
      <c r="E1192" t="s">
        <v>27</v>
      </c>
      <c r="F1192" s="1" t="s">
        <v>43</v>
      </c>
      <c r="G1192" s="2">
        <v>2.9</v>
      </c>
      <c r="H1192">
        <v>2.9</v>
      </c>
      <c r="I1192">
        <v>2.9202180000000002</v>
      </c>
      <c r="J1192">
        <v>3.87</v>
      </c>
      <c r="K1192">
        <v>25</v>
      </c>
      <c r="L1192" s="2">
        <v>25</v>
      </c>
      <c r="M1192">
        <v>600</v>
      </c>
      <c r="N1192" s="2">
        <v>1330</v>
      </c>
      <c r="O1192">
        <v>3883.89</v>
      </c>
      <c r="P1192">
        <v>45</v>
      </c>
      <c r="Q1192">
        <v>1285</v>
      </c>
      <c r="R1192">
        <v>23.3</v>
      </c>
      <c r="S1192">
        <v>2</v>
      </c>
      <c r="T1192">
        <v>96</v>
      </c>
      <c r="U1192" s="2">
        <v>371.52</v>
      </c>
      <c r="V1192">
        <v>0</v>
      </c>
      <c r="W1192" t="s">
        <v>29</v>
      </c>
      <c r="X1192" t="str">
        <f>IF(Table2[[#This Row],[Qty available]]&gt;Table2[[#This Row],[Qty on hand]],"Check","OK")</f>
        <v>OK</v>
      </c>
    </row>
    <row r="1193" spans="1:24" x14ac:dyDescent="0.3">
      <c r="A1193" t="s">
        <v>159</v>
      </c>
      <c r="B1193" t="s">
        <v>160</v>
      </c>
      <c r="C1193" t="s">
        <v>77</v>
      </c>
      <c r="D1193" t="s">
        <v>78</v>
      </c>
      <c r="E1193" t="s">
        <v>27</v>
      </c>
      <c r="F1193" s="1" t="s">
        <v>44</v>
      </c>
      <c r="G1193" s="2">
        <v>2.92</v>
      </c>
      <c r="H1193">
        <v>2.92</v>
      </c>
      <c r="I1193">
        <v>2.92022</v>
      </c>
      <c r="J1193">
        <v>3.87</v>
      </c>
      <c r="K1193">
        <v>25</v>
      </c>
      <c r="M1193">
        <v>0</v>
      </c>
      <c r="N1193" s="2">
        <v>727</v>
      </c>
      <c r="O1193">
        <v>2123</v>
      </c>
      <c r="P1193">
        <v>101</v>
      </c>
      <c r="Q1193">
        <v>626</v>
      </c>
      <c r="R1193">
        <v>10.63</v>
      </c>
      <c r="S1193">
        <v>2</v>
      </c>
      <c r="T1193">
        <v>603</v>
      </c>
      <c r="U1193" s="2">
        <v>2333.61</v>
      </c>
      <c r="V1193">
        <v>0</v>
      </c>
      <c r="W1193" t="s">
        <v>29</v>
      </c>
      <c r="X1193" t="str">
        <f>IF(Table2[[#This Row],[Qty available]]&gt;Table2[[#This Row],[Qty on hand]],"Check","OK")</f>
        <v>OK</v>
      </c>
    </row>
    <row r="1194" spans="1:24" x14ac:dyDescent="0.3">
      <c r="A1194" t="s">
        <v>159</v>
      </c>
      <c r="B1194" t="s">
        <v>160</v>
      </c>
      <c r="C1194" t="s">
        <v>77</v>
      </c>
      <c r="D1194" t="s">
        <v>78</v>
      </c>
      <c r="E1194" t="s">
        <v>27</v>
      </c>
      <c r="F1194" s="1" t="s">
        <v>45</v>
      </c>
      <c r="G1194" s="2">
        <v>2.88</v>
      </c>
      <c r="H1194">
        <v>2.88</v>
      </c>
      <c r="I1194">
        <v>2.9130790000000002</v>
      </c>
      <c r="J1194">
        <v>3.87</v>
      </c>
      <c r="K1194">
        <v>25</v>
      </c>
      <c r="L1194" s="2">
        <v>25</v>
      </c>
      <c r="M1194">
        <v>157</v>
      </c>
      <c r="N1194" s="2">
        <v>341</v>
      </c>
      <c r="O1194">
        <v>993.36</v>
      </c>
      <c r="P1194">
        <v>22</v>
      </c>
      <c r="Q1194">
        <v>319</v>
      </c>
      <c r="R1194">
        <v>3.61</v>
      </c>
      <c r="S1194">
        <v>1</v>
      </c>
      <c r="T1194">
        <v>543</v>
      </c>
      <c r="U1194" s="2">
        <v>2101.41</v>
      </c>
      <c r="V1194">
        <v>0</v>
      </c>
      <c r="W1194" t="s">
        <v>29</v>
      </c>
      <c r="X1194" t="str">
        <f>IF(Table2[[#This Row],[Qty available]]&gt;Table2[[#This Row],[Qty on hand]],"Check","OK")</f>
        <v>OK</v>
      </c>
    </row>
    <row r="1195" spans="1:24" x14ac:dyDescent="0.3">
      <c r="A1195" t="s">
        <v>159</v>
      </c>
      <c r="B1195" t="s">
        <v>160</v>
      </c>
      <c r="C1195" t="s">
        <v>77</v>
      </c>
      <c r="D1195" t="s">
        <v>78</v>
      </c>
      <c r="E1195" t="s">
        <v>27</v>
      </c>
      <c r="F1195" s="1" t="s">
        <v>46</v>
      </c>
      <c r="G1195" s="2">
        <v>3</v>
      </c>
      <c r="H1195">
        <v>3</v>
      </c>
      <c r="I1195">
        <v>2.981681</v>
      </c>
      <c r="J1195">
        <v>4.0199999999999996</v>
      </c>
      <c r="K1195">
        <v>25</v>
      </c>
      <c r="L1195" s="2">
        <v>23</v>
      </c>
      <c r="M1195">
        <v>1277</v>
      </c>
      <c r="N1195" s="2">
        <v>1261</v>
      </c>
      <c r="O1195">
        <v>3759.9</v>
      </c>
      <c r="P1195">
        <v>112</v>
      </c>
      <c r="Q1195">
        <v>1149</v>
      </c>
      <c r="R1195">
        <v>10.79</v>
      </c>
      <c r="S1195">
        <v>0</v>
      </c>
      <c r="T1195">
        <v>357</v>
      </c>
      <c r="U1195" s="2">
        <v>1435.14</v>
      </c>
      <c r="V1195">
        <v>0</v>
      </c>
      <c r="W1195" t="s">
        <v>29</v>
      </c>
      <c r="X1195" t="str">
        <f>IF(Table2[[#This Row],[Qty available]]&gt;Table2[[#This Row],[Qty on hand]],"Check","OK")</f>
        <v>OK</v>
      </c>
    </row>
    <row r="1196" spans="1:24" x14ac:dyDescent="0.3">
      <c r="A1196" t="s">
        <v>159</v>
      </c>
      <c r="B1196" t="s">
        <v>160</v>
      </c>
      <c r="C1196" t="s">
        <v>77</v>
      </c>
      <c r="D1196" t="s">
        <v>78</v>
      </c>
      <c r="E1196" t="s">
        <v>27</v>
      </c>
      <c r="F1196" s="1" t="s">
        <v>47</v>
      </c>
      <c r="G1196" s="2">
        <v>3.17</v>
      </c>
      <c r="H1196">
        <v>3.17</v>
      </c>
      <c r="I1196">
        <v>2.981684</v>
      </c>
      <c r="J1196">
        <v>4.0199999999999996</v>
      </c>
      <c r="K1196">
        <v>25</v>
      </c>
      <c r="M1196">
        <v>0</v>
      </c>
      <c r="N1196" s="2">
        <v>843</v>
      </c>
      <c r="O1196">
        <v>2513.56</v>
      </c>
      <c r="P1196">
        <v>101</v>
      </c>
      <c r="Q1196">
        <v>742</v>
      </c>
      <c r="R1196">
        <v>8.2200000000000006</v>
      </c>
      <c r="S1196">
        <v>3</v>
      </c>
      <c r="T1196">
        <v>418</v>
      </c>
      <c r="U1196" s="2">
        <v>1680.36</v>
      </c>
      <c r="V1196">
        <v>0</v>
      </c>
      <c r="W1196" t="s">
        <v>29</v>
      </c>
      <c r="X1196" t="str">
        <f>IF(Table2[[#This Row],[Qty available]]&gt;Table2[[#This Row],[Qty on hand]],"Check","OK")</f>
        <v>OK</v>
      </c>
    </row>
    <row r="1197" spans="1:24" x14ac:dyDescent="0.3">
      <c r="A1197" t="s">
        <v>159</v>
      </c>
      <c r="B1197" t="s">
        <v>160</v>
      </c>
      <c r="C1197" t="s">
        <v>77</v>
      </c>
      <c r="D1197" t="s">
        <v>78</v>
      </c>
      <c r="E1197" t="s">
        <v>27</v>
      </c>
      <c r="F1197" s="1" t="s">
        <v>48</v>
      </c>
      <c r="G1197" s="2">
        <v>3.17</v>
      </c>
      <c r="H1197">
        <v>3.17</v>
      </c>
      <c r="I1197">
        <v>3.013757</v>
      </c>
      <c r="J1197">
        <v>4.0199999999999996</v>
      </c>
      <c r="K1197">
        <v>25</v>
      </c>
      <c r="L1197" s="2">
        <v>23</v>
      </c>
      <c r="M1197">
        <v>173</v>
      </c>
      <c r="N1197" s="2">
        <v>370</v>
      </c>
      <c r="O1197">
        <v>1115.0899999999999</v>
      </c>
      <c r="P1197">
        <v>34</v>
      </c>
      <c r="Q1197">
        <v>336</v>
      </c>
      <c r="R1197">
        <v>3.31</v>
      </c>
      <c r="S1197">
        <v>1</v>
      </c>
      <c r="T1197">
        <v>646</v>
      </c>
      <c r="U1197" s="2">
        <v>2596.92</v>
      </c>
      <c r="V1197">
        <v>0</v>
      </c>
      <c r="W1197" t="s">
        <v>29</v>
      </c>
      <c r="X1197" t="str">
        <f>IF(Table2[[#This Row],[Qty available]]&gt;Table2[[#This Row],[Qty on hand]],"Check","OK")</f>
        <v>OK</v>
      </c>
    </row>
    <row r="1198" spans="1:24" x14ac:dyDescent="0.3">
      <c r="A1198" t="s">
        <v>159</v>
      </c>
      <c r="B1198" t="s">
        <v>160</v>
      </c>
      <c r="C1198" t="s">
        <v>77</v>
      </c>
      <c r="D1198" t="s">
        <v>78</v>
      </c>
      <c r="E1198" t="s">
        <v>27</v>
      </c>
      <c r="F1198" s="1" t="s">
        <v>49</v>
      </c>
      <c r="G1198" s="2">
        <v>3.09</v>
      </c>
      <c r="H1198">
        <v>3.09</v>
      </c>
      <c r="I1198">
        <v>3.0605850000000001</v>
      </c>
      <c r="J1198">
        <v>4.0199999999999996</v>
      </c>
      <c r="K1198">
        <v>25</v>
      </c>
      <c r="L1198" s="2">
        <v>23</v>
      </c>
      <c r="M1198">
        <v>589</v>
      </c>
      <c r="N1198" s="2">
        <v>838</v>
      </c>
      <c r="O1198">
        <v>2564.77</v>
      </c>
      <c r="P1198">
        <v>22</v>
      </c>
      <c r="Q1198">
        <v>816</v>
      </c>
      <c r="R1198">
        <v>9.2899999999999991</v>
      </c>
      <c r="S1198">
        <v>2</v>
      </c>
      <c r="T1198">
        <v>121</v>
      </c>
      <c r="U1198" s="2">
        <v>486.42</v>
      </c>
      <c r="V1198">
        <v>0</v>
      </c>
      <c r="W1198" t="s">
        <v>29</v>
      </c>
      <c r="X1198" t="str">
        <f>IF(Table2[[#This Row],[Qty available]]&gt;Table2[[#This Row],[Qty on hand]],"Check","OK")</f>
        <v>OK</v>
      </c>
    </row>
    <row r="1199" spans="1:24" x14ac:dyDescent="0.3">
      <c r="A1199" t="s">
        <v>159</v>
      </c>
      <c r="B1199" t="s">
        <v>160</v>
      </c>
      <c r="C1199" t="s">
        <v>77</v>
      </c>
      <c r="D1199" t="s">
        <v>78</v>
      </c>
      <c r="E1199" t="s">
        <v>27</v>
      </c>
      <c r="F1199" s="1" t="s">
        <v>50</v>
      </c>
      <c r="G1199" s="2">
        <v>3.16</v>
      </c>
      <c r="H1199">
        <v>3.16</v>
      </c>
      <c r="I1199">
        <v>3.094503</v>
      </c>
      <c r="J1199">
        <v>4.0199999999999996</v>
      </c>
      <c r="K1199">
        <v>25</v>
      </c>
      <c r="L1199" s="2">
        <v>24</v>
      </c>
      <c r="M1199">
        <v>434</v>
      </c>
      <c r="N1199" s="2">
        <v>715</v>
      </c>
      <c r="O1199">
        <v>2212.5700000000002</v>
      </c>
      <c r="P1199">
        <v>101</v>
      </c>
      <c r="Q1199">
        <v>614</v>
      </c>
      <c r="R1199">
        <v>7.02</v>
      </c>
      <c r="S1199">
        <v>3</v>
      </c>
      <c r="T1199">
        <v>557</v>
      </c>
      <c r="U1199" s="2">
        <v>2239.14</v>
      </c>
      <c r="V1199">
        <v>0</v>
      </c>
      <c r="W1199" t="s">
        <v>29</v>
      </c>
      <c r="X1199" t="str">
        <f>IF(Table2[[#This Row],[Qty available]]&gt;Table2[[#This Row],[Qty on hand]],"Check","OK")</f>
        <v>OK</v>
      </c>
    </row>
    <row r="1200" spans="1:24" x14ac:dyDescent="0.3">
      <c r="A1200" t="s">
        <v>159</v>
      </c>
      <c r="B1200" t="s">
        <v>160</v>
      </c>
      <c r="C1200" t="s">
        <v>77</v>
      </c>
      <c r="D1200" t="s">
        <v>78</v>
      </c>
      <c r="E1200" t="s">
        <v>27</v>
      </c>
      <c r="F1200" s="1" t="s">
        <v>51</v>
      </c>
      <c r="G1200" s="2">
        <v>3.11</v>
      </c>
      <c r="H1200">
        <v>3.11</v>
      </c>
      <c r="I1200">
        <v>3.0944929999999999</v>
      </c>
      <c r="J1200">
        <v>4.0199999999999996</v>
      </c>
      <c r="K1200">
        <v>25</v>
      </c>
      <c r="M1200">
        <v>0</v>
      </c>
      <c r="N1200" s="2">
        <v>276</v>
      </c>
      <c r="O1200">
        <v>854.08</v>
      </c>
      <c r="P1200">
        <v>101</v>
      </c>
      <c r="Q1200">
        <v>175</v>
      </c>
      <c r="R1200">
        <v>3.25</v>
      </c>
      <c r="S1200">
        <v>1</v>
      </c>
      <c r="T1200">
        <v>439</v>
      </c>
      <c r="U1200" s="2">
        <v>1764.78</v>
      </c>
      <c r="V1200">
        <v>0</v>
      </c>
      <c r="W1200" t="s">
        <v>29</v>
      </c>
      <c r="X1200" t="str">
        <f>IF(Table2[[#This Row],[Qty available]]&gt;Table2[[#This Row],[Qty on hand]],"Check","OK")</f>
        <v>OK</v>
      </c>
    </row>
    <row r="1201" spans="1:24" x14ac:dyDescent="0.3">
      <c r="A1201" t="s">
        <v>159</v>
      </c>
      <c r="B1201" t="s">
        <v>160</v>
      </c>
      <c r="C1201" t="s">
        <v>77</v>
      </c>
      <c r="D1201" t="s">
        <v>78</v>
      </c>
      <c r="E1201" t="s">
        <v>27</v>
      </c>
      <c r="F1201" s="1" t="s">
        <v>52</v>
      </c>
      <c r="G1201" s="2">
        <v>3.09</v>
      </c>
      <c r="H1201">
        <v>3.09</v>
      </c>
      <c r="I1201">
        <v>3.0909520000000001</v>
      </c>
      <c r="J1201">
        <v>4.0199999999999996</v>
      </c>
      <c r="K1201">
        <v>25</v>
      </c>
      <c r="L1201" s="2">
        <v>25</v>
      </c>
      <c r="M1201">
        <v>1034</v>
      </c>
      <c r="N1201" s="2">
        <v>756</v>
      </c>
      <c r="O1201">
        <v>2336.7600000000002</v>
      </c>
      <c r="P1201">
        <v>45</v>
      </c>
      <c r="Q1201">
        <v>711</v>
      </c>
      <c r="R1201">
        <v>6.41</v>
      </c>
      <c r="S1201">
        <v>0</v>
      </c>
      <c r="T1201">
        <v>554</v>
      </c>
      <c r="U1201" s="2">
        <v>2227.08</v>
      </c>
      <c r="V1201">
        <v>0</v>
      </c>
      <c r="W1201" t="s">
        <v>29</v>
      </c>
      <c r="X1201" t="str">
        <f>IF(Table2[[#This Row],[Qty available]]&gt;Table2[[#This Row],[Qty on hand]],"Check","OK")</f>
        <v>OK</v>
      </c>
    </row>
    <row r="1202" spans="1:24" x14ac:dyDescent="0.3">
      <c r="A1202" t="s">
        <v>161</v>
      </c>
      <c r="B1202" t="s">
        <v>162</v>
      </c>
      <c r="C1202" t="s">
        <v>25</v>
      </c>
      <c r="D1202" t="s">
        <v>26</v>
      </c>
      <c r="E1202" t="s">
        <v>27</v>
      </c>
      <c r="F1202" s="1" t="s">
        <v>28</v>
      </c>
      <c r="G1202" s="2">
        <v>34.83</v>
      </c>
      <c r="H1202">
        <v>34.83</v>
      </c>
      <c r="I1202">
        <v>34.83</v>
      </c>
      <c r="J1202">
        <v>48.42</v>
      </c>
      <c r="K1202">
        <v>38</v>
      </c>
      <c r="L1202" s="2">
        <v>35</v>
      </c>
      <c r="M1202">
        <v>81</v>
      </c>
      <c r="N1202" s="2">
        <v>0</v>
      </c>
      <c r="O1202">
        <v>0</v>
      </c>
      <c r="P1202">
        <v>0</v>
      </c>
      <c r="Q1202">
        <v>0</v>
      </c>
      <c r="R1202">
        <v>0</v>
      </c>
      <c r="S1202">
        <v>7</v>
      </c>
      <c r="T1202">
        <v>81</v>
      </c>
      <c r="U1202" s="2">
        <v>3922.02</v>
      </c>
      <c r="V1202">
        <v>74</v>
      </c>
      <c r="W1202" t="s">
        <v>59</v>
      </c>
      <c r="X1202" t="str">
        <f>IF(Table2[[#This Row],[Qty available]]&gt;Table2[[#This Row],[Qty on hand]],"Check","OK")</f>
        <v>OK</v>
      </c>
    </row>
    <row r="1203" spans="1:24" x14ac:dyDescent="0.3">
      <c r="A1203" t="s">
        <v>161</v>
      </c>
      <c r="B1203" t="s">
        <v>162</v>
      </c>
      <c r="C1203" t="s">
        <v>25</v>
      </c>
      <c r="D1203" t="s">
        <v>26</v>
      </c>
      <c r="E1203" t="s">
        <v>27</v>
      </c>
      <c r="F1203" s="1" t="s">
        <v>30</v>
      </c>
      <c r="G1203" s="2">
        <v>34.97</v>
      </c>
      <c r="H1203">
        <v>34.97</v>
      </c>
      <c r="I1203">
        <v>34.97</v>
      </c>
      <c r="J1203">
        <v>48.42</v>
      </c>
      <c r="K1203">
        <v>38</v>
      </c>
      <c r="L1203" s="2">
        <v>34</v>
      </c>
      <c r="M1203">
        <v>453</v>
      </c>
      <c r="N1203" s="2">
        <v>307</v>
      </c>
      <c r="O1203">
        <v>10735.79</v>
      </c>
      <c r="P1203">
        <v>16</v>
      </c>
      <c r="Q1203">
        <v>291</v>
      </c>
      <c r="R1203">
        <v>9.91</v>
      </c>
      <c r="S1203">
        <v>1</v>
      </c>
      <c r="T1203">
        <v>146</v>
      </c>
      <c r="U1203" s="2">
        <v>7069.32</v>
      </c>
      <c r="V1203">
        <v>0</v>
      </c>
      <c r="W1203" t="s">
        <v>29</v>
      </c>
      <c r="X1203" t="str">
        <f>IF(Table2[[#This Row],[Qty available]]&gt;Table2[[#This Row],[Qty on hand]],"Check","OK")</f>
        <v>OK</v>
      </c>
    </row>
    <row r="1204" spans="1:24" x14ac:dyDescent="0.3">
      <c r="A1204" t="s">
        <v>161</v>
      </c>
      <c r="B1204" t="s">
        <v>162</v>
      </c>
      <c r="C1204" t="s">
        <v>25</v>
      </c>
      <c r="D1204" t="s">
        <v>26</v>
      </c>
      <c r="E1204" t="s">
        <v>27</v>
      </c>
      <c r="F1204" s="1" t="s">
        <v>31</v>
      </c>
      <c r="G1204" s="2">
        <v>35.659999999999997</v>
      </c>
      <c r="H1204">
        <v>35.659999999999997</v>
      </c>
      <c r="I1204">
        <v>35.01417</v>
      </c>
      <c r="J1204">
        <v>48.42</v>
      </c>
      <c r="K1204">
        <v>38</v>
      </c>
      <c r="L1204" s="2">
        <v>37</v>
      </c>
      <c r="M1204">
        <v>21</v>
      </c>
      <c r="N1204" s="2">
        <v>235</v>
      </c>
      <c r="O1204">
        <v>8228.33</v>
      </c>
      <c r="P1204">
        <v>52</v>
      </c>
      <c r="Q1204">
        <v>183</v>
      </c>
      <c r="R1204">
        <v>9.5500000000000007</v>
      </c>
      <c r="S1204">
        <v>0</v>
      </c>
      <c r="T1204">
        <v>93</v>
      </c>
      <c r="U1204" s="2">
        <v>4503.0600000000004</v>
      </c>
      <c r="V1204">
        <v>0</v>
      </c>
      <c r="W1204" t="s">
        <v>29</v>
      </c>
      <c r="X1204" t="str">
        <f>IF(Table2[[#This Row],[Qty available]]&gt;Table2[[#This Row],[Qty on hand]],"Check","OK")</f>
        <v>OK</v>
      </c>
    </row>
    <row r="1205" spans="1:24" x14ac:dyDescent="0.3">
      <c r="A1205" t="s">
        <v>161</v>
      </c>
      <c r="B1205" t="s">
        <v>162</v>
      </c>
      <c r="C1205" t="s">
        <v>25</v>
      </c>
      <c r="D1205" t="s">
        <v>26</v>
      </c>
      <c r="E1205" t="s">
        <v>27</v>
      </c>
      <c r="F1205" s="1" t="s">
        <v>32</v>
      </c>
      <c r="G1205" s="2">
        <v>34.520000000000003</v>
      </c>
      <c r="H1205">
        <v>34.520000000000003</v>
      </c>
      <c r="I1205">
        <v>34.894626000000002</v>
      </c>
      <c r="J1205">
        <v>48.42</v>
      </c>
      <c r="K1205">
        <v>38</v>
      </c>
      <c r="L1205" s="2">
        <v>34</v>
      </c>
      <c r="M1205">
        <v>75</v>
      </c>
      <c r="N1205" s="2">
        <v>147</v>
      </c>
      <c r="O1205">
        <v>5129.51</v>
      </c>
      <c r="P1205">
        <v>26</v>
      </c>
      <c r="Q1205">
        <v>121</v>
      </c>
      <c r="R1205">
        <v>4.8099999999999996</v>
      </c>
      <c r="S1205">
        <v>0</v>
      </c>
      <c r="T1205">
        <v>163</v>
      </c>
      <c r="U1205" s="2">
        <v>7892.46</v>
      </c>
      <c r="V1205">
        <v>0</v>
      </c>
      <c r="W1205" t="s">
        <v>29</v>
      </c>
      <c r="X1205" t="str">
        <f>IF(Table2[[#This Row],[Qty available]]&gt;Table2[[#This Row],[Qty on hand]],"Check","OK")</f>
        <v>OK</v>
      </c>
    </row>
    <row r="1206" spans="1:24" x14ac:dyDescent="0.3">
      <c r="A1206" t="s">
        <v>161</v>
      </c>
      <c r="B1206" t="s">
        <v>162</v>
      </c>
      <c r="C1206" t="s">
        <v>25</v>
      </c>
      <c r="D1206" t="s">
        <v>26</v>
      </c>
      <c r="E1206" t="s">
        <v>27</v>
      </c>
      <c r="F1206" s="1" t="s">
        <v>33</v>
      </c>
      <c r="G1206" s="2">
        <v>34.93</v>
      </c>
      <c r="H1206">
        <v>34.93</v>
      </c>
      <c r="I1206">
        <v>34.894626000000002</v>
      </c>
      <c r="J1206">
        <v>48.42</v>
      </c>
      <c r="K1206">
        <v>38</v>
      </c>
      <c r="M1206">
        <v>0</v>
      </c>
      <c r="N1206" s="2">
        <v>0</v>
      </c>
      <c r="O1206">
        <v>0</v>
      </c>
      <c r="P1206">
        <v>0</v>
      </c>
      <c r="Q1206">
        <v>0</v>
      </c>
      <c r="R1206">
        <v>0</v>
      </c>
      <c r="S1206">
        <v>3</v>
      </c>
      <c r="T1206">
        <v>147</v>
      </c>
      <c r="U1206" s="2">
        <v>7117.74</v>
      </c>
      <c r="V1206">
        <v>4</v>
      </c>
      <c r="W1206" t="s">
        <v>59</v>
      </c>
      <c r="X1206" t="str">
        <f>IF(Table2[[#This Row],[Qty available]]&gt;Table2[[#This Row],[Qty on hand]],"Check","OK")</f>
        <v>OK</v>
      </c>
    </row>
    <row r="1207" spans="1:24" x14ac:dyDescent="0.3">
      <c r="A1207" t="s">
        <v>161</v>
      </c>
      <c r="B1207" t="s">
        <v>162</v>
      </c>
      <c r="C1207" t="s">
        <v>25</v>
      </c>
      <c r="D1207" t="s">
        <v>26</v>
      </c>
      <c r="E1207" t="s">
        <v>27</v>
      </c>
      <c r="F1207" s="1" t="s">
        <v>34</v>
      </c>
      <c r="G1207" s="2">
        <v>35.68</v>
      </c>
      <c r="H1207">
        <v>35.68</v>
      </c>
      <c r="I1207">
        <v>35.68</v>
      </c>
      <c r="J1207">
        <v>50.99</v>
      </c>
      <c r="K1207">
        <v>38</v>
      </c>
      <c r="L1207" s="2">
        <v>33</v>
      </c>
      <c r="M1207">
        <v>163</v>
      </c>
      <c r="N1207" s="2">
        <v>110</v>
      </c>
      <c r="O1207">
        <v>3924.8</v>
      </c>
      <c r="P1207">
        <v>16</v>
      </c>
      <c r="Q1207">
        <v>94</v>
      </c>
      <c r="R1207">
        <v>3.9</v>
      </c>
      <c r="S1207">
        <v>4</v>
      </c>
      <c r="T1207">
        <v>53</v>
      </c>
      <c r="U1207" s="2">
        <v>2702.47</v>
      </c>
      <c r="V1207">
        <v>0</v>
      </c>
      <c r="W1207" t="s">
        <v>29</v>
      </c>
      <c r="X1207" t="str">
        <f>IF(Table2[[#This Row],[Qty available]]&gt;Table2[[#This Row],[Qty on hand]],"Check","OK")</f>
        <v>OK</v>
      </c>
    </row>
    <row r="1208" spans="1:24" x14ac:dyDescent="0.3">
      <c r="A1208" t="s">
        <v>161</v>
      </c>
      <c r="B1208" t="s">
        <v>162</v>
      </c>
      <c r="C1208" t="s">
        <v>25</v>
      </c>
      <c r="D1208" t="s">
        <v>26</v>
      </c>
      <c r="E1208" t="s">
        <v>27</v>
      </c>
      <c r="F1208" s="1" t="s">
        <v>35</v>
      </c>
      <c r="G1208" s="2">
        <v>35.590000000000003</v>
      </c>
      <c r="H1208">
        <v>35.590000000000003</v>
      </c>
      <c r="I1208">
        <v>35.627926000000002</v>
      </c>
      <c r="J1208">
        <v>50.99</v>
      </c>
      <c r="K1208">
        <v>38</v>
      </c>
      <c r="L1208" s="2">
        <v>37</v>
      </c>
      <c r="M1208">
        <v>151</v>
      </c>
      <c r="N1208" s="2">
        <v>188</v>
      </c>
      <c r="O1208">
        <v>6698.05</v>
      </c>
      <c r="P1208">
        <v>47</v>
      </c>
      <c r="Q1208">
        <v>141</v>
      </c>
      <c r="R1208">
        <v>8.85</v>
      </c>
      <c r="S1208">
        <v>1</v>
      </c>
      <c r="T1208">
        <v>73</v>
      </c>
      <c r="U1208" s="2">
        <v>3722.27</v>
      </c>
      <c r="V1208">
        <v>0</v>
      </c>
      <c r="W1208" t="s">
        <v>29</v>
      </c>
      <c r="X1208" t="str">
        <f>IF(Table2[[#This Row],[Qty available]]&gt;Table2[[#This Row],[Qty on hand]],"Check","OK")</f>
        <v>OK</v>
      </c>
    </row>
    <row r="1209" spans="1:24" x14ac:dyDescent="0.3">
      <c r="A1209" t="s">
        <v>161</v>
      </c>
      <c r="B1209" t="s">
        <v>162</v>
      </c>
      <c r="C1209" t="s">
        <v>25</v>
      </c>
      <c r="D1209" t="s">
        <v>26</v>
      </c>
      <c r="E1209" t="s">
        <v>27</v>
      </c>
      <c r="F1209" s="1" t="s">
        <v>36</v>
      </c>
      <c r="G1209" s="2">
        <v>36.47</v>
      </c>
      <c r="H1209">
        <v>36.47</v>
      </c>
      <c r="I1209">
        <v>36.054504999999999</v>
      </c>
      <c r="J1209">
        <v>50.99</v>
      </c>
      <c r="K1209">
        <v>38</v>
      </c>
      <c r="L1209" s="2">
        <v>34</v>
      </c>
      <c r="M1209">
        <v>193</v>
      </c>
      <c r="N1209" s="2">
        <v>202</v>
      </c>
      <c r="O1209">
        <v>7283.01</v>
      </c>
      <c r="P1209">
        <v>21</v>
      </c>
      <c r="Q1209">
        <v>181</v>
      </c>
      <c r="R1209">
        <v>8.42</v>
      </c>
      <c r="S1209">
        <v>2</v>
      </c>
      <c r="T1209">
        <v>179</v>
      </c>
      <c r="U1209" s="2">
        <v>9127.2099999999991</v>
      </c>
      <c r="V1209">
        <v>0</v>
      </c>
      <c r="W1209" t="s">
        <v>29</v>
      </c>
      <c r="X1209" t="str">
        <f>IF(Table2[[#This Row],[Qty available]]&gt;Table2[[#This Row],[Qty on hand]],"Check","OK")</f>
        <v>OK</v>
      </c>
    </row>
    <row r="1210" spans="1:24" x14ac:dyDescent="0.3">
      <c r="A1210" t="s">
        <v>161</v>
      </c>
      <c r="B1210" t="s">
        <v>162</v>
      </c>
      <c r="C1210" t="s">
        <v>25</v>
      </c>
      <c r="D1210" t="s">
        <v>26</v>
      </c>
      <c r="E1210" t="s">
        <v>27</v>
      </c>
      <c r="F1210" s="1" t="s">
        <v>37</v>
      </c>
      <c r="G1210" s="2">
        <v>36.11</v>
      </c>
      <c r="H1210">
        <v>36.11</v>
      </c>
      <c r="I1210">
        <v>36.067500000000003</v>
      </c>
      <c r="J1210">
        <v>50.99</v>
      </c>
      <c r="K1210">
        <v>38</v>
      </c>
      <c r="L1210" s="2">
        <v>35</v>
      </c>
      <c r="M1210">
        <v>62</v>
      </c>
      <c r="N1210" s="2">
        <v>96</v>
      </c>
      <c r="O1210">
        <v>3462.48</v>
      </c>
      <c r="P1210">
        <v>21</v>
      </c>
      <c r="Q1210">
        <v>75</v>
      </c>
      <c r="R1210">
        <v>3</v>
      </c>
      <c r="S1210">
        <v>2</v>
      </c>
      <c r="T1210">
        <v>168</v>
      </c>
      <c r="U1210" s="2">
        <v>8566.32</v>
      </c>
      <c r="V1210">
        <v>0</v>
      </c>
      <c r="W1210" t="s">
        <v>29</v>
      </c>
      <c r="X1210" t="str">
        <f>IF(Table2[[#This Row],[Qty available]]&gt;Table2[[#This Row],[Qty on hand]],"Check","OK")</f>
        <v>OK</v>
      </c>
    </row>
    <row r="1211" spans="1:24" x14ac:dyDescent="0.3">
      <c r="A1211" t="s">
        <v>161</v>
      </c>
      <c r="B1211" t="s">
        <v>162</v>
      </c>
      <c r="C1211" t="s">
        <v>25</v>
      </c>
      <c r="D1211" t="s">
        <v>26</v>
      </c>
      <c r="E1211" t="s">
        <v>27</v>
      </c>
      <c r="F1211" s="1" t="s">
        <v>38</v>
      </c>
      <c r="G1211" s="2">
        <v>35.619999999999997</v>
      </c>
      <c r="H1211">
        <v>35.619999999999997</v>
      </c>
      <c r="I1211">
        <v>36.067500000000003</v>
      </c>
      <c r="J1211">
        <v>50.99</v>
      </c>
      <c r="K1211">
        <v>38</v>
      </c>
      <c r="M1211">
        <v>0</v>
      </c>
      <c r="N1211" s="2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96</v>
      </c>
      <c r="U1211" s="2">
        <v>4895.04</v>
      </c>
      <c r="V1211">
        <v>14</v>
      </c>
      <c r="W1211" t="s">
        <v>59</v>
      </c>
      <c r="X1211" t="str">
        <f>IF(Table2[[#This Row],[Qty available]]&gt;Table2[[#This Row],[Qty on hand]],"Check","OK")</f>
        <v>OK</v>
      </c>
    </row>
    <row r="1212" spans="1:24" x14ac:dyDescent="0.3">
      <c r="A1212" t="s">
        <v>161</v>
      </c>
      <c r="B1212" t="s">
        <v>162</v>
      </c>
      <c r="C1212" t="s">
        <v>25</v>
      </c>
      <c r="D1212" t="s">
        <v>26</v>
      </c>
      <c r="E1212" t="s">
        <v>27</v>
      </c>
      <c r="F1212" s="1" t="s">
        <v>39</v>
      </c>
      <c r="G1212" s="2">
        <v>36.51</v>
      </c>
      <c r="H1212">
        <v>36.51</v>
      </c>
      <c r="I1212">
        <v>36.51</v>
      </c>
      <c r="J1212">
        <v>50.99</v>
      </c>
      <c r="K1212">
        <v>38</v>
      </c>
      <c r="L1212" s="2">
        <v>37</v>
      </c>
      <c r="M1212">
        <v>168</v>
      </c>
      <c r="N1212" s="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168</v>
      </c>
      <c r="U1212" s="2">
        <v>8566.32</v>
      </c>
      <c r="V1212">
        <v>46</v>
      </c>
      <c r="W1212" t="s">
        <v>59</v>
      </c>
      <c r="X1212" t="str">
        <f>IF(Table2[[#This Row],[Qty available]]&gt;Table2[[#This Row],[Qty on hand]],"Check","OK")</f>
        <v>OK</v>
      </c>
    </row>
    <row r="1213" spans="1:24" x14ac:dyDescent="0.3">
      <c r="A1213" t="s">
        <v>161</v>
      </c>
      <c r="B1213" t="s">
        <v>162</v>
      </c>
      <c r="C1213" t="s">
        <v>25</v>
      </c>
      <c r="D1213" t="s">
        <v>26</v>
      </c>
      <c r="E1213" t="s">
        <v>27</v>
      </c>
      <c r="F1213" s="1" t="s">
        <v>40</v>
      </c>
      <c r="G1213" s="2">
        <v>36.53</v>
      </c>
      <c r="H1213">
        <v>36.53</v>
      </c>
      <c r="I1213">
        <v>36.51</v>
      </c>
      <c r="J1213">
        <v>50.99</v>
      </c>
      <c r="K1213">
        <v>38</v>
      </c>
      <c r="M1213">
        <v>0</v>
      </c>
      <c r="N1213" s="2">
        <v>0</v>
      </c>
      <c r="O1213">
        <v>0</v>
      </c>
      <c r="P1213">
        <v>0</v>
      </c>
      <c r="Q1213">
        <v>0</v>
      </c>
      <c r="R1213">
        <v>0</v>
      </c>
      <c r="S1213">
        <v>31</v>
      </c>
      <c r="T1213">
        <v>0</v>
      </c>
      <c r="U1213" s="2">
        <v>0</v>
      </c>
      <c r="V1213">
        <v>172</v>
      </c>
      <c r="W1213" t="s">
        <v>59</v>
      </c>
      <c r="X1213" t="str">
        <f>IF(Table2[[#This Row],[Qty available]]&gt;Table2[[#This Row],[Qty on hand]],"Check","OK")</f>
        <v>OK</v>
      </c>
    </row>
    <row r="1214" spans="1:24" x14ac:dyDescent="0.3">
      <c r="A1214" t="s">
        <v>161</v>
      </c>
      <c r="B1214" t="s">
        <v>162</v>
      </c>
      <c r="C1214" t="s">
        <v>25</v>
      </c>
      <c r="D1214" t="s">
        <v>26</v>
      </c>
      <c r="E1214" t="s">
        <v>27</v>
      </c>
      <c r="F1214" s="1" t="s">
        <v>41</v>
      </c>
      <c r="G1214" s="2">
        <v>36.369999999999997</v>
      </c>
      <c r="H1214">
        <v>36.369999999999997</v>
      </c>
      <c r="I1214">
        <v>36.369999999999997</v>
      </c>
      <c r="J1214">
        <v>50.99</v>
      </c>
      <c r="K1214">
        <v>38</v>
      </c>
      <c r="L1214" s="2">
        <v>43</v>
      </c>
      <c r="M1214">
        <v>362</v>
      </c>
      <c r="N1214" s="2">
        <v>174</v>
      </c>
      <c r="O1214">
        <v>6328.38</v>
      </c>
      <c r="P1214">
        <v>42</v>
      </c>
      <c r="Q1214">
        <v>132</v>
      </c>
      <c r="R1214">
        <v>6.42</v>
      </c>
      <c r="S1214">
        <v>3</v>
      </c>
      <c r="T1214">
        <v>188</v>
      </c>
      <c r="U1214" s="2">
        <v>9586.1200000000008</v>
      </c>
      <c r="V1214">
        <v>0</v>
      </c>
      <c r="W1214" t="s">
        <v>29</v>
      </c>
      <c r="X1214" t="str">
        <f>IF(Table2[[#This Row],[Qty available]]&gt;Table2[[#This Row],[Qty on hand]],"Check","OK")</f>
        <v>OK</v>
      </c>
    </row>
    <row r="1215" spans="1:24" x14ac:dyDescent="0.3">
      <c r="A1215" t="s">
        <v>161</v>
      </c>
      <c r="B1215" t="s">
        <v>162</v>
      </c>
      <c r="C1215" t="s">
        <v>25</v>
      </c>
      <c r="D1215" t="s">
        <v>26</v>
      </c>
      <c r="E1215" t="s">
        <v>27</v>
      </c>
      <c r="F1215" s="1" t="s">
        <v>42</v>
      </c>
      <c r="G1215" s="2">
        <v>35.61</v>
      </c>
      <c r="H1215">
        <v>35.61</v>
      </c>
      <c r="I1215">
        <v>36.369999999999997</v>
      </c>
      <c r="J1215">
        <v>50.99</v>
      </c>
      <c r="K1215">
        <v>38</v>
      </c>
      <c r="M1215">
        <v>0</v>
      </c>
      <c r="N1215" s="2">
        <v>89</v>
      </c>
      <c r="O1215">
        <v>3236.93</v>
      </c>
      <c r="P1215">
        <v>26</v>
      </c>
      <c r="Q1215">
        <v>63</v>
      </c>
      <c r="R1215">
        <v>4.28</v>
      </c>
      <c r="S1215">
        <v>1</v>
      </c>
      <c r="T1215">
        <v>85</v>
      </c>
      <c r="U1215" s="2">
        <v>4334.1499999999996</v>
      </c>
      <c r="V1215">
        <v>0</v>
      </c>
      <c r="W1215" t="s">
        <v>29</v>
      </c>
      <c r="X1215" t="str">
        <f>IF(Table2[[#This Row],[Qty available]]&gt;Table2[[#This Row],[Qty on hand]],"Check","OK")</f>
        <v>OK</v>
      </c>
    </row>
    <row r="1216" spans="1:24" x14ac:dyDescent="0.3">
      <c r="A1216" t="s">
        <v>161</v>
      </c>
      <c r="B1216" t="s">
        <v>162</v>
      </c>
      <c r="C1216" t="s">
        <v>25</v>
      </c>
      <c r="D1216" t="s">
        <v>26</v>
      </c>
      <c r="E1216" t="s">
        <v>27</v>
      </c>
      <c r="F1216" s="1" t="s">
        <v>43</v>
      </c>
      <c r="G1216" s="2">
        <v>36.76</v>
      </c>
      <c r="H1216">
        <v>36.76</v>
      </c>
      <c r="I1216">
        <v>36.650187000000003</v>
      </c>
      <c r="J1216">
        <v>50.99</v>
      </c>
      <c r="K1216">
        <v>38</v>
      </c>
      <c r="L1216" s="2">
        <v>60</v>
      </c>
      <c r="M1216">
        <v>227</v>
      </c>
      <c r="N1216" s="2">
        <v>107</v>
      </c>
      <c r="O1216">
        <v>3921.57</v>
      </c>
      <c r="P1216">
        <v>47</v>
      </c>
      <c r="Q1216">
        <v>60</v>
      </c>
      <c r="R1216">
        <v>2.89</v>
      </c>
      <c r="S1216">
        <v>0</v>
      </c>
      <c r="T1216">
        <v>209</v>
      </c>
      <c r="U1216" s="2">
        <v>10656.91</v>
      </c>
      <c r="V1216">
        <v>0</v>
      </c>
      <c r="W1216" t="s">
        <v>29</v>
      </c>
      <c r="X1216" t="str">
        <f>IF(Table2[[#This Row],[Qty available]]&gt;Table2[[#This Row],[Qty on hand]],"Check","OK")</f>
        <v>OK</v>
      </c>
    </row>
    <row r="1217" spans="1:24" x14ac:dyDescent="0.3">
      <c r="A1217" t="s">
        <v>161</v>
      </c>
      <c r="B1217" t="s">
        <v>162</v>
      </c>
      <c r="C1217" t="s">
        <v>25</v>
      </c>
      <c r="D1217" t="s">
        <v>26</v>
      </c>
      <c r="E1217" t="s">
        <v>27</v>
      </c>
      <c r="F1217" s="1" t="s">
        <v>44</v>
      </c>
      <c r="G1217" s="2">
        <v>36.590000000000003</v>
      </c>
      <c r="H1217">
        <v>36.590000000000003</v>
      </c>
      <c r="I1217">
        <v>36.650187000000003</v>
      </c>
      <c r="J1217">
        <v>50.99</v>
      </c>
      <c r="K1217">
        <v>38</v>
      </c>
      <c r="M1217">
        <v>0</v>
      </c>
      <c r="N1217" s="2">
        <v>0</v>
      </c>
      <c r="O1217">
        <v>0</v>
      </c>
      <c r="P1217">
        <v>0</v>
      </c>
      <c r="Q1217">
        <v>0</v>
      </c>
      <c r="R1217">
        <v>0</v>
      </c>
      <c r="S1217">
        <v>2</v>
      </c>
      <c r="T1217">
        <v>107</v>
      </c>
      <c r="U1217" s="2">
        <v>5455.93</v>
      </c>
      <c r="V1217">
        <v>84</v>
      </c>
      <c r="W1217" t="s">
        <v>59</v>
      </c>
      <c r="X1217" t="str">
        <f>IF(Table2[[#This Row],[Qty available]]&gt;Table2[[#This Row],[Qty on hand]],"Check","OK")</f>
        <v>OK</v>
      </c>
    </row>
    <row r="1218" spans="1:24" x14ac:dyDescent="0.3">
      <c r="A1218" t="s">
        <v>161</v>
      </c>
      <c r="B1218" t="s">
        <v>162</v>
      </c>
      <c r="C1218" t="s">
        <v>25</v>
      </c>
      <c r="D1218" t="s">
        <v>26</v>
      </c>
      <c r="E1218" t="s">
        <v>27</v>
      </c>
      <c r="F1218" s="1" t="s">
        <v>45</v>
      </c>
      <c r="G1218" s="2">
        <v>35.630000000000003</v>
      </c>
      <c r="H1218">
        <v>35.630000000000003</v>
      </c>
      <c r="I1218">
        <v>35.630000000000003</v>
      </c>
      <c r="J1218">
        <v>50.99</v>
      </c>
      <c r="K1218">
        <v>38</v>
      </c>
      <c r="L1218" s="2">
        <v>37</v>
      </c>
      <c r="M1218">
        <v>368</v>
      </c>
      <c r="N1218" s="2">
        <v>137</v>
      </c>
      <c r="O1218">
        <v>4881.3100000000004</v>
      </c>
      <c r="P1218">
        <v>21</v>
      </c>
      <c r="Q1218">
        <v>116</v>
      </c>
      <c r="R1218">
        <v>3.29</v>
      </c>
      <c r="S1218">
        <v>0</v>
      </c>
      <c r="T1218">
        <v>231</v>
      </c>
      <c r="U1218" s="2">
        <v>11778.69</v>
      </c>
      <c r="V1218">
        <v>0</v>
      </c>
      <c r="W1218" t="s">
        <v>29</v>
      </c>
      <c r="X1218" t="str">
        <f>IF(Table2[[#This Row],[Qty available]]&gt;Table2[[#This Row],[Qty on hand]],"Check","OK")</f>
        <v>OK</v>
      </c>
    </row>
    <row r="1219" spans="1:24" x14ac:dyDescent="0.3">
      <c r="A1219" t="s">
        <v>161</v>
      </c>
      <c r="B1219" t="s">
        <v>162</v>
      </c>
      <c r="C1219" t="s">
        <v>25</v>
      </c>
      <c r="D1219" t="s">
        <v>26</v>
      </c>
      <c r="E1219" t="s">
        <v>27</v>
      </c>
      <c r="F1219" s="1" t="s">
        <v>46</v>
      </c>
      <c r="G1219" s="2">
        <v>36.01</v>
      </c>
      <c r="H1219">
        <v>36.01</v>
      </c>
      <c r="I1219">
        <v>35.816471</v>
      </c>
      <c r="J1219">
        <v>53.69</v>
      </c>
      <c r="K1219">
        <v>38</v>
      </c>
      <c r="L1219" s="2">
        <v>49</v>
      </c>
      <c r="M1219">
        <v>132</v>
      </c>
      <c r="N1219" s="2">
        <v>17</v>
      </c>
      <c r="O1219">
        <v>608.88</v>
      </c>
      <c r="P1219">
        <v>17</v>
      </c>
      <c r="Q1219">
        <v>0</v>
      </c>
      <c r="R1219">
        <v>0.37</v>
      </c>
      <c r="S1219">
        <v>3</v>
      </c>
      <c r="T1219">
        <v>252</v>
      </c>
      <c r="U1219" s="2">
        <v>13529.88</v>
      </c>
      <c r="V1219">
        <v>0</v>
      </c>
      <c r="W1219" t="s">
        <v>29</v>
      </c>
      <c r="X1219" t="str">
        <f>IF(Table2[[#This Row],[Qty available]]&gt;Table2[[#This Row],[Qty on hand]],"Check","OK")</f>
        <v>OK</v>
      </c>
    </row>
    <row r="1220" spans="1:24" x14ac:dyDescent="0.3">
      <c r="A1220" t="s">
        <v>161</v>
      </c>
      <c r="B1220" t="s">
        <v>162</v>
      </c>
      <c r="C1220" t="s">
        <v>25</v>
      </c>
      <c r="D1220" t="s">
        <v>26</v>
      </c>
      <c r="E1220" t="s">
        <v>27</v>
      </c>
      <c r="F1220" s="1" t="s">
        <v>47</v>
      </c>
      <c r="G1220" s="2">
        <v>36.69</v>
      </c>
      <c r="H1220">
        <v>36.69</v>
      </c>
      <c r="I1220">
        <v>36.367173999999999</v>
      </c>
      <c r="J1220">
        <v>53.69</v>
      </c>
      <c r="K1220">
        <v>38</v>
      </c>
      <c r="L1220" s="2">
        <v>33</v>
      </c>
      <c r="M1220">
        <v>29</v>
      </c>
      <c r="N1220" s="2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46</v>
      </c>
      <c r="U1220" s="2">
        <v>2469.7399999999998</v>
      </c>
      <c r="V1220">
        <v>97</v>
      </c>
      <c r="W1220" t="s">
        <v>59</v>
      </c>
      <c r="X1220" t="str">
        <f>IF(Table2[[#This Row],[Qty available]]&gt;Table2[[#This Row],[Qty on hand]],"Check","OK")</f>
        <v>OK</v>
      </c>
    </row>
    <row r="1221" spans="1:24" x14ac:dyDescent="0.3">
      <c r="A1221" t="s">
        <v>161</v>
      </c>
      <c r="B1221" t="s">
        <v>162</v>
      </c>
      <c r="C1221" t="s">
        <v>25</v>
      </c>
      <c r="D1221" t="s">
        <v>26</v>
      </c>
      <c r="E1221" t="s">
        <v>27</v>
      </c>
      <c r="F1221" s="1" t="s">
        <v>48</v>
      </c>
      <c r="G1221" s="2">
        <v>37.380000000000003</v>
      </c>
      <c r="H1221">
        <v>37.380000000000003</v>
      </c>
      <c r="I1221">
        <v>37.380000000000003</v>
      </c>
      <c r="J1221">
        <v>53.69</v>
      </c>
      <c r="K1221">
        <v>38</v>
      </c>
      <c r="L1221" s="2">
        <v>38</v>
      </c>
      <c r="M1221">
        <v>284</v>
      </c>
      <c r="N1221" s="2">
        <v>155</v>
      </c>
      <c r="O1221">
        <v>5793.9</v>
      </c>
      <c r="P1221">
        <v>37</v>
      </c>
      <c r="Q1221">
        <v>118</v>
      </c>
      <c r="R1221">
        <v>4.62</v>
      </c>
      <c r="S1221">
        <v>3</v>
      </c>
      <c r="T1221">
        <v>129</v>
      </c>
      <c r="U1221" s="2">
        <v>6926.01</v>
      </c>
      <c r="V1221">
        <v>0</v>
      </c>
      <c r="W1221" t="s">
        <v>29</v>
      </c>
      <c r="X1221" t="str">
        <f>IF(Table2[[#This Row],[Qty available]]&gt;Table2[[#This Row],[Qty on hand]],"Check","OK")</f>
        <v>OK</v>
      </c>
    </row>
    <row r="1222" spans="1:24" x14ac:dyDescent="0.3">
      <c r="A1222" t="s">
        <v>161</v>
      </c>
      <c r="B1222" t="s">
        <v>162</v>
      </c>
      <c r="C1222" t="s">
        <v>25</v>
      </c>
      <c r="D1222" t="s">
        <v>26</v>
      </c>
      <c r="E1222" t="s">
        <v>27</v>
      </c>
      <c r="F1222" s="1" t="s">
        <v>49</v>
      </c>
      <c r="G1222" s="2">
        <v>36.56</v>
      </c>
      <c r="H1222">
        <v>36.56</v>
      </c>
      <c r="I1222">
        <v>37.380000000000003</v>
      </c>
      <c r="J1222">
        <v>53.69</v>
      </c>
      <c r="K1222">
        <v>38</v>
      </c>
      <c r="M1222">
        <v>0</v>
      </c>
      <c r="N1222" s="2">
        <v>37</v>
      </c>
      <c r="O1222">
        <v>1383.06</v>
      </c>
      <c r="P1222">
        <v>37</v>
      </c>
      <c r="Q1222">
        <v>0</v>
      </c>
      <c r="R1222">
        <v>1.66</v>
      </c>
      <c r="S1222">
        <v>1</v>
      </c>
      <c r="T1222">
        <v>118</v>
      </c>
      <c r="U1222" s="2">
        <v>6335.42</v>
      </c>
      <c r="V1222">
        <v>0</v>
      </c>
      <c r="W1222" t="s">
        <v>29</v>
      </c>
      <c r="X1222" t="str">
        <f>IF(Table2[[#This Row],[Qty available]]&gt;Table2[[#This Row],[Qty on hand]],"Check","OK")</f>
        <v>OK</v>
      </c>
    </row>
    <row r="1223" spans="1:24" x14ac:dyDescent="0.3">
      <c r="A1223" t="s">
        <v>161</v>
      </c>
      <c r="B1223" t="s">
        <v>162</v>
      </c>
      <c r="C1223" t="s">
        <v>25</v>
      </c>
      <c r="D1223" t="s">
        <v>26</v>
      </c>
      <c r="E1223" t="s">
        <v>27</v>
      </c>
      <c r="F1223" s="1" t="s">
        <v>50</v>
      </c>
      <c r="G1223" s="2">
        <v>37.33</v>
      </c>
      <c r="H1223">
        <v>37.33</v>
      </c>
      <c r="I1223">
        <v>37.345812000000002</v>
      </c>
      <c r="J1223">
        <v>53.69</v>
      </c>
      <c r="K1223">
        <v>38</v>
      </c>
      <c r="L1223" s="2">
        <v>33</v>
      </c>
      <c r="M1223">
        <v>80</v>
      </c>
      <c r="N1223" s="2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117</v>
      </c>
      <c r="U1223" s="2">
        <v>6281.73</v>
      </c>
      <c r="V1223">
        <v>68</v>
      </c>
      <c r="W1223" t="s">
        <v>59</v>
      </c>
      <c r="X1223" t="str">
        <f>IF(Table2[[#This Row],[Qty available]]&gt;Table2[[#This Row],[Qty on hand]],"Check","OK")</f>
        <v>OK</v>
      </c>
    </row>
    <row r="1224" spans="1:24" x14ac:dyDescent="0.3">
      <c r="A1224" t="s">
        <v>161</v>
      </c>
      <c r="B1224" t="s">
        <v>162</v>
      </c>
      <c r="C1224" t="s">
        <v>25</v>
      </c>
      <c r="D1224" t="s">
        <v>26</v>
      </c>
      <c r="E1224" t="s">
        <v>27</v>
      </c>
      <c r="F1224" s="1" t="s">
        <v>51</v>
      </c>
      <c r="G1224" s="2">
        <v>36.840000000000003</v>
      </c>
      <c r="H1224">
        <v>36.840000000000003</v>
      </c>
      <c r="I1224">
        <v>36.840000000000003</v>
      </c>
      <c r="J1224">
        <v>53.69</v>
      </c>
      <c r="K1224">
        <v>38</v>
      </c>
      <c r="L1224" s="2">
        <v>37</v>
      </c>
      <c r="M1224">
        <v>362</v>
      </c>
      <c r="N1224" s="2">
        <v>245</v>
      </c>
      <c r="O1224">
        <v>9025.7999999999993</v>
      </c>
      <c r="P1224">
        <v>31</v>
      </c>
      <c r="Q1224">
        <v>214</v>
      </c>
      <c r="R1224">
        <v>9.15</v>
      </c>
      <c r="S1224">
        <v>2</v>
      </c>
      <c r="T1224">
        <v>117</v>
      </c>
      <c r="U1224" s="2">
        <v>6281.73</v>
      </c>
      <c r="V1224">
        <v>0</v>
      </c>
      <c r="W1224" t="s">
        <v>29</v>
      </c>
      <c r="X1224" t="str">
        <f>IF(Table2[[#This Row],[Qty available]]&gt;Table2[[#This Row],[Qty on hand]],"Check","OK")</f>
        <v>OK</v>
      </c>
    </row>
    <row r="1225" spans="1:24" x14ac:dyDescent="0.3">
      <c r="A1225" t="s">
        <v>161</v>
      </c>
      <c r="B1225" t="s">
        <v>162</v>
      </c>
      <c r="C1225" t="s">
        <v>25</v>
      </c>
      <c r="D1225" t="s">
        <v>26</v>
      </c>
      <c r="E1225" t="s">
        <v>27</v>
      </c>
      <c r="F1225" s="1" t="s">
        <v>52</v>
      </c>
      <c r="G1225" s="2">
        <v>36.46</v>
      </c>
      <c r="H1225">
        <v>36.46</v>
      </c>
      <c r="I1225">
        <v>36.807380999999999</v>
      </c>
      <c r="J1225">
        <v>53.69</v>
      </c>
      <c r="K1225">
        <v>38</v>
      </c>
      <c r="L1225" s="2">
        <v>33</v>
      </c>
      <c r="M1225">
        <v>23</v>
      </c>
      <c r="N1225" s="2">
        <v>126</v>
      </c>
      <c r="O1225">
        <v>4637.7299999999996</v>
      </c>
      <c r="P1225">
        <v>37</v>
      </c>
      <c r="Q1225">
        <v>89</v>
      </c>
      <c r="R1225">
        <v>4.4000000000000004</v>
      </c>
      <c r="S1225">
        <v>2</v>
      </c>
      <c r="T1225">
        <v>142</v>
      </c>
      <c r="U1225" s="2">
        <v>7623.98</v>
      </c>
      <c r="V1225">
        <v>0</v>
      </c>
      <c r="W1225" t="s">
        <v>29</v>
      </c>
      <c r="X1225" t="str">
        <f>IF(Table2[[#This Row],[Qty available]]&gt;Table2[[#This Row],[Qty on hand]],"Check","OK")</f>
        <v>OK</v>
      </c>
    </row>
    <row r="1226" spans="1:24" x14ac:dyDescent="0.3">
      <c r="A1226" t="s">
        <v>163</v>
      </c>
      <c r="B1226" t="s">
        <v>164</v>
      </c>
      <c r="C1226" t="s">
        <v>91</v>
      </c>
      <c r="D1226" t="s">
        <v>92</v>
      </c>
      <c r="E1226" t="s">
        <v>27</v>
      </c>
      <c r="F1226" s="1" t="s">
        <v>28</v>
      </c>
      <c r="G1226" s="2">
        <v>18.73</v>
      </c>
      <c r="H1226">
        <v>18.73</v>
      </c>
      <c r="I1226">
        <v>18.740100999999999</v>
      </c>
      <c r="J1226">
        <v>25.85</v>
      </c>
      <c r="K1226">
        <v>48</v>
      </c>
      <c r="L1226" s="2">
        <v>48</v>
      </c>
      <c r="M1226">
        <v>232</v>
      </c>
      <c r="N1226" s="2">
        <v>199</v>
      </c>
      <c r="O1226">
        <v>3729.28</v>
      </c>
      <c r="P1226">
        <v>14</v>
      </c>
      <c r="Q1226">
        <v>185</v>
      </c>
      <c r="R1226">
        <v>8.25</v>
      </c>
      <c r="S1226">
        <v>3</v>
      </c>
      <c r="T1226">
        <v>126</v>
      </c>
      <c r="U1226" s="2">
        <v>3257.1</v>
      </c>
      <c r="V1226">
        <v>0</v>
      </c>
      <c r="W1226" t="s">
        <v>29</v>
      </c>
      <c r="X1226" t="str">
        <f>IF(Table2[[#This Row],[Qty available]]&gt;Table2[[#This Row],[Qty on hand]],"Check","OK")</f>
        <v>OK</v>
      </c>
    </row>
    <row r="1227" spans="1:24" x14ac:dyDescent="0.3">
      <c r="A1227" t="s">
        <v>163</v>
      </c>
      <c r="B1227" t="s">
        <v>164</v>
      </c>
      <c r="C1227" t="s">
        <v>91</v>
      </c>
      <c r="D1227" t="s">
        <v>92</v>
      </c>
      <c r="E1227" t="s">
        <v>27</v>
      </c>
      <c r="F1227" s="1" t="s">
        <v>30</v>
      </c>
      <c r="G1227" s="2">
        <v>19.690000000000001</v>
      </c>
      <c r="H1227">
        <v>19.690000000000001</v>
      </c>
      <c r="I1227">
        <v>19.014883999999999</v>
      </c>
      <c r="J1227">
        <v>25.85</v>
      </c>
      <c r="K1227">
        <v>48</v>
      </c>
      <c r="L1227" s="2">
        <v>43</v>
      </c>
      <c r="M1227">
        <v>81</v>
      </c>
      <c r="N1227" s="2">
        <v>129</v>
      </c>
      <c r="O1227">
        <v>2452.92</v>
      </c>
      <c r="P1227">
        <v>16</v>
      </c>
      <c r="Q1227">
        <v>113</v>
      </c>
      <c r="R1227">
        <v>4.76</v>
      </c>
      <c r="S1227">
        <v>8</v>
      </c>
      <c r="T1227">
        <v>151</v>
      </c>
      <c r="U1227" s="2">
        <v>3903.35</v>
      </c>
      <c r="V1227">
        <v>0</v>
      </c>
      <c r="W1227" t="s">
        <v>29</v>
      </c>
      <c r="X1227" t="str">
        <f>IF(Table2[[#This Row],[Qty available]]&gt;Table2[[#This Row],[Qty on hand]],"Check","OK")</f>
        <v>OK</v>
      </c>
    </row>
    <row r="1228" spans="1:24" x14ac:dyDescent="0.3">
      <c r="A1228" t="s">
        <v>163</v>
      </c>
      <c r="B1228" t="s">
        <v>164</v>
      </c>
      <c r="C1228" t="s">
        <v>91</v>
      </c>
      <c r="D1228" t="s">
        <v>92</v>
      </c>
      <c r="E1228" t="s">
        <v>27</v>
      </c>
      <c r="F1228" s="1" t="s">
        <v>31</v>
      </c>
      <c r="G1228" s="2">
        <v>19.760000000000002</v>
      </c>
      <c r="H1228">
        <v>19.760000000000002</v>
      </c>
      <c r="I1228">
        <v>19.014800000000001</v>
      </c>
      <c r="J1228">
        <v>25.85</v>
      </c>
      <c r="K1228">
        <v>48</v>
      </c>
      <c r="M1228">
        <v>0</v>
      </c>
      <c r="N1228" s="2">
        <v>50</v>
      </c>
      <c r="O1228">
        <v>950.74</v>
      </c>
      <c r="P1228">
        <v>27</v>
      </c>
      <c r="Q1228">
        <v>23</v>
      </c>
      <c r="R1228">
        <v>1.83</v>
      </c>
      <c r="S1228">
        <v>2</v>
      </c>
      <c r="T1228">
        <v>79</v>
      </c>
      <c r="U1228" s="2">
        <v>2042.15</v>
      </c>
      <c r="V1228">
        <v>0</v>
      </c>
      <c r="W1228" t="s">
        <v>29</v>
      </c>
      <c r="X1228" t="str">
        <f>IF(Table2[[#This Row],[Qty available]]&gt;Table2[[#This Row],[Qty on hand]],"Check","OK")</f>
        <v>OK</v>
      </c>
    </row>
    <row r="1229" spans="1:24" x14ac:dyDescent="0.3">
      <c r="A1229" t="s">
        <v>163</v>
      </c>
      <c r="B1229" t="s">
        <v>164</v>
      </c>
      <c r="C1229" t="s">
        <v>91</v>
      </c>
      <c r="D1229" t="s">
        <v>92</v>
      </c>
      <c r="E1229" t="s">
        <v>27</v>
      </c>
      <c r="F1229" s="1" t="s">
        <v>32</v>
      </c>
      <c r="G1229" s="2">
        <v>19.64</v>
      </c>
      <c r="H1229">
        <v>19.64</v>
      </c>
      <c r="I1229">
        <v>19.014800000000001</v>
      </c>
      <c r="J1229">
        <v>25.85</v>
      </c>
      <c r="K1229">
        <v>48</v>
      </c>
      <c r="M1229">
        <v>0</v>
      </c>
      <c r="N1229" s="2">
        <v>0</v>
      </c>
      <c r="O1229">
        <v>0</v>
      </c>
      <c r="P1229">
        <v>0</v>
      </c>
      <c r="Q1229">
        <v>0</v>
      </c>
      <c r="R1229">
        <v>0</v>
      </c>
      <c r="S1229">
        <v>4</v>
      </c>
      <c r="T1229">
        <v>50</v>
      </c>
      <c r="U1229" s="2">
        <v>1292.5</v>
      </c>
      <c r="V1229">
        <v>18</v>
      </c>
      <c r="W1229" t="s">
        <v>59</v>
      </c>
      <c r="X1229" t="str">
        <f>IF(Table2[[#This Row],[Qty available]]&gt;Table2[[#This Row],[Qty on hand]],"Check","OK")</f>
        <v>OK</v>
      </c>
    </row>
    <row r="1230" spans="1:24" x14ac:dyDescent="0.3">
      <c r="A1230" t="s">
        <v>163</v>
      </c>
      <c r="B1230" t="s">
        <v>164</v>
      </c>
      <c r="C1230" t="s">
        <v>91</v>
      </c>
      <c r="D1230" t="s">
        <v>92</v>
      </c>
      <c r="E1230" t="s">
        <v>27</v>
      </c>
      <c r="F1230" s="1" t="s">
        <v>33</v>
      </c>
      <c r="G1230" s="2">
        <v>19.91</v>
      </c>
      <c r="H1230">
        <v>19.91</v>
      </c>
      <c r="I1230">
        <v>19.91</v>
      </c>
      <c r="J1230">
        <v>25.85</v>
      </c>
      <c r="K1230">
        <v>48</v>
      </c>
      <c r="L1230" s="2">
        <v>74</v>
      </c>
      <c r="M1230">
        <v>161</v>
      </c>
      <c r="N1230" s="2">
        <v>35</v>
      </c>
      <c r="O1230">
        <v>696.85</v>
      </c>
      <c r="P1230">
        <v>11</v>
      </c>
      <c r="Q1230">
        <v>24</v>
      </c>
      <c r="R1230">
        <v>1.8</v>
      </c>
      <c r="S1230">
        <v>2</v>
      </c>
      <c r="T1230">
        <v>126</v>
      </c>
      <c r="U1230" s="2">
        <v>3257.1</v>
      </c>
      <c r="V1230">
        <v>0</v>
      </c>
      <c r="W1230" t="s">
        <v>29</v>
      </c>
      <c r="X1230" t="str">
        <f>IF(Table2[[#This Row],[Qty available]]&gt;Table2[[#This Row],[Qty on hand]],"Check","OK")</f>
        <v>OK</v>
      </c>
    </row>
    <row r="1231" spans="1:24" x14ac:dyDescent="0.3">
      <c r="A1231" t="s">
        <v>163</v>
      </c>
      <c r="B1231" t="s">
        <v>164</v>
      </c>
      <c r="C1231" t="s">
        <v>91</v>
      </c>
      <c r="D1231" t="s">
        <v>92</v>
      </c>
      <c r="E1231" t="s">
        <v>27</v>
      </c>
      <c r="F1231" s="1" t="s">
        <v>34</v>
      </c>
      <c r="G1231" s="2">
        <v>19.77</v>
      </c>
      <c r="H1231">
        <v>19.77</v>
      </c>
      <c r="I1231">
        <v>19.791892000000001</v>
      </c>
      <c r="J1231">
        <v>27.21</v>
      </c>
      <c r="K1231">
        <v>48</v>
      </c>
      <c r="L1231" s="2">
        <v>47</v>
      </c>
      <c r="M1231">
        <v>189</v>
      </c>
      <c r="N1231" s="2">
        <v>148</v>
      </c>
      <c r="O1231">
        <v>2929.2</v>
      </c>
      <c r="P1231">
        <v>27</v>
      </c>
      <c r="Q1231">
        <v>121</v>
      </c>
      <c r="R1231">
        <v>7.55</v>
      </c>
      <c r="S1231">
        <v>0</v>
      </c>
      <c r="T1231">
        <v>76</v>
      </c>
      <c r="U1231" s="2">
        <v>2067.96</v>
      </c>
      <c r="V1231">
        <v>0</v>
      </c>
      <c r="W1231" t="s">
        <v>29</v>
      </c>
      <c r="X1231" t="str">
        <f>IF(Table2[[#This Row],[Qty available]]&gt;Table2[[#This Row],[Qty on hand]],"Check","OK")</f>
        <v>OK</v>
      </c>
    </row>
    <row r="1232" spans="1:24" x14ac:dyDescent="0.3">
      <c r="A1232" t="s">
        <v>163</v>
      </c>
      <c r="B1232" t="s">
        <v>164</v>
      </c>
      <c r="C1232" t="s">
        <v>91</v>
      </c>
      <c r="D1232" t="s">
        <v>92</v>
      </c>
      <c r="E1232" t="s">
        <v>27</v>
      </c>
      <c r="F1232" s="1" t="s">
        <v>35</v>
      </c>
      <c r="G1232" s="2">
        <v>19.95</v>
      </c>
      <c r="H1232">
        <v>19.95</v>
      </c>
      <c r="I1232">
        <v>19.791817999999999</v>
      </c>
      <c r="J1232">
        <v>27.21</v>
      </c>
      <c r="K1232">
        <v>48</v>
      </c>
      <c r="M1232">
        <v>0</v>
      </c>
      <c r="N1232" s="2">
        <v>44</v>
      </c>
      <c r="O1232">
        <v>870.84</v>
      </c>
      <c r="P1232">
        <v>16</v>
      </c>
      <c r="Q1232">
        <v>28</v>
      </c>
      <c r="R1232">
        <v>1.85</v>
      </c>
      <c r="S1232">
        <v>6</v>
      </c>
      <c r="T1232">
        <v>104</v>
      </c>
      <c r="U1232" s="2">
        <v>2829.84</v>
      </c>
      <c r="V1232">
        <v>0</v>
      </c>
      <c r="W1232" t="s">
        <v>29</v>
      </c>
      <c r="X1232" t="str">
        <f>IF(Table2[[#This Row],[Qty available]]&gt;Table2[[#This Row],[Qty on hand]],"Check","OK")</f>
        <v>OK</v>
      </c>
    </row>
    <row r="1233" spans="1:24" x14ac:dyDescent="0.3">
      <c r="A1233" t="s">
        <v>163</v>
      </c>
      <c r="B1233" t="s">
        <v>164</v>
      </c>
      <c r="C1233" t="s">
        <v>91</v>
      </c>
      <c r="D1233" t="s">
        <v>92</v>
      </c>
      <c r="E1233" t="s">
        <v>27</v>
      </c>
      <c r="F1233" s="1" t="s">
        <v>36</v>
      </c>
      <c r="G1233" s="2">
        <v>20.13</v>
      </c>
      <c r="H1233">
        <v>20.13</v>
      </c>
      <c r="I1233">
        <v>19.886066</v>
      </c>
      <c r="J1233">
        <v>27.21</v>
      </c>
      <c r="K1233">
        <v>48</v>
      </c>
      <c r="L1233" s="2">
        <v>62</v>
      </c>
      <c r="M1233">
        <v>17</v>
      </c>
      <c r="N1233" s="2">
        <v>0</v>
      </c>
      <c r="O1233">
        <v>0</v>
      </c>
      <c r="P1233">
        <v>0</v>
      </c>
      <c r="Q1233">
        <v>0</v>
      </c>
      <c r="R1233">
        <v>0</v>
      </c>
      <c r="S1233">
        <v>2</v>
      </c>
      <c r="T1233">
        <v>61</v>
      </c>
      <c r="U1233" s="2">
        <v>1659.81</v>
      </c>
      <c r="V1233">
        <v>20</v>
      </c>
      <c r="W1233" t="s">
        <v>59</v>
      </c>
      <c r="X1233" t="str">
        <f>IF(Table2[[#This Row],[Qty available]]&gt;Table2[[#This Row],[Qty on hand]],"Check","OK")</f>
        <v>OK</v>
      </c>
    </row>
    <row r="1234" spans="1:24" x14ac:dyDescent="0.3">
      <c r="A1234" t="s">
        <v>163</v>
      </c>
      <c r="B1234" t="s">
        <v>164</v>
      </c>
      <c r="C1234" t="s">
        <v>91</v>
      </c>
      <c r="D1234" t="s">
        <v>92</v>
      </c>
      <c r="E1234" t="s">
        <v>27</v>
      </c>
      <c r="F1234" s="1" t="s">
        <v>37</v>
      </c>
      <c r="G1234" s="2">
        <v>20.16</v>
      </c>
      <c r="H1234">
        <v>20.16</v>
      </c>
      <c r="I1234">
        <v>20.16</v>
      </c>
      <c r="J1234">
        <v>27.21</v>
      </c>
      <c r="K1234">
        <v>48</v>
      </c>
      <c r="L1234" s="2">
        <v>84</v>
      </c>
      <c r="M1234">
        <v>18</v>
      </c>
      <c r="N1234" s="2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18</v>
      </c>
      <c r="U1234" s="2">
        <v>489.78</v>
      </c>
      <c r="V1234">
        <v>102</v>
      </c>
      <c r="W1234" t="s">
        <v>59</v>
      </c>
      <c r="X1234" t="str">
        <f>IF(Table2[[#This Row],[Qty available]]&gt;Table2[[#This Row],[Qty on hand]],"Check","OK")</f>
        <v>OK</v>
      </c>
    </row>
    <row r="1235" spans="1:24" x14ac:dyDescent="0.3">
      <c r="A1235" t="s">
        <v>163</v>
      </c>
      <c r="B1235" t="s">
        <v>164</v>
      </c>
      <c r="C1235" t="s">
        <v>91</v>
      </c>
      <c r="D1235" t="s">
        <v>92</v>
      </c>
      <c r="E1235" t="s">
        <v>27</v>
      </c>
      <c r="F1235" s="1" t="s">
        <v>38</v>
      </c>
      <c r="G1235" s="2">
        <v>19.84</v>
      </c>
      <c r="H1235">
        <v>19.84</v>
      </c>
      <c r="I1235">
        <v>19.84</v>
      </c>
      <c r="J1235">
        <v>27.21</v>
      </c>
      <c r="K1235">
        <v>48</v>
      </c>
      <c r="L1235" s="2">
        <v>44</v>
      </c>
      <c r="M1235">
        <v>360</v>
      </c>
      <c r="N1235" s="2">
        <v>231</v>
      </c>
      <c r="O1235">
        <v>4583.04</v>
      </c>
      <c r="P1235">
        <v>19</v>
      </c>
      <c r="Q1235">
        <v>212</v>
      </c>
      <c r="R1235">
        <v>14.44</v>
      </c>
      <c r="S1235">
        <v>2</v>
      </c>
      <c r="T1235">
        <v>129</v>
      </c>
      <c r="U1235" s="2">
        <v>3510.09</v>
      </c>
      <c r="V1235">
        <v>0</v>
      </c>
      <c r="W1235" t="s">
        <v>29</v>
      </c>
      <c r="X1235" t="str">
        <f>IF(Table2[[#This Row],[Qty available]]&gt;Table2[[#This Row],[Qty on hand]],"Check","OK")</f>
        <v>OK</v>
      </c>
    </row>
    <row r="1236" spans="1:24" x14ac:dyDescent="0.3">
      <c r="A1236" t="s">
        <v>163</v>
      </c>
      <c r="B1236" t="s">
        <v>164</v>
      </c>
      <c r="C1236" t="s">
        <v>91</v>
      </c>
      <c r="D1236" t="s">
        <v>92</v>
      </c>
      <c r="E1236" t="s">
        <v>27</v>
      </c>
      <c r="F1236" s="1" t="s">
        <v>39</v>
      </c>
      <c r="G1236" s="2">
        <v>19.71</v>
      </c>
      <c r="H1236">
        <v>19.71</v>
      </c>
      <c r="I1236">
        <v>19.84</v>
      </c>
      <c r="J1236">
        <v>27.21</v>
      </c>
      <c r="K1236">
        <v>48</v>
      </c>
      <c r="M1236">
        <v>0</v>
      </c>
      <c r="N1236" s="2">
        <v>152</v>
      </c>
      <c r="O1236">
        <v>3015.68</v>
      </c>
      <c r="P1236">
        <v>5</v>
      </c>
      <c r="Q1236">
        <v>147</v>
      </c>
      <c r="R1236">
        <v>8.84</v>
      </c>
      <c r="S1236">
        <v>1</v>
      </c>
      <c r="T1236">
        <v>79</v>
      </c>
      <c r="U1236" s="2">
        <v>2149.59</v>
      </c>
      <c r="V1236">
        <v>0</v>
      </c>
      <c r="W1236" t="s">
        <v>29</v>
      </c>
      <c r="X1236" t="str">
        <f>IF(Table2[[#This Row],[Qty available]]&gt;Table2[[#This Row],[Qty on hand]],"Check","OK")</f>
        <v>OK</v>
      </c>
    </row>
    <row r="1237" spans="1:24" x14ac:dyDescent="0.3">
      <c r="A1237" t="s">
        <v>163</v>
      </c>
      <c r="B1237" t="s">
        <v>164</v>
      </c>
      <c r="C1237" t="s">
        <v>91</v>
      </c>
      <c r="D1237" t="s">
        <v>92</v>
      </c>
      <c r="E1237" t="s">
        <v>27</v>
      </c>
      <c r="F1237" s="1" t="s">
        <v>40</v>
      </c>
      <c r="G1237" s="2">
        <v>19.989999999999998</v>
      </c>
      <c r="H1237">
        <v>19.989999999999998</v>
      </c>
      <c r="I1237">
        <v>19.84</v>
      </c>
      <c r="J1237">
        <v>27.21</v>
      </c>
      <c r="K1237">
        <v>48</v>
      </c>
      <c r="M1237">
        <v>0</v>
      </c>
      <c r="N1237" s="2">
        <v>101</v>
      </c>
      <c r="O1237">
        <v>2003.84</v>
      </c>
      <c r="P1237">
        <v>8</v>
      </c>
      <c r="Q1237">
        <v>93</v>
      </c>
      <c r="R1237">
        <v>5.13</v>
      </c>
      <c r="S1237">
        <v>3</v>
      </c>
      <c r="T1237">
        <v>51</v>
      </c>
      <c r="U1237" s="2">
        <v>1387.71</v>
      </c>
      <c r="V1237">
        <v>0</v>
      </c>
      <c r="W1237" t="s">
        <v>29</v>
      </c>
      <c r="X1237" t="str">
        <f>IF(Table2[[#This Row],[Qty available]]&gt;Table2[[#This Row],[Qty on hand]],"Check","OK")</f>
        <v>OK</v>
      </c>
    </row>
    <row r="1238" spans="1:24" x14ac:dyDescent="0.3">
      <c r="A1238" t="s">
        <v>163</v>
      </c>
      <c r="B1238" t="s">
        <v>164</v>
      </c>
      <c r="C1238" t="s">
        <v>91</v>
      </c>
      <c r="D1238" t="s">
        <v>92</v>
      </c>
      <c r="E1238" t="s">
        <v>27</v>
      </c>
      <c r="F1238" s="1" t="s">
        <v>41</v>
      </c>
      <c r="G1238" s="2">
        <v>19.690000000000001</v>
      </c>
      <c r="H1238">
        <v>19.690000000000001</v>
      </c>
      <c r="I1238">
        <v>19.743732000000001</v>
      </c>
      <c r="J1238">
        <v>27.21</v>
      </c>
      <c r="K1238">
        <v>48</v>
      </c>
      <c r="L1238" s="2">
        <v>48</v>
      </c>
      <c r="M1238">
        <v>181</v>
      </c>
      <c r="N1238" s="2">
        <v>209</v>
      </c>
      <c r="O1238">
        <v>4126.4399999999996</v>
      </c>
      <c r="P1238">
        <v>5</v>
      </c>
      <c r="Q1238">
        <v>204</v>
      </c>
      <c r="R1238">
        <v>13.53</v>
      </c>
      <c r="S1238">
        <v>1</v>
      </c>
      <c r="T1238">
        <v>73</v>
      </c>
      <c r="U1238" s="2">
        <v>1986.33</v>
      </c>
      <c r="V1238">
        <v>0</v>
      </c>
      <c r="W1238" t="s">
        <v>29</v>
      </c>
      <c r="X1238" t="str">
        <f>IF(Table2[[#This Row],[Qty available]]&gt;Table2[[#This Row],[Qty on hand]],"Check","OK")</f>
        <v>OK</v>
      </c>
    </row>
    <row r="1239" spans="1:24" x14ac:dyDescent="0.3">
      <c r="A1239" t="s">
        <v>163</v>
      </c>
      <c r="B1239" t="s">
        <v>164</v>
      </c>
      <c r="C1239" t="s">
        <v>91</v>
      </c>
      <c r="D1239" t="s">
        <v>92</v>
      </c>
      <c r="E1239" t="s">
        <v>27</v>
      </c>
      <c r="F1239" s="1" t="s">
        <v>42</v>
      </c>
      <c r="G1239" s="2">
        <v>21.07</v>
      </c>
      <c r="H1239">
        <v>21.07</v>
      </c>
      <c r="I1239">
        <v>19.743739999999999</v>
      </c>
      <c r="J1239">
        <v>27.21</v>
      </c>
      <c r="K1239">
        <v>48</v>
      </c>
      <c r="M1239">
        <v>0</v>
      </c>
      <c r="N1239" s="2">
        <v>131</v>
      </c>
      <c r="O1239">
        <v>2586.4299999999998</v>
      </c>
      <c r="P1239">
        <v>19</v>
      </c>
      <c r="Q1239">
        <v>112</v>
      </c>
      <c r="R1239">
        <v>8.52</v>
      </c>
      <c r="S1239">
        <v>1</v>
      </c>
      <c r="T1239">
        <v>78</v>
      </c>
      <c r="U1239" s="2">
        <v>2122.38</v>
      </c>
      <c r="V1239">
        <v>0</v>
      </c>
      <c r="W1239" t="s">
        <v>29</v>
      </c>
      <c r="X1239" t="str">
        <f>IF(Table2[[#This Row],[Qty available]]&gt;Table2[[#This Row],[Qty on hand]],"Check","OK")</f>
        <v>OK</v>
      </c>
    </row>
    <row r="1240" spans="1:24" x14ac:dyDescent="0.3">
      <c r="A1240" t="s">
        <v>163</v>
      </c>
      <c r="B1240" t="s">
        <v>164</v>
      </c>
      <c r="C1240" t="s">
        <v>91</v>
      </c>
      <c r="D1240" t="s">
        <v>92</v>
      </c>
      <c r="E1240" t="s">
        <v>27</v>
      </c>
      <c r="F1240" s="1" t="s">
        <v>43</v>
      </c>
      <c r="G1240" s="2">
        <v>20.82</v>
      </c>
      <c r="H1240">
        <v>20.82</v>
      </c>
      <c r="I1240">
        <v>20.340423000000001</v>
      </c>
      <c r="J1240">
        <v>27.21</v>
      </c>
      <c r="K1240">
        <v>48</v>
      </c>
      <c r="L1240" s="2">
        <v>80</v>
      </c>
      <c r="M1240">
        <v>163</v>
      </c>
      <c r="N1240" s="2">
        <v>213</v>
      </c>
      <c r="O1240">
        <v>4332.51</v>
      </c>
      <c r="P1240">
        <v>11</v>
      </c>
      <c r="Q1240">
        <v>202</v>
      </c>
      <c r="R1240">
        <v>11.94</v>
      </c>
      <c r="S1240">
        <v>0</v>
      </c>
      <c r="T1240">
        <v>81</v>
      </c>
      <c r="U1240" s="2">
        <v>2204.0100000000002</v>
      </c>
      <c r="V1240">
        <v>0</v>
      </c>
      <c r="W1240" t="s">
        <v>29</v>
      </c>
      <c r="X1240" t="str">
        <f>IF(Table2[[#This Row],[Qty available]]&gt;Table2[[#This Row],[Qty on hand]],"Check","OK")</f>
        <v>OK</v>
      </c>
    </row>
    <row r="1241" spans="1:24" x14ac:dyDescent="0.3">
      <c r="A1241" t="s">
        <v>163</v>
      </c>
      <c r="B1241" t="s">
        <v>164</v>
      </c>
      <c r="C1241" t="s">
        <v>91</v>
      </c>
      <c r="D1241" t="s">
        <v>92</v>
      </c>
      <c r="E1241" t="s">
        <v>27</v>
      </c>
      <c r="F1241" s="1" t="s">
        <v>44</v>
      </c>
      <c r="G1241" s="2">
        <v>20.82</v>
      </c>
      <c r="H1241">
        <v>20.82</v>
      </c>
      <c r="I1241">
        <v>20.381564999999998</v>
      </c>
      <c r="J1241">
        <v>27.21</v>
      </c>
      <c r="K1241">
        <v>48</v>
      </c>
      <c r="L1241" s="2">
        <v>43</v>
      </c>
      <c r="M1241">
        <v>20</v>
      </c>
      <c r="N1241" s="2">
        <v>147</v>
      </c>
      <c r="O1241">
        <v>2996.09</v>
      </c>
      <c r="P1241">
        <v>19</v>
      </c>
      <c r="Q1241">
        <v>128</v>
      </c>
      <c r="R1241">
        <v>7.89</v>
      </c>
      <c r="S1241">
        <v>7</v>
      </c>
      <c r="T1241">
        <v>86</v>
      </c>
      <c r="U1241" s="2">
        <v>2340.06</v>
      </c>
      <c r="V1241">
        <v>0</v>
      </c>
      <c r="W1241" t="s">
        <v>29</v>
      </c>
      <c r="X1241" t="str">
        <f>IF(Table2[[#This Row],[Qty available]]&gt;Table2[[#This Row],[Qty on hand]],"Check","OK")</f>
        <v>OK</v>
      </c>
    </row>
    <row r="1242" spans="1:24" x14ac:dyDescent="0.3">
      <c r="A1242" t="s">
        <v>163</v>
      </c>
      <c r="B1242" t="s">
        <v>164</v>
      </c>
      <c r="C1242" t="s">
        <v>91</v>
      </c>
      <c r="D1242" t="s">
        <v>92</v>
      </c>
      <c r="E1242" t="s">
        <v>27</v>
      </c>
      <c r="F1242" s="1" t="s">
        <v>45</v>
      </c>
      <c r="G1242" s="2">
        <v>20.87</v>
      </c>
      <c r="H1242">
        <v>20.87</v>
      </c>
      <c r="I1242">
        <v>20.549486999999999</v>
      </c>
      <c r="J1242">
        <v>27.21</v>
      </c>
      <c r="K1242">
        <v>48</v>
      </c>
      <c r="L1242" s="2">
        <v>42</v>
      </c>
      <c r="M1242">
        <v>77</v>
      </c>
      <c r="N1242" s="2">
        <v>117</v>
      </c>
      <c r="O1242">
        <v>2404.29</v>
      </c>
      <c r="P1242">
        <v>19</v>
      </c>
      <c r="Q1242">
        <v>98</v>
      </c>
      <c r="R1242">
        <v>5.61</v>
      </c>
      <c r="S1242">
        <v>2</v>
      </c>
      <c r="T1242">
        <v>107</v>
      </c>
      <c r="U1242" s="2">
        <v>2911.47</v>
      </c>
      <c r="V1242">
        <v>0</v>
      </c>
      <c r="W1242" t="s">
        <v>29</v>
      </c>
      <c r="X1242" t="str">
        <f>IF(Table2[[#This Row],[Qty available]]&gt;Table2[[#This Row],[Qty on hand]],"Check","OK")</f>
        <v>OK</v>
      </c>
    </row>
    <row r="1243" spans="1:24" x14ac:dyDescent="0.3">
      <c r="A1243" t="s">
        <v>163</v>
      </c>
      <c r="B1243" t="s">
        <v>164</v>
      </c>
      <c r="C1243" t="s">
        <v>91</v>
      </c>
      <c r="D1243" t="s">
        <v>92</v>
      </c>
      <c r="E1243" t="s">
        <v>27</v>
      </c>
      <c r="F1243" s="1" t="s">
        <v>46</v>
      </c>
      <c r="G1243" s="2">
        <v>21.36</v>
      </c>
      <c r="H1243">
        <v>21.36</v>
      </c>
      <c r="I1243">
        <v>20.824242000000002</v>
      </c>
      <c r="J1243">
        <v>28.64</v>
      </c>
      <c r="K1243">
        <v>48</v>
      </c>
      <c r="L1243" s="2">
        <v>57</v>
      </c>
      <c r="M1243">
        <v>60</v>
      </c>
      <c r="N1243" s="2">
        <v>132</v>
      </c>
      <c r="O1243">
        <v>2748.8</v>
      </c>
      <c r="P1243">
        <v>5</v>
      </c>
      <c r="Q1243">
        <v>127</v>
      </c>
      <c r="R1243">
        <v>7.13</v>
      </c>
      <c r="S1243">
        <v>0</v>
      </c>
      <c r="T1243">
        <v>45</v>
      </c>
      <c r="U1243" s="2">
        <v>1288.8</v>
      </c>
      <c r="V1243">
        <v>0</v>
      </c>
      <c r="W1243" t="s">
        <v>29</v>
      </c>
      <c r="X1243" t="str">
        <f>IF(Table2[[#This Row],[Qty available]]&gt;Table2[[#This Row],[Qty on hand]],"Check","OK")</f>
        <v>OK</v>
      </c>
    </row>
    <row r="1244" spans="1:24" x14ac:dyDescent="0.3">
      <c r="A1244" t="s">
        <v>163</v>
      </c>
      <c r="B1244" t="s">
        <v>164</v>
      </c>
      <c r="C1244" t="s">
        <v>91</v>
      </c>
      <c r="D1244" t="s">
        <v>92</v>
      </c>
      <c r="E1244" t="s">
        <v>27</v>
      </c>
      <c r="F1244" s="1" t="s">
        <v>47</v>
      </c>
      <c r="G1244" s="2">
        <v>21.02</v>
      </c>
      <c r="H1244">
        <v>21.02</v>
      </c>
      <c r="I1244">
        <v>20.913198000000001</v>
      </c>
      <c r="J1244">
        <v>28.64</v>
      </c>
      <c r="K1244">
        <v>48</v>
      </c>
      <c r="L1244" s="2">
        <v>47</v>
      </c>
      <c r="M1244">
        <v>110</v>
      </c>
      <c r="N1244" s="2">
        <v>172</v>
      </c>
      <c r="O1244">
        <v>3597.07</v>
      </c>
      <c r="P1244">
        <v>27</v>
      </c>
      <c r="Q1244">
        <v>145</v>
      </c>
      <c r="R1244">
        <v>9.9600000000000009</v>
      </c>
      <c r="S1244">
        <v>9</v>
      </c>
      <c r="T1244">
        <v>70</v>
      </c>
      <c r="U1244" s="2">
        <v>2004.8</v>
      </c>
      <c r="V1244">
        <v>0</v>
      </c>
      <c r="W1244" t="s">
        <v>29</v>
      </c>
      <c r="X1244" t="str">
        <f>IF(Table2[[#This Row],[Qty available]]&gt;Table2[[#This Row],[Qty on hand]],"Check","OK")</f>
        <v>OK</v>
      </c>
    </row>
    <row r="1245" spans="1:24" x14ac:dyDescent="0.3">
      <c r="A1245" t="s">
        <v>163</v>
      </c>
      <c r="B1245" t="s">
        <v>164</v>
      </c>
      <c r="C1245" t="s">
        <v>91</v>
      </c>
      <c r="D1245" t="s">
        <v>92</v>
      </c>
      <c r="E1245" t="s">
        <v>27</v>
      </c>
      <c r="F1245" s="1" t="s">
        <v>48</v>
      </c>
      <c r="G1245" s="2">
        <v>20.86</v>
      </c>
      <c r="H1245">
        <v>20.86</v>
      </c>
      <c r="I1245">
        <v>20.905943000000001</v>
      </c>
      <c r="J1245">
        <v>28.64</v>
      </c>
      <c r="K1245">
        <v>48</v>
      </c>
      <c r="L1245" s="2">
        <v>45</v>
      </c>
      <c r="M1245">
        <v>27</v>
      </c>
      <c r="N1245" s="2">
        <v>106</v>
      </c>
      <c r="O1245">
        <v>2216.0300000000002</v>
      </c>
      <c r="P1245">
        <v>19</v>
      </c>
      <c r="Q1245">
        <v>87</v>
      </c>
      <c r="R1245">
        <v>6.48</v>
      </c>
      <c r="S1245">
        <v>4</v>
      </c>
      <c r="T1245">
        <v>93</v>
      </c>
      <c r="U1245" s="2">
        <v>2663.52</v>
      </c>
      <c r="V1245">
        <v>0</v>
      </c>
      <c r="W1245" t="s">
        <v>29</v>
      </c>
      <c r="X1245" t="str">
        <f>IF(Table2[[#This Row],[Qty available]]&gt;Table2[[#This Row],[Qty on hand]],"Check","OK")</f>
        <v>OK</v>
      </c>
    </row>
    <row r="1246" spans="1:24" x14ac:dyDescent="0.3">
      <c r="A1246" t="s">
        <v>163</v>
      </c>
      <c r="B1246" t="s">
        <v>164</v>
      </c>
      <c r="C1246" t="s">
        <v>91</v>
      </c>
      <c r="D1246" t="s">
        <v>92</v>
      </c>
      <c r="E1246" t="s">
        <v>27</v>
      </c>
      <c r="F1246" s="1" t="s">
        <v>49</v>
      </c>
      <c r="G1246" s="2">
        <v>20.73</v>
      </c>
      <c r="H1246">
        <v>20.73</v>
      </c>
      <c r="I1246">
        <v>20.905943000000001</v>
      </c>
      <c r="J1246">
        <v>28.64</v>
      </c>
      <c r="K1246">
        <v>48</v>
      </c>
      <c r="M1246">
        <v>0</v>
      </c>
      <c r="N1246" s="2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106</v>
      </c>
      <c r="U1246" s="2">
        <v>3035.84</v>
      </c>
      <c r="V1246">
        <v>12</v>
      </c>
      <c r="W1246" t="s">
        <v>59</v>
      </c>
      <c r="X1246" t="str">
        <f>IF(Table2[[#This Row],[Qty available]]&gt;Table2[[#This Row],[Qty on hand]],"Check","OK")</f>
        <v>OK</v>
      </c>
    </row>
    <row r="1247" spans="1:24" x14ac:dyDescent="0.3">
      <c r="A1247" t="s">
        <v>163</v>
      </c>
      <c r="B1247" t="s">
        <v>164</v>
      </c>
      <c r="C1247" t="s">
        <v>91</v>
      </c>
      <c r="D1247" t="s">
        <v>92</v>
      </c>
      <c r="E1247" t="s">
        <v>27</v>
      </c>
      <c r="F1247" s="1" t="s">
        <v>50</v>
      </c>
      <c r="G1247" s="2">
        <v>21.28</v>
      </c>
      <c r="H1247">
        <v>21.28</v>
      </c>
      <c r="I1247">
        <v>21.28</v>
      </c>
      <c r="J1247">
        <v>28.64</v>
      </c>
      <c r="K1247">
        <v>48</v>
      </c>
      <c r="L1247" s="2">
        <v>44</v>
      </c>
      <c r="M1247">
        <v>65</v>
      </c>
      <c r="N1247" s="2">
        <v>11</v>
      </c>
      <c r="O1247">
        <v>234.08</v>
      </c>
      <c r="P1247">
        <v>11</v>
      </c>
      <c r="Q1247">
        <v>0</v>
      </c>
      <c r="R1247">
        <v>0.56999999999999995</v>
      </c>
      <c r="S1247">
        <v>1</v>
      </c>
      <c r="T1247">
        <v>54</v>
      </c>
      <c r="U1247" s="2">
        <v>1546.56</v>
      </c>
      <c r="V1247">
        <v>0</v>
      </c>
      <c r="W1247" t="s">
        <v>29</v>
      </c>
      <c r="X1247" t="str">
        <f>IF(Table2[[#This Row],[Qty available]]&gt;Table2[[#This Row],[Qty on hand]],"Check","OK")</f>
        <v>OK</v>
      </c>
    </row>
    <row r="1248" spans="1:24" x14ac:dyDescent="0.3">
      <c r="A1248" t="s">
        <v>163</v>
      </c>
      <c r="B1248" t="s">
        <v>164</v>
      </c>
      <c r="C1248" t="s">
        <v>91</v>
      </c>
      <c r="D1248" t="s">
        <v>92</v>
      </c>
      <c r="E1248" t="s">
        <v>27</v>
      </c>
      <c r="F1248" s="1" t="s">
        <v>51</v>
      </c>
      <c r="G1248" s="2">
        <v>21.38</v>
      </c>
      <c r="H1248">
        <v>21.38</v>
      </c>
      <c r="I1248">
        <v>21.28</v>
      </c>
      <c r="J1248">
        <v>28.64</v>
      </c>
      <c r="K1248">
        <v>48</v>
      </c>
      <c r="M1248">
        <v>0</v>
      </c>
      <c r="N1248" s="2">
        <v>0</v>
      </c>
      <c r="O1248">
        <v>0</v>
      </c>
      <c r="P1248">
        <v>0</v>
      </c>
      <c r="Q1248">
        <v>0</v>
      </c>
      <c r="R1248">
        <v>0</v>
      </c>
      <c r="S1248">
        <v>9</v>
      </c>
      <c r="T1248">
        <v>11</v>
      </c>
      <c r="U1248" s="2">
        <v>315.04000000000002</v>
      </c>
      <c r="V1248">
        <v>71</v>
      </c>
      <c r="W1248" t="s">
        <v>59</v>
      </c>
      <c r="X1248" t="str">
        <f>IF(Table2[[#This Row],[Qty available]]&gt;Table2[[#This Row],[Qty on hand]],"Check","OK")</f>
        <v>OK</v>
      </c>
    </row>
    <row r="1249" spans="1:24" x14ac:dyDescent="0.3">
      <c r="A1249" t="s">
        <v>163</v>
      </c>
      <c r="B1249" t="s">
        <v>164</v>
      </c>
      <c r="C1249" t="s">
        <v>91</v>
      </c>
      <c r="D1249" t="s">
        <v>92</v>
      </c>
      <c r="E1249" t="s">
        <v>27</v>
      </c>
      <c r="F1249" s="1" t="s">
        <v>52</v>
      </c>
      <c r="G1249" s="2">
        <v>21.01</v>
      </c>
      <c r="H1249">
        <v>21.01</v>
      </c>
      <c r="I1249">
        <v>21.01</v>
      </c>
      <c r="J1249">
        <v>28.64</v>
      </c>
      <c r="K1249">
        <v>48</v>
      </c>
      <c r="L1249" s="2">
        <v>41</v>
      </c>
      <c r="M1249">
        <v>349</v>
      </c>
      <c r="N1249" s="2">
        <v>209</v>
      </c>
      <c r="O1249">
        <v>4391.09</v>
      </c>
      <c r="P1249">
        <v>19</v>
      </c>
      <c r="Q1249">
        <v>190</v>
      </c>
      <c r="R1249">
        <v>13.4</v>
      </c>
      <c r="S1249">
        <v>0</v>
      </c>
      <c r="T1249">
        <v>140</v>
      </c>
      <c r="U1249" s="2">
        <v>4009.6</v>
      </c>
      <c r="V1249">
        <v>0</v>
      </c>
      <c r="W1249" t="s">
        <v>29</v>
      </c>
      <c r="X1249" t="str">
        <f>IF(Table2[[#This Row],[Qty available]]&gt;Table2[[#This Row],[Qty on hand]],"Check","OK")</f>
        <v>OK</v>
      </c>
    </row>
    <row r="1250" spans="1:24" x14ac:dyDescent="0.3">
      <c r="A1250" t="s">
        <v>165</v>
      </c>
      <c r="B1250" t="s">
        <v>166</v>
      </c>
      <c r="C1250" t="s">
        <v>77</v>
      </c>
      <c r="D1250" t="s">
        <v>78</v>
      </c>
      <c r="E1250" t="s">
        <v>66</v>
      </c>
      <c r="F1250" s="1" t="s">
        <v>28</v>
      </c>
      <c r="G1250" s="2">
        <v>2.85</v>
      </c>
      <c r="H1250">
        <v>2.85</v>
      </c>
      <c r="I1250">
        <v>2.7575980000000002</v>
      </c>
      <c r="J1250">
        <v>3.78</v>
      </c>
      <c r="K1250">
        <v>59</v>
      </c>
      <c r="M1250">
        <v>0</v>
      </c>
      <c r="N1250" s="2">
        <v>254</v>
      </c>
      <c r="O1250">
        <v>700.43</v>
      </c>
      <c r="P1250">
        <v>167</v>
      </c>
      <c r="Q1250">
        <v>87</v>
      </c>
      <c r="R1250">
        <v>0.77</v>
      </c>
      <c r="S1250">
        <v>0</v>
      </c>
      <c r="T1250">
        <v>1167</v>
      </c>
      <c r="U1250" s="2">
        <v>4411.26</v>
      </c>
      <c r="V1250">
        <v>0</v>
      </c>
      <c r="W1250" t="s">
        <v>29</v>
      </c>
      <c r="X1250" t="str">
        <f>IF(Table2[[#This Row],[Qty available]]&gt;Table2[[#This Row],[Qty on hand]],"Check","OK")</f>
        <v>OK</v>
      </c>
    </row>
    <row r="1251" spans="1:24" x14ac:dyDescent="0.3">
      <c r="A1251" t="s">
        <v>165</v>
      </c>
      <c r="B1251" t="s">
        <v>166</v>
      </c>
      <c r="C1251" t="s">
        <v>77</v>
      </c>
      <c r="D1251" t="s">
        <v>78</v>
      </c>
      <c r="E1251" t="s">
        <v>66</v>
      </c>
      <c r="F1251" s="1" t="s">
        <v>30</v>
      </c>
      <c r="G1251" s="2">
        <v>2.79</v>
      </c>
      <c r="H1251">
        <v>2.79</v>
      </c>
      <c r="I1251">
        <v>2.785425</v>
      </c>
      <c r="J1251">
        <v>3.78</v>
      </c>
      <c r="K1251">
        <v>59</v>
      </c>
      <c r="L1251" s="2">
        <v>95</v>
      </c>
      <c r="M1251">
        <v>1546</v>
      </c>
      <c r="N1251" s="2">
        <v>953</v>
      </c>
      <c r="O1251">
        <v>2654.51</v>
      </c>
      <c r="P1251">
        <v>335</v>
      </c>
      <c r="Q1251">
        <v>618</v>
      </c>
      <c r="R1251">
        <v>2.98</v>
      </c>
      <c r="S1251">
        <v>0</v>
      </c>
      <c r="T1251">
        <v>847</v>
      </c>
      <c r="U1251" s="2">
        <v>3201.66</v>
      </c>
      <c r="V1251">
        <v>0</v>
      </c>
      <c r="W1251" t="s">
        <v>29</v>
      </c>
      <c r="X1251" t="str">
        <f>IF(Table2[[#This Row],[Qty available]]&gt;Table2[[#This Row],[Qty on hand]],"Check","OK")</f>
        <v>OK</v>
      </c>
    </row>
    <row r="1252" spans="1:24" x14ac:dyDescent="0.3">
      <c r="A1252" t="s">
        <v>165</v>
      </c>
      <c r="B1252" t="s">
        <v>166</v>
      </c>
      <c r="C1252" t="s">
        <v>77</v>
      </c>
      <c r="D1252" t="s">
        <v>78</v>
      </c>
      <c r="E1252" t="s">
        <v>66</v>
      </c>
      <c r="F1252" s="1" t="s">
        <v>31</v>
      </c>
      <c r="G1252" s="2">
        <v>2.82</v>
      </c>
      <c r="H1252">
        <v>2.82</v>
      </c>
      <c r="I1252">
        <v>2.8109380000000002</v>
      </c>
      <c r="J1252">
        <v>3.78</v>
      </c>
      <c r="K1252">
        <v>59</v>
      </c>
      <c r="L1252" s="2">
        <v>71</v>
      </c>
      <c r="M1252">
        <v>2683</v>
      </c>
      <c r="N1252" s="2">
        <v>3304</v>
      </c>
      <c r="O1252">
        <v>9287.34</v>
      </c>
      <c r="P1252">
        <v>100</v>
      </c>
      <c r="Q1252">
        <v>3204</v>
      </c>
      <c r="R1252">
        <v>18.309999999999999</v>
      </c>
      <c r="S1252">
        <v>0</v>
      </c>
      <c r="T1252">
        <v>332</v>
      </c>
      <c r="U1252" s="2">
        <v>1254.96</v>
      </c>
      <c r="V1252">
        <v>0</v>
      </c>
      <c r="W1252" t="s">
        <v>29</v>
      </c>
      <c r="X1252" t="str">
        <f>IF(Table2[[#This Row],[Qty available]]&gt;Table2[[#This Row],[Qty on hand]],"Check","OK")</f>
        <v>OK</v>
      </c>
    </row>
    <row r="1253" spans="1:24" x14ac:dyDescent="0.3">
      <c r="A1253" t="s">
        <v>165</v>
      </c>
      <c r="B1253" t="s">
        <v>166</v>
      </c>
      <c r="C1253" t="s">
        <v>77</v>
      </c>
      <c r="D1253" t="s">
        <v>78</v>
      </c>
      <c r="E1253" t="s">
        <v>66</v>
      </c>
      <c r="F1253" s="1" t="s">
        <v>32</v>
      </c>
      <c r="G1253" s="2">
        <v>2.8</v>
      </c>
      <c r="H1253">
        <v>2.8</v>
      </c>
      <c r="I1253">
        <v>2.806737</v>
      </c>
      <c r="J1253">
        <v>3.78</v>
      </c>
      <c r="K1253">
        <v>59</v>
      </c>
      <c r="L1253" s="2">
        <v>81</v>
      </c>
      <c r="M1253">
        <v>2060</v>
      </c>
      <c r="N1253" s="2">
        <v>3926</v>
      </c>
      <c r="O1253">
        <v>11019.25</v>
      </c>
      <c r="P1253">
        <v>234</v>
      </c>
      <c r="Q1253">
        <v>3692</v>
      </c>
      <c r="R1253">
        <v>19.72</v>
      </c>
      <c r="S1253">
        <v>0</v>
      </c>
      <c r="T1253">
        <v>1438</v>
      </c>
      <c r="U1253" s="2">
        <v>5435.64</v>
      </c>
      <c r="V1253">
        <v>0</v>
      </c>
      <c r="W1253" t="s">
        <v>29</v>
      </c>
      <c r="X1253" t="str">
        <f>IF(Table2[[#This Row],[Qty available]]&gt;Table2[[#This Row],[Qty on hand]],"Check","OK")</f>
        <v>OK</v>
      </c>
    </row>
    <row r="1254" spans="1:24" x14ac:dyDescent="0.3">
      <c r="A1254" t="s">
        <v>165</v>
      </c>
      <c r="B1254" t="s">
        <v>166</v>
      </c>
      <c r="C1254" t="s">
        <v>77</v>
      </c>
      <c r="D1254" t="s">
        <v>78</v>
      </c>
      <c r="E1254" t="s">
        <v>66</v>
      </c>
      <c r="F1254" s="1" t="s">
        <v>33</v>
      </c>
      <c r="G1254" s="2">
        <v>2.8</v>
      </c>
      <c r="H1254">
        <v>2.8</v>
      </c>
      <c r="I1254">
        <v>2.806184</v>
      </c>
      <c r="J1254">
        <v>3.78</v>
      </c>
      <c r="K1254">
        <v>59</v>
      </c>
      <c r="L1254" s="2">
        <v>73</v>
      </c>
      <c r="M1254">
        <v>351</v>
      </c>
      <c r="N1254" s="2">
        <v>3485</v>
      </c>
      <c r="O1254">
        <v>9779.5499999999993</v>
      </c>
      <c r="P1254">
        <v>268</v>
      </c>
      <c r="Q1254">
        <v>3217</v>
      </c>
      <c r="R1254">
        <v>17.88</v>
      </c>
      <c r="S1254">
        <v>0</v>
      </c>
      <c r="T1254">
        <v>792</v>
      </c>
      <c r="U1254" s="2">
        <v>2993.76</v>
      </c>
      <c r="V1254">
        <v>0</v>
      </c>
      <c r="W1254" t="s">
        <v>29</v>
      </c>
      <c r="X1254" t="str">
        <f>IF(Table2[[#This Row],[Qty available]]&gt;Table2[[#This Row],[Qty on hand]],"Check","OK")</f>
        <v>OK</v>
      </c>
    </row>
    <row r="1255" spans="1:24" x14ac:dyDescent="0.3">
      <c r="A1255" t="s">
        <v>165</v>
      </c>
      <c r="B1255" t="s">
        <v>166</v>
      </c>
      <c r="C1255" t="s">
        <v>77</v>
      </c>
      <c r="D1255" t="s">
        <v>78</v>
      </c>
      <c r="E1255" t="s">
        <v>66</v>
      </c>
      <c r="F1255" s="1" t="s">
        <v>34</v>
      </c>
      <c r="G1255" s="2">
        <v>2.81</v>
      </c>
      <c r="H1255">
        <v>2.81</v>
      </c>
      <c r="I1255">
        <v>2.8073809999999999</v>
      </c>
      <c r="J1255">
        <v>3.98</v>
      </c>
      <c r="K1255">
        <v>59</v>
      </c>
      <c r="L1255" s="2">
        <v>51</v>
      </c>
      <c r="M1255">
        <v>1594</v>
      </c>
      <c r="N1255" s="2">
        <v>4459</v>
      </c>
      <c r="O1255">
        <v>12518.11</v>
      </c>
      <c r="P1255">
        <v>167</v>
      </c>
      <c r="Q1255">
        <v>4292</v>
      </c>
      <c r="R1255">
        <v>20.12</v>
      </c>
      <c r="S1255">
        <v>0</v>
      </c>
      <c r="T1255">
        <v>620</v>
      </c>
      <c r="U1255" s="2">
        <v>2467.6</v>
      </c>
      <c r="V1255">
        <v>0</v>
      </c>
      <c r="W1255" t="s">
        <v>29</v>
      </c>
      <c r="X1255" t="str">
        <f>IF(Table2[[#This Row],[Qty available]]&gt;Table2[[#This Row],[Qty on hand]],"Check","OK")</f>
        <v>OK</v>
      </c>
    </row>
    <row r="1256" spans="1:24" x14ac:dyDescent="0.3">
      <c r="A1256" t="s">
        <v>165</v>
      </c>
      <c r="B1256" t="s">
        <v>166</v>
      </c>
      <c r="C1256" t="s">
        <v>77</v>
      </c>
      <c r="D1256" t="s">
        <v>78</v>
      </c>
      <c r="E1256" t="s">
        <v>66</v>
      </c>
      <c r="F1256" s="1" t="s">
        <v>35</v>
      </c>
      <c r="G1256" s="2">
        <v>2.94</v>
      </c>
      <c r="H1256">
        <v>2.94</v>
      </c>
      <c r="I1256">
        <v>2.8252630000000001</v>
      </c>
      <c r="J1256">
        <v>3.98</v>
      </c>
      <c r="K1256">
        <v>59</v>
      </c>
      <c r="L1256" s="2">
        <v>51</v>
      </c>
      <c r="M1256">
        <v>695</v>
      </c>
      <c r="N1256" s="2">
        <v>4085</v>
      </c>
      <c r="O1256">
        <v>11541.2</v>
      </c>
      <c r="P1256">
        <v>301</v>
      </c>
      <c r="Q1256">
        <v>3784</v>
      </c>
      <c r="R1256">
        <v>21.17</v>
      </c>
      <c r="S1256">
        <v>1</v>
      </c>
      <c r="T1256">
        <v>1069</v>
      </c>
      <c r="U1256" s="2">
        <v>4254.62</v>
      </c>
      <c r="V1256">
        <v>0</v>
      </c>
      <c r="W1256" t="s">
        <v>29</v>
      </c>
      <c r="X1256" t="str">
        <f>IF(Table2[[#This Row],[Qty available]]&gt;Table2[[#This Row],[Qty on hand]],"Check","OK")</f>
        <v>OK</v>
      </c>
    </row>
    <row r="1257" spans="1:24" x14ac:dyDescent="0.3">
      <c r="A1257" t="s">
        <v>165</v>
      </c>
      <c r="B1257" t="s">
        <v>166</v>
      </c>
      <c r="C1257" t="s">
        <v>77</v>
      </c>
      <c r="D1257" t="s">
        <v>78</v>
      </c>
      <c r="E1257" t="s">
        <v>66</v>
      </c>
      <c r="F1257" s="1" t="s">
        <v>36</v>
      </c>
      <c r="G1257" s="2">
        <v>3</v>
      </c>
      <c r="H1257">
        <v>3</v>
      </c>
      <c r="I1257">
        <v>2.8252619999999999</v>
      </c>
      <c r="J1257">
        <v>3.98</v>
      </c>
      <c r="K1257">
        <v>59</v>
      </c>
      <c r="M1257">
        <v>0</v>
      </c>
      <c r="N1257" s="2">
        <v>3189</v>
      </c>
      <c r="O1257">
        <v>9009.76</v>
      </c>
      <c r="P1257">
        <v>335</v>
      </c>
      <c r="Q1257">
        <v>2854</v>
      </c>
      <c r="R1257">
        <v>15.69</v>
      </c>
      <c r="S1257">
        <v>2</v>
      </c>
      <c r="T1257">
        <v>896</v>
      </c>
      <c r="U1257" s="2">
        <v>3566.08</v>
      </c>
      <c r="V1257">
        <v>0</v>
      </c>
      <c r="W1257" t="s">
        <v>29</v>
      </c>
      <c r="X1257" t="str">
        <f>IF(Table2[[#This Row],[Qty available]]&gt;Table2[[#This Row],[Qty on hand]],"Check","OK")</f>
        <v>OK</v>
      </c>
    </row>
    <row r="1258" spans="1:24" x14ac:dyDescent="0.3">
      <c r="A1258" t="s">
        <v>165</v>
      </c>
      <c r="B1258" t="s">
        <v>166</v>
      </c>
      <c r="C1258" t="s">
        <v>77</v>
      </c>
      <c r="D1258" t="s">
        <v>78</v>
      </c>
      <c r="E1258" t="s">
        <v>66</v>
      </c>
      <c r="F1258" s="1" t="s">
        <v>37</v>
      </c>
      <c r="G1258" s="2">
        <v>2.94</v>
      </c>
      <c r="H1258">
        <v>2.94</v>
      </c>
      <c r="I1258">
        <v>2.8598300000000001</v>
      </c>
      <c r="J1258">
        <v>3.98</v>
      </c>
      <c r="K1258">
        <v>59</v>
      </c>
      <c r="L1258" s="2">
        <v>55</v>
      </c>
      <c r="M1258">
        <v>1375</v>
      </c>
      <c r="N1258" s="2">
        <v>3421</v>
      </c>
      <c r="O1258">
        <v>9783.48</v>
      </c>
      <c r="P1258">
        <v>335</v>
      </c>
      <c r="Q1258">
        <v>3086</v>
      </c>
      <c r="R1258">
        <v>14.47</v>
      </c>
      <c r="S1258">
        <v>0</v>
      </c>
      <c r="T1258">
        <v>1143</v>
      </c>
      <c r="U1258" s="2">
        <v>4549.1400000000003</v>
      </c>
      <c r="V1258">
        <v>0</v>
      </c>
      <c r="W1258" t="s">
        <v>29</v>
      </c>
      <c r="X1258" t="str">
        <f>IF(Table2[[#This Row],[Qty available]]&gt;Table2[[#This Row],[Qty on hand]],"Check","OK")</f>
        <v>OK</v>
      </c>
    </row>
    <row r="1259" spans="1:24" x14ac:dyDescent="0.3">
      <c r="A1259" t="s">
        <v>165</v>
      </c>
      <c r="B1259" t="s">
        <v>166</v>
      </c>
      <c r="C1259" t="s">
        <v>77</v>
      </c>
      <c r="D1259" t="s">
        <v>78</v>
      </c>
      <c r="E1259" t="s">
        <v>66</v>
      </c>
      <c r="F1259" s="1" t="s">
        <v>38</v>
      </c>
      <c r="G1259" s="2">
        <v>2.92</v>
      </c>
      <c r="H1259">
        <v>2.92</v>
      </c>
      <c r="I1259">
        <v>2.8807550000000002</v>
      </c>
      <c r="J1259">
        <v>3.98</v>
      </c>
      <c r="K1259">
        <v>59</v>
      </c>
      <c r="L1259" s="2">
        <v>57</v>
      </c>
      <c r="M1259">
        <v>1824</v>
      </c>
      <c r="N1259" s="2">
        <v>4121</v>
      </c>
      <c r="O1259">
        <v>11871.59</v>
      </c>
      <c r="P1259">
        <v>134</v>
      </c>
      <c r="Q1259">
        <v>3987</v>
      </c>
      <c r="R1259">
        <v>16.940000000000001</v>
      </c>
      <c r="S1259">
        <v>0</v>
      </c>
      <c r="T1259">
        <v>1124</v>
      </c>
      <c r="U1259" s="2">
        <v>4473.5200000000004</v>
      </c>
      <c r="V1259">
        <v>0</v>
      </c>
      <c r="W1259" t="s">
        <v>29</v>
      </c>
      <c r="X1259" t="str">
        <f>IF(Table2[[#This Row],[Qty available]]&gt;Table2[[#This Row],[Qty on hand]],"Check","OK")</f>
        <v>OK</v>
      </c>
    </row>
    <row r="1260" spans="1:24" x14ac:dyDescent="0.3">
      <c r="A1260" t="s">
        <v>165</v>
      </c>
      <c r="B1260" t="s">
        <v>166</v>
      </c>
      <c r="C1260" t="s">
        <v>77</v>
      </c>
      <c r="D1260" t="s">
        <v>78</v>
      </c>
      <c r="E1260" t="s">
        <v>66</v>
      </c>
      <c r="F1260" s="1" t="s">
        <v>39</v>
      </c>
      <c r="G1260" s="2">
        <v>3</v>
      </c>
      <c r="H1260">
        <v>3</v>
      </c>
      <c r="I1260">
        <v>2.8807559999999999</v>
      </c>
      <c r="J1260">
        <v>3.98</v>
      </c>
      <c r="K1260">
        <v>59</v>
      </c>
      <c r="M1260">
        <v>0</v>
      </c>
      <c r="N1260" s="2">
        <v>3572</v>
      </c>
      <c r="O1260">
        <v>10290.06</v>
      </c>
      <c r="P1260">
        <v>301</v>
      </c>
      <c r="Q1260">
        <v>3271</v>
      </c>
      <c r="R1260">
        <v>16.670000000000002</v>
      </c>
      <c r="S1260">
        <v>1</v>
      </c>
      <c r="T1260">
        <v>549</v>
      </c>
      <c r="U1260" s="2">
        <v>2185.02</v>
      </c>
      <c r="V1260">
        <v>0</v>
      </c>
      <c r="W1260" t="s">
        <v>29</v>
      </c>
      <c r="X1260" t="str">
        <f>IF(Table2[[#This Row],[Qty available]]&gt;Table2[[#This Row],[Qty on hand]],"Check","OK")</f>
        <v>OK</v>
      </c>
    </row>
    <row r="1261" spans="1:24" x14ac:dyDescent="0.3">
      <c r="A1261" t="s">
        <v>165</v>
      </c>
      <c r="B1261" t="s">
        <v>166</v>
      </c>
      <c r="C1261" t="s">
        <v>77</v>
      </c>
      <c r="D1261" t="s">
        <v>78</v>
      </c>
      <c r="E1261" t="s">
        <v>66</v>
      </c>
      <c r="F1261" s="1" t="s">
        <v>40</v>
      </c>
      <c r="G1261" s="2">
        <v>2.93</v>
      </c>
      <c r="H1261">
        <v>2.93</v>
      </c>
      <c r="I1261">
        <v>2.8807559999999999</v>
      </c>
      <c r="J1261">
        <v>3.98</v>
      </c>
      <c r="K1261">
        <v>59</v>
      </c>
      <c r="M1261">
        <v>0</v>
      </c>
      <c r="N1261" s="2">
        <v>2540</v>
      </c>
      <c r="O1261">
        <v>7317.12</v>
      </c>
      <c r="P1261">
        <v>268</v>
      </c>
      <c r="Q1261">
        <v>2272</v>
      </c>
      <c r="R1261">
        <v>12.34</v>
      </c>
      <c r="S1261">
        <v>0</v>
      </c>
      <c r="T1261">
        <v>1032</v>
      </c>
      <c r="U1261" s="2">
        <v>4107.3599999999997</v>
      </c>
      <c r="V1261">
        <v>0</v>
      </c>
      <c r="W1261" t="s">
        <v>29</v>
      </c>
      <c r="X1261" t="str">
        <f>IF(Table2[[#This Row],[Qty available]]&gt;Table2[[#This Row],[Qty on hand]],"Check","OK")</f>
        <v>OK</v>
      </c>
    </row>
    <row r="1262" spans="1:24" x14ac:dyDescent="0.3">
      <c r="A1262" t="s">
        <v>165</v>
      </c>
      <c r="B1262" t="s">
        <v>166</v>
      </c>
      <c r="C1262" t="s">
        <v>77</v>
      </c>
      <c r="D1262" t="s">
        <v>78</v>
      </c>
      <c r="E1262" t="s">
        <v>66</v>
      </c>
      <c r="F1262" s="1" t="s">
        <v>41</v>
      </c>
      <c r="G1262" s="2">
        <v>2.91</v>
      </c>
      <c r="H1262">
        <v>2.91</v>
      </c>
      <c r="I1262">
        <v>2.8915639999999998</v>
      </c>
      <c r="J1262">
        <v>3.98</v>
      </c>
      <c r="K1262">
        <v>59</v>
      </c>
      <c r="L1262" s="2">
        <v>53</v>
      </c>
      <c r="M1262">
        <v>1489</v>
      </c>
      <c r="N1262" s="2">
        <v>2443</v>
      </c>
      <c r="O1262">
        <v>7064.09</v>
      </c>
      <c r="P1262">
        <v>67</v>
      </c>
      <c r="Q1262">
        <v>2376</v>
      </c>
      <c r="R1262">
        <v>10.14</v>
      </c>
      <c r="S1262">
        <v>0</v>
      </c>
      <c r="T1262">
        <v>1586</v>
      </c>
      <c r="U1262" s="2">
        <v>6312.28</v>
      </c>
      <c r="V1262">
        <v>0</v>
      </c>
      <c r="W1262" t="s">
        <v>29</v>
      </c>
      <c r="X1262" t="str">
        <f>IF(Table2[[#This Row],[Qty available]]&gt;Table2[[#This Row],[Qty on hand]],"Check","OK")</f>
        <v>OK</v>
      </c>
    </row>
    <row r="1263" spans="1:24" x14ac:dyDescent="0.3">
      <c r="A1263" t="s">
        <v>165</v>
      </c>
      <c r="B1263" t="s">
        <v>166</v>
      </c>
      <c r="C1263" t="s">
        <v>77</v>
      </c>
      <c r="D1263" t="s">
        <v>78</v>
      </c>
      <c r="E1263" t="s">
        <v>66</v>
      </c>
      <c r="F1263" s="1" t="s">
        <v>42</v>
      </c>
      <c r="G1263" s="2">
        <v>2.94</v>
      </c>
      <c r="H1263">
        <v>2.94</v>
      </c>
      <c r="I1263">
        <v>2.8915630000000001</v>
      </c>
      <c r="J1263">
        <v>3.98</v>
      </c>
      <c r="K1263">
        <v>59</v>
      </c>
      <c r="M1263">
        <v>0</v>
      </c>
      <c r="N1263" s="2">
        <v>2041</v>
      </c>
      <c r="O1263">
        <v>5901.68</v>
      </c>
      <c r="P1263">
        <v>268</v>
      </c>
      <c r="Q1263">
        <v>1773</v>
      </c>
      <c r="R1263">
        <v>8.8800000000000008</v>
      </c>
      <c r="S1263">
        <v>2</v>
      </c>
      <c r="T1263">
        <v>402</v>
      </c>
      <c r="U1263" s="2">
        <v>1599.96</v>
      </c>
      <c r="V1263">
        <v>0</v>
      </c>
      <c r="W1263" t="s">
        <v>29</v>
      </c>
      <c r="X1263" t="str">
        <f>IF(Table2[[#This Row],[Qty available]]&gt;Table2[[#This Row],[Qty on hand]],"Check","OK")</f>
        <v>OK</v>
      </c>
    </row>
    <row r="1264" spans="1:24" x14ac:dyDescent="0.3">
      <c r="A1264" t="s">
        <v>165</v>
      </c>
      <c r="B1264" t="s">
        <v>166</v>
      </c>
      <c r="C1264" t="s">
        <v>77</v>
      </c>
      <c r="D1264" t="s">
        <v>78</v>
      </c>
      <c r="E1264" t="s">
        <v>66</v>
      </c>
      <c r="F1264" s="1" t="s">
        <v>43</v>
      </c>
      <c r="G1264" s="2">
        <v>2.92</v>
      </c>
      <c r="H1264">
        <v>2.92</v>
      </c>
      <c r="I1264">
        <v>2.89845</v>
      </c>
      <c r="J1264">
        <v>3.98</v>
      </c>
      <c r="K1264">
        <v>59</v>
      </c>
      <c r="L1264" s="2">
        <v>77</v>
      </c>
      <c r="M1264">
        <v>652</v>
      </c>
      <c r="N1264" s="2">
        <v>1864</v>
      </c>
      <c r="O1264">
        <v>5402.71</v>
      </c>
      <c r="P1264">
        <v>67</v>
      </c>
      <c r="Q1264">
        <v>1797</v>
      </c>
      <c r="R1264">
        <v>8.6</v>
      </c>
      <c r="S1264">
        <v>0</v>
      </c>
      <c r="T1264">
        <v>829</v>
      </c>
      <c r="U1264" s="2">
        <v>3299.42</v>
      </c>
      <c r="V1264">
        <v>0</v>
      </c>
      <c r="W1264" t="s">
        <v>29</v>
      </c>
      <c r="X1264" t="str">
        <f>IF(Table2[[#This Row],[Qty available]]&gt;Table2[[#This Row],[Qty on hand]],"Check","OK")</f>
        <v>OK</v>
      </c>
    </row>
    <row r="1265" spans="1:24" x14ac:dyDescent="0.3">
      <c r="A1265" t="s">
        <v>165</v>
      </c>
      <c r="B1265" t="s">
        <v>166</v>
      </c>
      <c r="C1265" t="s">
        <v>77</v>
      </c>
      <c r="D1265" t="s">
        <v>78</v>
      </c>
      <c r="E1265" t="s">
        <v>66</v>
      </c>
      <c r="F1265" s="1" t="s">
        <v>44</v>
      </c>
      <c r="G1265" s="2">
        <v>2.99</v>
      </c>
      <c r="H1265">
        <v>2.99</v>
      </c>
      <c r="I1265">
        <v>2.9199440000000001</v>
      </c>
      <c r="J1265">
        <v>3.98</v>
      </c>
      <c r="K1265">
        <v>59</v>
      </c>
      <c r="L1265" s="2">
        <v>54</v>
      </c>
      <c r="M1265">
        <v>572</v>
      </c>
      <c r="N1265" s="2">
        <v>1617</v>
      </c>
      <c r="O1265">
        <v>4721.55</v>
      </c>
      <c r="P1265">
        <v>100</v>
      </c>
      <c r="Q1265">
        <v>1517</v>
      </c>
      <c r="R1265">
        <v>10.37</v>
      </c>
      <c r="S1265">
        <v>0</v>
      </c>
      <c r="T1265">
        <v>819</v>
      </c>
      <c r="U1265" s="2">
        <v>3259.62</v>
      </c>
      <c r="V1265">
        <v>0</v>
      </c>
      <c r="W1265" t="s">
        <v>29</v>
      </c>
      <c r="X1265" t="str">
        <f>IF(Table2[[#This Row],[Qty available]]&gt;Table2[[#This Row],[Qty on hand]],"Check","OK")</f>
        <v>OK</v>
      </c>
    </row>
    <row r="1266" spans="1:24" x14ac:dyDescent="0.3">
      <c r="A1266" t="s">
        <v>165</v>
      </c>
      <c r="B1266" t="s">
        <v>166</v>
      </c>
      <c r="C1266" t="s">
        <v>77</v>
      </c>
      <c r="D1266" t="s">
        <v>78</v>
      </c>
      <c r="E1266" t="s">
        <v>66</v>
      </c>
      <c r="F1266" s="1" t="s">
        <v>45</v>
      </c>
      <c r="G1266" s="2">
        <v>3.02</v>
      </c>
      <c r="H1266">
        <v>3.02</v>
      </c>
      <c r="I1266">
        <v>2.9734699999999998</v>
      </c>
      <c r="J1266">
        <v>3.98</v>
      </c>
      <c r="K1266">
        <v>59</v>
      </c>
      <c r="L1266" s="2">
        <v>101</v>
      </c>
      <c r="M1266">
        <v>1860</v>
      </c>
      <c r="N1266" s="2">
        <v>3058</v>
      </c>
      <c r="O1266">
        <v>9092.8700000000008</v>
      </c>
      <c r="P1266">
        <v>67</v>
      </c>
      <c r="Q1266">
        <v>2991</v>
      </c>
      <c r="R1266">
        <v>19.440000000000001</v>
      </c>
      <c r="S1266">
        <v>0</v>
      </c>
      <c r="T1266">
        <v>419</v>
      </c>
      <c r="U1266" s="2">
        <v>1667.62</v>
      </c>
      <c r="V1266">
        <v>0</v>
      </c>
      <c r="W1266" t="s">
        <v>29</v>
      </c>
      <c r="X1266" t="str">
        <f>IF(Table2[[#This Row],[Qty available]]&gt;Table2[[#This Row],[Qty on hand]],"Check","OK")</f>
        <v>OK</v>
      </c>
    </row>
    <row r="1267" spans="1:24" x14ac:dyDescent="0.3">
      <c r="A1267" t="s">
        <v>165</v>
      </c>
      <c r="B1267" t="s">
        <v>166</v>
      </c>
      <c r="C1267" t="s">
        <v>77</v>
      </c>
      <c r="D1267" t="s">
        <v>78</v>
      </c>
      <c r="E1267" t="s">
        <v>66</v>
      </c>
      <c r="F1267" s="1" t="s">
        <v>46</v>
      </c>
      <c r="G1267" s="2">
        <v>2.94</v>
      </c>
      <c r="H1267">
        <v>2.94</v>
      </c>
      <c r="I1267">
        <v>2.9569510000000001</v>
      </c>
      <c r="J1267">
        <v>4.1900000000000004</v>
      </c>
      <c r="K1267">
        <v>59</v>
      </c>
      <c r="L1267" s="2">
        <v>52</v>
      </c>
      <c r="M1267">
        <v>2980</v>
      </c>
      <c r="N1267" s="2">
        <v>4992</v>
      </c>
      <c r="O1267">
        <v>14761.1</v>
      </c>
      <c r="P1267">
        <v>100</v>
      </c>
      <c r="Q1267">
        <v>4892</v>
      </c>
      <c r="R1267">
        <v>28.1</v>
      </c>
      <c r="S1267">
        <v>3</v>
      </c>
      <c r="T1267">
        <v>1046</v>
      </c>
      <c r="U1267" s="2">
        <v>4382.74</v>
      </c>
      <c r="V1267">
        <v>0</v>
      </c>
      <c r="W1267" t="s">
        <v>29</v>
      </c>
      <c r="X1267" t="str">
        <f>IF(Table2[[#This Row],[Qty available]]&gt;Table2[[#This Row],[Qty on hand]],"Check","OK")</f>
        <v>OK</v>
      </c>
    </row>
    <row r="1268" spans="1:24" x14ac:dyDescent="0.3">
      <c r="A1268" t="s">
        <v>165</v>
      </c>
      <c r="B1268" t="s">
        <v>166</v>
      </c>
      <c r="C1268" t="s">
        <v>77</v>
      </c>
      <c r="D1268" t="s">
        <v>78</v>
      </c>
      <c r="E1268" t="s">
        <v>66</v>
      </c>
      <c r="F1268" s="1" t="s">
        <v>47</v>
      </c>
      <c r="G1268" s="2">
        <v>3.09</v>
      </c>
      <c r="H1268">
        <v>3.09</v>
      </c>
      <c r="I1268">
        <v>2.9569510000000001</v>
      </c>
      <c r="J1268">
        <v>4.1900000000000004</v>
      </c>
      <c r="K1268">
        <v>59</v>
      </c>
      <c r="M1268">
        <v>0</v>
      </c>
      <c r="N1268" s="2">
        <v>4779</v>
      </c>
      <c r="O1268">
        <v>14131.27</v>
      </c>
      <c r="P1268">
        <v>201</v>
      </c>
      <c r="Q1268">
        <v>4578</v>
      </c>
      <c r="R1268">
        <v>36.619999999999997</v>
      </c>
      <c r="S1268">
        <v>1</v>
      </c>
      <c r="T1268">
        <v>213</v>
      </c>
      <c r="U1268" s="2">
        <v>892.47</v>
      </c>
      <c r="V1268">
        <v>0</v>
      </c>
      <c r="W1268" t="s">
        <v>29</v>
      </c>
      <c r="X1268" t="str">
        <f>IF(Table2[[#This Row],[Qty available]]&gt;Table2[[#This Row],[Qty on hand]],"Check","OK")</f>
        <v>OK</v>
      </c>
    </row>
    <row r="1269" spans="1:24" x14ac:dyDescent="0.3">
      <c r="A1269" t="s">
        <v>165</v>
      </c>
      <c r="B1269" t="s">
        <v>166</v>
      </c>
      <c r="C1269" t="s">
        <v>77</v>
      </c>
      <c r="D1269" t="s">
        <v>78</v>
      </c>
      <c r="E1269" t="s">
        <v>66</v>
      </c>
      <c r="F1269" s="1" t="s">
        <v>48</v>
      </c>
      <c r="G1269" s="2">
        <v>3.14</v>
      </c>
      <c r="H1269">
        <v>3.14</v>
      </c>
      <c r="I1269">
        <v>2.9999440000000002</v>
      </c>
      <c r="J1269">
        <v>4.1900000000000004</v>
      </c>
      <c r="K1269">
        <v>59</v>
      </c>
      <c r="L1269" s="2">
        <v>55</v>
      </c>
      <c r="M1269">
        <v>1467</v>
      </c>
      <c r="N1269" s="2">
        <v>5317</v>
      </c>
      <c r="O1269">
        <v>15950.7</v>
      </c>
      <c r="P1269">
        <v>268</v>
      </c>
      <c r="Q1269">
        <v>5049</v>
      </c>
      <c r="R1269">
        <v>30.9</v>
      </c>
      <c r="S1269">
        <v>0</v>
      </c>
      <c r="T1269">
        <v>929</v>
      </c>
      <c r="U1269" s="2">
        <v>3892.51</v>
      </c>
      <c r="V1269">
        <v>0</v>
      </c>
      <c r="W1269" t="s">
        <v>29</v>
      </c>
      <c r="X1269" t="str">
        <f>IF(Table2[[#This Row],[Qty available]]&gt;Table2[[#This Row],[Qty on hand]],"Check","OK")</f>
        <v>OK</v>
      </c>
    </row>
    <row r="1270" spans="1:24" x14ac:dyDescent="0.3">
      <c r="A1270" t="s">
        <v>165</v>
      </c>
      <c r="B1270" t="s">
        <v>166</v>
      </c>
      <c r="C1270" t="s">
        <v>77</v>
      </c>
      <c r="D1270" t="s">
        <v>78</v>
      </c>
      <c r="E1270" t="s">
        <v>66</v>
      </c>
      <c r="F1270" s="1" t="s">
        <v>49</v>
      </c>
      <c r="G1270" s="2">
        <v>3.12</v>
      </c>
      <c r="H1270">
        <v>3.12</v>
      </c>
      <c r="I1270">
        <v>3.0123899999999999</v>
      </c>
      <c r="J1270">
        <v>4.1900000000000004</v>
      </c>
      <c r="K1270">
        <v>59</v>
      </c>
      <c r="L1270" s="2">
        <v>56</v>
      </c>
      <c r="M1270">
        <v>615</v>
      </c>
      <c r="N1270" s="2">
        <v>5005</v>
      </c>
      <c r="O1270">
        <v>15077.01</v>
      </c>
      <c r="P1270">
        <v>268</v>
      </c>
      <c r="Q1270">
        <v>4737</v>
      </c>
      <c r="R1270">
        <v>31.79</v>
      </c>
      <c r="S1270">
        <v>0</v>
      </c>
      <c r="T1270">
        <v>927</v>
      </c>
      <c r="U1270" s="2">
        <v>3884.13</v>
      </c>
      <c r="V1270">
        <v>0</v>
      </c>
      <c r="W1270" t="s">
        <v>29</v>
      </c>
      <c r="X1270" t="str">
        <f>IF(Table2[[#This Row],[Qty available]]&gt;Table2[[#This Row],[Qty on hand]],"Check","OK")</f>
        <v>OK</v>
      </c>
    </row>
    <row r="1271" spans="1:24" x14ac:dyDescent="0.3">
      <c r="A1271" t="s">
        <v>165</v>
      </c>
      <c r="B1271" t="s">
        <v>166</v>
      </c>
      <c r="C1271" t="s">
        <v>77</v>
      </c>
      <c r="D1271" t="s">
        <v>78</v>
      </c>
      <c r="E1271" t="s">
        <v>66</v>
      </c>
      <c r="F1271" s="1" t="s">
        <v>50</v>
      </c>
      <c r="G1271" s="2">
        <v>3.1</v>
      </c>
      <c r="H1271">
        <v>3.1</v>
      </c>
      <c r="I1271">
        <v>3.0123890000000002</v>
      </c>
      <c r="J1271">
        <v>4.1900000000000004</v>
      </c>
      <c r="K1271">
        <v>59</v>
      </c>
      <c r="M1271">
        <v>0</v>
      </c>
      <c r="N1271" s="2">
        <v>4524</v>
      </c>
      <c r="O1271">
        <v>13628.05</v>
      </c>
      <c r="P1271">
        <v>335</v>
      </c>
      <c r="Q1271">
        <v>4189</v>
      </c>
      <c r="R1271">
        <v>25.17</v>
      </c>
      <c r="S1271">
        <v>0</v>
      </c>
      <c r="T1271">
        <v>481</v>
      </c>
      <c r="U1271" s="2">
        <v>2015.39</v>
      </c>
      <c r="V1271">
        <v>0</v>
      </c>
      <c r="W1271" t="s">
        <v>29</v>
      </c>
      <c r="X1271" t="str">
        <f>IF(Table2[[#This Row],[Qty available]]&gt;Table2[[#This Row],[Qty on hand]],"Check","OK")</f>
        <v>OK</v>
      </c>
    </row>
    <row r="1272" spans="1:24" x14ac:dyDescent="0.3">
      <c r="A1272" t="s">
        <v>165</v>
      </c>
      <c r="B1272" t="s">
        <v>166</v>
      </c>
      <c r="C1272" t="s">
        <v>77</v>
      </c>
      <c r="D1272" t="s">
        <v>78</v>
      </c>
      <c r="E1272" t="s">
        <v>66</v>
      </c>
      <c r="F1272" s="1" t="s">
        <v>51</v>
      </c>
      <c r="G1272" s="2">
        <v>3.18</v>
      </c>
      <c r="H1272">
        <v>3.18</v>
      </c>
      <c r="I1272">
        <v>3.0528379999999999</v>
      </c>
      <c r="J1272">
        <v>4.1900000000000004</v>
      </c>
      <c r="K1272">
        <v>59</v>
      </c>
      <c r="L1272" s="2">
        <v>55</v>
      </c>
      <c r="M1272">
        <v>1439</v>
      </c>
      <c r="N1272" s="2">
        <v>5334</v>
      </c>
      <c r="O1272">
        <v>16283.84</v>
      </c>
      <c r="P1272">
        <v>67</v>
      </c>
      <c r="Q1272">
        <v>5267</v>
      </c>
      <c r="R1272">
        <v>34.42</v>
      </c>
      <c r="S1272">
        <v>1</v>
      </c>
      <c r="T1272">
        <v>629</v>
      </c>
      <c r="U1272" s="2">
        <v>2635.51</v>
      </c>
      <c r="V1272">
        <v>0</v>
      </c>
      <c r="W1272" t="s">
        <v>29</v>
      </c>
      <c r="X1272" t="str">
        <f>IF(Table2[[#This Row],[Qty available]]&gt;Table2[[#This Row],[Qty on hand]],"Check","OK")</f>
        <v>OK</v>
      </c>
    </row>
    <row r="1273" spans="1:24" x14ac:dyDescent="0.3">
      <c r="A1273" t="s">
        <v>165</v>
      </c>
      <c r="B1273" t="s">
        <v>166</v>
      </c>
      <c r="C1273" t="s">
        <v>77</v>
      </c>
      <c r="D1273" t="s">
        <v>78</v>
      </c>
      <c r="E1273" t="s">
        <v>66</v>
      </c>
      <c r="F1273" s="1" t="s">
        <v>52</v>
      </c>
      <c r="G1273" s="2">
        <v>3.14</v>
      </c>
      <c r="H1273">
        <v>3.14</v>
      </c>
      <c r="I1273">
        <v>3.0528379999999999</v>
      </c>
      <c r="J1273">
        <v>4.1900000000000004</v>
      </c>
      <c r="K1273">
        <v>59</v>
      </c>
      <c r="M1273">
        <v>0</v>
      </c>
      <c r="N1273" s="2">
        <v>4539</v>
      </c>
      <c r="O1273">
        <v>13856.83</v>
      </c>
      <c r="P1273">
        <v>100</v>
      </c>
      <c r="Q1273">
        <v>4439</v>
      </c>
      <c r="R1273">
        <v>31.32</v>
      </c>
      <c r="S1273">
        <v>0</v>
      </c>
      <c r="T1273">
        <v>795</v>
      </c>
      <c r="U1273" s="2">
        <v>3331.05</v>
      </c>
      <c r="V1273">
        <v>0</v>
      </c>
      <c r="W1273" t="s">
        <v>29</v>
      </c>
      <c r="X1273" t="str">
        <f>IF(Table2[[#This Row],[Qty available]]&gt;Table2[[#This Row],[Qty on hand]],"Check","OK")</f>
        <v>OK</v>
      </c>
    </row>
    <row r="1274" spans="1:24" x14ac:dyDescent="0.3">
      <c r="A1274" t="s">
        <v>167</v>
      </c>
      <c r="B1274" t="s">
        <v>168</v>
      </c>
      <c r="C1274" t="s">
        <v>57</v>
      </c>
      <c r="D1274" t="s">
        <v>58</v>
      </c>
      <c r="E1274" t="s">
        <v>66</v>
      </c>
      <c r="F1274" s="1" t="s">
        <v>28</v>
      </c>
      <c r="G1274" s="2">
        <v>4.24</v>
      </c>
      <c r="H1274">
        <v>4.24</v>
      </c>
      <c r="I1274">
        <v>4.2451559999999997</v>
      </c>
      <c r="J1274">
        <v>5.7</v>
      </c>
      <c r="K1274">
        <v>17</v>
      </c>
      <c r="L1274" s="2">
        <v>24</v>
      </c>
      <c r="M1274">
        <v>415</v>
      </c>
      <c r="N1274" s="2">
        <v>1055</v>
      </c>
      <c r="O1274">
        <v>4478.6400000000003</v>
      </c>
      <c r="P1274">
        <v>95</v>
      </c>
      <c r="Q1274">
        <v>960</v>
      </c>
      <c r="R1274">
        <v>13.26</v>
      </c>
      <c r="S1274">
        <v>0</v>
      </c>
      <c r="T1274">
        <v>230</v>
      </c>
      <c r="U1274" s="2">
        <v>1311</v>
      </c>
      <c r="V1274">
        <v>0</v>
      </c>
      <c r="W1274" t="s">
        <v>29</v>
      </c>
      <c r="X1274" t="str">
        <f>IF(Table2[[#This Row],[Qty available]]&gt;Table2[[#This Row],[Qty on hand]],"Check","OK")</f>
        <v>OK</v>
      </c>
    </row>
    <row r="1275" spans="1:24" x14ac:dyDescent="0.3">
      <c r="A1275" t="s">
        <v>167</v>
      </c>
      <c r="B1275" t="s">
        <v>168</v>
      </c>
      <c r="C1275" t="s">
        <v>57</v>
      </c>
      <c r="D1275" t="s">
        <v>58</v>
      </c>
      <c r="E1275" t="s">
        <v>66</v>
      </c>
      <c r="F1275" s="1" t="s">
        <v>30</v>
      </c>
      <c r="G1275" s="2">
        <v>4.22</v>
      </c>
      <c r="H1275">
        <v>4.22</v>
      </c>
      <c r="I1275">
        <v>4.2408299999999999</v>
      </c>
      <c r="J1275">
        <v>5.7</v>
      </c>
      <c r="K1275">
        <v>17</v>
      </c>
      <c r="L1275" s="2">
        <v>23</v>
      </c>
      <c r="M1275">
        <v>219</v>
      </c>
      <c r="N1275" s="2">
        <v>1036</v>
      </c>
      <c r="O1275">
        <v>4393.5</v>
      </c>
      <c r="P1275">
        <v>81</v>
      </c>
      <c r="Q1275">
        <v>955</v>
      </c>
      <c r="R1275">
        <v>15.11</v>
      </c>
      <c r="S1275">
        <v>2</v>
      </c>
      <c r="T1275">
        <v>238</v>
      </c>
      <c r="U1275" s="2">
        <v>1356.6</v>
      </c>
      <c r="V1275">
        <v>0</v>
      </c>
      <c r="W1275" t="s">
        <v>29</v>
      </c>
      <c r="X1275" t="str">
        <f>IF(Table2[[#This Row],[Qty available]]&gt;Table2[[#This Row],[Qty on hand]],"Check","OK")</f>
        <v>OK</v>
      </c>
    </row>
    <row r="1276" spans="1:24" x14ac:dyDescent="0.3">
      <c r="A1276" t="s">
        <v>167</v>
      </c>
      <c r="B1276" t="s">
        <v>168</v>
      </c>
      <c r="C1276" t="s">
        <v>57</v>
      </c>
      <c r="D1276" t="s">
        <v>58</v>
      </c>
      <c r="E1276" t="s">
        <v>66</v>
      </c>
      <c r="F1276" s="1" t="s">
        <v>31</v>
      </c>
      <c r="G1276" s="2">
        <v>4.17</v>
      </c>
      <c r="H1276">
        <v>4.17</v>
      </c>
      <c r="I1276">
        <v>4.2055689999999997</v>
      </c>
      <c r="J1276">
        <v>5.7</v>
      </c>
      <c r="K1276">
        <v>17</v>
      </c>
      <c r="L1276" s="2">
        <v>29</v>
      </c>
      <c r="M1276">
        <v>1027</v>
      </c>
      <c r="N1276" s="2">
        <v>1783</v>
      </c>
      <c r="O1276">
        <v>7498.53</v>
      </c>
      <c r="P1276">
        <v>122</v>
      </c>
      <c r="Q1276">
        <v>1661</v>
      </c>
      <c r="R1276">
        <v>30.99</v>
      </c>
      <c r="S1276">
        <v>0</v>
      </c>
      <c r="T1276">
        <v>280</v>
      </c>
      <c r="U1276" s="2">
        <v>1596</v>
      </c>
      <c r="V1276">
        <v>0</v>
      </c>
      <c r="W1276" t="s">
        <v>29</v>
      </c>
      <c r="X1276" t="str">
        <f>IF(Table2[[#This Row],[Qty available]]&gt;Table2[[#This Row],[Qty on hand]],"Check","OK")</f>
        <v>OK</v>
      </c>
    </row>
    <row r="1277" spans="1:24" x14ac:dyDescent="0.3">
      <c r="A1277" t="s">
        <v>167</v>
      </c>
      <c r="B1277" t="s">
        <v>168</v>
      </c>
      <c r="C1277" t="s">
        <v>57</v>
      </c>
      <c r="D1277" t="s">
        <v>58</v>
      </c>
      <c r="E1277" t="s">
        <v>66</v>
      </c>
      <c r="F1277" s="1" t="s">
        <v>32</v>
      </c>
      <c r="G1277" s="2">
        <v>4.3</v>
      </c>
      <c r="H1277">
        <v>4.3</v>
      </c>
      <c r="I1277">
        <v>4.2055680000000004</v>
      </c>
      <c r="J1277">
        <v>5.7</v>
      </c>
      <c r="K1277">
        <v>17</v>
      </c>
      <c r="M1277">
        <v>0</v>
      </c>
      <c r="N1277" s="2">
        <v>1514</v>
      </c>
      <c r="O1277">
        <v>6367.23</v>
      </c>
      <c r="P1277">
        <v>135</v>
      </c>
      <c r="Q1277">
        <v>1379</v>
      </c>
      <c r="R1277">
        <v>25.28</v>
      </c>
      <c r="S1277">
        <v>1</v>
      </c>
      <c r="T1277">
        <v>269</v>
      </c>
      <c r="U1277" s="2">
        <v>1533.3</v>
      </c>
      <c r="V1277">
        <v>0</v>
      </c>
      <c r="W1277" t="s">
        <v>29</v>
      </c>
      <c r="X1277" t="str">
        <f>IF(Table2[[#This Row],[Qty available]]&gt;Table2[[#This Row],[Qty on hand]],"Check","OK")</f>
        <v>OK</v>
      </c>
    </row>
    <row r="1278" spans="1:24" x14ac:dyDescent="0.3">
      <c r="A1278" t="s">
        <v>167</v>
      </c>
      <c r="B1278" t="s">
        <v>168</v>
      </c>
      <c r="C1278" t="s">
        <v>57</v>
      </c>
      <c r="D1278" t="s">
        <v>58</v>
      </c>
      <c r="E1278" t="s">
        <v>66</v>
      </c>
      <c r="F1278" s="1" t="s">
        <v>33</v>
      </c>
      <c r="G1278" s="2">
        <v>4.33</v>
      </c>
      <c r="H1278">
        <v>4.33</v>
      </c>
      <c r="I1278">
        <v>4.2126229999999998</v>
      </c>
      <c r="J1278">
        <v>5.7</v>
      </c>
      <c r="K1278">
        <v>17</v>
      </c>
      <c r="L1278" s="2">
        <v>15</v>
      </c>
      <c r="M1278">
        <v>91</v>
      </c>
      <c r="N1278" s="2">
        <v>1079</v>
      </c>
      <c r="O1278">
        <v>4545.42</v>
      </c>
      <c r="P1278">
        <v>54</v>
      </c>
      <c r="Q1278">
        <v>1025</v>
      </c>
      <c r="R1278">
        <v>13.19</v>
      </c>
      <c r="S1278">
        <v>1</v>
      </c>
      <c r="T1278">
        <v>526</v>
      </c>
      <c r="U1278" s="2">
        <v>2998.2</v>
      </c>
      <c r="V1278">
        <v>0</v>
      </c>
      <c r="W1278" t="s">
        <v>29</v>
      </c>
      <c r="X1278" t="str">
        <f>IF(Table2[[#This Row],[Qty available]]&gt;Table2[[#This Row],[Qty on hand]],"Check","OK")</f>
        <v>OK</v>
      </c>
    </row>
    <row r="1279" spans="1:24" x14ac:dyDescent="0.3">
      <c r="A1279" t="s">
        <v>167</v>
      </c>
      <c r="B1279" t="s">
        <v>168</v>
      </c>
      <c r="C1279" t="s">
        <v>57</v>
      </c>
      <c r="D1279" t="s">
        <v>58</v>
      </c>
      <c r="E1279" t="s">
        <v>66</v>
      </c>
      <c r="F1279" s="1" t="s">
        <v>34</v>
      </c>
      <c r="G1279" s="2">
        <v>4.47</v>
      </c>
      <c r="H1279">
        <v>4.47</v>
      </c>
      <c r="I1279">
        <v>4.2126270000000003</v>
      </c>
      <c r="J1279">
        <v>5.85</v>
      </c>
      <c r="K1279">
        <v>17</v>
      </c>
      <c r="M1279">
        <v>0</v>
      </c>
      <c r="N1279" s="2">
        <v>708</v>
      </c>
      <c r="O1279">
        <v>2982.54</v>
      </c>
      <c r="P1279">
        <v>41</v>
      </c>
      <c r="Q1279">
        <v>667</v>
      </c>
      <c r="R1279">
        <v>7.81</v>
      </c>
      <c r="S1279">
        <v>0</v>
      </c>
      <c r="T1279">
        <v>371</v>
      </c>
      <c r="U1279" s="2">
        <v>2170.35</v>
      </c>
      <c r="V1279">
        <v>0</v>
      </c>
      <c r="W1279" t="s">
        <v>29</v>
      </c>
      <c r="X1279" t="str">
        <f>IF(Table2[[#This Row],[Qty available]]&gt;Table2[[#This Row],[Qty on hand]],"Check","OK")</f>
        <v>OK</v>
      </c>
    </row>
    <row r="1280" spans="1:24" x14ac:dyDescent="0.3">
      <c r="A1280" t="s">
        <v>167</v>
      </c>
      <c r="B1280" t="s">
        <v>168</v>
      </c>
      <c r="C1280" t="s">
        <v>57</v>
      </c>
      <c r="D1280" t="s">
        <v>58</v>
      </c>
      <c r="E1280" t="s">
        <v>66</v>
      </c>
      <c r="F1280" s="1" t="s">
        <v>35</v>
      </c>
      <c r="G1280" s="2">
        <v>4.4000000000000004</v>
      </c>
      <c r="H1280">
        <v>4.4000000000000004</v>
      </c>
      <c r="I1280">
        <v>4.2978759999999996</v>
      </c>
      <c r="J1280">
        <v>5.85</v>
      </c>
      <c r="K1280">
        <v>17</v>
      </c>
      <c r="L1280" s="2">
        <v>24</v>
      </c>
      <c r="M1280">
        <v>591</v>
      </c>
      <c r="N1280" s="2">
        <v>1031</v>
      </c>
      <c r="O1280">
        <v>4431.1099999999997</v>
      </c>
      <c r="P1280">
        <v>41</v>
      </c>
      <c r="Q1280">
        <v>990</v>
      </c>
      <c r="R1280">
        <v>11.38</v>
      </c>
      <c r="S1280">
        <v>0</v>
      </c>
      <c r="T1280">
        <v>268</v>
      </c>
      <c r="U1280" s="2">
        <v>1567.8</v>
      </c>
      <c r="V1280">
        <v>0</v>
      </c>
      <c r="W1280" t="s">
        <v>29</v>
      </c>
      <c r="X1280" t="str">
        <f>IF(Table2[[#This Row],[Qty available]]&gt;Table2[[#This Row],[Qty on hand]],"Check","OK")</f>
        <v>OK</v>
      </c>
    </row>
    <row r="1281" spans="1:24" x14ac:dyDescent="0.3">
      <c r="A1281" t="s">
        <v>167</v>
      </c>
      <c r="B1281" t="s">
        <v>168</v>
      </c>
      <c r="C1281" t="s">
        <v>57</v>
      </c>
      <c r="D1281" t="s">
        <v>58</v>
      </c>
      <c r="E1281" t="s">
        <v>66</v>
      </c>
      <c r="F1281" s="1" t="s">
        <v>36</v>
      </c>
      <c r="G1281" s="2">
        <v>4.43</v>
      </c>
      <c r="H1281">
        <v>4.43</v>
      </c>
      <c r="I1281">
        <v>4.3264860000000001</v>
      </c>
      <c r="J1281">
        <v>5.85</v>
      </c>
      <c r="K1281">
        <v>17</v>
      </c>
      <c r="L1281" s="2">
        <v>17</v>
      </c>
      <c r="M1281">
        <v>285</v>
      </c>
      <c r="N1281" s="2">
        <v>1124</v>
      </c>
      <c r="O1281">
        <v>4862.97</v>
      </c>
      <c r="P1281">
        <v>41</v>
      </c>
      <c r="Q1281">
        <v>1083</v>
      </c>
      <c r="R1281">
        <v>17.2</v>
      </c>
      <c r="S1281">
        <v>0</v>
      </c>
      <c r="T1281">
        <v>192</v>
      </c>
      <c r="U1281" s="2">
        <v>1123.2</v>
      </c>
      <c r="V1281">
        <v>0</v>
      </c>
      <c r="W1281" t="s">
        <v>29</v>
      </c>
      <c r="X1281" t="str">
        <f>IF(Table2[[#This Row],[Qty available]]&gt;Table2[[#This Row],[Qty on hand]],"Check","OK")</f>
        <v>OK</v>
      </c>
    </row>
    <row r="1282" spans="1:24" x14ac:dyDescent="0.3">
      <c r="A1282" t="s">
        <v>167</v>
      </c>
      <c r="B1282" t="s">
        <v>168</v>
      </c>
      <c r="C1282" t="s">
        <v>57</v>
      </c>
      <c r="D1282" t="s">
        <v>58</v>
      </c>
      <c r="E1282" t="s">
        <v>66</v>
      </c>
      <c r="F1282" s="1" t="s">
        <v>37</v>
      </c>
      <c r="G1282" s="2">
        <v>4.4800000000000004</v>
      </c>
      <c r="H1282">
        <v>4.4800000000000004</v>
      </c>
      <c r="I1282">
        <v>4.3332759999999997</v>
      </c>
      <c r="J1282">
        <v>5.85</v>
      </c>
      <c r="K1282">
        <v>17</v>
      </c>
      <c r="L1282" s="2">
        <v>21</v>
      </c>
      <c r="M1282">
        <v>52</v>
      </c>
      <c r="N1282" s="2">
        <v>980</v>
      </c>
      <c r="O1282">
        <v>4246.6099999999997</v>
      </c>
      <c r="P1282">
        <v>95</v>
      </c>
      <c r="Q1282">
        <v>885</v>
      </c>
      <c r="R1282">
        <v>19.63</v>
      </c>
      <c r="S1282">
        <v>0</v>
      </c>
      <c r="T1282">
        <v>196</v>
      </c>
      <c r="U1282" s="2">
        <v>1146.5999999999999</v>
      </c>
      <c r="V1282">
        <v>0</v>
      </c>
      <c r="W1282" t="s">
        <v>29</v>
      </c>
      <c r="X1282" t="str">
        <f>IF(Table2[[#This Row],[Qty available]]&gt;Table2[[#This Row],[Qty on hand]],"Check","OK")</f>
        <v>OK</v>
      </c>
    </row>
    <row r="1283" spans="1:24" x14ac:dyDescent="0.3">
      <c r="A1283" t="s">
        <v>167</v>
      </c>
      <c r="B1283" t="s">
        <v>168</v>
      </c>
      <c r="C1283" t="s">
        <v>57</v>
      </c>
      <c r="D1283" t="s">
        <v>58</v>
      </c>
      <c r="E1283" t="s">
        <v>66</v>
      </c>
      <c r="F1283" s="1" t="s">
        <v>38</v>
      </c>
      <c r="G1283" s="2">
        <v>4.4400000000000004</v>
      </c>
      <c r="H1283">
        <v>4.4400000000000004</v>
      </c>
      <c r="I1283">
        <v>4.3694730000000002</v>
      </c>
      <c r="J1283">
        <v>5.85</v>
      </c>
      <c r="K1283">
        <v>17</v>
      </c>
      <c r="L1283" s="2">
        <v>20</v>
      </c>
      <c r="M1283">
        <v>503</v>
      </c>
      <c r="N1283" s="2">
        <v>987</v>
      </c>
      <c r="O1283">
        <v>4312.67</v>
      </c>
      <c r="P1283">
        <v>95</v>
      </c>
      <c r="Q1283">
        <v>892</v>
      </c>
      <c r="R1283">
        <v>14.51</v>
      </c>
      <c r="S1283">
        <v>2</v>
      </c>
      <c r="T1283">
        <v>496</v>
      </c>
      <c r="U1283" s="2">
        <v>2901.6</v>
      </c>
      <c r="V1283">
        <v>0</v>
      </c>
      <c r="W1283" t="s">
        <v>29</v>
      </c>
      <c r="X1283" t="str">
        <f>IF(Table2[[#This Row],[Qty available]]&gt;Table2[[#This Row],[Qty on hand]],"Check","OK")</f>
        <v>OK</v>
      </c>
    </row>
    <row r="1284" spans="1:24" x14ac:dyDescent="0.3">
      <c r="A1284" t="s">
        <v>167</v>
      </c>
      <c r="B1284" t="s">
        <v>168</v>
      </c>
      <c r="C1284" t="s">
        <v>57</v>
      </c>
      <c r="D1284" t="s">
        <v>58</v>
      </c>
      <c r="E1284" t="s">
        <v>66</v>
      </c>
      <c r="F1284" s="1" t="s">
        <v>39</v>
      </c>
      <c r="G1284" s="2">
        <v>4.3499999999999996</v>
      </c>
      <c r="H1284">
        <v>4.3499999999999996</v>
      </c>
      <c r="I1284">
        <v>4.3620419999999998</v>
      </c>
      <c r="J1284">
        <v>5.85</v>
      </c>
      <c r="K1284">
        <v>17</v>
      </c>
      <c r="L1284" s="2">
        <v>17</v>
      </c>
      <c r="M1284">
        <v>609</v>
      </c>
      <c r="N1284" s="2">
        <v>1156</v>
      </c>
      <c r="O1284">
        <v>5042.5200000000004</v>
      </c>
      <c r="P1284">
        <v>81</v>
      </c>
      <c r="Q1284">
        <v>1075</v>
      </c>
      <c r="R1284">
        <v>13.42</v>
      </c>
      <c r="S1284">
        <v>0</v>
      </c>
      <c r="T1284">
        <v>440</v>
      </c>
      <c r="U1284" s="2">
        <v>2574</v>
      </c>
      <c r="V1284">
        <v>0</v>
      </c>
      <c r="W1284" t="s">
        <v>29</v>
      </c>
      <c r="X1284" t="str">
        <f>IF(Table2[[#This Row],[Qty available]]&gt;Table2[[#This Row],[Qty on hand]],"Check","OK")</f>
        <v>OK</v>
      </c>
    </row>
    <row r="1285" spans="1:24" x14ac:dyDescent="0.3">
      <c r="A1285" t="s">
        <v>167</v>
      </c>
      <c r="B1285" t="s">
        <v>168</v>
      </c>
      <c r="C1285" t="s">
        <v>57</v>
      </c>
      <c r="D1285" t="s">
        <v>58</v>
      </c>
      <c r="E1285" t="s">
        <v>66</v>
      </c>
      <c r="F1285" s="1" t="s">
        <v>40</v>
      </c>
      <c r="G1285" s="2">
        <v>4.3600000000000003</v>
      </c>
      <c r="H1285">
        <v>4.3600000000000003</v>
      </c>
      <c r="I1285">
        <v>4.3615589999999997</v>
      </c>
      <c r="J1285">
        <v>5.85</v>
      </c>
      <c r="K1285">
        <v>17</v>
      </c>
      <c r="L1285" s="2">
        <v>17</v>
      </c>
      <c r="M1285">
        <v>357</v>
      </c>
      <c r="N1285" s="2">
        <v>1135</v>
      </c>
      <c r="O1285">
        <v>4950.37</v>
      </c>
      <c r="P1285">
        <v>108</v>
      </c>
      <c r="Q1285">
        <v>1027</v>
      </c>
      <c r="R1285">
        <v>11.35</v>
      </c>
      <c r="S1285">
        <v>0</v>
      </c>
      <c r="T1285">
        <v>378</v>
      </c>
      <c r="U1285" s="2">
        <v>2211.3000000000002</v>
      </c>
      <c r="V1285">
        <v>0</v>
      </c>
      <c r="W1285" t="s">
        <v>29</v>
      </c>
      <c r="X1285" t="str">
        <f>IF(Table2[[#This Row],[Qty available]]&gt;Table2[[#This Row],[Qty on hand]],"Check","OK")</f>
        <v>OK</v>
      </c>
    </row>
    <row r="1286" spans="1:24" x14ac:dyDescent="0.3">
      <c r="A1286" t="s">
        <v>167</v>
      </c>
      <c r="B1286" t="s">
        <v>168</v>
      </c>
      <c r="C1286" t="s">
        <v>57</v>
      </c>
      <c r="D1286" t="s">
        <v>58</v>
      </c>
      <c r="E1286" t="s">
        <v>66</v>
      </c>
      <c r="F1286" s="1" t="s">
        <v>41</v>
      </c>
      <c r="G1286" s="2">
        <v>4.4400000000000004</v>
      </c>
      <c r="H1286">
        <v>4.4400000000000004</v>
      </c>
      <c r="I1286">
        <v>4.3687230000000001</v>
      </c>
      <c r="J1286">
        <v>5.85</v>
      </c>
      <c r="K1286">
        <v>17</v>
      </c>
      <c r="L1286" s="2">
        <v>27</v>
      </c>
      <c r="M1286">
        <v>114</v>
      </c>
      <c r="N1286" s="2">
        <v>1206</v>
      </c>
      <c r="O1286">
        <v>5268.68</v>
      </c>
      <c r="P1286">
        <v>27</v>
      </c>
      <c r="Q1286">
        <v>1179</v>
      </c>
      <c r="R1286">
        <v>18.41</v>
      </c>
      <c r="S1286">
        <v>6</v>
      </c>
      <c r="T1286">
        <v>43</v>
      </c>
      <c r="U1286" s="2">
        <v>251.55</v>
      </c>
      <c r="V1286">
        <v>0</v>
      </c>
      <c r="W1286" t="s">
        <v>29</v>
      </c>
      <c r="X1286" t="str">
        <f>IF(Table2[[#This Row],[Qty available]]&gt;Table2[[#This Row],[Qty on hand]],"Check","OK")</f>
        <v>OK</v>
      </c>
    </row>
    <row r="1287" spans="1:24" x14ac:dyDescent="0.3">
      <c r="A1287" t="s">
        <v>167</v>
      </c>
      <c r="B1287" t="s">
        <v>168</v>
      </c>
      <c r="C1287" t="s">
        <v>57</v>
      </c>
      <c r="D1287" t="s">
        <v>58</v>
      </c>
      <c r="E1287" t="s">
        <v>66</v>
      </c>
      <c r="F1287" s="1" t="s">
        <v>42</v>
      </c>
      <c r="G1287" s="2">
        <v>4.4400000000000004</v>
      </c>
      <c r="H1287">
        <v>4.4400000000000004</v>
      </c>
      <c r="I1287">
        <v>4.3760440000000003</v>
      </c>
      <c r="J1287">
        <v>5.85</v>
      </c>
      <c r="K1287">
        <v>17</v>
      </c>
      <c r="L1287" s="2">
        <v>25</v>
      </c>
      <c r="M1287">
        <v>138</v>
      </c>
      <c r="N1287" s="2">
        <v>991</v>
      </c>
      <c r="O1287">
        <v>4336.66</v>
      </c>
      <c r="P1287">
        <v>41</v>
      </c>
      <c r="Q1287">
        <v>950</v>
      </c>
      <c r="R1287">
        <v>16.829999999999998</v>
      </c>
      <c r="S1287">
        <v>0</v>
      </c>
      <c r="T1287">
        <v>353</v>
      </c>
      <c r="U1287" s="2">
        <v>2065.0500000000002</v>
      </c>
      <c r="V1287">
        <v>0</v>
      </c>
      <c r="W1287" t="s">
        <v>29</v>
      </c>
      <c r="X1287" t="str">
        <f>IF(Table2[[#This Row],[Qty available]]&gt;Table2[[#This Row],[Qty on hand]],"Check","OK")</f>
        <v>OK</v>
      </c>
    </row>
    <row r="1288" spans="1:24" x14ac:dyDescent="0.3">
      <c r="A1288" t="s">
        <v>167</v>
      </c>
      <c r="B1288" t="s">
        <v>168</v>
      </c>
      <c r="C1288" t="s">
        <v>57</v>
      </c>
      <c r="D1288" t="s">
        <v>58</v>
      </c>
      <c r="E1288" t="s">
        <v>66</v>
      </c>
      <c r="F1288" s="1" t="s">
        <v>43</v>
      </c>
      <c r="G1288" s="2">
        <v>4.3899999999999997</v>
      </c>
      <c r="H1288">
        <v>4.3899999999999997</v>
      </c>
      <c r="I1288">
        <v>4.3820189999999997</v>
      </c>
      <c r="J1288">
        <v>5.85</v>
      </c>
      <c r="K1288">
        <v>17</v>
      </c>
      <c r="L1288" s="2">
        <v>29</v>
      </c>
      <c r="M1288">
        <v>742</v>
      </c>
      <c r="N1288" s="2">
        <v>1288</v>
      </c>
      <c r="O1288">
        <v>5644.04</v>
      </c>
      <c r="P1288">
        <v>108</v>
      </c>
      <c r="Q1288">
        <v>1180</v>
      </c>
      <c r="R1288">
        <v>19.91</v>
      </c>
      <c r="S1288">
        <v>3</v>
      </c>
      <c r="T1288">
        <v>445</v>
      </c>
      <c r="U1288" s="2">
        <v>2603.25</v>
      </c>
      <c r="V1288">
        <v>0</v>
      </c>
      <c r="W1288" t="s">
        <v>29</v>
      </c>
      <c r="X1288" t="str">
        <f>IF(Table2[[#This Row],[Qty available]]&gt;Table2[[#This Row],[Qty on hand]],"Check","OK")</f>
        <v>OK</v>
      </c>
    </row>
    <row r="1289" spans="1:24" x14ac:dyDescent="0.3">
      <c r="A1289" t="s">
        <v>167</v>
      </c>
      <c r="B1289" t="s">
        <v>168</v>
      </c>
      <c r="C1289" t="s">
        <v>57</v>
      </c>
      <c r="D1289" t="s">
        <v>58</v>
      </c>
      <c r="E1289" t="s">
        <v>66</v>
      </c>
      <c r="F1289" s="1" t="s">
        <v>44</v>
      </c>
      <c r="G1289" s="2">
        <v>4.34</v>
      </c>
      <c r="H1289">
        <v>4.34</v>
      </c>
      <c r="I1289">
        <v>4.381697</v>
      </c>
      <c r="J1289">
        <v>5.85</v>
      </c>
      <c r="K1289">
        <v>17</v>
      </c>
      <c r="L1289" s="2">
        <v>16</v>
      </c>
      <c r="M1289">
        <v>10</v>
      </c>
      <c r="N1289" s="2">
        <v>766</v>
      </c>
      <c r="O1289">
        <v>3356.38</v>
      </c>
      <c r="P1289">
        <v>108</v>
      </c>
      <c r="Q1289">
        <v>658</v>
      </c>
      <c r="R1289">
        <v>7.57</v>
      </c>
      <c r="S1289">
        <v>5</v>
      </c>
      <c r="T1289">
        <v>532</v>
      </c>
      <c r="U1289" s="2">
        <v>3112.2</v>
      </c>
      <c r="V1289">
        <v>0</v>
      </c>
      <c r="W1289" t="s">
        <v>29</v>
      </c>
      <c r="X1289" t="str">
        <f>IF(Table2[[#This Row],[Qty available]]&gt;Table2[[#This Row],[Qty on hand]],"Check","OK")</f>
        <v>OK</v>
      </c>
    </row>
    <row r="1290" spans="1:24" x14ac:dyDescent="0.3">
      <c r="A1290" t="s">
        <v>167</v>
      </c>
      <c r="B1290" t="s">
        <v>168</v>
      </c>
      <c r="C1290" t="s">
        <v>57</v>
      </c>
      <c r="D1290" t="s">
        <v>58</v>
      </c>
      <c r="E1290" t="s">
        <v>66</v>
      </c>
      <c r="F1290" s="1" t="s">
        <v>45</v>
      </c>
      <c r="G1290" s="2">
        <v>4.5999999999999996</v>
      </c>
      <c r="H1290">
        <v>4.5999999999999996</v>
      </c>
      <c r="I1290">
        <v>4.4524109999999997</v>
      </c>
      <c r="J1290">
        <v>5.85</v>
      </c>
      <c r="K1290">
        <v>17</v>
      </c>
      <c r="L1290" s="2">
        <v>23</v>
      </c>
      <c r="M1290">
        <v>367</v>
      </c>
      <c r="N1290" s="2">
        <v>875</v>
      </c>
      <c r="O1290">
        <v>3895.86</v>
      </c>
      <c r="P1290">
        <v>41</v>
      </c>
      <c r="Q1290">
        <v>834</v>
      </c>
      <c r="R1290">
        <v>9.31</v>
      </c>
      <c r="S1290">
        <v>2</v>
      </c>
      <c r="T1290">
        <v>258</v>
      </c>
      <c r="U1290" s="2">
        <v>1509.3</v>
      </c>
      <c r="V1290">
        <v>0</v>
      </c>
      <c r="W1290" t="s">
        <v>29</v>
      </c>
      <c r="X1290" t="str">
        <f>IF(Table2[[#This Row],[Qty available]]&gt;Table2[[#This Row],[Qty on hand]],"Check","OK")</f>
        <v>OK</v>
      </c>
    </row>
    <row r="1291" spans="1:24" x14ac:dyDescent="0.3">
      <c r="A1291" t="s">
        <v>167</v>
      </c>
      <c r="B1291" t="s">
        <v>168</v>
      </c>
      <c r="C1291" t="s">
        <v>57</v>
      </c>
      <c r="D1291" t="s">
        <v>58</v>
      </c>
      <c r="E1291" t="s">
        <v>66</v>
      </c>
      <c r="F1291" s="1" t="s">
        <v>46</v>
      </c>
      <c r="G1291" s="2">
        <v>4.49</v>
      </c>
      <c r="H1291">
        <v>4.49</v>
      </c>
      <c r="I1291">
        <v>4.4639850000000001</v>
      </c>
      <c r="J1291">
        <v>6.01</v>
      </c>
      <c r="K1291">
        <v>17</v>
      </c>
      <c r="L1291" s="2">
        <v>17</v>
      </c>
      <c r="M1291">
        <v>389</v>
      </c>
      <c r="N1291" s="2">
        <v>537</v>
      </c>
      <c r="O1291">
        <v>2397.16</v>
      </c>
      <c r="P1291">
        <v>108</v>
      </c>
      <c r="Q1291">
        <v>429</v>
      </c>
      <c r="R1291">
        <v>4.55</v>
      </c>
      <c r="S1291">
        <v>2</v>
      </c>
      <c r="T1291">
        <v>727</v>
      </c>
      <c r="U1291" s="2">
        <v>4369.2700000000004</v>
      </c>
      <c r="V1291">
        <v>0</v>
      </c>
      <c r="W1291" t="s">
        <v>29</v>
      </c>
      <c r="X1291" t="str">
        <f>IF(Table2[[#This Row],[Qty available]]&gt;Table2[[#This Row],[Qty on hand]],"Check","OK")</f>
        <v>OK</v>
      </c>
    </row>
    <row r="1292" spans="1:24" x14ac:dyDescent="0.3">
      <c r="A1292" t="s">
        <v>167</v>
      </c>
      <c r="B1292" t="s">
        <v>168</v>
      </c>
      <c r="C1292" t="s">
        <v>57</v>
      </c>
      <c r="D1292" t="s">
        <v>58</v>
      </c>
      <c r="E1292" t="s">
        <v>66</v>
      </c>
      <c r="F1292" s="1" t="s">
        <v>47</v>
      </c>
      <c r="G1292" s="2">
        <v>4.5</v>
      </c>
      <c r="H1292">
        <v>4.5</v>
      </c>
      <c r="I1292">
        <v>4.4820789999999997</v>
      </c>
      <c r="J1292">
        <v>6.01</v>
      </c>
      <c r="K1292">
        <v>17</v>
      </c>
      <c r="L1292" s="2">
        <v>30</v>
      </c>
      <c r="M1292">
        <v>542</v>
      </c>
      <c r="N1292" s="2">
        <v>433</v>
      </c>
      <c r="O1292">
        <v>1940.74</v>
      </c>
      <c r="P1292">
        <v>54</v>
      </c>
      <c r="Q1292">
        <v>379</v>
      </c>
      <c r="R1292">
        <v>3.41</v>
      </c>
      <c r="S1292">
        <v>1</v>
      </c>
      <c r="T1292">
        <v>646</v>
      </c>
      <c r="U1292" s="2">
        <v>3882.46</v>
      </c>
      <c r="V1292">
        <v>0</v>
      </c>
      <c r="W1292" t="s">
        <v>29</v>
      </c>
      <c r="X1292" t="str">
        <f>IF(Table2[[#This Row],[Qty available]]&gt;Table2[[#This Row],[Qty on hand]],"Check","OK")</f>
        <v>OK</v>
      </c>
    </row>
    <row r="1293" spans="1:24" x14ac:dyDescent="0.3">
      <c r="A1293" t="s">
        <v>167</v>
      </c>
      <c r="B1293" t="s">
        <v>168</v>
      </c>
      <c r="C1293" t="s">
        <v>57</v>
      </c>
      <c r="D1293" t="s">
        <v>58</v>
      </c>
      <c r="E1293" t="s">
        <v>66</v>
      </c>
      <c r="F1293" s="1" t="s">
        <v>48</v>
      </c>
      <c r="G1293" s="2">
        <v>4.5599999999999996</v>
      </c>
      <c r="H1293">
        <v>4.5599999999999996</v>
      </c>
      <c r="I1293">
        <v>4.5276740000000002</v>
      </c>
      <c r="J1293">
        <v>6.01</v>
      </c>
      <c r="K1293">
        <v>17</v>
      </c>
      <c r="L1293" s="2">
        <v>17</v>
      </c>
      <c r="M1293">
        <v>611</v>
      </c>
      <c r="N1293" s="2">
        <v>516</v>
      </c>
      <c r="O1293">
        <v>2336.2800000000002</v>
      </c>
      <c r="P1293">
        <v>122</v>
      </c>
      <c r="Q1293">
        <v>394</v>
      </c>
      <c r="R1293">
        <v>3.45</v>
      </c>
      <c r="S1293">
        <v>0</v>
      </c>
      <c r="T1293">
        <v>528</v>
      </c>
      <c r="U1293" s="2">
        <v>3173.28</v>
      </c>
      <c r="V1293">
        <v>0</v>
      </c>
      <c r="W1293" t="s">
        <v>29</v>
      </c>
      <c r="X1293" t="str">
        <f>IF(Table2[[#This Row],[Qty available]]&gt;Table2[[#This Row],[Qty on hand]],"Check","OK")</f>
        <v>OK</v>
      </c>
    </row>
    <row r="1294" spans="1:24" x14ac:dyDescent="0.3">
      <c r="A1294" t="s">
        <v>167</v>
      </c>
      <c r="B1294" t="s">
        <v>168</v>
      </c>
      <c r="C1294" t="s">
        <v>57</v>
      </c>
      <c r="D1294" t="s">
        <v>58</v>
      </c>
      <c r="E1294" t="s">
        <v>66</v>
      </c>
      <c r="F1294" s="1" t="s">
        <v>49</v>
      </c>
      <c r="G1294" s="2">
        <v>4.5599999999999996</v>
      </c>
      <c r="H1294">
        <v>4.5599999999999996</v>
      </c>
      <c r="I1294">
        <v>4.5489050000000004</v>
      </c>
      <c r="J1294">
        <v>6.01</v>
      </c>
      <c r="K1294">
        <v>17</v>
      </c>
      <c r="L1294" s="2">
        <v>15</v>
      </c>
      <c r="M1294">
        <v>987</v>
      </c>
      <c r="N1294" s="2">
        <v>1406</v>
      </c>
      <c r="O1294">
        <v>6395.76</v>
      </c>
      <c r="P1294">
        <v>27</v>
      </c>
      <c r="Q1294">
        <v>1379</v>
      </c>
      <c r="R1294">
        <v>14.54</v>
      </c>
      <c r="S1294">
        <v>0</v>
      </c>
      <c r="T1294">
        <v>97</v>
      </c>
      <c r="U1294" s="2">
        <v>582.97</v>
      </c>
      <c r="V1294">
        <v>0</v>
      </c>
      <c r="W1294" t="s">
        <v>29</v>
      </c>
      <c r="X1294" t="str">
        <f>IF(Table2[[#This Row],[Qty available]]&gt;Table2[[#This Row],[Qty on hand]],"Check","OK")</f>
        <v>OK</v>
      </c>
    </row>
    <row r="1295" spans="1:24" x14ac:dyDescent="0.3">
      <c r="A1295" t="s">
        <v>167</v>
      </c>
      <c r="B1295" t="s">
        <v>168</v>
      </c>
      <c r="C1295" t="s">
        <v>57</v>
      </c>
      <c r="D1295" t="s">
        <v>58</v>
      </c>
      <c r="E1295" t="s">
        <v>66</v>
      </c>
      <c r="F1295" s="1" t="s">
        <v>50</v>
      </c>
      <c r="G1295" s="2">
        <v>4.66</v>
      </c>
      <c r="H1295">
        <v>4.66</v>
      </c>
      <c r="I1295">
        <v>4.548908</v>
      </c>
      <c r="J1295">
        <v>6.01</v>
      </c>
      <c r="K1295">
        <v>17</v>
      </c>
      <c r="M1295">
        <v>0</v>
      </c>
      <c r="N1295" s="2">
        <v>1172</v>
      </c>
      <c r="O1295">
        <v>5331.32</v>
      </c>
      <c r="P1295">
        <v>108</v>
      </c>
      <c r="Q1295">
        <v>1064</v>
      </c>
      <c r="R1295">
        <v>17.739999999999998</v>
      </c>
      <c r="S1295">
        <v>0</v>
      </c>
      <c r="T1295">
        <v>234</v>
      </c>
      <c r="U1295" s="2">
        <v>1406.34</v>
      </c>
      <c r="V1295">
        <v>0</v>
      </c>
      <c r="W1295" t="s">
        <v>29</v>
      </c>
      <c r="X1295" t="str">
        <f>IF(Table2[[#This Row],[Qty available]]&gt;Table2[[#This Row],[Qty on hand]],"Check","OK")</f>
        <v>OK</v>
      </c>
    </row>
    <row r="1296" spans="1:24" x14ac:dyDescent="0.3">
      <c r="A1296" t="s">
        <v>167</v>
      </c>
      <c r="B1296" t="s">
        <v>168</v>
      </c>
      <c r="C1296" t="s">
        <v>57</v>
      </c>
      <c r="D1296" t="s">
        <v>58</v>
      </c>
      <c r="E1296" t="s">
        <v>66</v>
      </c>
      <c r="F1296" s="1" t="s">
        <v>51</v>
      </c>
      <c r="G1296" s="2">
        <v>4.55</v>
      </c>
      <c r="H1296">
        <v>4.55</v>
      </c>
      <c r="I1296">
        <v>4.5489220000000001</v>
      </c>
      <c r="J1296">
        <v>6.01</v>
      </c>
      <c r="K1296">
        <v>17</v>
      </c>
      <c r="L1296" s="2">
        <v>15</v>
      </c>
      <c r="M1296">
        <v>10</v>
      </c>
      <c r="N1296" s="2">
        <v>835</v>
      </c>
      <c r="O1296">
        <v>3798.35</v>
      </c>
      <c r="P1296">
        <v>54</v>
      </c>
      <c r="Q1296">
        <v>781</v>
      </c>
      <c r="R1296">
        <v>16.190000000000001</v>
      </c>
      <c r="S1296">
        <v>1</v>
      </c>
      <c r="T1296">
        <v>347</v>
      </c>
      <c r="U1296" s="2">
        <v>2085.4699999999998</v>
      </c>
      <c r="V1296">
        <v>0</v>
      </c>
      <c r="W1296" t="s">
        <v>29</v>
      </c>
      <c r="X1296" t="str">
        <f>IF(Table2[[#This Row],[Qty available]]&gt;Table2[[#This Row],[Qty on hand]],"Check","OK")</f>
        <v>OK</v>
      </c>
    </row>
    <row r="1297" spans="1:24" x14ac:dyDescent="0.3">
      <c r="A1297" t="s">
        <v>167</v>
      </c>
      <c r="B1297" t="s">
        <v>168</v>
      </c>
      <c r="C1297" t="s">
        <v>57</v>
      </c>
      <c r="D1297" t="s">
        <v>58</v>
      </c>
      <c r="E1297" t="s">
        <v>66</v>
      </c>
      <c r="F1297" s="1" t="s">
        <v>52</v>
      </c>
      <c r="G1297" s="2">
        <v>4.5999999999999996</v>
      </c>
      <c r="H1297">
        <v>4.5999999999999996</v>
      </c>
      <c r="I1297">
        <v>4.560943</v>
      </c>
      <c r="J1297">
        <v>6.01</v>
      </c>
      <c r="K1297">
        <v>17</v>
      </c>
      <c r="L1297" s="2">
        <v>21</v>
      </c>
      <c r="M1297">
        <v>257</v>
      </c>
      <c r="N1297" s="2">
        <v>1092</v>
      </c>
      <c r="O1297">
        <v>4980.55</v>
      </c>
      <c r="P1297">
        <v>81</v>
      </c>
      <c r="Q1297">
        <v>1011</v>
      </c>
      <c r="R1297">
        <v>24.7</v>
      </c>
      <c r="S1297">
        <v>32</v>
      </c>
      <c r="T1297">
        <v>0</v>
      </c>
      <c r="U1297" s="2">
        <v>0</v>
      </c>
      <c r="V1297">
        <v>0</v>
      </c>
      <c r="W1297" t="s">
        <v>29</v>
      </c>
      <c r="X1297" t="str">
        <f>IF(Table2[[#This Row],[Qty available]]&gt;Table2[[#This Row],[Qty on hand]],"Check","OK")</f>
        <v>OK</v>
      </c>
    </row>
    <row r="1298" spans="1:24" x14ac:dyDescent="0.3">
      <c r="A1298" t="s">
        <v>169</v>
      </c>
      <c r="B1298" t="s">
        <v>170</v>
      </c>
      <c r="C1298" t="s">
        <v>77</v>
      </c>
      <c r="D1298" t="s">
        <v>78</v>
      </c>
      <c r="E1298" t="s">
        <v>66</v>
      </c>
      <c r="F1298" s="1" t="s">
        <v>28</v>
      </c>
      <c r="G1298" s="2">
        <v>548.66</v>
      </c>
      <c r="H1298">
        <v>548.66</v>
      </c>
      <c r="I1298">
        <v>551.02089899999999</v>
      </c>
      <c r="J1298">
        <v>817.51</v>
      </c>
      <c r="K1298">
        <v>60</v>
      </c>
      <c r="L1298" s="2">
        <v>60</v>
      </c>
      <c r="M1298">
        <v>68</v>
      </c>
      <c r="N1298" s="2">
        <v>89</v>
      </c>
      <c r="O1298">
        <v>49040.86</v>
      </c>
      <c r="P1298">
        <v>2</v>
      </c>
      <c r="Q1298">
        <v>87</v>
      </c>
      <c r="R1298">
        <v>13.93</v>
      </c>
      <c r="S1298">
        <v>3</v>
      </c>
      <c r="T1298">
        <v>36</v>
      </c>
      <c r="U1298" s="2">
        <v>29430.36</v>
      </c>
      <c r="V1298">
        <v>0</v>
      </c>
      <c r="W1298" t="s">
        <v>29</v>
      </c>
      <c r="X1298" t="str">
        <f>IF(Table2[[#This Row],[Qty available]]&gt;Table2[[#This Row],[Qty on hand]],"Check","OK")</f>
        <v>OK</v>
      </c>
    </row>
    <row r="1299" spans="1:24" x14ac:dyDescent="0.3">
      <c r="A1299" t="s">
        <v>169</v>
      </c>
      <c r="B1299" t="s">
        <v>170</v>
      </c>
      <c r="C1299" t="s">
        <v>77</v>
      </c>
      <c r="D1299" t="s">
        <v>78</v>
      </c>
      <c r="E1299" t="s">
        <v>66</v>
      </c>
      <c r="F1299" s="1" t="s">
        <v>30</v>
      </c>
      <c r="G1299" s="2">
        <v>553.89</v>
      </c>
      <c r="H1299">
        <v>553.89</v>
      </c>
      <c r="I1299">
        <v>551.54739099999995</v>
      </c>
      <c r="J1299">
        <v>817.51</v>
      </c>
      <c r="K1299">
        <v>60</v>
      </c>
      <c r="L1299" s="2">
        <v>105</v>
      </c>
      <c r="M1299">
        <v>20</v>
      </c>
      <c r="N1299" s="2">
        <v>92</v>
      </c>
      <c r="O1299">
        <v>50742.36</v>
      </c>
      <c r="P1299">
        <v>6</v>
      </c>
      <c r="Q1299">
        <v>86</v>
      </c>
      <c r="R1299">
        <v>17.27</v>
      </c>
      <c r="S1299">
        <v>15</v>
      </c>
      <c r="T1299">
        <v>17</v>
      </c>
      <c r="U1299" s="2">
        <v>13897.67</v>
      </c>
      <c r="V1299">
        <v>0</v>
      </c>
      <c r="W1299" t="s">
        <v>29</v>
      </c>
      <c r="X1299" t="str">
        <f>IF(Table2[[#This Row],[Qty available]]&gt;Table2[[#This Row],[Qty on hand]],"Check","OK")</f>
        <v>OK</v>
      </c>
    </row>
    <row r="1300" spans="1:24" x14ac:dyDescent="0.3">
      <c r="A1300" t="s">
        <v>169</v>
      </c>
      <c r="B1300" t="s">
        <v>170</v>
      </c>
      <c r="C1300" t="s">
        <v>77</v>
      </c>
      <c r="D1300" t="s">
        <v>78</v>
      </c>
      <c r="E1300" t="s">
        <v>66</v>
      </c>
      <c r="F1300" s="1" t="s">
        <v>31</v>
      </c>
      <c r="G1300" s="2">
        <v>559.5</v>
      </c>
      <c r="H1300">
        <v>559.5</v>
      </c>
      <c r="I1300">
        <v>553.29968099999996</v>
      </c>
      <c r="J1300">
        <v>817.51</v>
      </c>
      <c r="K1300">
        <v>60</v>
      </c>
      <c r="L1300" s="2">
        <v>55</v>
      </c>
      <c r="M1300">
        <v>26</v>
      </c>
      <c r="N1300" s="2">
        <v>94</v>
      </c>
      <c r="O1300">
        <v>52010.17</v>
      </c>
      <c r="P1300">
        <v>7</v>
      </c>
      <c r="Q1300">
        <v>87</v>
      </c>
      <c r="R1300">
        <v>15.87</v>
      </c>
      <c r="S1300">
        <v>0</v>
      </c>
      <c r="T1300">
        <v>24</v>
      </c>
      <c r="U1300" s="2">
        <v>19620.240000000002</v>
      </c>
      <c r="V1300">
        <v>0</v>
      </c>
      <c r="W1300" t="s">
        <v>29</v>
      </c>
      <c r="X1300" t="str">
        <f>IF(Table2[[#This Row],[Qty available]]&gt;Table2[[#This Row],[Qty on hand]],"Check","OK")</f>
        <v>OK</v>
      </c>
    </row>
    <row r="1301" spans="1:24" x14ac:dyDescent="0.3">
      <c r="A1301" t="s">
        <v>169</v>
      </c>
      <c r="B1301" t="s">
        <v>170</v>
      </c>
      <c r="C1301" t="s">
        <v>77</v>
      </c>
      <c r="D1301" t="s">
        <v>78</v>
      </c>
      <c r="E1301" t="s">
        <v>66</v>
      </c>
      <c r="F1301" s="1" t="s">
        <v>32</v>
      </c>
      <c r="G1301" s="2">
        <v>559.82000000000005</v>
      </c>
      <c r="H1301">
        <v>559.82000000000005</v>
      </c>
      <c r="I1301">
        <v>553.29963399999997</v>
      </c>
      <c r="J1301">
        <v>817.51</v>
      </c>
      <c r="K1301">
        <v>60</v>
      </c>
      <c r="M1301">
        <v>0</v>
      </c>
      <c r="N1301" s="2">
        <v>82</v>
      </c>
      <c r="O1301">
        <v>45370.57</v>
      </c>
      <c r="P1301">
        <v>7</v>
      </c>
      <c r="Q1301">
        <v>75</v>
      </c>
      <c r="R1301">
        <v>20.329999999999998</v>
      </c>
      <c r="S1301">
        <v>3</v>
      </c>
      <c r="T1301">
        <v>12</v>
      </c>
      <c r="U1301" s="2">
        <v>9810.1200000000008</v>
      </c>
      <c r="V1301">
        <v>0</v>
      </c>
      <c r="W1301" t="s">
        <v>29</v>
      </c>
      <c r="X1301" t="str">
        <f>IF(Table2[[#This Row],[Qty available]]&gt;Table2[[#This Row],[Qty on hand]],"Check","OK")</f>
        <v>OK</v>
      </c>
    </row>
    <row r="1302" spans="1:24" x14ac:dyDescent="0.3">
      <c r="A1302" t="s">
        <v>169</v>
      </c>
      <c r="B1302" t="s">
        <v>170</v>
      </c>
      <c r="C1302" t="s">
        <v>77</v>
      </c>
      <c r="D1302" t="s">
        <v>78</v>
      </c>
      <c r="E1302" t="s">
        <v>66</v>
      </c>
      <c r="F1302" s="1" t="s">
        <v>33</v>
      </c>
      <c r="G1302" s="2">
        <v>564.42999999999995</v>
      </c>
      <c r="H1302">
        <v>564.42999999999995</v>
      </c>
      <c r="I1302">
        <v>556.69536600000004</v>
      </c>
      <c r="J1302">
        <v>817.51</v>
      </c>
      <c r="K1302">
        <v>60</v>
      </c>
      <c r="L1302" s="2">
        <v>80</v>
      </c>
      <c r="M1302">
        <v>36</v>
      </c>
      <c r="N1302" s="2">
        <v>82</v>
      </c>
      <c r="O1302">
        <v>45649.02</v>
      </c>
      <c r="P1302">
        <v>2</v>
      </c>
      <c r="Q1302">
        <v>80</v>
      </c>
      <c r="R1302">
        <v>14.97</v>
      </c>
      <c r="S1302">
        <v>1</v>
      </c>
      <c r="T1302">
        <v>36</v>
      </c>
      <c r="U1302" s="2">
        <v>29430.36</v>
      </c>
      <c r="V1302">
        <v>0</v>
      </c>
      <c r="W1302" t="s">
        <v>29</v>
      </c>
      <c r="X1302" t="str">
        <f>IF(Table2[[#This Row],[Qty available]]&gt;Table2[[#This Row],[Qty on hand]],"Check","OK")</f>
        <v>OK</v>
      </c>
    </row>
    <row r="1303" spans="1:24" x14ac:dyDescent="0.3">
      <c r="A1303" t="s">
        <v>169</v>
      </c>
      <c r="B1303" t="s">
        <v>170</v>
      </c>
      <c r="C1303" t="s">
        <v>77</v>
      </c>
      <c r="D1303" t="s">
        <v>78</v>
      </c>
      <c r="E1303" t="s">
        <v>66</v>
      </c>
      <c r="F1303" s="1" t="s">
        <v>34</v>
      </c>
      <c r="G1303" s="2">
        <v>567.04</v>
      </c>
      <c r="H1303">
        <v>567.04</v>
      </c>
      <c r="I1303">
        <v>556.69535699999994</v>
      </c>
      <c r="J1303">
        <v>860.78</v>
      </c>
      <c r="K1303">
        <v>60</v>
      </c>
      <c r="M1303">
        <v>0</v>
      </c>
      <c r="N1303" s="2">
        <v>56</v>
      </c>
      <c r="O1303">
        <v>31174.94</v>
      </c>
      <c r="P1303">
        <v>2</v>
      </c>
      <c r="Q1303">
        <v>54</v>
      </c>
      <c r="R1303">
        <v>9.73</v>
      </c>
      <c r="S1303">
        <v>1</v>
      </c>
      <c r="T1303">
        <v>26</v>
      </c>
      <c r="U1303" s="2">
        <v>22380.28</v>
      </c>
      <c r="V1303">
        <v>0</v>
      </c>
      <c r="W1303" t="s">
        <v>29</v>
      </c>
      <c r="X1303" t="str">
        <f>IF(Table2[[#This Row],[Qty available]]&gt;Table2[[#This Row],[Qty on hand]],"Check","OK")</f>
        <v>OK</v>
      </c>
    </row>
    <row r="1304" spans="1:24" x14ac:dyDescent="0.3">
      <c r="A1304" t="s">
        <v>169</v>
      </c>
      <c r="B1304" t="s">
        <v>170</v>
      </c>
      <c r="C1304" t="s">
        <v>77</v>
      </c>
      <c r="D1304" t="s">
        <v>78</v>
      </c>
      <c r="E1304" t="s">
        <v>66</v>
      </c>
      <c r="F1304" s="1" t="s">
        <v>35</v>
      </c>
      <c r="G1304" s="2">
        <v>597.23</v>
      </c>
      <c r="H1304">
        <v>597.23</v>
      </c>
      <c r="I1304">
        <v>577.14209300000005</v>
      </c>
      <c r="J1304">
        <v>860.78</v>
      </c>
      <c r="K1304">
        <v>60</v>
      </c>
      <c r="L1304" s="2">
        <v>59</v>
      </c>
      <c r="M1304">
        <v>57</v>
      </c>
      <c r="N1304" s="2">
        <v>86</v>
      </c>
      <c r="O1304">
        <v>49634.22</v>
      </c>
      <c r="P1304">
        <v>3</v>
      </c>
      <c r="Q1304">
        <v>83</v>
      </c>
      <c r="R1304">
        <v>12.42</v>
      </c>
      <c r="S1304">
        <v>8</v>
      </c>
      <c r="T1304">
        <v>27</v>
      </c>
      <c r="U1304" s="2">
        <v>23241.06</v>
      </c>
      <c r="V1304">
        <v>0</v>
      </c>
      <c r="W1304" t="s">
        <v>29</v>
      </c>
      <c r="X1304" t="str">
        <f>IF(Table2[[#This Row],[Qty available]]&gt;Table2[[#This Row],[Qty on hand]],"Check","OK")</f>
        <v>OK</v>
      </c>
    </row>
    <row r="1305" spans="1:24" x14ac:dyDescent="0.3">
      <c r="A1305" t="s">
        <v>169</v>
      </c>
      <c r="B1305" t="s">
        <v>170</v>
      </c>
      <c r="C1305" t="s">
        <v>77</v>
      </c>
      <c r="D1305" t="s">
        <v>78</v>
      </c>
      <c r="E1305" t="s">
        <v>66</v>
      </c>
      <c r="F1305" s="1" t="s">
        <v>36</v>
      </c>
      <c r="G1305" s="2">
        <v>596.80999999999995</v>
      </c>
      <c r="H1305">
        <v>596.80999999999995</v>
      </c>
      <c r="I1305">
        <v>577.14202699999998</v>
      </c>
      <c r="J1305">
        <v>860.78</v>
      </c>
      <c r="K1305">
        <v>60</v>
      </c>
      <c r="M1305">
        <v>0</v>
      </c>
      <c r="N1305" s="2">
        <v>74</v>
      </c>
      <c r="O1305">
        <v>42708.51</v>
      </c>
      <c r="P1305">
        <v>3</v>
      </c>
      <c r="Q1305">
        <v>71</v>
      </c>
      <c r="R1305">
        <v>14.47</v>
      </c>
      <c r="S1305">
        <v>1</v>
      </c>
      <c r="T1305">
        <v>12</v>
      </c>
      <c r="U1305" s="2">
        <v>10329.36</v>
      </c>
      <c r="V1305">
        <v>0</v>
      </c>
      <c r="W1305" t="s">
        <v>29</v>
      </c>
      <c r="X1305" t="str">
        <f>IF(Table2[[#This Row],[Qty available]]&gt;Table2[[#This Row],[Qty on hand]],"Check","OK")</f>
        <v>OK</v>
      </c>
    </row>
    <row r="1306" spans="1:24" x14ac:dyDescent="0.3">
      <c r="A1306" t="s">
        <v>169</v>
      </c>
      <c r="B1306" t="s">
        <v>170</v>
      </c>
      <c r="C1306" t="s">
        <v>77</v>
      </c>
      <c r="D1306" t="s">
        <v>78</v>
      </c>
      <c r="E1306" t="s">
        <v>66</v>
      </c>
      <c r="F1306" s="1" t="s">
        <v>37</v>
      </c>
      <c r="G1306" s="2">
        <v>598.48</v>
      </c>
      <c r="H1306">
        <v>598.48</v>
      </c>
      <c r="I1306">
        <v>581.68200000000002</v>
      </c>
      <c r="J1306">
        <v>860.78</v>
      </c>
      <c r="K1306">
        <v>60</v>
      </c>
      <c r="L1306" s="2">
        <v>51</v>
      </c>
      <c r="M1306">
        <v>20</v>
      </c>
      <c r="N1306" s="2">
        <v>55</v>
      </c>
      <c r="O1306">
        <v>31992.51</v>
      </c>
      <c r="P1306">
        <v>4</v>
      </c>
      <c r="Q1306">
        <v>51</v>
      </c>
      <c r="R1306">
        <v>9.27</v>
      </c>
      <c r="S1306">
        <v>3</v>
      </c>
      <c r="T1306">
        <v>39</v>
      </c>
      <c r="U1306" s="2">
        <v>33570.42</v>
      </c>
      <c r="V1306">
        <v>0</v>
      </c>
      <c r="W1306" t="s">
        <v>29</v>
      </c>
      <c r="X1306" t="str">
        <f>IF(Table2[[#This Row],[Qty available]]&gt;Table2[[#This Row],[Qty on hand]],"Check","OK")</f>
        <v>OK</v>
      </c>
    </row>
    <row r="1307" spans="1:24" x14ac:dyDescent="0.3">
      <c r="A1307" t="s">
        <v>169</v>
      </c>
      <c r="B1307" t="s">
        <v>170</v>
      </c>
      <c r="C1307" t="s">
        <v>77</v>
      </c>
      <c r="D1307" t="s">
        <v>78</v>
      </c>
      <c r="E1307" t="s">
        <v>66</v>
      </c>
      <c r="F1307" s="1" t="s">
        <v>38</v>
      </c>
      <c r="G1307" s="2">
        <v>582.25</v>
      </c>
      <c r="H1307">
        <v>582.25</v>
      </c>
      <c r="I1307">
        <v>581.83339599999999</v>
      </c>
      <c r="J1307">
        <v>860.78</v>
      </c>
      <c r="K1307">
        <v>60</v>
      </c>
      <c r="L1307" s="2">
        <v>58</v>
      </c>
      <c r="M1307">
        <v>20</v>
      </c>
      <c r="N1307" s="2">
        <v>53</v>
      </c>
      <c r="O1307">
        <v>30837.17</v>
      </c>
      <c r="P1307">
        <v>8</v>
      </c>
      <c r="Q1307">
        <v>45</v>
      </c>
      <c r="R1307">
        <v>9.44</v>
      </c>
      <c r="S1307">
        <v>2</v>
      </c>
      <c r="T1307">
        <v>22</v>
      </c>
      <c r="U1307" s="2">
        <v>18937.16</v>
      </c>
      <c r="V1307">
        <v>0</v>
      </c>
      <c r="W1307" t="s">
        <v>29</v>
      </c>
      <c r="X1307" t="str">
        <f>IF(Table2[[#This Row],[Qty available]]&gt;Table2[[#This Row],[Qty on hand]],"Check","OK")</f>
        <v>OK</v>
      </c>
    </row>
    <row r="1308" spans="1:24" x14ac:dyDescent="0.3">
      <c r="A1308" t="s">
        <v>169</v>
      </c>
      <c r="B1308" t="s">
        <v>170</v>
      </c>
      <c r="C1308" t="s">
        <v>77</v>
      </c>
      <c r="D1308" t="s">
        <v>78</v>
      </c>
      <c r="E1308" t="s">
        <v>66</v>
      </c>
      <c r="F1308" s="1" t="s">
        <v>39</v>
      </c>
      <c r="G1308" s="2">
        <v>599.30999999999995</v>
      </c>
      <c r="H1308">
        <v>599.30999999999995</v>
      </c>
      <c r="I1308">
        <v>592.016569</v>
      </c>
      <c r="J1308">
        <v>860.78</v>
      </c>
      <c r="K1308">
        <v>60</v>
      </c>
      <c r="L1308" s="2">
        <v>55</v>
      </c>
      <c r="M1308">
        <v>74</v>
      </c>
      <c r="N1308" s="2">
        <v>102</v>
      </c>
      <c r="O1308">
        <v>60385.69</v>
      </c>
      <c r="P1308">
        <v>8</v>
      </c>
      <c r="Q1308">
        <v>94</v>
      </c>
      <c r="R1308">
        <v>15.59</v>
      </c>
      <c r="S1308">
        <v>0</v>
      </c>
      <c r="T1308">
        <v>25</v>
      </c>
      <c r="U1308" s="2">
        <v>21519.5</v>
      </c>
      <c r="V1308">
        <v>0</v>
      </c>
      <c r="W1308" t="s">
        <v>29</v>
      </c>
      <c r="X1308" t="str">
        <f>IF(Table2[[#This Row],[Qty available]]&gt;Table2[[#This Row],[Qty on hand]],"Check","OK")</f>
        <v>OK</v>
      </c>
    </row>
    <row r="1309" spans="1:24" x14ac:dyDescent="0.3">
      <c r="A1309" t="s">
        <v>169</v>
      </c>
      <c r="B1309" t="s">
        <v>170</v>
      </c>
      <c r="C1309" t="s">
        <v>77</v>
      </c>
      <c r="D1309" t="s">
        <v>78</v>
      </c>
      <c r="E1309" t="s">
        <v>66</v>
      </c>
      <c r="F1309" s="1" t="s">
        <v>40</v>
      </c>
      <c r="G1309" s="2">
        <v>591.15</v>
      </c>
      <c r="H1309">
        <v>591.15</v>
      </c>
      <c r="I1309">
        <v>591.87449400000003</v>
      </c>
      <c r="J1309">
        <v>860.78</v>
      </c>
      <c r="K1309">
        <v>60</v>
      </c>
      <c r="L1309" s="2">
        <v>56</v>
      </c>
      <c r="M1309">
        <v>20</v>
      </c>
      <c r="N1309" s="2">
        <v>89</v>
      </c>
      <c r="O1309">
        <v>52676.83</v>
      </c>
      <c r="P1309">
        <v>2</v>
      </c>
      <c r="Q1309">
        <v>87</v>
      </c>
      <c r="R1309">
        <v>14.62</v>
      </c>
      <c r="S1309">
        <v>3</v>
      </c>
      <c r="T1309">
        <v>33</v>
      </c>
      <c r="U1309" s="2">
        <v>28405.74</v>
      </c>
      <c r="V1309">
        <v>0</v>
      </c>
      <c r="W1309" t="s">
        <v>29</v>
      </c>
      <c r="X1309" t="str">
        <f>IF(Table2[[#This Row],[Qty available]]&gt;Table2[[#This Row],[Qty on hand]],"Check","OK")</f>
        <v>OK</v>
      </c>
    </row>
    <row r="1310" spans="1:24" x14ac:dyDescent="0.3">
      <c r="A1310" t="s">
        <v>169</v>
      </c>
      <c r="B1310" t="s">
        <v>170</v>
      </c>
      <c r="C1310" t="s">
        <v>77</v>
      </c>
      <c r="D1310" t="s">
        <v>78</v>
      </c>
      <c r="E1310" t="s">
        <v>66</v>
      </c>
      <c r="F1310" s="1" t="s">
        <v>41</v>
      </c>
      <c r="G1310" s="2">
        <v>586.52</v>
      </c>
      <c r="H1310">
        <v>586.52</v>
      </c>
      <c r="I1310">
        <v>590.70031300000005</v>
      </c>
      <c r="J1310">
        <v>860.78</v>
      </c>
      <c r="K1310">
        <v>60</v>
      </c>
      <c r="L1310" s="2">
        <v>55</v>
      </c>
      <c r="M1310">
        <v>25</v>
      </c>
      <c r="N1310" s="2">
        <v>96</v>
      </c>
      <c r="O1310">
        <v>56707.23</v>
      </c>
      <c r="P1310">
        <v>8</v>
      </c>
      <c r="Q1310">
        <v>88</v>
      </c>
      <c r="R1310">
        <v>16.600000000000001</v>
      </c>
      <c r="S1310">
        <v>5</v>
      </c>
      <c r="T1310">
        <v>18</v>
      </c>
      <c r="U1310" s="2">
        <v>15494.04</v>
      </c>
      <c r="V1310">
        <v>0</v>
      </c>
      <c r="W1310" t="s">
        <v>29</v>
      </c>
      <c r="X1310" t="str">
        <f>IF(Table2[[#This Row],[Qty available]]&gt;Table2[[#This Row],[Qty on hand]],"Check","OK")</f>
        <v>OK</v>
      </c>
    </row>
    <row r="1311" spans="1:24" x14ac:dyDescent="0.3">
      <c r="A1311" t="s">
        <v>169</v>
      </c>
      <c r="B1311" t="s">
        <v>170</v>
      </c>
      <c r="C1311" t="s">
        <v>77</v>
      </c>
      <c r="D1311" t="s">
        <v>78</v>
      </c>
      <c r="E1311" t="s">
        <v>66</v>
      </c>
      <c r="F1311" s="1" t="s">
        <v>42</v>
      </c>
      <c r="G1311" s="2">
        <v>587.96</v>
      </c>
      <c r="H1311">
        <v>587.96</v>
      </c>
      <c r="I1311">
        <v>590.22789499999999</v>
      </c>
      <c r="J1311">
        <v>860.78</v>
      </c>
      <c r="K1311">
        <v>60</v>
      </c>
      <c r="L1311" s="2">
        <v>59</v>
      </c>
      <c r="M1311">
        <v>20</v>
      </c>
      <c r="N1311" s="2">
        <v>95</v>
      </c>
      <c r="O1311">
        <v>56071.65</v>
      </c>
      <c r="P1311">
        <v>6</v>
      </c>
      <c r="Q1311">
        <v>89</v>
      </c>
      <c r="R1311">
        <v>17.34</v>
      </c>
      <c r="S1311">
        <v>4</v>
      </c>
      <c r="T1311">
        <v>21</v>
      </c>
      <c r="U1311" s="2">
        <v>18076.38</v>
      </c>
      <c r="V1311">
        <v>0</v>
      </c>
      <c r="W1311" t="s">
        <v>29</v>
      </c>
      <c r="X1311" t="str">
        <f>IF(Table2[[#This Row],[Qty available]]&gt;Table2[[#This Row],[Qty on hand]],"Check","OK")</f>
        <v>OK</v>
      </c>
    </row>
    <row r="1312" spans="1:24" x14ac:dyDescent="0.3">
      <c r="A1312" t="s">
        <v>169</v>
      </c>
      <c r="B1312" t="s">
        <v>170</v>
      </c>
      <c r="C1312" t="s">
        <v>77</v>
      </c>
      <c r="D1312" t="s">
        <v>78</v>
      </c>
      <c r="E1312" t="s">
        <v>66</v>
      </c>
      <c r="F1312" s="1" t="s">
        <v>43</v>
      </c>
      <c r="G1312" s="2">
        <v>598.26</v>
      </c>
      <c r="H1312">
        <v>598.26</v>
      </c>
      <c r="I1312">
        <v>591.62480000000005</v>
      </c>
      <c r="J1312">
        <v>860.78</v>
      </c>
      <c r="K1312">
        <v>60</v>
      </c>
      <c r="L1312" s="2">
        <v>54</v>
      </c>
      <c r="M1312">
        <v>20</v>
      </c>
      <c r="N1312" s="2">
        <v>100</v>
      </c>
      <c r="O1312">
        <v>59162.48</v>
      </c>
      <c r="P1312">
        <v>5</v>
      </c>
      <c r="Q1312">
        <v>95</v>
      </c>
      <c r="R1312">
        <v>24.07</v>
      </c>
      <c r="S1312">
        <v>11</v>
      </c>
      <c r="T1312">
        <v>15</v>
      </c>
      <c r="U1312" s="2">
        <v>12911.7</v>
      </c>
      <c r="V1312">
        <v>0</v>
      </c>
      <c r="W1312" t="s">
        <v>29</v>
      </c>
      <c r="X1312" t="str">
        <f>IF(Table2[[#This Row],[Qty available]]&gt;Table2[[#This Row],[Qty on hand]],"Check","OK")</f>
        <v>OK</v>
      </c>
    </row>
    <row r="1313" spans="1:24" x14ac:dyDescent="0.3">
      <c r="A1313" t="s">
        <v>169</v>
      </c>
      <c r="B1313" t="s">
        <v>170</v>
      </c>
      <c r="C1313" t="s">
        <v>77</v>
      </c>
      <c r="D1313" t="s">
        <v>78</v>
      </c>
      <c r="E1313" t="s">
        <v>66</v>
      </c>
      <c r="F1313" s="1" t="s">
        <v>44</v>
      </c>
      <c r="G1313" s="2">
        <v>594.46</v>
      </c>
      <c r="H1313">
        <v>594.46</v>
      </c>
      <c r="I1313">
        <v>591.62478899999996</v>
      </c>
      <c r="J1313">
        <v>860.78</v>
      </c>
      <c r="K1313">
        <v>60</v>
      </c>
      <c r="M1313">
        <v>0</v>
      </c>
      <c r="N1313" s="2">
        <v>71</v>
      </c>
      <c r="O1313">
        <v>42005.36</v>
      </c>
      <c r="P1313">
        <v>4</v>
      </c>
      <c r="Q1313">
        <v>67</v>
      </c>
      <c r="R1313">
        <v>14.36</v>
      </c>
      <c r="S1313">
        <v>6</v>
      </c>
      <c r="T1313">
        <v>29</v>
      </c>
      <c r="U1313" s="2">
        <v>24962.62</v>
      </c>
      <c r="V1313">
        <v>0</v>
      </c>
      <c r="W1313" t="s">
        <v>29</v>
      </c>
      <c r="X1313" t="str">
        <f>IF(Table2[[#This Row],[Qty available]]&gt;Table2[[#This Row],[Qty on hand]],"Check","OK")</f>
        <v>OK</v>
      </c>
    </row>
    <row r="1314" spans="1:24" x14ac:dyDescent="0.3">
      <c r="A1314" t="s">
        <v>169</v>
      </c>
      <c r="B1314" t="s">
        <v>170</v>
      </c>
      <c r="C1314" t="s">
        <v>77</v>
      </c>
      <c r="D1314" t="s">
        <v>78</v>
      </c>
      <c r="E1314" t="s">
        <v>66</v>
      </c>
      <c r="F1314" s="1" t="s">
        <v>45</v>
      </c>
      <c r="G1314" s="2">
        <v>598.44000000000005</v>
      </c>
      <c r="H1314">
        <v>598.44000000000005</v>
      </c>
      <c r="I1314">
        <v>593.12267599999996</v>
      </c>
      <c r="J1314">
        <v>860.78</v>
      </c>
      <c r="K1314">
        <v>60</v>
      </c>
      <c r="L1314" s="2">
        <v>52</v>
      </c>
      <c r="M1314">
        <v>20</v>
      </c>
      <c r="N1314" s="2">
        <v>71</v>
      </c>
      <c r="O1314">
        <v>42111.71</v>
      </c>
      <c r="P1314">
        <v>2</v>
      </c>
      <c r="Q1314">
        <v>69</v>
      </c>
      <c r="R1314">
        <v>14.58</v>
      </c>
      <c r="S1314">
        <v>0</v>
      </c>
      <c r="T1314">
        <v>20</v>
      </c>
      <c r="U1314" s="2">
        <v>17215.599999999999</v>
      </c>
      <c r="V1314">
        <v>0</v>
      </c>
      <c r="W1314" t="s">
        <v>29</v>
      </c>
      <c r="X1314" t="str">
        <f>IF(Table2[[#This Row],[Qty available]]&gt;Table2[[#This Row],[Qty on hand]],"Check","OK")</f>
        <v>OK</v>
      </c>
    </row>
    <row r="1315" spans="1:24" x14ac:dyDescent="0.3">
      <c r="A1315" t="s">
        <v>169</v>
      </c>
      <c r="B1315" t="s">
        <v>170</v>
      </c>
      <c r="C1315" t="s">
        <v>77</v>
      </c>
      <c r="D1315" t="s">
        <v>78</v>
      </c>
      <c r="E1315" t="s">
        <v>66</v>
      </c>
      <c r="F1315" s="1" t="s">
        <v>46</v>
      </c>
      <c r="G1315" s="2">
        <v>599.62</v>
      </c>
      <c r="H1315">
        <v>599.62</v>
      </c>
      <c r="I1315">
        <v>595.14125000000001</v>
      </c>
      <c r="J1315">
        <v>906.34</v>
      </c>
      <c r="K1315">
        <v>60</v>
      </c>
      <c r="L1315" s="2">
        <v>52</v>
      </c>
      <c r="M1315">
        <v>32</v>
      </c>
      <c r="N1315" s="2">
        <v>80</v>
      </c>
      <c r="O1315">
        <v>47611.3</v>
      </c>
      <c r="P1315">
        <v>8</v>
      </c>
      <c r="Q1315">
        <v>72</v>
      </c>
      <c r="R1315">
        <v>14.29</v>
      </c>
      <c r="S1315">
        <v>3</v>
      </c>
      <c r="T1315">
        <v>23</v>
      </c>
      <c r="U1315" s="2">
        <v>20845.82</v>
      </c>
      <c r="V1315">
        <v>0</v>
      </c>
      <c r="W1315" t="s">
        <v>29</v>
      </c>
      <c r="X1315" t="str">
        <f>IF(Table2[[#This Row],[Qty available]]&gt;Table2[[#This Row],[Qty on hand]],"Check","OK")</f>
        <v>OK</v>
      </c>
    </row>
    <row r="1316" spans="1:24" x14ac:dyDescent="0.3">
      <c r="A1316" t="s">
        <v>169</v>
      </c>
      <c r="B1316" t="s">
        <v>170</v>
      </c>
      <c r="C1316" t="s">
        <v>77</v>
      </c>
      <c r="D1316" t="s">
        <v>78</v>
      </c>
      <c r="E1316" t="s">
        <v>66</v>
      </c>
      <c r="F1316" s="1" t="s">
        <v>47</v>
      </c>
      <c r="G1316" s="2">
        <v>621.35</v>
      </c>
      <c r="H1316">
        <v>621.35</v>
      </c>
      <c r="I1316">
        <v>600.38302299999998</v>
      </c>
      <c r="J1316">
        <v>906.34</v>
      </c>
      <c r="K1316">
        <v>60</v>
      </c>
      <c r="L1316" s="2">
        <v>53</v>
      </c>
      <c r="M1316">
        <v>20</v>
      </c>
      <c r="N1316" s="2">
        <v>86</v>
      </c>
      <c r="O1316">
        <v>51632.94</v>
      </c>
      <c r="P1316">
        <v>6</v>
      </c>
      <c r="Q1316">
        <v>80</v>
      </c>
      <c r="R1316">
        <v>19.399999999999999</v>
      </c>
      <c r="S1316">
        <v>12</v>
      </c>
      <c r="T1316">
        <v>14</v>
      </c>
      <c r="U1316" s="2">
        <v>12688.76</v>
      </c>
      <c r="V1316">
        <v>0</v>
      </c>
      <c r="W1316" t="s">
        <v>29</v>
      </c>
      <c r="X1316" t="str">
        <f>IF(Table2[[#This Row],[Qty available]]&gt;Table2[[#This Row],[Qty on hand]],"Check","OK")</f>
        <v>OK</v>
      </c>
    </row>
    <row r="1317" spans="1:24" x14ac:dyDescent="0.3">
      <c r="A1317" t="s">
        <v>169</v>
      </c>
      <c r="B1317" t="s">
        <v>170</v>
      </c>
      <c r="C1317" t="s">
        <v>77</v>
      </c>
      <c r="D1317" t="s">
        <v>78</v>
      </c>
      <c r="E1317" t="s">
        <v>66</v>
      </c>
      <c r="F1317" s="1" t="s">
        <v>48</v>
      </c>
      <c r="G1317" s="2">
        <v>617.52</v>
      </c>
      <c r="H1317">
        <v>617.52</v>
      </c>
      <c r="I1317">
        <v>605.538095</v>
      </c>
      <c r="J1317">
        <v>906.34</v>
      </c>
      <c r="K1317">
        <v>60</v>
      </c>
      <c r="L1317" s="2">
        <v>54</v>
      </c>
      <c r="M1317">
        <v>37</v>
      </c>
      <c r="N1317" s="2">
        <v>105</v>
      </c>
      <c r="O1317">
        <v>63581.5</v>
      </c>
      <c r="P1317">
        <v>3</v>
      </c>
      <c r="Q1317">
        <v>102</v>
      </c>
      <c r="R1317">
        <v>24.27</v>
      </c>
      <c r="S1317">
        <v>1</v>
      </c>
      <c r="T1317">
        <v>18</v>
      </c>
      <c r="U1317" s="2">
        <v>16314.12</v>
      </c>
      <c r="V1317">
        <v>0</v>
      </c>
      <c r="W1317" t="s">
        <v>29</v>
      </c>
      <c r="X1317" t="str">
        <f>IF(Table2[[#This Row],[Qty available]]&gt;Table2[[#This Row],[Qty on hand]],"Check","OK")</f>
        <v>OK</v>
      </c>
    </row>
    <row r="1318" spans="1:24" x14ac:dyDescent="0.3">
      <c r="A1318" t="s">
        <v>169</v>
      </c>
      <c r="B1318" t="s">
        <v>170</v>
      </c>
      <c r="C1318" t="s">
        <v>77</v>
      </c>
      <c r="D1318" t="s">
        <v>78</v>
      </c>
      <c r="E1318" t="s">
        <v>66</v>
      </c>
      <c r="F1318" s="1" t="s">
        <v>49</v>
      </c>
      <c r="G1318" s="2">
        <v>638.28</v>
      </c>
      <c r="H1318">
        <v>638.28</v>
      </c>
      <c r="I1318">
        <v>612.03653499999996</v>
      </c>
      <c r="J1318">
        <v>906.34</v>
      </c>
      <c r="K1318">
        <v>60</v>
      </c>
      <c r="L1318" s="2">
        <v>56</v>
      </c>
      <c r="M1318">
        <v>26</v>
      </c>
      <c r="N1318" s="2">
        <v>101</v>
      </c>
      <c r="O1318">
        <v>61815.69</v>
      </c>
      <c r="P1318">
        <v>6</v>
      </c>
      <c r="Q1318">
        <v>95</v>
      </c>
      <c r="R1318">
        <v>21.41</v>
      </c>
      <c r="S1318">
        <v>2</v>
      </c>
      <c r="T1318">
        <v>30</v>
      </c>
      <c r="U1318" s="2">
        <v>27190.2</v>
      </c>
      <c r="V1318">
        <v>0</v>
      </c>
      <c r="W1318" t="s">
        <v>29</v>
      </c>
      <c r="X1318" t="str">
        <f>IF(Table2[[#This Row],[Qty available]]&gt;Table2[[#This Row],[Qty on hand]],"Check","OK")</f>
        <v>OK</v>
      </c>
    </row>
    <row r="1319" spans="1:24" x14ac:dyDescent="0.3">
      <c r="A1319" t="s">
        <v>169</v>
      </c>
      <c r="B1319" t="s">
        <v>170</v>
      </c>
      <c r="C1319" t="s">
        <v>77</v>
      </c>
      <c r="D1319" t="s">
        <v>78</v>
      </c>
      <c r="E1319" t="s">
        <v>66</v>
      </c>
      <c r="F1319" s="1" t="s">
        <v>50</v>
      </c>
      <c r="G1319" s="2">
        <v>627.67999999999995</v>
      </c>
      <c r="H1319">
        <v>627.67999999999995</v>
      </c>
      <c r="I1319">
        <v>612.03658800000005</v>
      </c>
      <c r="J1319">
        <v>906.34</v>
      </c>
      <c r="K1319">
        <v>60</v>
      </c>
      <c r="M1319">
        <v>0</v>
      </c>
      <c r="N1319" s="2">
        <v>85</v>
      </c>
      <c r="O1319">
        <v>52023.11</v>
      </c>
      <c r="P1319">
        <v>3</v>
      </c>
      <c r="Q1319">
        <v>82</v>
      </c>
      <c r="R1319">
        <v>17.27</v>
      </c>
      <c r="S1319">
        <v>9</v>
      </c>
      <c r="T1319">
        <v>16</v>
      </c>
      <c r="U1319" s="2">
        <v>14501.44</v>
      </c>
      <c r="V1319">
        <v>0</v>
      </c>
      <c r="W1319" t="s">
        <v>29</v>
      </c>
      <c r="X1319" t="str">
        <f>IF(Table2[[#This Row],[Qty available]]&gt;Table2[[#This Row],[Qty on hand]],"Check","OK")</f>
        <v>OK</v>
      </c>
    </row>
    <row r="1320" spans="1:24" x14ac:dyDescent="0.3">
      <c r="A1320" t="s">
        <v>169</v>
      </c>
      <c r="B1320" t="s">
        <v>170</v>
      </c>
      <c r="C1320" t="s">
        <v>77</v>
      </c>
      <c r="D1320" t="s">
        <v>78</v>
      </c>
      <c r="E1320" t="s">
        <v>66</v>
      </c>
      <c r="F1320" s="1" t="s">
        <v>51</v>
      </c>
      <c r="G1320" s="2">
        <v>627.15</v>
      </c>
      <c r="H1320">
        <v>627.15</v>
      </c>
      <c r="I1320">
        <v>616.26322200000004</v>
      </c>
      <c r="J1320">
        <v>906.34</v>
      </c>
      <c r="K1320">
        <v>60</v>
      </c>
      <c r="L1320" s="2">
        <v>55</v>
      </c>
      <c r="M1320">
        <v>33</v>
      </c>
      <c r="N1320" s="2">
        <v>90</v>
      </c>
      <c r="O1320">
        <v>55463.69</v>
      </c>
      <c r="P1320">
        <v>6</v>
      </c>
      <c r="Q1320">
        <v>84</v>
      </c>
      <c r="R1320">
        <v>15.98</v>
      </c>
      <c r="S1320">
        <v>2</v>
      </c>
      <c r="T1320">
        <v>28</v>
      </c>
      <c r="U1320" s="2">
        <v>25377.52</v>
      </c>
      <c r="V1320">
        <v>0</v>
      </c>
      <c r="W1320" t="s">
        <v>29</v>
      </c>
      <c r="X1320" t="str">
        <f>IF(Table2[[#This Row],[Qty available]]&gt;Table2[[#This Row],[Qty on hand]],"Check","OK")</f>
        <v>OK</v>
      </c>
    </row>
    <row r="1321" spans="1:24" x14ac:dyDescent="0.3">
      <c r="A1321" t="s">
        <v>169</v>
      </c>
      <c r="B1321" t="s">
        <v>170</v>
      </c>
      <c r="C1321" t="s">
        <v>77</v>
      </c>
      <c r="D1321" t="s">
        <v>78</v>
      </c>
      <c r="E1321" t="s">
        <v>66</v>
      </c>
      <c r="F1321" s="1" t="s">
        <v>52</v>
      </c>
      <c r="G1321" s="2">
        <v>627.96</v>
      </c>
      <c r="H1321">
        <v>627.96</v>
      </c>
      <c r="I1321">
        <v>616.263148</v>
      </c>
      <c r="J1321">
        <v>906.34</v>
      </c>
      <c r="K1321">
        <v>60</v>
      </c>
      <c r="M1321">
        <v>0</v>
      </c>
      <c r="N1321" s="2">
        <v>54</v>
      </c>
      <c r="O1321">
        <v>33278.21</v>
      </c>
      <c r="P1321">
        <v>6</v>
      </c>
      <c r="Q1321">
        <v>48</v>
      </c>
      <c r="R1321">
        <v>8.8699999999999992</v>
      </c>
      <c r="S1321">
        <v>2</v>
      </c>
      <c r="T1321">
        <v>36</v>
      </c>
      <c r="U1321" s="2">
        <v>32628.240000000002</v>
      </c>
      <c r="V1321">
        <v>0</v>
      </c>
      <c r="W1321" t="s">
        <v>29</v>
      </c>
      <c r="X1321" t="str">
        <f>IF(Table2[[#This Row],[Qty available]]&gt;Table2[[#This Row],[Qty on hand]],"Check","OK")</f>
        <v>OK</v>
      </c>
    </row>
    <row r="1322" spans="1:24" x14ac:dyDescent="0.3">
      <c r="A1322" t="s">
        <v>171</v>
      </c>
      <c r="B1322" t="s">
        <v>172</v>
      </c>
      <c r="C1322" t="s">
        <v>77</v>
      </c>
      <c r="D1322" t="s">
        <v>78</v>
      </c>
      <c r="E1322" t="s">
        <v>27</v>
      </c>
      <c r="F1322" s="1" t="s">
        <v>28</v>
      </c>
      <c r="G1322" s="2">
        <v>70.33</v>
      </c>
      <c r="H1322">
        <v>76.209999999999994</v>
      </c>
      <c r="I1322">
        <v>76.068213999999998</v>
      </c>
      <c r="J1322">
        <v>100.81</v>
      </c>
      <c r="K1322">
        <v>23</v>
      </c>
      <c r="L1322" s="2">
        <v>20</v>
      </c>
      <c r="M1322">
        <v>750</v>
      </c>
      <c r="N1322" s="2">
        <v>459</v>
      </c>
      <c r="O1322">
        <v>34915.31</v>
      </c>
      <c r="P1322">
        <v>65</v>
      </c>
      <c r="Q1322">
        <v>394</v>
      </c>
      <c r="R1322">
        <v>7.3</v>
      </c>
      <c r="S1322">
        <v>0</v>
      </c>
      <c r="T1322">
        <v>391</v>
      </c>
      <c r="U1322" s="2">
        <v>39416.71</v>
      </c>
      <c r="V1322">
        <v>0</v>
      </c>
      <c r="W1322" t="s">
        <v>29</v>
      </c>
      <c r="X1322" t="str">
        <f>IF(Table2[[#This Row],[Qty available]]&gt;Table2[[#This Row],[Qty on hand]],"Check","OK")</f>
        <v>OK</v>
      </c>
    </row>
    <row r="1323" spans="1:24" x14ac:dyDescent="0.3">
      <c r="A1323" t="s">
        <v>171</v>
      </c>
      <c r="B1323" t="s">
        <v>172</v>
      </c>
      <c r="C1323" t="s">
        <v>77</v>
      </c>
      <c r="D1323" t="s">
        <v>78</v>
      </c>
      <c r="E1323" t="s">
        <v>27</v>
      </c>
      <c r="F1323" s="1" t="s">
        <v>30</v>
      </c>
      <c r="G1323" s="2">
        <v>69.97</v>
      </c>
      <c r="H1323">
        <v>75.819999999999993</v>
      </c>
      <c r="I1323">
        <v>75.974376000000007</v>
      </c>
      <c r="J1323">
        <v>100.81</v>
      </c>
      <c r="K1323">
        <v>23</v>
      </c>
      <c r="L1323" s="2">
        <v>22</v>
      </c>
      <c r="M1323">
        <v>279</v>
      </c>
      <c r="N1323" s="2">
        <v>505</v>
      </c>
      <c r="O1323">
        <v>38367.06</v>
      </c>
      <c r="P1323">
        <v>65</v>
      </c>
      <c r="Q1323">
        <v>440</v>
      </c>
      <c r="R1323">
        <v>7.14</v>
      </c>
      <c r="S1323">
        <v>0</v>
      </c>
      <c r="T1323">
        <v>233</v>
      </c>
      <c r="U1323" s="2">
        <v>23488.73</v>
      </c>
      <c r="V1323">
        <v>0</v>
      </c>
      <c r="W1323" t="s">
        <v>29</v>
      </c>
      <c r="X1323" t="str">
        <f>IF(Table2[[#This Row],[Qty available]]&gt;Table2[[#This Row],[Qty on hand]],"Check","OK")</f>
        <v>OK</v>
      </c>
    </row>
    <row r="1324" spans="1:24" x14ac:dyDescent="0.3">
      <c r="A1324" t="s">
        <v>171</v>
      </c>
      <c r="B1324" t="s">
        <v>172</v>
      </c>
      <c r="C1324" t="s">
        <v>77</v>
      </c>
      <c r="D1324" t="s">
        <v>78</v>
      </c>
      <c r="E1324" t="s">
        <v>27</v>
      </c>
      <c r="F1324" s="1" t="s">
        <v>31</v>
      </c>
      <c r="G1324" s="2">
        <v>69.900000000000006</v>
      </c>
      <c r="H1324">
        <v>75.75</v>
      </c>
      <c r="I1324">
        <v>75.974377000000004</v>
      </c>
      <c r="J1324">
        <v>100.81</v>
      </c>
      <c r="K1324">
        <v>23</v>
      </c>
      <c r="M1324">
        <v>0</v>
      </c>
      <c r="N1324" s="2">
        <v>313</v>
      </c>
      <c r="O1324">
        <v>23779.98</v>
      </c>
      <c r="P1324">
        <v>65</v>
      </c>
      <c r="Q1324">
        <v>248</v>
      </c>
      <c r="R1324">
        <v>4.99</v>
      </c>
      <c r="S1324">
        <v>4</v>
      </c>
      <c r="T1324">
        <v>192</v>
      </c>
      <c r="U1324" s="2">
        <v>19355.52</v>
      </c>
      <c r="V1324">
        <v>0</v>
      </c>
      <c r="W1324" t="s">
        <v>29</v>
      </c>
      <c r="X1324" t="str">
        <f>IF(Table2[[#This Row],[Qty available]]&gt;Table2[[#This Row],[Qty on hand]],"Check","OK")</f>
        <v>OK</v>
      </c>
    </row>
    <row r="1325" spans="1:24" x14ac:dyDescent="0.3">
      <c r="A1325" t="s">
        <v>171</v>
      </c>
      <c r="B1325" t="s">
        <v>172</v>
      </c>
      <c r="C1325" t="s">
        <v>77</v>
      </c>
      <c r="D1325" t="s">
        <v>78</v>
      </c>
      <c r="E1325" t="s">
        <v>27</v>
      </c>
      <c r="F1325" s="1" t="s">
        <v>32</v>
      </c>
      <c r="G1325" s="2">
        <v>70.430000000000007</v>
      </c>
      <c r="H1325">
        <v>76.319999999999993</v>
      </c>
      <c r="I1325">
        <v>76.111969000000002</v>
      </c>
      <c r="J1325">
        <v>100.81</v>
      </c>
      <c r="K1325">
        <v>23</v>
      </c>
      <c r="L1325" s="2">
        <v>20</v>
      </c>
      <c r="M1325">
        <v>207</v>
      </c>
      <c r="N1325" s="2">
        <v>457</v>
      </c>
      <c r="O1325">
        <v>34783.17</v>
      </c>
      <c r="P1325">
        <v>65</v>
      </c>
      <c r="Q1325">
        <v>392</v>
      </c>
      <c r="R1325">
        <v>12.31</v>
      </c>
      <c r="S1325">
        <v>0</v>
      </c>
      <c r="T1325">
        <v>63</v>
      </c>
      <c r="U1325" s="2">
        <v>6351.03</v>
      </c>
      <c r="V1325">
        <v>0</v>
      </c>
      <c r="W1325" t="s">
        <v>29</v>
      </c>
      <c r="X1325" t="str">
        <f>IF(Table2[[#This Row],[Qty available]]&gt;Table2[[#This Row],[Qty on hand]],"Check","OK")</f>
        <v>OK</v>
      </c>
    </row>
    <row r="1326" spans="1:24" x14ac:dyDescent="0.3">
      <c r="A1326" t="s">
        <v>171</v>
      </c>
      <c r="B1326" t="s">
        <v>172</v>
      </c>
      <c r="C1326" t="s">
        <v>77</v>
      </c>
      <c r="D1326" t="s">
        <v>78</v>
      </c>
      <c r="E1326" t="s">
        <v>27</v>
      </c>
      <c r="F1326" s="1" t="s">
        <v>33</v>
      </c>
      <c r="G1326" s="2">
        <v>68.84</v>
      </c>
      <c r="H1326">
        <v>74.599999999999994</v>
      </c>
      <c r="I1326">
        <v>76.111951000000005</v>
      </c>
      <c r="J1326">
        <v>100.81</v>
      </c>
      <c r="K1326">
        <v>23</v>
      </c>
      <c r="M1326">
        <v>0</v>
      </c>
      <c r="N1326" s="2">
        <v>205</v>
      </c>
      <c r="O1326">
        <v>15602.95</v>
      </c>
      <c r="P1326">
        <v>65</v>
      </c>
      <c r="Q1326">
        <v>140</v>
      </c>
      <c r="R1326">
        <v>5.31</v>
      </c>
      <c r="S1326">
        <v>4</v>
      </c>
      <c r="T1326">
        <v>252</v>
      </c>
      <c r="U1326" s="2">
        <v>25404.12</v>
      </c>
      <c r="V1326">
        <v>0</v>
      </c>
      <c r="W1326" t="s">
        <v>29</v>
      </c>
      <c r="X1326" t="str">
        <f>IF(Table2[[#This Row],[Qty available]]&gt;Table2[[#This Row],[Qty on hand]],"Check","OK")</f>
        <v>OK</v>
      </c>
    </row>
    <row r="1327" spans="1:24" x14ac:dyDescent="0.3">
      <c r="A1327" t="s">
        <v>171</v>
      </c>
      <c r="B1327" t="s">
        <v>172</v>
      </c>
      <c r="C1327" t="s">
        <v>77</v>
      </c>
      <c r="D1327" t="s">
        <v>78</v>
      </c>
      <c r="E1327" t="s">
        <v>27</v>
      </c>
      <c r="F1327" s="1" t="s">
        <v>34</v>
      </c>
      <c r="G1327" s="2">
        <v>69.069999999999993</v>
      </c>
      <c r="H1327">
        <v>74.849999999999994</v>
      </c>
      <c r="I1327">
        <v>75.306262000000004</v>
      </c>
      <c r="J1327">
        <v>106.64</v>
      </c>
      <c r="K1327">
        <v>23</v>
      </c>
      <c r="L1327" s="2">
        <v>20</v>
      </c>
      <c r="M1327">
        <v>362</v>
      </c>
      <c r="N1327" s="2">
        <v>305</v>
      </c>
      <c r="O1327">
        <v>22968.41</v>
      </c>
      <c r="P1327">
        <v>40</v>
      </c>
      <c r="Q1327">
        <v>265</v>
      </c>
      <c r="R1327">
        <v>6.8</v>
      </c>
      <c r="S1327">
        <v>1</v>
      </c>
      <c r="T1327">
        <v>262</v>
      </c>
      <c r="U1327" s="2">
        <v>27939.68</v>
      </c>
      <c r="V1327">
        <v>0</v>
      </c>
      <c r="W1327" t="s">
        <v>29</v>
      </c>
      <c r="X1327" t="str">
        <f>IF(Table2[[#This Row],[Qty available]]&gt;Table2[[#This Row],[Qty on hand]],"Check","OK")</f>
        <v>OK</v>
      </c>
    </row>
    <row r="1328" spans="1:24" x14ac:dyDescent="0.3">
      <c r="A1328" t="s">
        <v>171</v>
      </c>
      <c r="B1328" t="s">
        <v>172</v>
      </c>
      <c r="C1328" t="s">
        <v>77</v>
      </c>
      <c r="D1328" t="s">
        <v>78</v>
      </c>
      <c r="E1328" t="s">
        <v>27</v>
      </c>
      <c r="F1328" s="1" t="s">
        <v>35</v>
      </c>
      <c r="G1328" s="2">
        <v>73.97</v>
      </c>
      <c r="H1328">
        <v>80.16</v>
      </c>
      <c r="I1328">
        <v>77.251546000000005</v>
      </c>
      <c r="J1328">
        <v>106.64</v>
      </c>
      <c r="K1328">
        <v>23</v>
      </c>
      <c r="L1328" s="2">
        <v>21</v>
      </c>
      <c r="M1328">
        <v>204</v>
      </c>
      <c r="N1328" s="2">
        <v>97</v>
      </c>
      <c r="O1328">
        <v>7493.4</v>
      </c>
      <c r="P1328">
        <v>56</v>
      </c>
      <c r="Q1328">
        <v>41</v>
      </c>
      <c r="R1328">
        <v>1.35</v>
      </c>
      <c r="S1328">
        <v>0</v>
      </c>
      <c r="T1328">
        <v>412</v>
      </c>
      <c r="U1328" s="2">
        <v>43935.68</v>
      </c>
      <c r="V1328">
        <v>0</v>
      </c>
      <c r="W1328" t="s">
        <v>29</v>
      </c>
      <c r="X1328" t="str">
        <f>IF(Table2[[#This Row],[Qty available]]&gt;Table2[[#This Row],[Qty on hand]],"Check","OK")</f>
        <v>OK</v>
      </c>
    </row>
    <row r="1329" spans="1:24" x14ac:dyDescent="0.3">
      <c r="A1329" t="s">
        <v>171</v>
      </c>
      <c r="B1329" t="s">
        <v>172</v>
      </c>
      <c r="C1329" t="s">
        <v>77</v>
      </c>
      <c r="D1329" t="s">
        <v>78</v>
      </c>
      <c r="E1329" t="s">
        <v>27</v>
      </c>
      <c r="F1329" s="1" t="s">
        <v>36</v>
      </c>
      <c r="G1329" s="2">
        <v>73.62</v>
      </c>
      <c r="H1329">
        <v>79.78</v>
      </c>
      <c r="I1329">
        <v>79.102475999999996</v>
      </c>
      <c r="J1329">
        <v>106.64</v>
      </c>
      <c r="K1329">
        <v>23</v>
      </c>
      <c r="L1329" s="2">
        <v>21</v>
      </c>
      <c r="M1329">
        <v>265</v>
      </c>
      <c r="N1329" s="2">
        <v>105</v>
      </c>
      <c r="O1329">
        <v>8305.76</v>
      </c>
      <c r="P1329">
        <v>24</v>
      </c>
      <c r="Q1329">
        <v>81</v>
      </c>
      <c r="R1329">
        <v>1.43</v>
      </c>
      <c r="S1329">
        <v>0</v>
      </c>
      <c r="T1329">
        <v>257</v>
      </c>
      <c r="U1329" s="2">
        <v>27406.48</v>
      </c>
      <c r="V1329">
        <v>0</v>
      </c>
      <c r="W1329" t="s">
        <v>29</v>
      </c>
      <c r="X1329" t="str">
        <f>IF(Table2[[#This Row],[Qty available]]&gt;Table2[[#This Row],[Qty on hand]],"Check","OK")</f>
        <v>OK</v>
      </c>
    </row>
    <row r="1330" spans="1:24" x14ac:dyDescent="0.3">
      <c r="A1330" t="s">
        <v>171</v>
      </c>
      <c r="B1330" t="s">
        <v>172</v>
      </c>
      <c r="C1330" t="s">
        <v>77</v>
      </c>
      <c r="D1330" t="s">
        <v>78</v>
      </c>
      <c r="E1330" t="s">
        <v>27</v>
      </c>
      <c r="F1330" s="1" t="s">
        <v>37</v>
      </c>
      <c r="G1330" s="2">
        <v>73.97</v>
      </c>
      <c r="H1330">
        <v>80.16</v>
      </c>
      <c r="I1330">
        <v>80.024420000000006</v>
      </c>
      <c r="J1330">
        <v>106.64</v>
      </c>
      <c r="K1330">
        <v>23</v>
      </c>
      <c r="L1330" s="2">
        <v>21</v>
      </c>
      <c r="M1330">
        <v>714</v>
      </c>
      <c r="N1330" s="2">
        <v>500</v>
      </c>
      <c r="O1330">
        <v>40012.21</v>
      </c>
      <c r="P1330">
        <v>24</v>
      </c>
      <c r="Q1330">
        <v>476</v>
      </c>
      <c r="R1330">
        <v>6.65</v>
      </c>
      <c r="S1330">
        <v>0</v>
      </c>
      <c r="T1330">
        <v>319</v>
      </c>
      <c r="U1330" s="2">
        <v>34018.160000000003</v>
      </c>
      <c r="V1330">
        <v>0</v>
      </c>
      <c r="W1330" t="s">
        <v>29</v>
      </c>
      <c r="X1330" t="str">
        <f>IF(Table2[[#This Row],[Qty available]]&gt;Table2[[#This Row],[Qty on hand]],"Check","OK")</f>
        <v>OK</v>
      </c>
    </row>
    <row r="1331" spans="1:24" x14ac:dyDescent="0.3">
      <c r="A1331" t="s">
        <v>171</v>
      </c>
      <c r="B1331" t="s">
        <v>172</v>
      </c>
      <c r="C1331" t="s">
        <v>77</v>
      </c>
      <c r="D1331" t="s">
        <v>78</v>
      </c>
      <c r="E1331" t="s">
        <v>27</v>
      </c>
      <c r="F1331" s="1" t="s">
        <v>38</v>
      </c>
      <c r="G1331" s="2">
        <v>74.61</v>
      </c>
      <c r="H1331">
        <v>80.849999999999994</v>
      </c>
      <c r="I1331">
        <v>80.024428</v>
      </c>
      <c r="J1331">
        <v>106.64</v>
      </c>
      <c r="K1331">
        <v>23</v>
      </c>
      <c r="M1331">
        <v>0</v>
      </c>
      <c r="N1331" s="2">
        <v>402</v>
      </c>
      <c r="O1331">
        <v>32169.82</v>
      </c>
      <c r="P1331">
        <v>40</v>
      </c>
      <c r="Q1331">
        <v>362</v>
      </c>
      <c r="R1331">
        <v>7.75</v>
      </c>
      <c r="S1331">
        <v>0</v>
      </c>
      <c r="T1331">
        <v>98</v>
      </c>
      <c r="U1331" s="2">
        <v>10450.719999999999</v>
      </c>
      <c r="V1331">
        <v>0</v>
      </c>
      <c r="W1331" t="s">
        <v>29</v>
      </c>
      <c r="X1331" t="str">
        <f>IF(Table2[[#This Row],[Qty available]]&gt;Table2[[#This Row],[Qty on hand]],"Check","OK")</f>
        <v>OK</v>
      </c>
    </row>
    <row r="1332" spans="1:24" x14ac:dyDescent="0.3">
      <c r="A1332" t="s">
        <v>171</v>
      </c>
      <c r="B1332" t="s">
        <v>172</v>
      </c>
      <c r="C1332" t="s">
        <v>77</v>
      </c>
      <c r="D1332" t="s">
        <v>78</v>
      </c>
      <c r="E1332" t="s">
        <v>27</v>
      </c>
      <c r="F1332" s="1" t="s">
        <v>39</v>
      </c>
      <c r="G1332" s="2">
        <v>73.540000000000006</v>
      </c>
      <c r="H1332">
        <v>79.69</v>
      </c>
      <c r="I1332">
        <v>79.961590000000001</v>
      </c>
      <c r="J1332">
        <v>106.64</v>
      </c>
      <c r="K1332">
        <v>23</v>
      </c>
      <c r="L1332" s="2">
        <v>23</v>
      </c>
      <c r="M1332">
        <v>93</v>
      </c>
      <c r="N1332" s="2">
        <v>239</v>
      </c>
      <c r="O1332">
        <v>19110.82</v>
      </c>
      <c r="P1332">
        <v>24</v>
      </c>
      <c r="Q1332">
        <v>215</v>
      </c>
      <c r="R1332">
        <v>4.67</v>
      </c>
      <c r="S1332">
        <v>3</v>
      </c>
      <c r="T1332">
        <v>256</v>
      </c>
      <c r="U1332" s="2">
        <v>27299.84</v>
      </c>
      <c r="V1332">
        <v>0</v>
      </c>
      <c r="W1332" t="s">
        <v>29</v>
      </c>
      <c r="X1332" t="str">
        <f>IF(Table2[[#This Row],[Qty available]]&gt;Table2[[#This Row],[Qty on hand]],"Check","OK")</f>
        <v>OK</v>
      </c>
    </row>
    <row r="1333" spans="1:24" x14ac:dyDescent="0.3">
      <c r="A1333" t="s">
        <v>171</v>
      </c>
      <c r="B1333" t="s">
        <v>172</v>
      </c>
      <c r="C1333" t="s">
        <v>77</v>
      </c>
      <c r="D1333" t="s">
        <v>78</v>
      </c>
      <c r="E1333" t="s">
        <v>27</v>
      </c>
      <c r="F1333" s="1" t="s">
        <v>40</v>
      </c>
      <c r="G1333" s="2">
        <v>73.55</v>
      </c>
      <c r="H1333">
        <v>79.7</v>
      </c>
      <c r="I1333">
        <v>79.810068999999999</v>
      </c>
      <c r="J1333">
        <v>106.64</v>
      </c>
      <c r="K1333">
        <v>23</v>
      </c>
      <c r="L1333" s="2">
        <v>27</v>
      </c>
      <c r="M1333">
        <v>329</v>
      </c>
      <c r="N1333" s="2">
        <v>437</v>
      </c>
      <c r="O1333">
        <v>34877</v>
      </c>
      <c r="P1333">
        <v>73</v>
      </c>
      <c r="Q1333">
        <v>364</v>
      </c>
      <c r="R1333">
        <v>11.84</v>
      </c>
      <c r="S1333">
        <v>0</v>
      </c>
      <c r="T1333">
        <v>131</v>
      </c>
      <c r="U1333" s="2">
        <v>13969.84</v>
      </c>
      <c r="V1333">
        <v>0</v>
      </c>
      <c r="W1333" t="s">
        <v>29</v>
      </c>
      <c r="X1333" t="str">
        <f>IF(Table2[[#This Row],[Qty available]]&gt;Table2[[#This Row],[Qty on hand]],"Check","OK")</f>
        <v>OK</v>
      </c>
    </row>
    <row r="1334" spans="1:24" x14ac:dyDescent="0.3">
      <c r="A1334" t="s">
        <v>171</v>
      </c>
      <c r="B1334" t="s">
        <v>172</v>
      </c>
      <c r="C1334" t="s">
        <v>77</v>
      </c>
      <c r="D1334" t="s">
        <v>78</v>
      </c>
      <c r="E1334" t="s">
        <v>27</v>
      </c>
      <c r="F1334" s="1" t="s">
        <v>41</v>
      </c>
      <c r="G1334" s="2">
        <v>72.91</v>
      </c>
      <c r="H1334">
        <v>79.010000000000005</v>
      </c>
      <c r="I1334">
        <v>79.810062000000002</v>
      </c>
      <c r="J1334">
        <v>106.64</v>
      </c>
      <c r="K1334">
        <v>23</v>
      </c>
      <c r="M1334">
        <v>0</v>
      </c>
      <c r="N1334" s="2">
        <v>162</v>
      </c>
      <c r="O1334">
        <v>12929.23</v>
      </c>
      <c r="P1334">
        <v>81</v>
      </c>
      <c r="Q1334">
        <v>81</v>
      </c>
      <c r="R1334">
        <v>3.22</v>
      </c>
      <c r="S1334">
        <v>0</v>
      </c>
      <c r="T1334">
        <v>275</v>
      </c>
      <c r="U1334" s="2">
        <v>29326</v>
      </c>
      <c r="V1334">
        <v>0</v>
      </c>
      <c r="W1334" t="s">
        <v>29</v>
      </c>
      <c r="X1334" t="str">
        <f>IF(Table2[[#This Row],[Qty available]]&gt;Table2[[#This Row],[Qty on hand]],"Check","OK")</f>
        <v>OK</v>
      </c>
    </row>
    <row r="1335" spans="1:24" x14ac:dyDescent="0.3">
      <c r="A1335" t="s">
        <v>171</v>
      </c>
      <c r="B1335" t="s">
        <v>172</v>
      </c>
      <c r="C1335" t="s">
        <v>77</v>
      </c>
      <c r="D1335" t="s">
        <v>78</v>
      </c>
      <c r="E1335" t="s">
        <v>27</v>
      </c>
      <c r="F1335" s="1" t="s">
        <v>42</v>
      </c>
      <c r="G1335" s="2">
        <v>73.59</v>
      </c>
      <c r="H1335">
        <v>79.739999999999995</v>
      </c>
      <c r="I1335">
        <v>79.760875999999996</v>
      </c>
      <c r="J1335">
        <v>106.64</v>
      </c>
      <c r="K1335">
        <v>23</v>
      </c>
      <c r="L1335" s="2">
        <v>22</v>
      </c>
      <c r="M1335">
        <v>382</v>
      </c>
      <c r="N1335" s="2">
        <v>354</v>
      </c>
      <c r="O1335">
        <v>28235.35</v>
      </c>
      <c r="P1335">
        <v>65</v>
      </c>
      <c r="Q1335">
        <v>289</v>
      </c>
      <c r="R1335">
        <v>7.81</v>
      </c>
      <c r="S1335">
        <v>0</v>
      </c>
      <c r="T1335">
        <v>190</v>
      </c>
      <c r="U1335" s="2">
        <v>20261.599999999999</v>
      </c>
      <c r="V1335">
        <v>0</v>
      </c>
      <c r="W1335" t="s">
        <v>29</v>
      </c>
      <c r="X1335" t="str">
        <f>IF(Table2[[#This Row],[Qty available]]&gt;Table2[[#This Row],[Qty on hand]],"Check","OK")</f>
        <v>OK</v>
      </c>
    </row>
    <row r="1336" spans="1:24" x14ac:dyDescent="0.3">
      <c r="A1336" t="s">
        <v>171</v>
      </c>
      <c r="B1336" t="s">
        <v>172</v>
      </c>
      <c r="C1336" t="s">
        <v>77</v>
      </c>
      <c r="D1336" t="s">
        <v>78</v>
      </c>
      <c r="E1336" t="s">
        <v>27</v>
      </c>
      <c r="F1336" s="1" t="s">
        <v>43</v>
      </c>
      <c r="G1336" s="2">
        <v>72.12</v>
      </c>
      <c r="H1336">
        <v>78.150000000000006</v>
      </c>
      <c r="I1336">
        <v>79.031369999999995</v>
      </c>
      <c r="J1336">
        <v>106.64</v>
      </c>
      <c r="K1336">
        <v>23</v>
      </c>
      <c r="L1336" s="2">
        <v>22</v>
      </c>
      <c r="M1336">
        <v>293</v>
      </c>
      <c r="N1336" s="2">
        <v>292</v>
      </c>
      <c r="O1336">
        <v>23077.16</v>
      </c>
      <c r="P1336">
        <v>32</v>
      </c>
      <c r="Q1336">
        <v>260</v>
      </c>
      <c r="R1336">
        <v>4.63</v>
      </c>
      <c r="S1336">
        <v>2</v>
      </c>
      <c r="T1336">
        <v>355</v>
      </c>
      <c r="U1336" s="2">
        <v>37857.199999999997</v>
      </c>
      <c r="V1336">
        <v>0</v>
      </c>
      <c r="W1336" t="s">
        <v>29</v>
      </c>
      <c r="X1336" t="str">
        <f>IF(Table2[[#This Row],[Qty available]]&gt;Table2[[#This Row],[Qty on hand]],"Check","OK")</f>
        <v>OK</v>
      </c>
    </row>
    <row r="1337" spans="1:24" x14ac:dyDescent="0.3">
      <c r="A1337" t="s">
        <v>171</v>
      </c>
      <c r="B1337" t="s">
        <v>172</v>
      </c>
      <c r="C1337" t="s">
        <v>77</v>
      </c>
      <c r="D1337" t="s">
        <v>78</v>
      </c>
      <c r="E1337" t="s">
        <v>27</v>
      </c>
      <c r="F1337" s="1" t="s">
        <v>44</v>
      </c>
      <c r="G1337" s="2">
        <v>73.11</v>
      </c>
      <c r="H1337">
        <v>79.22</v>
      </c>
      <c r="I1337">
        <v>79.080832999999998</v>
      </c>
      <c r="J1337">
        <v>106.64</v>
      </c>
      <c r="K1337">
        <v>23</v>
      </c>
      <c r="L1337" s="2">
        <v>21</v>
      </c>
      <c r="M1337">
        <v>104</v>
      </c>
      <c r="N1337" s="2">
        <v>24</v>
      </c>
      <c r="O1337">
        <v>1897.94</v>
      </c>
      <c r="P1337">
        <v>24</v>
      </c>
      <c r="Q1337">
        <v>0</v>
      </c>
      <c r="R1337">
        <v>0.34</v>
      </c>
      <c r="S1337">
        <v>1</v>
      </c>
      <c r="T1337">
        <v>372</v>
      </c>
      <c r="U1337" s="2">
        <v>39670.080000000002</v>
      </c>
      <c r="V1337">
        <v>0</v>
      </c>
      <c r="W1337" t="s">
        <v>29</v>
      </c>
      <c r="X1337" t="str">
        <f>IF(Table2[[#This Row],[Qty available]]&gt;Table2[[#This Row],[Qty on hand]],"Check","OK")</f>
        <v>OK</v>
      </c>
    </row>
    <row r="1338" spans="1:24" x14ac:dyDescent="0.3">
      <c r="A1338" t="s">
        <v>171</v>
      </c>
      <c r="B1338" t="s">
        <v>172</v>
      </c>
      <c r="C1338" t="s">
        <v>77</v>
      </c>
      <c r="D1338" t="s">
        <v>78</v>
      </c>
      <c r="E1338" t="s">
        <v>27</v>
      </c>
      <c r="F1338" s="1" t="s">
        <v>45</v>
      </c>
      <c r="G1338" s="2">
        <v>73.87</v>
      </c>
      <c r="H1338">
        <v>80.05</v>
      </c>
      <c r="I1338">
        <v>80.007223999999994</v>
      </c>
      <c r="J1338">
        <v>106.64</v>
      </c>
      <c r="K1338">
        <v>23</v>
      </c>
      <c r="L1338" s="2">
        <v>21</v>
      </c>
      <c r="M1338">
        <v>520</v>
      </c>
      <c r="N1338" s="2">
        <v>245</v>
      </c>
      <c r="O1338">
        <v>19601.77</v>
      </c>
      <c r="P1338">
        <v>73</v>
      </c>
      <c r="Q1338">
        <v>172</v>
      </c>
      <c r="R1338">
        <v>3.14</v>
      </c>
      <c r="S1338">
        <v>0</v>
      </c>
      <c r="T1338">
        <v>299</v>
      </c>
      <c r="U1338" s="2">
        <v>31885.360000000001</v>
      </c>
      <c r="V1338">
        <v>0</v>
      </c>
      <c r="W1338" t="s">
        <v>29</v>
      </c>
      <c r="X1338" t="str">
        <f>IF(Table2[[#This Row],[Qty available]]&gt;Table2[[#This Row],[Qty on hand]],"Check","OK")</f>
        <v>OK</v>
      </c>
    </row>
    <row r="1339" spans="1:24" x14ac:dyDescent="0.3">
      <c r="A1339" t="s">
        <v>171</v>
      </c>
      <c r="B1339" t="s">
        <v>172</v>
      </c>
      <c r="C1339" t="s">
        <v>77</v>
      </c>
      <c r="D1339" t="s">
        <v>78</v>
      </c>
      <c r="E1339" t="s">
        <v>27</v>
      </c>
      <c r="F1339" s="1" t="s">
        <v>46</v>
      </c>
      <c r="G1339" s="2">
        <v>72.88</v>
      </c>
      <c r="H1339">
        <v>78.98</v>
      </c>
      <c r="I1339">
        <v>79.472492000000003</v>
      </c>
      <c r="J1339">
        <v>112.8</v>
      </c>
      <c r="K1339">
        <v>23</v>
      </c>
      <c r="L1339" s="2">
        <v>21</v>
      </c>
      <c r="M1339">
        <v>266</v>
      </c>
      <c r="N1339" s="2">
        <v>325</v>
      </c>
      <c r="O1339">
        <v>25828.560000000001</v>
      </c>
      <c r="P1339">
        <v>65</v>
      </c>
      <c r="Q1339">
        <v>260</v>
      </c>
      <c r="R1339">
        <v>4.88</v>
      </c>
      <c r="S1339">
        <v>3</v>
      </c>
      <c r="T1339">
        <v>186</v>
      </c>
      <c r="U1339" s="2">
        <v>20980.799999999999</v>
      </c>
      <c r="V1339">
        <v>0</v>
      </c>
      <c r="W1339" t="s">
        <v>29</v>
      </c>
      <c r="X1339" t="str">
        <f>IF(Table2[[#This Row],[Qty available]]&gt;Table2[[#This Row],[Qty on hand]],"Check","OK")</f>
        <v>OK</v>
      </c>
    </row>
    <row r="1340" spans="1:24" x14ac:dyDescent="0.3">
      <c r="A1340" t="s">
        <v>171</v>
      </c>
      <c r="B1340" t="s">
        <v>172</v>
      </c>
      <c r="C1340" t="s">
        <v>77</v>
      </c>
      <c r="D1340" t="s">
        <v>78</v>
      </c>
      <c r="E1340" t="s">
        <v>27</v>
      </c>
      <c r="F1340" s="1" t="s">
        <v>47</v>
      </c>
      <c r="G1340" s="2">
        <v>77.239999999999995</v>
      </c>
      <c r="H1340">
        <v>83.7</v>
      </c>
      <c r="I1340">
        <v>80.555985000000007</v>
      </c>
      <c r="J1340">
        <v>112.8</v>
      </c>
      <c r="K1340">
        <v>23</v>
      </c>
      <c r="L1340" s="2">
        <v>30</v>
      </c>
      <c r="M1340">
        <v>112</v>
      </c>
      <c r="N1340" s="2">
        <v>137</v>
      </c>
      <c r="O1340">
        <v>11036.17</v>
      </c>
      <c r="P1340">
        <v>65</v>
      </c>
      <c r="Q1340">
        <v>72</v>
      </c>
      <c r="R1340">
        <v>2.2400000000000002</v>
      </c>
      <c r="S1340">
        <v>1</v>
      </c>
      <c r="T1340">
        <v>300</v>
      </c>
      <c r="U1340" s="2">
        <v>33840</v>
      </c>
      <c r="V1340">
        <v>0</v>
      </c>
      <c r="W1340" t="s">
        <v>29</v>
      </c>
      <c r="X1340" t="str">
        <f>IF(Table2[[#This Row],[Qty available]]&gt;Table2[[#This Row],[Qty on hand]],"Check","OK")</f>
        <v>OK</v>
      </c>
    </row>
    <row r="1341" spans="1:24" x14ac:dyDescent="0.3">
      <c r="A1341" t="s">
        <v>171</v>
      </c>
      <c r="B1341" t="s">
        <v>172</v>
      </c>
      <c r="C1341" t="s">
        <v>77</v>
      </c>
      <c r="D1341" t="s">
        <v>78</v>
      </c>
      <c r="E1341" t="s">
        <v>27</v>
      </c>
      <c r="F1341" s="1" t="s">
        <v>48</v>
      </c>
      <c r="G1341" s="2">
        <v>78.06</v>
      </c>
      <c r="H1341">
        <v>84.59</v>
      </c>
      <c r="I1341">
        <v>83.473522000000003</v>
      </c>
      <c r="J1341">
        <v>112.8</v>
      </c>
      <c r="K1341">
        <v>23</v>
      </c>
      <c r="L1341" s="2">
        <v>27</v>
      </c>
      <c r="M1341">
        <v>358</v>
      </c>
      <c r="N1341" s="2">
        <v>301</v>
      </c>
      <c r="O1341">
        <v>25125.53</v>
      </c>
      <c r="P1341">
        <v>56</v>
      </c>
      <c r="Q1341">
        <v>245</v>
      </c>
      <c r="R1341">
        <v>5.63</v>
      </c>
      <c r="S1341">
        <v>0</v>
      </c>
      <c r="T1341">
        <v>194</v>
      </c>
      <c r="U1341" s="2">
        <v>21883.200000000001</v>
      </c>
      <c r="V1341">
        <v>0</v>
      </c>
      <c r="W1341" t="s">
        <v>29</v>
      </c>
      <c r="X1341" t="str">
        <f>IF(Table2[[#This Row],[Qty available]]&gt;Table2[[#This Row],[Qty on hand]],"Check","OK")</f>
        <v>OK</v>
      </c>
    </row>
    <row r="1342" spans="1:24" x14ac:dyDescent="0.3">
      <c r="A1342" t="s">
        <v>171</v>
      </c>
      <c r="B1342" t="s">
        <v>172</v>
      </c>
      <c r="C1342" t="s">
        <v>77</v>
      </c>
      <c r="D1342" t="s">
        <v>78</v>
      </c>
      <c r="E1342" t="s">
        <v>27</v>
      </c>
      <c r="F1342" s="1" t="s">
        <v>49</v>
      </c>
      <c r="G1342" s="2">
        <v>78.44</v>
      </c>
      <c r="H1342">
        <v>85</v>
      </c>
      <c r="I1342">
        <v>83.586236999999997</v>
      </c>
      <c r="J1342">
        <v>112.8</v>
      </c>
      <c r="K1342">
        <v>23</v>
      </c>
      <c r="L1342" s="2">
        <v>21</v>
      </c>
      <c r="M1342">
        <v>24</v>
      </c>
      <c r="N1342" s="2">
        <v>287</v>
      </c>
      <c r="O1342">
        <v>23989.25</v>
      </c>
      <c r="P1342">
        <v>81</v>
      </c>
      <c r="Q1342">
        <v>206</v>
      </c>
      <c r="R1342">
        <v>7.09</v>
      </c>
      <c r="S1342">
        <v>4</v>
      </c>
      <c r="T1342">
        <v>38</v>
      </c>
      <c r="U1342" s="2">
        <v>4286.3999999999996</v>
      </c>
      <c r="V1342">
        <v>0</v>
      </c>
      <c r="W1342" t="s">
        <v>29</v>
      </c>
      <c r="X1342" t="str">
        <f>IF(Table2[[#This Row],[Qty available]]&gt;Table2[[#This Row],[Qty on hand]],"Check","OK")</f>
        <v>OK</v>
      </c>
    </row>
    <row r="1343" spans="1:24" x14ac:dyDescent="0.3">
      <c r="A1343" t="s">
        <v>171</v>
      </c>
      <c r="B1343" t="s">
        <v>172</v>
      </c>
      <c r="C1343" t="s">
        <v>77</v>
      </c>
      <c r="D1343" t="s">
        <v>78</v>
      </c>
      <c r="E1343" t="s">
        <v>27</v>
      </c>
      <c r="F1343" s="1" t="s">
        <v>50</v>
      </c>
      <c r="G1343" s="2">
        <v>78.66</v>
      </c>
      <c r="H1343">
        <v>85.24</v>
      </c>
      <c r="I1343">
        <v>83.586250000000007</v>
      </c>
      <c r="J1343">
        <v>112.8</v>
      </c>
      <c r="K1343">
        <v>23</v>
      </c>
      <c r="M1343">
        <v>0</v>
      </c>
      <c r="N1343" s="2">
        <v>88</v>
      </c>
      <c r="O1343">
        <v>7355.59</v>
      </c>
      <c r="P1343">
        <v>16</v>
      </c>
      <c r="Q1343">
        <v>72</v>
      </c>
      <c r="R1343">
        <v>2.65</v>
      </c>
      <c r="S1343">
        <v>7</v>
      </c>
      <c r="T1343">
        <v>199</v>
      </c>
      <c r="U1343" s="2">
        <v>22447.200000000001</v>
      </c>
      <c r="V1343">
        <v>0</v>
      </c>
      <c r="W1343" t="s">
        <v>29</v>
      </c>
      <c r="X1343" t="str">
        <f>IF(Table2[[#This Row],[Qty available]]&gt;Table2[[#This Row],[Qty on hand]],"Check","OK")</f>
        <v>OK</v>
      </c>
    </row>
    <row r="1344" spans="1:24" x14ac:dyDescent="0.3">
      <c r="A1344" t="s">
        <v>171</v>
      </c>
      <c r="B1344" t="s">
        <v>172</v>
      </c>
      <c r="C1344" t="s">
        <v>77</v>
      </c>
      <c r="D1344" t="s">
        <v>78</v>
      </c>
      <c r="E1344" t="s">
        <v>27</v>
      </c>
      <c r="F1344" s="1" t="s">
        <v>51</v>
      </c>
      <c r="G1344" s="2">
        <v>77.58</v>
      </c>
      <c r="H1344">
        <v>84.07</v>
      </c>
      <c r="I1344">
        <v>83.963809999999995</v>
      </c>
      <c r="J1344">
        <v>112.8</v>
      </c>
      <c r="K1344">
        <v>23</v>
      </c>
      <c r="L1344" s="2">
        <v>23</v>
      </c>
      <c r="M1344">
        <v>313</v>
      </c>
      <c r="N1344" s="2">
        <v>21</v>
      </c>
      <c r="O1344">
        <v>1763.24</v>
      </c>
      <c r="P1344">
        <v>21</v>
      </c>
      <c r="Q1344">
        <v>0</v>
      </c>
      <c r="R1344">
        <v>0.45</v>
      </c>
      <c r="S1344">
        <v>3</v>
      </c>
      <c r="T1344">
        <v>380</v>
      </c>
      <c r="U1344" s="2">
        <v>42864</v>
      </c>
      <c r="V1344">
        <v>0</v>
      </c>
      <c r="W1344" t="s">
        <v>29</v>
      </c>
      <c r="X1344" t="str">
        <f>IF(Table2[[#This Row],[Qty available]]&gt;Table2[[#This Row],[Qty on hand]],"Check","OK")</f>
        <v>OK</v>
      </c>
    </row>
    <row r="1345" spans="1:24" x14ac:dyDescent="0.3">
      <c r="A1345" t="s">
        <v>171</v>
      </c>
      <c r="B1345" t="s">
        <v>172</v>
      </c>
      <c r="C1345" t="s">
        <v>77</v>
      </c>
      <c r="D1345" t="s">
        <v>78</v>
      </c>
      <c r="E1345" t="s">
        <v>27</v>
      </c>
      <c r="F1345" s="1" t="s">
        <v>52</v>
      </c>
      <c r="G1345" s="2">
        <v>78.94</v>
      </c>
      <c r="H1345">
        <v>85.54</v>
      </c>
      <c r="I1345">
        <v>85.488366999999997</v>
      </c>
      <c r="J1345">
        <v>112.8</v>
      </c>
      <c r="K1345">
        <v>23</v>
      </c>
      <c r="L1345" s="2">
        <v>20</v>
      </c>
      <c r="M1345">
        <v>620</v>
      </c>
      <c r="N1345" s="2">
        <v>441</v>
      </c>
      <c r="O1345">
        <v>37700.370000000003</v>
      </c>
      <c r="P1345">
        <v>40</v>
      </c>
      <c r="Q1345">
        <v>401</v>
      </c>
      <c r="R1345">
        <v>7.44</v>
      </c>
      <c r="S1345">
        <v>0</v>
      </c>
      <c r="T1345">
        <v>200</v>
      </c>
      <c r="U1345" s="2">
        <v>22560</v>
      </c>
      <c r="V1345">
        <v>0</v>
      </c>
      <c r="W1345" t="s">
        <v>29</v>
      </c>
      <c r="X1345" t="str">
        <f>IF(Table2[[#This Row],[Qty available]]&gt;Table2[[#This Row],[Qty on hand]],"Check","OK")</f>
        <v>OK</v>
      </c>
    </row>
    <row r="1346" spans="1:24" x14ac:dyDescent="0.3">
      <c r="A1346" t="s">
        <v>173</v>
      </c>
      <c r="B1346" t="s">
        <v>174</v>
      </c>
      <c r="C1346" t="s">
        <v>91</v>
      </c>
      <c r="D1346" t="s">
        <v>92</v>
      </c>
      <c r="E1346" t="s">
        <v>66</v>
      </c>
      <c r="F1346" s="1" t="s">
        <v>28</v>
      </c>
      <c r="G1346" s="2">
        <v>55.57</v>
      </c>
      <c r="H1346">
        <v>55.57</v>
      </c>
      <c r="I1346">
        <v>55.263423000000003</v>
      </c>
      <c r="J1346">
        <v>80.150000000000006</v>
      </c>
      <c r="K1346">
        <v>47</v>
      </c>
      <c r="L1346" s="2">
        <v>46</v>
      </c>
      <c r="M1346">
        <v>50</v>
      </c>
      <c r="N1346" s="2">
        <v>149</v>
      </c>
      <c r="O1346">
        <v>8234.25</v>
      </c>
      <c r="P1346">
        <v>4</v>
      </c>
      <c r="Q1346">
        <v>145</v>
      </c>
      <c r="R1346">
        <v>15.06</v>
      </c>
      <c r="S1346">
        <v>1</v>
      </c>
      <c r="T1346">
        <v>39</v>
      </c>
      <c r="U1346" s="2">
        <v>3125.85</v>
      </c>
      <c r="V1346">
        <v>0</v>
      </c>
      <c r="W1346" t="s">
        <v>29</v>
      </c>
      <c r="X1346" t="str">
        <f>IF(Table2[[#This Row],[Qty available]]&gt;Table2[[#This Row],[Qty on hand]],"Check","OK")</f>
        <v>OK</v>
      </c>
    </row>
    <row r="1347" spans="1:24" x14ac:dyDescent="0.3">
      <c r="A1347" t="s">
        <v>173</v>
      </c>
      <c r="B1347" t="s">
        <v>174</v>
      </c>
      <c r="C1347" t="s">
        <v>91</v>
      </c>
      <c r="D1347" t="s">
        <v>92</v>
      </c>
      <c r="E1347" t="s">
        <v>66</v>
      </c>
      <c r="F1347" s="1" t="s">
        <v>30</v>
      </c>
      <c r="G1347" s="2">
        <v>57.29</v>
      </c>
      <c r="H1347">
        <v>57.29</v>
      </c>
      <c r="I1347">
        <v>55.263438000000001</v>
      </c>
      <c r="J1347">
        <v>80.150000000000006</v>
      </c>
      <c r="K1347">
        <v>47</v>
      </c>
      <c r="M1347">
        <v>0</v>
      </c>
      <c r="N1347" s="2">
        <v>64</v>
      </c>
      <c r="O1347">
        <v>3536.86</v>
      </c>
      <c r="P1347">
        <v>11</v>
      </c>
      <c r="Q1347">
        <v>53</v>
      </c>
      <c r="R1347">
        <v>5.39</v>
      </c>
      <c r="S1347">
        <v>5</v>
      </c>
      <c r="T1347">
        <v>85</v>
      </c>
      <c r="U1347" s="2">
        <v>6812.75</v>
      </c>
      <c r="V1347">
        <v>0</v>
      </c>
      <c r="W1347" t="s">
        <v>29</v>
      </c>
      <c r="X1347" t="str">
        <f>IF(Table2[[#This Row],[Qty available]]&gt;Table2[[#This Row],[Qty on hand]],"Check","OK")</f>
        <v>OK</v>
      </c>
    </row>
    <row r="1348" spans="1:24" x14ac:dyDescent="0.3">
      <c r="A1348" t="s">
        <v>173</v>
      </c>
      <c r="B1348" t="s">
        <v>174</v>
      </c>
      <c r="C1348" t="s">
        <v>91</v>
      </c>
      <c r="D1348" t="s">
        <v>92</v>
      </c>
      <c r="E1348" t="s">
        <v>66</v>
      </c>
      <c r="F1348" s="1" t="s">
        <v>31</v>
      </c>
      <c r="G1348" s="2">
        <v>58.13</v>
      </c>
      <c r="H1348">
        <v>58.13</v>
      </c>
      <c r="I1348">
        <v>56.520651999999998</v>
      </c>
      <c r="J1348">
        <v>80.150000000000006</v>
      </c>
      <c r="K1348">
        <v>47</v>
      </c>
      <c r="L1348" s="2">
        <v>46</v>
      </c>
      <c r="M1348">
        <v>50</v>
      </c>
      <c r="N1348" s="2">
        <v>46</v>
      </c>
      <c r="O1348">
        <v>2599.9499999999998</v>
      </c>
      <c r="P1348">
        <v>4</v>
      </c>
      <c r="Q1348">
        <v>42</v>
      </c>
      <c r="R1348">
        <v>3.11</v>
      </c>
      <c r="S1348">
        <v>0</v>
      </c>
      <c r="T1348">
        <v>68</v>
      </c>
      <c r="U1348" s="2">
        <v>5450.2</v>
      </c>
      <c r="V1348">
        <v>0</v>
      </c>
      <c r="W1348" t="s">
        <v>29</v>
      </c>
      <c r="X1348" t="str">
        <f>IF(Table2[[#This Row],[Qty available]]&gt;Table2[[#This Row],[Qty on hand]],"Check","OK")</f>
        <v>OK</v>
      </c>
    </row>
    <row r="1349" spans="1:24" x14ac:dyDescent="0.3">
      <c r="A1349" t="s">
        <v>173</v>
      </c>
      <c r="B1349" t="s">
        <v>174</v>
      </c>
      <c r="C1349" t="s">
        <v>91</v>
      </c>
      <c r="D1349" t="s">
        <v>92</v>
      </c>
      <c r="E1349" t="s">
        <v>66</v>
      </c>
      <c r="F1349" s="1" t="s">
        <v>32</v>
      </c>
      <c r="G1349" s="2">
        <v>57.03</v>
      </c>
      <c r="H1349">
        <v>57.03</v>
      </c>
      <c r="I1349">
        <v>56.520625000000003</v>
      </c>
      <c r="J1349">
        <v>80.150000000000006</v>
      </c>
      <c r="K1349">
        <v>47</v>
      </c>
      <c r="M1349">
        <v>0</v>
      </c>
      <c r="N1349" s="2">
        <v>16</v>
      </c>
      <c r="O1349">
        <v>904.33</v>
      </c>
      <c r="P1349">
        <v>10</v>
      </c>
      <c r="Q1349">
        <v>6</v>
      </c>
      <c r="R1349">
        <v>1.1499999999999999</v>
      </c>
      <c r="S1349">
        <v>1</v>
      </c>
      <c r="T1349">
        <v>30</v>
      </c>
      <c r="U1349" s="2">
        <v>2404.5</v>
      </c>
      <c r="V1349">
        <v>0</v>
      </c>
      <c r="W1349" t="s">
        <v>29</v>
      </c>
      <c r="X1349" t="str">
        <f>IF(Table2[[#This Row],[Qty available]]&gt;Table2[[#This Row],[Qty on hand]],"Check","OK")</f>
        <v>OK</v>
      </c>
    </row>
    <row r="1350" spans="1:24" x14ac:dyDescent="0.3">
      <c r="A1350" t="s">
        <v>173</v>
      </c>
      <c r="B1350" t="s">
        <v>174</v>
      </c>
      <c r="C1350" t="s">
        <v>91</v>
      </c>
      <c r="D1350" t="s">
        <v>92</v>
      </c>
      <c r="E1350" t="s">
        <v>66</v>
      </c>
      <c r="F1350" s="1" t="s">
        <v>33</v>
      </c>
      <c r="G1350" s="2">
        <v>58.6</v>
      </c>
      <c r="H1350">
        <v>58.6</v>
      </c>
      <c r="I1350">
        <v>58.450823999999997</v>
      </c>
      <c r="J1350">
        <v>80.150000000000006</v>
      </c>
      <c r="K1350">
        <v>47</v>
      </c>
      <c r="L1350" s="2">
        <v>41</v>
      </c>
      <c r="M1350">
        <v>207</v>
      </c>
      <c r="N1350" s="2">
        <v>170</v>
      </c>
      <c r="O1350">
        <v>9936.64</v>
      </c>
      <c r="P1350">
        <v>17</v>
      </c>
      <c r="Q1350">
        <v>153</v>
      </c>
      <c r="R1350">
        <v>14.8</v>
      </c>
      <c r="S1350">
        <v>4</v>
      </c>
      <c r="T1350">
        <v>53</v>
      </c>
      <c r="U1350" s="2">
        <v>4247.95</v>
      </c>
      <c r="V1350">
        <v>0</v>
      </c>
      <c r="W1350" t="s">
        <v>29</v>
      </c>
      <c r="X1350" t="str">
        <f>IF(Table2[[#This Row],[Qty available]]&gt;Table2[[#This Row],[Qty on hand]],"Check","OK")</f>
        <v>OK</v>
      </c>
    </row>
    <row r="1351" spans="1:24" x14ac:dyDescent="0.3">
      <c r="A1351" t="s">
        <v>173</v>
      </c>
      <c r="B1351" t="s">
        <v>174</v>
      </c>
      <c r="C1351" t="s">
        <v>91</v>
      </c>
      <c r="D1351" t="s">
        <v>92</v>
      </c>
      <c r="E1351" t="s">
        <v>66</v>
      </c>
      <c r="F1351" s="1" t="s">
        <v>34</v>
      </c>
      <c r="G1351" s="2">
        <v>56.98</v>
      </c>
      <c r="H1351">
        <v>56.98</v>
      </c>
      <c r="I1351">
        <v>58.450856999999999</v>
      </c>
      <c r="J1351">
        <v>82.22</v>
      </c>
      <c r="K1351">
        <v>47</v>
      </c>
      <c r="M1351">
        <v>0</v>
      </c>
      <c r="N1351" s="2">
        <v>140</v>
      </c>
      <c r="O1351">
        <v>8183.12</v>
      </c>
      <c r="P1351">
        <v>4</v>
      </c>
      <c r="Q1351">
        <v>136</v>
      </c>
      <c r="R1351">
        <v>15.93</v>
      </c>
      <c r="S1351">
        <v>1</v>
      </c>
      <c r="T1351">
        <v>30</v>
      </c>
      <c r="U1351" s="2">
        <v>2466.6</v>
      </c>
      <c r="V1351">
        <v>0</v>
      </c>
      <c r="W1351" t="s">
        <v>29</v>
      </c>
      <c r="X1351" t="str">
        <f>IF(Table2[[#This Row],[Qty available]]&gt;Table2[[#This Row],[Qty on hand]],"Check","OK")</f>
        <v>OK</v>
      </c>
    </row>
    <row r="1352" spans="1:24" x14ac:dyDescent="0.3">
      <c r="A1352" t="s">
        <v>173</v>
      </c>
      <c r="B1352" t="s">
        <v>174</v>
      </c>
      <c r="C1352" t="s">
        <v>91</v>
      </c>
      <c r="D1352" t="s">
        <v>92</v>
      </c>
      <c r="E1352" t="s">
        <v>66</v>
      </c>
      <c r="F1352" s="1" t="s">
        <v>35</v>
      </c>
      <c r="G1352" s="2">
        <v>57.39</v>
      </c>
      <c r="H1352">
        <v>57.39</v>
      </c>
      <c r="I1352">
        <v>58.171655999999999</v>
      </c>
      <c r="J1352">
        <v>82.22</v>
      </c>
      <c r="K1352">
        <v>47</v>
      </c>
      <c r="L1352" s="2">
        <v>46</v>
      </c>
      <c r="M1352">
        <v>50</v>
      </c>
      <c r="N1352" s="2">
        <v>151</v>
      </c>
      <c r="O1352">
        <v>8783.92</v>
      </c>
      <c r="P1352">
        <v>10</v>
      </c>
      <c r="Q1352">
        <v>141</v>
      </c>
      <c r="R1352">
        <v>15.91</v>
      </c>
      <c r="S1352">
        <v>4</v>
      </c>
      <c r="T1352">
        <v>39</v>
      </c>
      <c r="U1352" s="2">
        <v>3206.58</v>
      </c>
      <c r="V1352">
        <v>0</v>
      </c>
      <c r="W1352" t="s">
        <v>29</v>
      </c>
      <c r="X1352" t="str">
        <f>IF(Table2[[#This Row],[Qty available]]&gt;Table2[[#This Row],[Qty on hand]],"Check","OK")</f>
        <v>OK</v>
      </c>
    </row>
    <row r="1353" spans="1:24" x14ac:dyDescent="0.3">
      <c r="A1353" t="s">
        <v>173</v>
      </c>
      <c r="B1353" t="s">
        <v>174</v>
      </c>
      <c r="C1353" t="s">
        <v>91</v>
      </c>
      <c r="D1353" t="s">
        <v>92</v>
      </c>
      <c r="E1353" t="s">
        <v>66</v>
      </c>
      <c r="F1353" s="1" t="s">
        <v>36</v>
      </c>
      <c r="G1353" s="2">
        <v>58.56</v>
      </c>
      <c r="H1353">
        <v>58.56</v>
      </c>
      <c r="I1353">
        <v>58.171616</v>
      </c>
      <c r="J1353">
        <v>82.22</v>
      </c>
      <c r="K1353">
        <v>47</v>
      </c>
      <c r="M1353">
        <v>0</v>
      </c>
      <c r="N1353" s="2">
        <v>99</v>
      </c>
      <c r="O1353">
        <v>5758.99</v>
      </c>
      <c r="P1353">
        <v>4</v>
      </c>
      <c r="Q1353">
        <v>95</v>
      </c>
      <c r="R1353">
        <v>10.4</v>
      </c>
      <c r="S1353">
        <v>2</v>
      </c>
      <c r="T1353">
        <v>52</v>
      </c>
      <c r="U1353" s="2">
        <v>4275.4399999999996</v>
      </c>
      <c r="V1353">
        <v>0</v>
      </c>
      <c r="W1353" t="s">
        <v>29</v>
      </c>
      <c r="X1353" t="str">
        <f>IF(Table2[[#This Row],[Qty available]]&gt;Table2[[#This Row],[Qty on hand]],"Check","OK")</f>
        <v>OK</v>
      </c>
    </row>
    <row r="1354" spans="1:24" x14ac:dyDescent="0.3">
      <c r="A1354" t="s">
        <v>173</v>
      </c>
      <c r="B1354" t="s">
        <v>174</v>
      </c>
      <c r="C1354" t="s">
        <v>91</v>
      </c>
      <c r="D1354" t="s">
        <v>92</v>
      </c>
      <c r="E1354" t="s">
        <v>66</v>
      </c>
      <c r="F1354" s="1" t="s">
        <v>37</v>
      </c>
      <c r="G1354" s="2">
        <v>57.7</v>
      </c>
      <c r="H1354">
        <v>57.7</v>
      </c>
      <c r="I1354">
        <v>58.171666999999999</v>
      </c>
      <c r="J1354">
        <v>82.22</v>
      </c>
      <c r="K1354">
        <v>47</v>
      </c>
      <c r="M1354">
        <v>0</v>
      </c>
      <c r="N1354" s="2">
        <v>6</v>
      </c>
      <c r="O1354">
        <v>349.03</v>
      </c>
      <c r="P1354">
        <v>6</v>
      </c>
      <c r="Q1354">
        <v>0</v>
      </c>
      <c r="R1354">
        <v>0.43</v>
      </c>
      <c r="S1354">
        <v>0</v>
      </c>
      <c r="T1354">
        <v>93</v>
      </c>
      <c r="U1354" s="2">
        <v>7646.46</v>
      </c>
      <c r="V1354">
        <v>0</v>
      </c>
      <c r="W1354" t="s">
        <v>29</v>
      </c>
      <c r="X1354" t="str">
        <f>IF(Table2[[#This Row],[Qty available]]&gt;Table2[[#This Row],[Qty on hand]],"Check","OK")</f>
        <v>OK</v>
      </c>
    </row>
    <row r="1355" spans="1:24" x14ac:dyDescent="0.3">
      <c r="A1355" t="s">
        <v>173</v>
      </c>
      <c r="B1355" t="s">
        <v>174</v>
      </c>
      <c r="C1355" t="s">
        <v>91</v>
      </c>
      <c r="D1355" t="s">
        <v>92</v>
      </c>
      <c r="E1355" t="s">
        <v>66</v>
      </c>
      <c r="F1355" s="1" t="s">
        <v>38</v>
      </c>
      <c r="G1355" s="2">
        <v>58.07</v>
      </c>
      <c r="H1355">
        <v>58.07</v>
      </c>
      <c r="I1355">
        <v>58.171666999999999</v>
      </c>
      <c r="J1355">
        <v>82.22</v>
      </c>
      <c r="K1355">
        <v>47</v>
      </c>
      <c r="M1355">
        <v>0</v>
      </c>
      <c r="N1355" s="2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6</v>
      </c>
      <c r="U1355" s="2">
        <v>493.32</v>
      </c>
      <c r="V1355">
        <v>51</v>
      </c>
      <c r="W1355" t="s">
        <v>59</v>
      </c>
      <c r="X1355" t="str">
        <f>IF(Table2[[#This Row],[Qty available]]&gt;Table2[[#This Row],[Qty on hand]],"Check","OK")</f>
        <v>OK</v>
      </c>
    </row>
    <row r="1356" spans="1:24" x14ac:dyDescent="0.3">
      <c r="A1356" t="s">
        <v>173</v>
      </c>
      <c r="B1356" t="s">
        <v>174</v>
      </c>
      <c r="C1356" t="s">
        <v>91</v>
      </c>
      <c r="D1356" t="s">
        <v>92</v>
      </c>
      <c r="E1356" t="s">
        <v>66</v>
      </c>
      <c r="F1356" s="1" t="s">
        <v>39</v>
      </c>
      <c r="G1356" s="2">
        <v>57.2</v>
      </c>
      <c r="H1356">
        <v>57.2</v>
      </c>
      <c r="I1356">
        <v>57.2</v>
      </c>
      <c r="J1356">
        <v>82.22</v>
      </c>
      <c r="K1356">
        <v>47</v>
      </c>
      <c r="L1356" s="2">
        <v>81</v>
      </c>
      <c r="M1356">
        <v>119</v>
      </c>
      <c r="N1356" s="2">
        <v>45</v>
      </c>
      <c r="O1356">
        <v>2574</v>
      </c>
      <c r="P1356">
        <v>11</v>
      </c>
      <c r="Q1356">
        <v>34</v>
      </c>
      <c r="R1356">
        <v>3.42</v>
      </c>
      <c r="S1356">
        <v>4</v>
      </c>
      <c r="T1356">
        <v>74</v>
      </c>
      <c r="U1356" s="2">
        <v>6084.28</v>
      </c>
      <c r="V1356">
        <v>0</v>
      </c>
      <c r="W1356" t="s">
        <v>29</v>
      </c>
      <c r="X1356" t="str">
        <f>IF(Table2[[#This Row],[Qty available]]&gt;Table2[[#This Row],[Qty on hand]],"Check","OK")</f>
        <v>OK</v>
      </c>
    </row>
    <row r="1357" spans="1:24" x14ac:dyDescent="0.3">
      <c r="A1357" t="s">
        <v>173</v>
      </c>
      <c r="B1357" t="s">
        <v>174</v>
      </c>
      <c r="C1357" t="s">
        <v>91</v>
      </c>
      <c r="D1357" t="s">
        <v>92</v>
      </c>
      <c r="E1357" t="s">
        <v>66</v>
      </c>
      <c r="F1357" s="1" t="s">
        <v>40</v>
      </c>
      <c r="G1357" s="2">
        <v>57.66</v>
      </c>
      <c r="H1357">
        <v>57.66</v>
      </c>
      <c r="I1357">
        <v>57.551617</v>
      </c>
      <c r="J1357">
        <v>82.22</v>
      </c>
      <c r="K1357">
        <v>47</v>
      </c>
      <c r="L1357" s="2">
        <v>44</v>
      </c>
      <c r="M1357">
        <v>146</v>
      </c>
      <c r="N1357" s="2">
        <v>167</v>
      </c>
      <c r="O1357">
        <v>9611.1200000000008</v>
      </c>
      <c r="P1357">
        <v>11</v>
      </c>
      <c r="Q1357">
        <v>156</v>
      </c>
      <c r="R1357">
        <v>21.1</v>
      </c>
      <c r="S1357">
        <v>4</v>
      </c>
      <c r="T1357">
        <v>24</v>
      </c>
      <c r="U1357" s="2">
        <v>1973.28</v>
      </c>
      <c r="V1357">
        <v>0</v>
      </c>
      <c r="W1357" t="s">
        <v>29</v>
      </c>
      <c r="X1357" t="str">
        <f>IF(Table2[[#This Row],[Qty available]]&gt;Table2[[#This Row],[Qty on hand]],"Check","OK")</f>
        <v>OK</v>
      </c>
    </row>
    <row r="1358" spans="1:24" x14ac:dyDescent="0.3">
      <c r="A1358" t="s">
        <v>173</v>
      </c>
      <c r="B1358" t="s">
        <v>174</v>
      </c>
      <c r="C1358" t="s">
        <v>91</v>
      </c>
      <c r="D1358" t="s">
        <v>92</v>
      </c>
      <c r="E1358" t="s">
        <v>66</v>
      </c>
      <c r="F1358" s="1" t="s">
        <v>41</v>
      </c>
      <c r="G1358" s="2">
        <v>57.47</v>
      </c>
      <c r="H1358">
        <v>57.47</v>
      </c>
      <c r="I1358">
        <v>57.551591000000002</v>
      </c>
      <c r="J1358">
        <v>82.22</v>
      </c>
      <c r="K1358">
        <v>47</v>
      </c>
      <c r="M1358">
        <v>0</v>
      </c>
      <c r="N1358" s="2">
        <v>132</v>
      </c>
      <c r="O1358">
        <v>7596.81</v>
      </c>
      <c r="P1358">
        <v>8</v>
      </c>
      <c r="Q1358">
        <v>124</v>
      </c>
      <c r="R1358">
        <v>13.04</v>
      </c>
      <c r="S1358">
        <v>0</v>
      </c>
      <c r="T1358">
        <v>35</v>
      </c>
      <c r="U1358" s="2">
        <v>2877.7</v>
      </c>
      <c r="V1358">
        <v>0</v>
      </c>
      <c r="W1358" t="s">
        <v>29</v>
      </c>
      <c r="X1358" t="str">
        <f>IF(Table2[[#This Row],[Qty available]]&gt;Table2[[#This Row],[Qty on hand]],"Check","OK")</f>
        <v>OK</v>
      </c>
    </row>
    <row r="1359" spans="1:24" x14ac:dyDescent="0.3">
      <c r="A1359" t="s">
        <v>173</v>
      </c>
      <c r="B1359" t="s">
        <v>174</v>
      </c>
      <c r="C1359" t="s">
        <v>91</v>
      </c>
      <c r="D1359" t="s">
        <v>92</v>
      </c>
      <c r="E1359" t="s">
        <v>66</v>
      </c>
      <c r="F1359" s="1" t="s">
        <v>42</v>
      </c>
      <c r="G1359" s="2">
        <v>61.52</v>
      </c>
      <c r="H1359">
        <v>61.52</v>
      </c>
      <c r="I1359">
        <v>58.641841999999997</v>
      </c>
      <c r="J1359">
        <v>82.22</v>
      </c>
      <c r="K1359">
        <v>47</v>
      </c>
      <c r="L1359" s="2">
        <v>44</v>
      </c>
      <c r="M1359">
        <v>50</v>
      </c>
      <c r="N1359" s="2">
        <v>114</v>
      </c>
      <c r="O1359">
        <v>6685.17</v>
      </c>
      <c r="P1359">
        <v>10</v>
      </c>
      <c r="Q1359">
        <v>104</v>
      </c>
      <c r="R1359">
        <v>11.8</v>
      </c>
      <c r="S1359">
        <v>1</v>
      </c>
      <c r="T1359">
        <v>68</v>
      </c>
      <c r="U1359" s="2">
        <v>5590.96</v>
      </c>
      <c r="V1359">
        <v>0</v>
      </c>
      <c r="W1359" t="s">
        <v>29</v>
      </c>
      <c r="X1359" t="str">
        <f>IF(Table2[[#This Row],[Qty available]]&gt;Table2[[#This Row],[Qty on hand]],"Check","OK")</f>
        <v>OK</v>
      </c>
    </row>
    <row r="1360" spans="1:24" x14ac:dyDescent="0.3">
      <c r="A1360" t="s">
        <v>173</v>
      </c>
      <c r="B1360" t="s">
        <v>174</v>
      </c>
      <c r="C1360" t="s">
        <v>91</v>
      </c>
      <c r="D1360" t="s">
        <v>92</v>
      </c>
      <c r="E1360" t="s">
        <v>66</v>
      </c>
      <c r="F1360" s="1" t="s">
        <v>43</v>
      </c>
      <c r="G1360" s="2">
        <v>60.94</v>
      </c>
      <c r="H1360">
        <v>60.94</v>
      </c>
      <c r="I1360">
        <v>58.641832999999998</v>
      </c>
      <c r="J1360">
        <v>82.22</v>
      </c>
      <c r="K1360">
        <v>47</v>
      </c>
      <c r="M1360">
        <v>0</v>
      </c>
      <c r="N1360" s="2">
        <v>60</v>
      </c>
      <c r="O1360">
        <v>3518.51</v>
      </c>
      <c r="P1360">
        <v>8</v>
      </c>
      <c r="Q1360">
        <v>52</v>
      </c>
      <c r="R1360">
        <v>4.97</v>
      </c>
      <c r="S1360">
        <v>0</v>
      </c>
      <c r="T1360">
        <v>54</v>
      </c>
      <c r="U1360" s="2">
        <v>4439.88</v>
      </c>
      <c r="V1360">
        <v>0</v>
      </c>
      <c r="W1360" t="s">
        <v>29</v>
      </c>
      <c r="X1360" t="str">
        <f>IF(Table2[[#This Row],[Qty available]]&gt;Table2[[#This Row],[Qty on hand]],"Check","OK")</f>
        <v>OK</v>
      </c>
    </row>
    <row r="1361" spans="1:24" x14ac:dyDescent="0.3">
      <c r="A1361" t="s">
        <v>173</v>
      </c>
      <c r="B1361" t="s">
        <v>174</v>
      </c>
      <c r="C1361" t="s">
        <v>91</v>
      </c>
      <c r="D1361" t="s">
        <v>92</v>
      </c>
      <c r="E1361" t="s">
        <v>66</v>
      </c>
      <c r="F1361" s="1" t="s">
        <v>44</v>
      </c>
      <c r="G1361" s="2">
        <v>61.25</v>
      </c>
      <c r="H1361">
        <v>61.25</v>
      </c>
      <c r="I1361">
        <v>60.459620000000001</v>
      </c>
      <c r="J1361">
        <v>82.22</v>
      </c>
      <c r="K1361">
        <v>47</v>
      </c>
      <c r="L1361" s="2">
        <v>43</v>
      </c>
      <c r="M1361">
        <v>138</v>
      </c>
      <c r="N1361" s="2">
        <v>158</v>
      </c>
      <c r="O1361">
        <v>9552.6200000000008</v>
      </c>
      <c r="P1361">
        <v>8</v>
      </c>
      <c r="Q1361">
        <v>150</v>
      </c>
      <c r="R1361">
        <v>12.82</v>
      </c>
      <c r="S1361">
        <v>1</v>
      </c>
      <c r="T1361">
        <v>40</v>
      </c>
      <c r="U1361" s="2">
        <v>3288.8</v>
      </c>
      <c r="V1361">
        <v>0</v>
      </c>
      <c r="W1361" t="s">
        <v>29</v>
      </c>
      <c r="X1361" t="str">
        <f>IF(Table2[[#This Row],[Qty available]]&gt;Table2[[#This Row],[Qty on hand]],"Check","OK")</f>
        <v>OK</v>
      </c>
    </row>
    <row r="1362" spans="1:24" x14ac:dyDescent="0.3">
      <c r="A1362" t="s">
        <v>173</v>
      </c>
      <c r="B1362" t="s">
        <v>174</v>
      </c>
      <c r="C1362" t="s">
        <v>91</v>
      </c>
      <c r="D1362" t="s">
        <v>92</v>
      </c>
      <c r="E1362" t="s">
        <v>66</v>
      </c>
      <c r="F1362" s="1" t="s">
        <v>45</v>
      </c>
      <c r="G1362" s="2">
        <v>60.01</v>
      </c>
      <c r="H1362">
        <v>60.01</v>
      </c>
      <c r="I1362">
        <v>60.351556000000002</v>
      </c>
      <c r="J1362">
        <v>82.22</v>
      </c>
      <c r="K1362">
        <v>47</v>
      </c>
      <c r="L1362" s="2">
        <v>45</v>
      </c>
      <c r="M1362">
        <v>50</v>
      </c>
      <c r="N1362" s="2">
        <v>135</v>
      </c>
      <c r="O1362">
        <v>8147.46</v>
      </c>
      <c r="P1362">
        <v>17</v>
      </c>
      <c r="Q1362">
        <v>118</v>
      </c>
      <c r="R1362">
        <v>10.62</v>
      </c>
      <c r="S1362">
        <v>10</v>
      </c>
      <c r="T1362">
        <v>73</v>
      </c>
      <c r="U1362" s="2">
        <v>6002.06</v>
      </c>
      <c r="V1362">
        <v>0</v>
      </c>
      <c r="W1362" t="s">
        <v>29</v>
      </c>
      <c r="X1362" t="str">
        <f>IF(Table2[[#This Row],[Qty available]]&gt;Table2[[#This Row],[Qty on hand]],"Check","OK")</f>
        <v>OK</v>
      </c>
    </row>
    <row r="1363" spans="1:24" x14ac:dyDescent="0.3">
      <c r="A1363" t="s">
        <v>173</v>
      </c>
      <c r="B1363" t="s">
        <v>174</v>
      </c>
      <c r="C1363" t="s">
        <v>91</v>
      </c>
      <c r="D1363" t="s">
        <v>92</v>
      </c>
      <c r="E1363" t="s">
        <v>66</v>
      </c>
      <c r="F1363" s="1" t="s">
        <v>46</v>
      </c>
      <c r="G1363" s="2">
        <v>61.12</v>
      </c>
      <c r="H1363">
        <v>61.12</v>
      </c>
      <c r="I1363">
        <v>60.596094000000001</v>
      </c>
      <c r="J1363">
        <v>84.34</v>
      </c>
      <c r="K1363">
        <v>47</v>
      </c>
      <c r="L1363" s="2">
        <v>44</v>
      </c>
      <c r="M1363">
        <v>63</v>
      </c>
      <c r="N1363" s="2">
        <v>128</v>
      </c>
      <c r="O1363">
        <v>7756.3</v>
      </c>
      <c r="P1363">
        <v>19</v>
      </c>
      <c r="Q1363">
        <v>109</v>
      </c>
      <c r="R1363">
        <v>8.99</v>
      </c>
      <c r="S1363">
        <v>0</v>
      </c>
      <c r="T1363">
        <v>70</v>
      </c>
      <c r="U1363" s="2">
        <v>5903.8</v>
      </c>
      <c r="V1363">
        <v>0</v>
      </c>
      <c r="W1363" t="s">
        <v>29</v>
      </c>
      <c r="X1363" t="str">
        <f>IF(Table2[[#This Row],[Qty available]]&gt;Table2[[#This Row],[Qty on hand]],"Check","OK")</f>
        <v>OK</v>
      </c>
    </row>
    <row r="1364" spans="1:24" x14ac:dyDescent="0.3">
      <c r="A1364" t="s">
        <v>173</v>
      </c>
      <c r="B1364" t="s">
        <v>174</v>
      </c>
      <c r="C1364" t="s">
        <v>91</v>
      </c>
      <c r="D1364" t="s">
        <v>92</v>
      </c>
      <c r="E1364" t="s">
        <v>66</v>
      </c>
      <c r="F1364" s="1" t="s">
        <v>47</v>
      </c>
      <c r="G1364" s="2">
        <v>60.77</v>
      </c>
      <c r="H1364">
        <v>60.77</v>
      </c>
      <c r="I1364">
        <v>60.596043999999999</v>
      </c>
      <c r="J1364">
        <v>84.34</v>
      </c>
      <c r="K1364">
        <v>47</v>
      </c>
      <c r="M1364">
        <v>0</v>
      </c>
      <c r="N1364" s="2">
        <v>91</v>
      </c>
      <c r="O1364">
        <v>5514.24</v>
      </c>
      <c r="P1364">
        <v>11</v>
      </c>
      <c r="Q1364">
        <v>80</v>
      </c>
      <c r="R1364">
        <v>6.5</v>
      </c>
      <c r="S1364">
        <v>15</v>
      </c>
      <c r="T1364">
        <v>37</v>
      </c>
      <c r="U1364" s="2">
        <v>3120.58</v>
      </c>
      <c r="V1364">
        <v>0</v>
      </c>
      <c r="W1364" t="s">
        <v>29</v>
      </c>
      <c r="X1364" t="str">
        <f>IF(Table2[[#This Row],[Qty available]]&gt;Table2[[#This Row],[Qty on hand]],"Check","OK")</f>
        <v>OK</v>
      </c>
    </row>
    <row r="1365" spans="1:24" x14ac:dyDescent="0.3">
      <c r="A1365" t="s">
        <v>173</v>
      </c>
      <c r="B1365" t="s">
        <v>174</v>
      </c>
      <c r="C1365" t="s">
        <v>91</v>
      </c>
      <c r="D1365" t="s">
        <v>92</v>
      </c>
      <c r="E1365" t="s">
        <v>66</v>
      </c>
      <c r="F1365" s="1" t="s">
        <v>48</v>
      </c>
      <c r="G1365" s="2">
        <v>60.95</v>
      </c>
      <c r="H1365">
        <v>60.95</v>
      </c>
      <c r="I1365">
        <v>60.781354999999998</v>
      </c>
      <c r="J1365">
        <v>84.34</v>
      </c>
      <c r="K1365">
        <v>47</v>
      </c>
      <c r="L1365" s="2">
        <v>40</v>
      </c>
      <c r="M1365">
        <v>100</v>
      </c>
      <c r="N1365" s="2">
        <v>155</v>
      </c>
      <c r="O1365">
        <v>9421.11</v>
      </c>
      <c r="P1365">
        <v>13</v>
      </c>
      <c r="Q1365">
        <v>142</v>
      </c>
      <c r="R1365">
        <v>13.78</v>
      </c>
      <c r="S1365">
        <v>2</v>
      </c>
      <c r="T1365">
        <v>36</v>
      </c>
      <c r="U1365" s="2">
        <v>3036.24</v>
      </c>
      <c r="V1365">
        <v>0</v>
      </c>
      <c r="W1365" t="s">
        <v>29</v>
      </c>
      <c r="X1365" t="str">
        <f>IF(Table2[[#This Row],[Qty available]]&gt;Table2[[#This Row],[Qty on hand]],"Check","OK")</f>
        <v>OK</v>
      </c>
    </row>
    <row r="1366" spans="1:24" x14ac:dyDescent="0.3">
      <c r="A1366" t="s">
        <v>173</v>
      </c>
      <c r="B1366" t="s">
        <v>174</v>
      </c>
      <c r="C1366" t="s">
        <v>91</v>
      </c>
      <c r="D1366" t="s">
        <v>92</v>
      </c>
      <c r="E1366" t="s">
        <v>66</v>
      </c>
      <c r="F1366" s="1" t="s">
        <v>49</v>
      </c>
      <c r="G1366" s="2">
        <v>60.1</v>
      </c>
      <c r="H1366">
        <v>60.1</v>
      </c>
      <c r="I1366">
        <v>60.781323999999998</v>
      </c>
      <c r="J1366">
        <v>84.34</v>
      </c>
      <c r="K1366">
        <v>47</v>
      </c>
      <c r="M1366">
        <v>0</v>
      </c>
      <c r="N1366" s="2">
        <v>68</v>
      </c>
      <c r="O1366">
        <v>4133.13</v>
      </c>
      <c r="P1366">
        <v>17</v>
      </c>
      <c r="Q1366">
        <v>51</v>
      </c>
      <c r="R1366">
        <v>5.59</v>
      </c>
      <c r="S1366">
        <v>8</v>
      </c>
      <c r="T1366">
        <v>87</v>
      </c>
      <c r="U1366" s="2">
        <v>7337.58</v>
      </c>
      <c r="V1366">
        <v>0</v>
      </c>
      <c r="W1366" t="s">
        <v>29</v>
      </c>
      <c r="X1366" t="str">
        <f>IF(Table2[[#This Row],[Qty available]]&gt;Table2[[#This Row],[Qty on hand]],"Check","OK")</f>
        <v>OK</v>
      </c>
    </row>
    <row r="1367" spans="1:24" x14ac:dyDescent="0.3">
      <c r="A1367" t="s">
        <v>173</v>
      </c>
      <c r="B1367" t="s">
        <v>174</v>
      </c>
      <c r="C1367" t="s">
        <v>91</v>
      </c>
      <c r="D1367" t="s">
        <v>92</v>
      </c>
      <c r="E1367" t="s">
        <v>66</v>
      </c>
      <c r="F1367" s="1" t="s">
        <v>50</v>
      </c>
      <c r="G1367" s="2">
        <v>62.19</v>
      </c>
      <c r="H1367">
        <v>62.19</v>
      </c>
      <c r="I1367">
        <v>61.378245999999997</v>
      </c>
      <c r="J1367">
        <v>84.34</v>
      </c>
      <c r="K1367">
        <v>47</v>
      </c>
      <c r="L1367" s="2">
        <v>70</v>
      </c>
      <c r="M1367">
        <v>50</v>
      </c>
      <c r="N1367" s="2">
        <v>57</v>
      </c>
      <c r="O1367">
        <v>3498.56</v>
      </c>
      <c r="P1367">
        <v>15</v>
      </c>
      <c r="Q1367">
        <v>42</v>
      </c>
      <c r="R1367">
        <v>4.03</v>
      </c>
      <c r="S1367">
        <v>2</v>
      </c>
      <c r="T1367">
        <v>61</v>
      </c>
      <c r="U1367" s="2">
        <v>5144.74</v>
      </c>
      <c r="V1367">
        <v>0</v>
      </c>
      <c r="W1367" t="s">
        <v>29</v>
      </c>
      <c r="X1367" t="str">
        <f>IF(Table2[[#This Row],[Qty available]]&gt;Table2[[#This Row],[Qty on hand]],"Check","OK")</f>
        <v>OK</v>
      </c>
    </row>
    <row r="1368" spans="1:24" x14ac:dyDescent="0.3">
      <c r="A1368" t="s">
        <v>173</v>
      </c>
      <c r="B1368" t="s">
        <v>174</v>
      </c>
      <c r="C1368" t="s">
        <v>91</v>
      </c>
      <c r="D1368" t="s">
        <v>92</v>
      </c>
      <c r="E1368" t="s">
        <v>66</v>
      </c>
      <c r="F1368" s="1" t="s">
        <v>51</v>
      </c>
      <c r="G1368" s="2">
        <v>60.17</v>
      </c>
      <c r="H1368">
        <v>60.17</v>
      </c>
      <c r="I1368">
        <v>60.477483999999997</v>
      </c>
      <c r="J1368">
        <v>84.34</v>
      </c>
      <c r="K1368">
        <v>47</v>
      </c>
      <c r="L1368" s="2">
        <v>45</v>
      </c>
      <c r="M1368">
        <v>167</v>
      </c>
      <c r="N1368" s="2">
        <v>159</v>
      </c>
      <c r="O1368">
        <v>9615.92</v>
      </c>
      <c r="P1368">
        <v>6</v>
      </c>
      <c r="Q1368">
        <v>153</v>
      </c>
      <c r="R1368">
        <v>9.81</v>
      </c>
      <c r="S1368">
        <v>2</v>
      </c>
      <c r="T1368">
        <v>65</v>
      </c>
      <c r="U1368" s="2">
        <v>5482.1</v>
      </c>
      <c r="V1368">
        <v>0</v>
      </c>
      <c r="W1368" t="s">
        <v>29</v>
      </c>
      <c r="X1368" t="str">
        <f>IF(Table2[[#This Row],[Qty available]]&gt;Table2[[#This Row],[Qty on hand]],"Check","OK")</f>
        <v>OK</v>
      </c>
    </row>
    <row r="1369" spans="1:24" x14ac:dyDescent="0.3">
      <c r="A1369" t="s">
        <v>173</v>
      </c>
      <c r="B1369" t="s">
        <v>174</v>
      </c>
      <c r="C1369" t="s">
        <v>91</v>
      </c>
      <c r="D1369" t="s">
        <v>92</v>
      </c>
      <c r="E1369" t="s">
        <v>66</v>
      </c>
      <c r="F1369" s="1" t="s">
        <v>52</v>
      </c>
      <c r="G1369" s="2">
        <v>61.72</v>
      </c>
      <c r="H1369">
        <v>61.72</v>
      </c>
      <c r="I1369">
        <v>60.477499999999999</v>
      </c>
      <c r="J1369">
        <v>84.34</v>
      </c>
      <c r="K1369">
        <v>47</v>
      </c>
      <c r="M1369">
        <v>0</v>
      </c>
      <c r="N1369" s="2">
        <v>132</v>
      </c>
      <c r="O1369">
        <v>7983.03</v>
      </c>
      <c r="P1369">
        <v>8</v>
      </c>
      <c r="Q1369">
        <v>124</v>
      </c>
      <c r="R1369">
        <v>11.34</v>
      </c>
      <c r="S1369">
        <v>1</v>
      </c>
      <c r="T1369">
        <v>27</v>
      </c>
      <c r="U1369" s="2">
        <v>2277.1799999999998</v>
      </c>
      <c r="V1369">
        <v>0</v>
      </c>
      <c r="W1369" t="s">
        <v>29</v>
      </c>
      <c r="X1369" t="str">
        <f>IF(Table2[[#This Row],[Qty available]]&gt;Table2[[#This Row],[Qty on hand]],"Check","OK")</f>
        <v>OK</v>
      </c>
    </row>
    <row r="1370" spans="1:24" x14ac:dyDescent="0.3">
      <c r="A1370" t="s">
        <v>175</v>
      </c>
      <c r="B1370" t="s">
        <v>176</v>
      </c>
      <c r="C1370" t="s">
        <v>69</v>
      </c>
      <c r="D1370" t="s">
        <v>70</v>
      </c>
      <c r="E1370" t="s">
        <v>66</v>
      </c>
      <c r="F1370" s="1" t="s">
        <v>28</v>
      </c>
      <c r="G1370" s="2">
        <v>56.3</v>
      </c>
      <c r="H1370">
        <v>56.3</v>
      </c>
      <c r="I1370">
        <v>56.524962000000002</v>
      </c>
      <c r="J1370">
        <v>80.760000000000005</v>
      </c>
      <c r="K1370">
        <v>46</v>
      </c>
      <c r="L1370" s="2">
        <v>45</v>
      </c>
      <c r="M1370">
        <v>84</v>
      </c>
      <c r="N1370" s="2">
        <v>260</v>
      </c>
      <c r="O1370">
        <v>14696.49</v>
      </c>
      <c r="P1370">
        <v>23</v>
      </c>
      <c r="Q1370">
        <v>237</v>
      </c>
      <c r="R1370">
        <v>8.9</v>
      </c>
      <c r="S1370">
        <v>3</v>
      </c>
      <c r="T1370">
        <v>110</v>
      </c>
      <c r="U1370" s="2">
        <v>8883.6</v>
      </c>
      <c r="V1370">
        <v>0</v>
      </c>
      <c r="W1370" t="s">
        <v>29</v>
      </c>
      <c r="X1370" t="str">
        <f>IF(Table2[[#This Row],[Qty available]]&gt;Table2[[#This Row],[Qty on hand]],"Check","OK")</f>
        <v>OK</v>
      </c>
    </row>
    <row r="1371" spans="1:24" x14ac:dyDescent="0.3">
      <c r="A1371" t="s">
        <v>175</v>
      </c>
      <c r="B1371" t="s">
        <v>176</v>
      </c>
      <c r="C1371" t="s">
        <v>69</v>
      </c>
      <c r="D1371" t="s">
        <v>70</v>
      </c>
      <c r="E1371" t="s">
        <v>66</v>
      </c>
      <c r="F1371" s="1" t="s">
        <v>30</v>
      </c>
      <c r="G1371" s="2">
        <v>56.48</v>
      </c>
      <c r="H1371">
        <v>56.48</v>
      </c>
      <c r="I1371">
        <v>56.517716999999998</v>
      </c>
      <c r="J1371">
        <v>80.760000000000005</v>
      </c>
      <c r="K1371">
        <v>46</v>
      </c>
      <c r="L1371" s="2">
        <v>43</v>
      </c>
      <c r="M1371">
        <v>50</v>
      </c>
      <c r="N1371" s="2">
        <v>276</v>
      </c>
      <c r="O1371">
        <v>15598.89</v>
      </c>
      <c r="P1371">
        <v>38</v>
      </c>
      <c r="Q1371">
        <v>238</v>
      </c>
      <c r="R1371">
        <v>12.96</v>
      </c>
      <c r="S1371">
        <v>1</v>
      </c>
      <c r="T1371">
        <v>34</v>
      </c>
      <c r="U1371" s="2">
        <v>2745.84</v>
      </c>
      <c r="V1371">
        <v>0</v>
      </c>
      <c r="W1371" t="s">
        <v>29</v>
      </c>
      <c r="X1371" t="str">
        <f>IF(Table2[[#This Row],[Qty available]]&gt;Table2[[#This Row],[Qty on hand]],"Check","OK")</f>
        <v>OK</v>
      </c>
    </row>
    <row r="1372" spans="1:24" x14ac:dyDescent="0.3">
      <c r="A1372" t="s">
        <v>175</v>
      </c>
      <c r="B1372" t="s">
        <v>176</v>
      </c>
      <c r="C1372" t="s">
        <v>69</v>
      </c>
      <c r="D1372" t="s">
        <v>70</v>
      </c>
      <c r="E1372" t="s">
        <v>66</v>
      </c>
      <c r="F1372" s="1" t="s">
        <v>31</v>
      </c>
      <c r="G1372" s="2">
        <v>55.63</v>
      </c>
      <c r="H1372">
        <v>55.63</v>
      </c>
      <c r="I1372">
        <v>56.517696999999998</v>
      </c>
      <c r="J1372">
        <v>80.760000000000005</v>
      </c>
      <c r="K1372">
        <v>46</v>
      </c>
      <c r="M1372">
        <v>0</v>
      </c>
      <c r="N1372" s="2">
        <v>165</v>
      </c>
      <c r="O1372">
        <v>9325.42</v>
      </c>
      <c r="P1372">
        <v>23</v>
      </c>
      <c r="Q1372">
        <v>142</v>
      </c>
      <c r="R1372">
        <v>8.41</v>
      </c>
      <c r="S1372">
        <v>3</v>
      </c>
      <c r="T1372">
        <v>111</v>
      </c>
      <c r="U1372" s="2">
        <v>8964.36</v>
      </c>
      <c r="V1372">
        <v>0</v>
      </c>
      <c r="W1372" t="s">
        <v>29</v>
      </c>
      <c r="X1372" t="str">
        <f>IF(Table2[[#This Row],[Qty available]]&gt;Table2[[#This Row],[Qty on hand]],"Check","OK")</f>
        <v>OK</v>
      </c>
    </row>
    <row r="1373" spans="1:24" x14ac:dyDescent="0.3">
      <c r="A1373" t="s">
        <v>175</v>
      </c>
      <c r="B1373" t="s">
        <v>176</v>
      </c>
      <c r="C1373" t="s">
        <v>69</v>
      </c>
      <c r="D1373" t="s">
        <v>70</v>
      </c>
      <c r="E1373" t="s">
        <v>66</v>
      </c>
      <c r="F1373" s="1" t="s">
        <v>32</v>
      </c>
      <c r="G1373" s="2">
        <v>56.74</v>
      </c>
      <c r="H1373">
        <v>56.74</v>
      </c>
      <c r="I1373">
        <v>56.667088999999997</v>
      </c>
      <c r="J1373">
        <v>80.760000000000005</v>
      </c>
      <c r="K1373">
        <v>46</v>
      </c>
      <c r="L1373" s="2">
        <v>74</v>
      </c>
      <c r="M1373">
        <v>338</v>
      </c>
      <c r="N1373" s="2">
        <v>371</v>
      </c>
      <c r="O1373">
        <v>21023.49</v>
      </c>
      <c r="P1373">
        <v>11</v>
      </c>
      <c r="Q1373">
        <v>360</v>
      </c>
      <c r="R1373">
        <v>17.600000000000001</v>
      </c>
      <c r="S1373">
        <v>8</v>
      </c>
      <c r="T1373">
        <v>132</v>
      </c>
      <c r="U1373" s="2">
        <v>10660.32</v>
      </c>
      <c r="V1373">
        <v>0</v>
      </c>
      <c r="W1373" t="s">
        <v>29</v>
      </c>
      <c r="X1373" t="str">
        <f>IF(Table2[[#This Row],[Qty available]]&gt;Table2[[#This Row],[Qty on hand]],"Check","OK")</f>
        <v>OK</v>
      </c>
    </row>
    <row r="1374" spans="1:24" x14ac:dyDescent="0.3">
      <c r="A1374" t="s">
        <v>175</v>
      </c>
      <c r="B1374" t="s">
        <v>176</v>
      </c>
      <c r="C1374" t="s">
        <v>69</v>
      </c>
      <c r="D1374" t="s">
        <v>70</v>
      </c>
      <c r="E1374" t="s">
        <v>66</v>
      </c>
      <c r="F1374" s="1" t="s">
        <v>33</v>
      </c>
      <c r="G1374" s="2">
        <v>58.56</v>
      </c>
      <c r="H1374">
        <v>58.56</v>
      </c>
      <c r="I1374">
        <v>57.155459</v>
      </c>
      <c r="J1374">
        <v>80.760000000000005</v>
      </c>
      <c r="K1374">
        <v>46</v>
      </c>
      <c r="L1374" s="2">
        <v>45</v>
      </c>
      <c r="M1374">
        <v>129</v>
      </c>
      <c r="N1374" s="2">
        <v>425</v>
      </c>
      <c r="O1374">
        <v>24291.07</v>
      </c>
      <c r="P1374">
        <v>34</v>
      </c>
      <c r="Q1374">
        <v>391</v>
      </c>
      <c r="R1374">
        <v>17.57</v>
      </c>
      <c r="S1374">
        <v>6</v>
      </c>
      <c r="T1374">
        <v>75</v>
      </c>
      <c r="U1374" s="2">
        <v>6057</v>
      </c>
      <c r="V1374">
        <v>0</v>
      </c>
      <c r="W1374" t="s">
        <v>29</v>
      </c>
      <c r="X1374" t="str">
        <f>IF(Table2[[#This Row],[Qty available]]&gt;Table2[[#This Row],[Qty on hand]],"Check","OK")</f>
        <v>OK</v>
      </c>
    </row>
    <row r="1375" spans="1:24" x14ac:dyDescent="0.3">
      <c r="A1375" t="s">
        <v>175</v>
      </c>
      <c r="B1375" t="s">
        <v>176</v>
      </c>
      <c r="C1375" t="s">
        <v>69</v>
      </c>
      <c r="D1375" t="s">
        <v>70</v>
      </c>
      <c r="E1375" t="s">
        <v>66</v>
      </c>
      <c r="F1375" s="1" t="s">
        <v>34</v>
      </c>
      <c r="G1375" s="2">
        <v>58.73</v>
      </c>
      <c r="H1375">
        <v>58.73</v>
      </c>
      <c r="I1375">
        <v>57.155467999999999</v>
      </c>
      <c r="J1375">
        <v>84.89</v>
      </c>
      <c r="K1375">
        <v>46</v>
      </c>
      <c r="M1375">
        <v>0</v>
      </c>
      <c r="N1375" s="2">
        <v>331</v>
      </c>
      <c r="O1375">
        <v>18918.46</v>
      </c>
      <c r="P1375">
        <v>19</v>
      </c>
      <c r="Q1375">
        <v>312</v>
      </c>
      <c r="R1375">
        <v>14.14</v>
      </c>
      <c r="S1375">
        <v>2</v>
      </c>
      <c r="T1375">
        <v>94</v>
      </c>
      <c r="U1375" s="2">
        <v>7979.66</v>
      </c>
      <c r="V1375">
        <v>0</v>
      </c>
      <c r="W1375" t="s">
        <v>29</v>
      </c>
      <c r="X1375" t="str">
        <f>IF(Table2[[#This Row],[Qty available]]&gt;Table2[[#This Row],[Qty on hand]],"Check","OK")</f>
        <v>OK</v>
      </c>
    </row>
    <row r="1376" spans="1:24" x14ac:dyDescent="0.3">
      <c r="A1376" t="s">
        <v>175</v>
      </c>
      <c r="B1376" t="s">
        <v>176</v>
      </c>
      <c r="C1376" t="s">
        <v>69</v>
      </c>
      <c r="D1376" t="s">
        <v>70</v>
      </c>
      <c r="E1376" t="s">
        <v>66</v>
      </c>
      <c r="F1376" s="1" t="s">
        <v>35</v>
      </c>
      <c r="G1376" s="2">
        <v>56.72</v>
      </c>
      <c r="H1376">
        <v>56.72</v>
      </c>
      <c r="I1376">
        <v>57.155473000000001</v>
      </c>
      <c r="J1376">
        <v>84.89</v>
      </c>
      <c r="K1376">
        <v>46</v>
      </c>
      <c r="M1376">
        <v>0</v>
      </c>
      <c r="N1376" s="2">
        <v>148</v>
      </c>
      <c r="O1376">
        <v>8459.01</v>
      </c>
      <c r="P1376">
        <v>38</v>
      </c>
      <c r="Q1376">
        <v>110</v>
      </c>
      <c r="R1376">
        <v>5.41</v>
      </c>
      <c r="S1376">
        <v>0</v>
      </c>
      <c r="T1376">
        <v>183</v>
      </c>
      <c r="U1376" s="2">
        <v>15534.87</v>
      </c>
      <c r="V1376">
        <v>0</v>
      </c>
      <c r="W1376" t="s">
        <v>29</v>
      </c>
      <c r="X1376" t="str">
        <f>IF(Table2[[#This Row],[Qty available]]&gt;Table2[[#This Row],[Qty on hand]],"Check","OK")</f>
        <v>OK</v>
      </c>
    </row>
    <row r="1377" spans="1:24" x14ac:dyDescent="0.3">
      <c r="A1377" t="s">
        <v>175</v>
      </c>
      <c r="B1377" t="s">
        <v>176</v>
      </c>
      <c r="C1377" t="s">
        <v>69</v>
      </c>
      <c r="D1377" t="s">
        <v>70</v>
      </c>
      <c r="E1377" t="s">
        <v>66</v>
      </c>
      <c r="F1377" s="1" t="s">
        <v>36</v>
      </c>
      <c r="G1377" s="2">
        <v>57.5</v>
      </c>
      <c r="H1377">
        <v>57.5</v>
      </c>
      <c r="I1377">
        <v>57.372523999999999</v>
      </c>
      <c r="J1377">
        <v>84.89</v>
      </c>
      <c r="K1377">
        <v>46</v>
      </c>
      <c r="L1377" s="2">
        <v>61</v>
      </c>
      <c r="M1377">
        <v>252</v>
      </c>
      <c r="N1377" s="2">
        <v>206</v>
      </c>
      <c r="O1377">
        <v>11818.74</v>
      </c>
      <c r="P1377">
        <v>34</v>
      </c>
      <c r="Q1377">
        <v>172</v>
      </c>
      <c r="R1377">
        <v>5.56</v>
      </c>
      <c r="S1377">
        <v>0</v>
      </c>
      <c r="T1377">
        <v>194</v>
      </c>
      <c r="U1377" s="2">
        <v>16468.66</v>
      </c>
      <c r="V1377">
        <v>0</v>
      </c>
      <c r="W1377" t="s">
        <v>29</v>
      </c>
      <c r="X1377" t="str">
        <f>IF(Table2[[#This Row],[Qty available]]&gt;Table2[[#This Row],[Qty on hand]],"Check","OK")</f>
        <v>OK</v>
      </c>
    </row>
    <row r="1378" spans="1:24" x14ac:dyDescent="0.3">
      <c r="A1378" t="s">
        <v>175</v>
      </c>
      <c r="B1378" t="s">
        <v>176</v>
      </c>
      <c r="C1378" t="s">
        <v>69</v>
      </c>
      <c r="D1378" t="s">
        <v>70</v>
      </c>
      <c r="E1378" t="s">
        <v>66</v>
      </c>
      <c r="F1378" s="1" t="s">
        <v>37</v>
      </c>
      <c r="G1378" s="2">
        <v>58.12</v>
      </c>
      <c r="H1378">
        <v>58.12</v>
      </c>
      <c r="I1378">
        <v>57.803829999999998</v>
      </c>
      <c r="J1378">
        <v>84.89</v>
      </c>
      <c r="K1378">
        <v>46</v>
      </c>
      <c r="L1378" s="2">
        <v>43</v>
      </c>
      <c r="M1378">
        <v>281</v>
      </c>
      <c r="N1378" s="2">
        <v>423</v>
      </c>
      <c r="O1378">
        <v>24451.02</v>
      </c>
      <c r="P1378">
        <v>31</v>
      </c>
      <c r="Q1378">
        <v>392</v>
      </c>
      <c r="R1378">
        <v>12.61</v>
      </c>
      <c r="S1378">
        <v>0</v>
      </c>
      <c r="T1378">
        <v>64</v>
      </c>
      <c r="U1378" s="2">
        <v>5432.96</v>
      </c>
      <c r="V1378">
        <v>0</v>
      </c>
      <c r="W1378" t="s">
        <v>29</v>
      </c>
      <c r="X1378" t="str">
        <f>IF(Table2[[#This Row],[Qty available]]&gt;Table2[[#This Row],[Qty on hand]],"Check","OK")</f>
        <v>OK</v>
      </c>
    </row>
    <row r="1379" spans="1:24" x14ac:dyDescent="0.3">
      <c r="A1379" t="s">
        <v>175</v>
      </c>
      <c r="B1379" t="s">
        <v>176</v>
      </c>
      <c r="C1379" t="s">
        <v>69</v>
      </c>
      <c r="D1379" t="s">
        <v>70</v>
      </c>
      <c r="E1379" t="s">
        <v>66</v>
      </c>
      <c r="F1379" s="1" t="s">
        <v>38</v>
      </c>
      <c r="G1379" s="2">
        <v>57.27</v>
      </c>
      <c r="H1379">
        <v>57.27</v>
      </c>
      <c r="I1379">
        <v>57.660677999999997</v>
      </c>
      <c r="J1379">
        <v>84.89</v>
      </c>
      <c r="K1379">
        <v>46</v>
      </c>
      <c r="L1379" s="2">
        <v>54</v>
      </c>
      <c r="M1379">
        <v>155</v>
      </c>
      <c r="N1379" s="2">
        <v>487</v>
      </c>
      <c r="O1379">
        <v>28080.75</v>
      </c>
      <c r="P1379">
        <v>38</v>
      </c>
      <c r="Q1379">
        <v>449</v>
      </c>
      <c r="R1379">
        <v>18.14</v>
      </c>
      <c r="S1379">
        <v>1</v>
      </c>
      <c r="T1379">
        <v>91</v>
      </c>
      <c r="U1379" s="2">
        <v>7724.99</v>
      </c>
      <c r="V1379">
        <v>0</v>
      </c>
      <c r="W1379" t="s">
        <v>29</v>
      </c>
      <c r="X1379" t="str">
        <f>IF(Table2[[#This Row],[Qty available]]&gt;Table2[[#This Row],[Qty on hand]],"Check","OK")</f>
        <v>OK</v>
      </c>
    </row>
    <row r="1380" spans="1:24" x14ac:dyDescent="0.3">
      <c r="A1380" t="s">
        <v>175</v>
      </c>
      <c r="B1380" t="s">
        <v>176</v>
      </c>
      <c r="C1380" t="s">
        <v>69</v>
      </c>
      <c r="D1380" t="s">
        <v>70</v>
      </c>
      <c r="E1380" t="s">
        <v>66</v>
      </c>
      <c r="F1380" s="1" t="s">
        <v>39</v>
      </c>
      <c r="G1380" s="2">
        <v>58.69</v>
      </c>
      <c r="H1380">
        <v>58.69</v>
      </c>
      <c r="I1380">
        <v>57.88017</v>
      </c>
      <c r="J1380">
        <v>84.89</v>
      </c>
      <c r="K1380">
        <v>46</v>
      </c>
      <c r="L1380" s="2">
        <v>41</v>
      </c>
      <c r="M1380">
        <v>132</v>
      </c>
      <c r="N1380" s="2">
        <v>529</v>
      </c>
      <c r="O1380">
        <v>30618.61</v>
      </c>
      <c r="P1380">
        <v>34</v>
      </c>
      <c r="Q1380">
        <v>495</v>
      </c>
      <c r="R1380">
        <v>28.38</v>
      </c>
      <c r="S1380">
        <v>3</v>
      </c>
      <c r="T1380">
        <v>90</v>
      </c>
      <c r="U1380" s="2">
        <v>7640.1</v>
      </c>
      <c r="V1380">
        <v>0</v>
      </c>
      <c r="W1380" t="s">
        <v>29</v>
      </c>
      <c r="X1380" t="str">
        <f>IF(Table2[[#This Row],[Qty available]]&gt;Table2[[#This Row],[Qty on hand]],"Check","OK")</f>
        <v>OK</v>
      </c>
    </row>
    <row r="1381" spans="1:24" x14ac:dyDescent="0.3">
      <c r="A1381" t="s">
        <v>175</v>
      </c>
      <c r="B1381" t="s">
        <v>176</v>
      </c>
      <c r="C1381" t="s">
        <v>69</v>
      </c>
      <c r="D1381" t="s">
        <v>70</v>
      </c>
      <c r="E1381" t="s">
        <v>66</v>
      </c>
      <c r="F1381" s="1" t="s">
        <v>40</v>
      </c>
      <c r="G1381" s="2">
        <v>57.07</v>
      </c>
      <c r="H1381">
        <v>57.07</v>
      </c>
      <c r="I1381">
        <v>57.880161000000001</v>
      </c>
      <c r="J1381">
        <v>84.89</v>
      </c>
      <c r="K1381">
        <v>46</v>
      </c>
      <c r="M1381">
        <v>0</v>
      </c>
      <c r="N1381" s="2">
        <v>372</v>
      </c>
      <c r="O1381">
        <v>21531.42</v>
      </c>
      <c r="P1381">
        <v>8</v>
      </c>
      <c r="Q1381">
        <v>364</v>
      </c>
      <c r="R1381">
        <v>14.46</v>
      </c>
      <c r="S1381">
        <v>2</v>
      </c>
      <c r="T1381">
        <v>157</v>
      </c>
      <c r="U1381" s="2">
        <v>13327.73</v>
      </c>
      <c r="V1381">
        <v>0</v>
      </c>
      <c r="W1381" t="s">
        <v>29</v>
      </c>
      <c r="X1381" t="str">
        <f>IF(Table2[[#This Row],[Qty available]]&gt;Table2[[#This Row],[Qty on hand]],"Check","OK")</f>
        <v>OK</v>
      </c>
    </row>
    <row r="1382" spans="1:24" x14ac:dyDescent="0.3">
      <c r="A1382" t="s">
        <v>175</v>
      </c>
      <c r="B1382" t="s">
        <v>176</v>
      </c>
      <c r="C1382" t="s">
        <v>69</v>
      </c>
      <c r="D1382" t="s">
        <v>70</v>
      </c>
      <c r="E1382" t="s">
        <v>66</v>
      </c>
      <c r="F1382" s="1" t="s">
        <v>41</v>
      </c>
      <c r="G1382" s="2">
        <v>57.5</v>
      </c>
      <c r="H1382">
        <v>57.5</v>
      </c>
      <c r="I1382">
        <v>57.821396</v>
      </c>
      <c r="J1382">
        <v>84.89</v>
      </c>
      <c r="K1382">
        <v>46</v>
      </c>
      <c r="L1382" s="2">
        <v>45</v>
      </c>
      <c r="M1382">
        <v>68</v>
      </c>
      <c r="N1382" s="2">
        <v>351</v>
      </c>
      <c r="O1382">
        <v>20295.310000000001</v>
      </c>
      <c r="P1382">
        <v>11</v>
      </c>
      <c r="Q1382">
        <v>340</v>
      </c>
      <c r="R1382">
        <v>13.73</v>
      </c>
      <c r="S1382">
        <v>5</v>
      </c>
      <c r="T1382">
        <v>89</v>
      </c>
      <c r="U1382" s="2">
        <v>7555.21</v>
      </c>
      <c r="V1382">
        <v>0</v>
      </c>
      <c r="W1382" t="s">
        <v>29</v>
      </c>
      <c r="X1382" t="str">
        <f>IF(Table2[[#This Row],[Qty available]]&gt;Table2[[#This Row],[Qty on hand]],"Check","OK")</f>
        <v>OK</v>
      </c>
    </row>
    <row r="1383" spans="1:24" x14ac:dyDescent="0.3">
      <c r="A1383" t="s">
        <v>175</v>
      </c>
      <c r="B1383" t="s">
        <v>176</v>
      </c>
      <c r="C1383" t="s">
        <v>69</v>
      </c>
      <c r="D1383" t="s">
        <v>70</v>
      </c>
      <c r="E1383" t="s">
        <v>66</v>
      </c>
      <c r="F1383" s="1" t="s">
        <v>42</v>
      </c>
      <c r="G1383" s="2">
        <v>57.48</v>
      </c>
      <c r="H1383">
        <v>57.48</v>
      </c>
      <c r="I1383">
        <v>57.682076000000002</v>
      </c>
      <c r="J1383">
        <v>84.89</v>
      </c>
      <c r="K1383">
        <v>46</v>
      </c>
      <c r="L1383" s="2">
        <v>53</v>
      </c>
      <c r="M1383">
        <v>242</v>
      </c>
      <c r="N1383" s="2">
        <v>472</v>
      </c>
      <c r="O1383">
        <v>27225.94</v>
      </c>
      <c r="P1383">
        <v>15</v>
      </c>
      <c r="Q1383">
        <v>457</v>
      </c>
      <c r="R1383">
        <v>16.899999999999999</v>
      </c>
      <c r="S1383">
        <v>0</v>
      </c>
      <c r="T1383">
        <v>121</v>
      </c>
      <c r="U1383" s="2">
        <v>10271.69</v>
      </c>
      <c r="V1383">
        <v>0</v>
      </c>
      <c r="W1383" t="s">
        <v>29</v>
      </c>
      <c r="X1383" t="str">
        <f>IF(Table2[[#This Row],[Qty available]]&gt;Table2[[#This Row],[Qty on hand]],"Check","OK")</f>
        <v>OK</v>
      </c>
    </row>
    <row r="1384" spans="1:24" x14ac:dyDescent="0.3">
      <c r="A1384" t="s">
        <v>175</v>
      </c>
      <c r="B1384" t="s">
        <v>176</v>
      </c>
      <c r="C1384" t="s">
        <v>69</v>
      </c>
      <c r="D1384" t="s">
        <v>70</v>
      </c>
      <c r="E1384" t="s">
        <v>66</v>
      </c>
      <c r="F1384" s="1" t="s">
        <v>43</v>
      </c>
      <c r="G1384" s="2">
        <v>56.69</v>
      </c>
      <c r="H1384">
        <v>56.69</v>
      </c>
      <c r="I1384">
        <v>57.682084000000003</v>
      </c>
      <c r="J1384">
        <v>84.89</v>
      </c>
      <c r="K1384">
        <v>46</v>
      </c>
      <c r="M1384">
        <v>0</v>
      </c>
      <c r="N1384" s="2">
        <v>451</v>
      </c>
      <c r="O1384">
        <v>26014.62</v>
      </c>
      <c r="P1384">
        <v>34</v>
      </c>
      <c r="Q1384">
        <v>417</v>
      </c>
      <c r="R1384">
        <v>25.38</v>
      </c>
      <c r="S1384">
        <v>1</v>
      </c>
      <c r="T1384">
        <v>21</v>
      </c>
      <c r="U1384" s="2">
        <v>1782.69</v>
      </c>
      <c r="V1384">
        <v>0</v>
      </c>
      <c r="W1384" t="s">
        <v>29</v>
      </c>
      <c r="X1384" t="str">
        <f>IF(Table2[[#This Row],[Qty available]]&gt;Table2[[#This Row],[Qty on hand]],"Check","OK")</f>
        <v>OK</v>
      </c>
    </row>
    <row r="1385" spans="1:24" x14ac:dyDescent="0.3">
      <c r="A1385" t="s">
        <v>175</v>
      </c>
      <c r="B1385" t="s">
        <v>176</v>
      </c>
      <c r="C1385" t="s">
        <v>69</v>
      </c>
      <c r="D1385" t="s">
        <v>70</v>
      </c>
      <c r="E1385" t="s">
        <v>66</v>
      </c>
      <c r="F1385" s="1" t="s">
        <v>44</v>
      </c>
      <c r="G1385" s="2">
        <v>60.13</v>
      </c>
      <c r="H1385">
        <v>60.13</v>
      </c>
      <c r="I1385">
        <v>58.119050000000001</v>
      </c>
      <c r="J1385">
        <v>84.89</v>
      </c>
      <c r="K1385">
        <v>46</v>
      </c>
      <c r="L1385" s="2">
        <v>46</v>
      </c>
      <c r="M1385">
        <v>98</v>
      </c>
      <c r="N1385" s="2">
        <v>442</v>
      </c>
      <c r="O1385">
        <v>25688.62</v>
      </c>
      <c r="P1385">
        <v>15</v>
      </c>
      <c r="Q1385">
        <v>427</v>
      </c>
      <c r="R1385">
        <v>23.33</v>
      </c>
      <c r="S1385">
        <v>9</v>
      </c>
      <c r="T1385">
        <v>107</v>
      </c>
      <c r="U1385" s="2">
        <v>9083.23</v>
      </c>
      <c r="V1385">
        <v>0</v>
      </c>
      <c r="W1385" t="s">
        <v>29</v>
      </c>
      <c r="X1385" t="str">
        <f>IF(Table2[[#This Row],[Qty available]]&gt;Table2[[#This Row],[Qty on hand]],"Check","OK")</f>
        <v>OK</v>
      </c>
    </row>
    <row r="1386" spans="1:24" x14ac:dyDescent="0.3">
      <c r="A1386" t="s">
        <v>175</v>
      </c>
      <c r="B1386" t="s">
        <v>176</v>
      </c>
      <c r="C1386" t="s">
        <v>69</v>
      </c>
      <c r="D1386" t="s">
        <v>70</v>
      </c>
      <c r="E1386" t="s">
        <v>66</v>
      </c>
      <c r="F1386" s="1" t="s">
        <v>45</v>
      </c>
      <c r="G1386" s="2">
        <v>58.34</v>
      </c>
      <c r="H1386">
        <v>58.34</v>
      </c>
      <c r="I1386">
        <v>58.119050999999999</v>
      </c>
      <c r="J1386">
        <v>84.89</v>
      </c>
      <c r="K1386">
        <v>46</v>
      </c>
      <c r="M1386">
        <v>0</v>
      </c>
      <c r="N1386" s="2">
        <v>432</v>
      </c>
      <c r="O1386">
        <v>25107.43</v>
      </c>
      <c r="P1386">
        <v>11</v>
      </c>
      <c r="Q1386">
        <v>421</v>
      </c>
      <c r="R1386">
        <v>41.14</v>
      </c>
      <c r="S1386">
        <v>10</v>
      </c>
      <c r="T1386">
        <v>10</v>
      </c>
      <c r="U1386" s="2">
        <v>848.9</v>
      </c>
      <c r="V1386">
        <v>0</v>
      </c>
      <c r="W1386" t="s">
        <v>29</v>
      </c>
      <c r="X1386" t="str">
        <f>IF(Table2[[#This Row],[Qty available]]&gt;Table2[[#This Row],[Qty on hand]],"Check","OK")</f>
        <v>OK</v>
      </c>
    </row>
    <row r="1387" spans="1:24" x14ac:dyDescent="0.3">
      <c r="A1387" t="s">
        <v>175</v>
      </c>
      <c r="B1387" t="s">
        <v>176</v>
      </c>
      <c r="C1387" t="s">
        <v>69</v>
      </c>
      <c r="D1387" t="s">
        <v>70</v>
      </c>
      <c r="E1387" t="s">
        <v>66</v>
      </c>
      <c r="F1387" s="1" t="s">
        <v>46</v>
      </c>
      <c r="G1387" s="2">
        <v>58.8</v>
      </c>
      <c r="H1387">
        <v>58.8</v>
      </c>
      <c r="I1387">
        <v>58.119047999999999</v>
      </c>
      <c r="J1387">
        <v>89.23</v>
      </c>
      <c r="K1387">
        <v>46</v>
      </c>
      <c r="M1387">
        <v>0</v>
      </c>
      <c r="N1387" s="2">
        <v>252</v>
      </c>
      <c r="O1387">
        <v>14646</v>
      </c>
      <c r="P1387">
        <v>15</v>
      </c>
      <c r="Q1387">
        <v>237</v>
      </c>
      <c r="R1387">
        <v>10.91</v>
      </c>
      <c r="S1387">
        <v>1</v>
      </c>
      <c r="T1387">
        <v>180</v>
      </c>
      <c r="U1387" s="2">
        <v>16061.4</v>
      </c>
      <c r="V1387">
        <v>0</v>
      </c>
      <c r="W1387" t="s">
        <v>29</v>
      </c>
      <c r="X1387" t="str">
        <f>IF(Table2[[#This Row],[Qty available]]&gt;Table2[[#This Row],[Qty on hand]],"Check","OK")</f>
        <v>OK</v>
      </c>
    </row>
    <row r="1388" spans="1:24" x14ac:dyDescent="0.3">
      <c r="A1388" t="s">
        <v>175</v>
      </c>
      <c r="B1388" t="s">
        <v>176</v>
      </c>
      <c r="C1388" t="s">
        <v>69</v>
      </c>
      <c r="D1388" t="s">
        <v>70</v>
      </c>
      <c r="E1388" t="s">
        <v>66</v>
      </c>
      <c r="F1388" s="1" t="s">
        <v>47</v>
      </c>
      <c r="G1388" s="2">
        <v>60.2</v>
      </c>
      <c r="H1388">
        <v>60.2</v>
      </c>
      <c r="I1388">
        <v>58.491849999999999</v>
      </c>
      <c r="J1388">
        <v>89.23</v>
      </c>
      <c r="K1388">
        <v>46</v>
      </c>
      <c r="L1388" s="2">
        <v>73</v>
      </c>
      <c r="M1388">
        <v>55</v>
      </c>
      <c r="N1388" s="2">
        <v>200</v>
      </c>
      <c r="O1388">
        <v>11698.37</v>
      </c>
      <c r="P1388">
        <v>31</v>
      </c>
      <c r="Q1388">
        <v>169</v>
      </c>
      <c r="R1388">
        <v>8.66</v>
      </c>
      <c r="S1388">
        <v>7</v>
      </c>
      <c r="T1388">
        <v>107</v>
      </c>
      <c r="U1388" s="2">
        <v>9547.61</v>
      </c>
      <c r="V1388">
        <v>0</v>
      </c>
      <c r="W1388" t="s">
        <v>29</v>
      </c>
      <c r="X1388" t="str">
        <f>IF(Table2[[#This Row],[Qty available]]&gt;Table2[[#This Row],[Qty on hand]],"Check","OK")</f>
        <v>OK</v>
      </c>
    </row>
    <row r="1389" spans="1:24" x14ac:dyDescent="0.3">
      <c r="A1389" t="s">
        <v>175</v>
      </c>
      <c r="B1389" t="s">
        <v>176</v>
      </c>
      <c r="C1389" t="s">
        <v>69</v>
      </c>
      <c r="D1389" t="s">
        <v>70</v>
      </c>
      <c r="E1389" t="s">
        <v>66</v>
      </c>
      <c r="F1389" s="1" t="s">
        <v>48</v>
      </c>
      <c r="G1389" s="2">
        <v>58.52</v>
      </c>
      <c r="H1389">
        <v>58.52</v>
      </c>
      <c r="I1389">
        <v>58.491852000000002</v>
      </c>
      <c r="J1389">
        <v>89.23</v>
      </c>
      <c r="K1389">
        <v>46</v>
      </c>
      <c r="M1389">
        <v>0</v>
      </c>
      <c r="N1389" s="2">
        <v>162</v>
      </c>
      <c r="O1389">
        <v>9475.68</v>
      </c>
      <c r="P1389">
        <v>38</v>
      </c>
      <c r="Q1389">
        <v>124</v>
      </c>
      <c r="R1389">
        <v>6.34</v>
      </c>
      <c r="S1389">
        <v>3</v>
      </c>
      <c r="T1389">
        <v>38</v>
      </c>
      <c r="U1389" s="2">
        <v>3390.74</v>
      </c>
      <c r="V1389">
        <v>0</v>
      </c>
      <c r="W1389" t="s">
        <v>29</v>
      </c>
      <c r="X1389" t="str">
        <f>IF(Table2[[#This Row],[Qty available]]&gt;Table2[[#This Row],[Qty on hand]],"Check","OK")</f>
        <v>OK</v>
      </c>
    </row>
    <row r="1390" spans="1:24" x14ac:dyDescent="0.3">
      <c r="A1390" t="s">
        <v>175</v>
      </c>
      <c r="B1390" t="s">
        <v>176</v>
      </c>
      <c r="C1390" t="s">
        <v>69</v>
      </c>
      <c r="D1390" t="s">
        <v>70</v>
      </c>
      <c r="E1390" t="s">
        <v>66</v>
      </c>
      <c r="F1390" s="1" t="s">
        <v>49</v>
      </c>
      <c r="G1390" s="2">
        <v>60.2</v>
      </c>
      <c r="H1390">
        <v>60.2</v>
      </c>
      <c r="I1390">
        <v>59.429209</v>
      </c>
      <c r="J1390">
        <v>89.23</v>
      </c>
      <c r="K1390">
        <v>46</v>
      </c>
      <c r="L1390" s="2">
        <v>81</v>
      </c>
      <c r="M1390">
        <v>197</v>
      </c>
      <c r="N1390" s="2">
        <v>215</v>
      </c>
      <c r="O1390">
        <v>12777.28</v>
      </c>
      <c r="P1390">
        <v>27</v>
      </c>
      <c r="Q1390">
        <v>188</v>
      </c>
      <c r="R1390">
        <v>9.7799999999999994</v>
      </c>
      <c r="S1390">
        <v>4</v>
      </c>
      <c r="T1390">
        <v>144</v>
      </c>
      <c r="U1390" s="2">
        <v>12849.12</v>
      </c>
      <c r="V1390">
        <v>0</v>
      </c>
      <c r="W1390" t="s">
        <v>29</v>
      </c>
      <c r="X1390" t="str">
        <f>IF(Table2[[#This Row],[Qty available]]&gt;Table2[[#This Row],[Qty on hand]],"Check","OK")</f>
        <v>OK</v>
      </c>
    </row>
    <row r="1391" spans="1:24" x14ac:dyDescent="0.3">
      <c r="A1391" t="s">
        <v>175</v>
      </c>
      <c r="B1391" t="s">
        <v>176</v>
      </c>
      <c r="C1391" t="s">
        <v>69</v>
      </c>
      <c r="D1391" t="s">
        <v>70</v>
      </c>
      <c r="E1391" t="s">
        <v>66</v>
      </c>
      <c r="F1391" s="1" t="s">
        <v>50</v>
      </c>
      <c r="G1391" s="2">
        <v>60.23</v>
      </c>
      <c r="H1391">
        <v>60.23</v>
      </c>
      <c r="I1391">
        <v>59.872796999999998</v>
      </c>
      <c r="J1391">
        <v>89.23</v>
      </c>
      <c r="K1391">
        <v>46</v>
      </c>
      <c r="L1391" s="2">
        <v>76</v>
      </c>
      <c r="M1391">
        <v>267</v>
      </c>
      <c r="N1391" s="2">
        <v>354</v>
      </c>
      <c r="O1391">
        <v>21194.97</v>
      </c>
      <c r="P1391">
        <v>11</v>
      </c>
      <c r="Q1391">
        <v>343</v>
      </c>
      <c r="R1391">
        <v>14.85</v>
      </c>
      <c r="S1391">
        <v>0</v>
      </c>
      <c r="T1391">
        <v>128</v>
      </c>
      <c r="U1391" s="2">
        <v>11421.44</v>
      </c>
      <c r="V1391">
        <v>0</v>
      </c>
      <c r="W1391" t="s">
        <v>29</v>
      </c>
      <c r="X1391" t="str">
        <f>IF(Table2[[#This Row],[Qty available]]&gt;Table2[[#This Row],[Qty on hand]],"Check","OK")</f>
        <v>OK</v>
      </c>
    </row>
    <row r="1392" spans="1:24" x14ac:dyDescent="0.3">
      <c r="A1392" t="s">
        <v>175</v>
      </c>
      <c r="B1392" t="s">
        <v>176</v>
      </c>
      <c r="C1392" t="s">
        <v>69</v>
      </c>
      <c r="D1392" t="s">
        <v>70</v>
      </c>
      <c r="E1392" t="s">
        <v>66</v>
      </c>
      <c r="F1392" s="1" t="s">
        <v>51</v>
      </c>
      <c r="G1392" s="2">
        <v>59.97</v>
      </c>
      <c r="H1392">
        <v>59.97</v>
      </c>
      <c r="I1392">
        <v>59.884819999999998</v>
      </c>
      <c r="J1392">
        <v>89.23</v>
      </c>
      <c r="K1392">
        <v>46</v>
      </c>
      <c r="L1392" s="2">
        <v>43</v>
      </c>
      <c r="M1392">
        <v>50</v>
      </c>
      <c r="N1392" s="2">
        <v>305</v>
      </c>
      <c r="O1392">
        <v>18264.87</v>
      </c>
      <c r="P1392">
        <v>23</v>
      </c>
      <c r="Q1392">
        <v>282</v>
      </c>
      <c r="R1392">
        <v>10.8</v>
      </c>
      <c r="S1392">
        <v>0</v>
      </c>
      <c r="T1392">
        <v>99</v>
      </c>
      <c r="U1392" s="2">
        <v>8833.77</v>
      </c>
      <c r="V1392">
        <v>0</v>
      </c>
      <c r="W1392" t="s">
        <v>29</v>
      </c>
      <c r="X1392" t="str">
        <f>IF(Table2[[#This Row],[Qty available]]&gt;Table2[[#This Row],[Qty on hand]],"Check","OK")</f>
        <v>OK</v>
      </c>
    </row>
    <row r="1393" spans="1:24" x14ac:dyDescent="0.3">
      <c r="A1393" t="s">
        <v>175</v>
      </c>
      <c r="B1393" t="s">
        <v>176</v>
      </c>
      <c r="C1393" t="s">
        <v>69</v>
      </c>
      <c r="D1393" t="s">
        <v>70</v>
      </c>
      <c r="E1393" t="s">
        <v>66</v>
      </c>
      <c r="F1393" s="1" t="s">
        <v>52</v>
      </c>
      <c r="G1393" s="2">
        <v>59.66</v>
      </c>
      <c r="H1393">
        <v>59.66</v>
      </c>
      <c r="I1393">
        <v>59.792628000000001</v>
      </c>
      <c r="J1393">
        <v>89.23</v>
      </c>
      <c r="K1393">
        <v>46</v>
      </c>
      <c r="L1393" s="2">
        <v>45</v>
      </c>
      <c r="M1393">
        <v>212</v>
      </c>
      <c r="N1393" s="2">
        <v>468</v>
      </c>
      <c r="O1393">
        <v>27982.95</v>
      </c>
      <c r="P1393">
        <v>34</v>
      </c>
      <c r="Q1393">
        <v>434</v>
      </c>
      <c r="R1393">
        <v>22.29</v>
      </c>
      <c r="S1393">
        <v>2</v>
      </c>
      <c r="T1393">
        <v>49</v>
      </c>
      <c r="U1393" s="2">
        <v>4372.2700000000004</v>
      </c>
      <c r="V1393">
        <v>0</v>
      </c>
      <c r="W1393" t="s">
        <v>29</v>
      </c>
      <c r="X1393" t="str">
        <f>IF(Table2[[#This Row],[Qty available]]&gt;Table2[[#This Row],[Qty on hand]],"Check","OK")</f>
        <v>OK</v>
      </c>
    </row>
    <row r="1394" spans="1:24" x14ac:dyDescent="0.3">
      <c r="A1394" t="s">
        <v>177</v>
      </c>
      <c r="B1394" t="s">
        <v>178</v>
      </c>
      <c r="C1394" t="s">
        <v>57</v>
      </c>
      <c r="D1394" t="s">
        <v>58</v>
      </c>
      <c r="E1394" t="s">
        <v>66</v>
      </c>
      <c r="F1394" s="1" t="s">
        <v>28</v>
      </c>
      <c r="G1394" s="2">
        <v>48.65</v>
      </c>
      <c r="H1394">
        <v>48.65</v>
      </c>
      <c r="I1394">
        <v>48.271076999999998</v>
      </c>
      <c r="J1394">
        <v>65.11</v>
      </c>
      <c r="K1394">
        <v>36</v>
      </c>
      <c r="L1394" s="2">
        <v>32</v>
      </c>
      <c r="M1394">
        <v>8</v>
      </c>
      <c r="N1394" s="2">
        <v>65</v>
      </c>
      <c r="O1394">
        <v>3137.62</v>
      </c>
      <c r="P1394">
        <v>8</v>
      </c>
      <c r="Q1394">
        <v>57</v>
      </c>
      <c r="R1394">
        <v>14</v>
      </c>
      <c r="S1394">
        <v>2</v>
      </c>
      <c r="T1394">
        <v>22</v>
      </c>
      <c r="U1394" s="2">
        <v>1432.42</v>
      </c>
      <c r="V1394">
        <v>0</v>
      </c>
      <c r="W1394" t="s">
        <v>29</v>
      </c>
      <c r="X1394" t="str">
        <f>IF(Table2[[#This Row],[Qty available]]&gt;Table2[[#This Row],[Qty on hand]],"Check","OK")</f>
        <v>OK</v>
      </c>
    </row>
    <row r="1395" spans="1:24" x14ac:dyDescent="0.3">
      <c r="A1395" t="s">
        <v>177</v>
      </c>
      <c r="B1395" t="s">
        <v>178</v>
      </c>
      <c r="C1395" t="s">
        <v>57</v>
      </c>
      <c r="D1395" t="s">
        <v>58</v>
      </c>
      <c r="E1395" t="s">
        <v>66</v>
      </c>
      <c r="F1395" s="1" t="s">
        <v>30</v>
      </c>
      <c r="G1395" s="2">
        <v>49.52</v>
      </c>
      <c r="H1395">
        <v>49.52</v>
      </c>
      <c r="I1395">
        <v>48.960096</v>
      </c>
      <c r="J1395">
        <v>65.11</v>
      </c>
      <c r="K1395">
        <v>36</v>
      </c>
      <c r="L1395" s="2">
        <v>32</v>
      </c>
      <c r="M1395">
        <v>80</v>
      </c>
      <c r="N1395" s="2">
        <v>104</v>
      </c>
      <c r="O1395">
        <v>5091.8500000000004</v>
      </c>
      <c r="P1395">
        <v>16</v>
      </c>
      <c r="Q1395">
        <v>88</v>
      </c>
      <c r="R1395">
        <v>13.4</v>
      </c>
      <c r="S1395">
        <v>3</v>
      </c>
      <c r="T1395">
        <v>41</v>
      </c>
      <c r="U1395" s="2">
        <v>2669.51</v>
      </c>
      <c r="V1395">
        <v>0</v>
      </c>
      <c r="W1395" t="s">
        <v>29</v>
      </c>
      <c r="X1395" t="str">
        <f>IF(Table2[[#This Row],[Qty available]]&gt;Table2[[#This Row],[Qty on hand]],"Check","OK")</f>
        <v>OK</v>
      </c>
    </row>
    <row r="1396" spans="1:24" x14ac:dyDescent="0.3">
      <c r="A1396" t="s">
        <v>177</v>
      </c>
      <c r="B1396" t="s">
        <v>178</v>
      </c>
      <c r="C1396" t="s">
        <v>57</v>
      </c>
      <c r="D1396" t="s">
        <v>58</v>
      </c>
      <c r="E1396" t="s">
        <v>66</v>
      </c>
      <c r="F1396" s="1" t="s">
        <v>31</v>
      </c>
      <c r="G1396" s="2">
        <v>48.29</v>
      </c>
      <c r="H1396">
        <v>48.29</v>
      </c>
      <c r="I1396">
        <v>48.96</v>
      </c>
      <c r="J1396">
        <v>65.11</v>
      </c>
      <c r="K1396">
        <v>36</v>
      </c>
      <c r="M1396">
        <v>0</v>
      </c>
      <c r="N1396" s="2">
        <v>33</v>
      </c>
      <c r="O1396">
        <v>1615.68</v>
      </c>
      <c r="P1396">
        <v>6</v>
      </c>
      <c r="Q1396">
        <v>27</v>
      </c>
      <c r="R1396">
        <v>3.2</v>
      </c>
      <c r="S1396">
        <v>2</v>
      </c>
      <c r="T1396">
        <v>71</v>
      </c>
      <c r="U1396" s="2">
        <v>4622.8100000000004</v>
      </c>
      <c r="V1396">
        <v>0</v>
      </c>
      <c r="W1396" t="s">
        <v>29</v>
      </c>
      <c r="X1396" t="str">
        <f>IF(Table2[[#This Row],[Qty available]]&gt;Table2[[#This Row],[Qty on hand]],"Check","OK")</f>
        <v>OK</v>
      </c>
    </row>
    <row r="1397" spans="1:24" x14ac:dyDescent="0.3">
      <c r="A1397" t="s">
        <v>177</v>
      </c>
      <c r="B1397" t="s">
        <v>178</v>
      </c>
      <c r="C1397" t="s">
        <v>57</v>
      </c>
      <c r="D1397" t="s">
        <v>58</v>
      </c>
      <c r="E1397" t="s">
        <v>66</v>
      </c>
      <c r="F1397" s="1" t="s">
        <v>32</v>
      </c>
      <c r="G1397" s="2">
        <v>49.67</v>
      </c>
      <c r="H1397">
        <v>49.67</v>
      </c>
      <c r="I1397">
        <v>49.551053000000003</v>
      </c>
      <c r="J1397">
        <v>65.11</v>
      </c>
      <c r="K1397">
        <v>36</v>
      </c>
      <c r="L1397" s="2">
        <v>31</v>
      </c>
      <c r="M1397">
        <v>164</v>
      </c>
      <c r="N1397" s="2">
        <v>133</v>
      </c>
      <c r="O1397">
        <v>6590.29</v>
      </c>
      <c r="P1397">
        <v>10</v>
      </c>
      <c r="Q1397">
        <v>123</v>
      </c>
      <c r="R1397">
        <v>9.93</v>
      </c>
      <c r="S1397">
        <v>0</v>
      </c>
      <c r="T1397">
        <v>64</v>
      </c>
      <c r="U1397" s="2">
        <v>4167.04</v>
      </c>
      <c r="V1397">
        <v>0</v>
      </c>
      <c r="W1397" t="s">
        <v>29</v>
      </c>
      <c r="X1397" t="str">
        <f>IF(Table2[[#This Row],[Qty available]]&gt;Table2[[#This Row],[Qty on hand]],"Check","OK")</f>
        <v>OK</v>
      </c>
    </row>
    <row r="1398" spans="1:24" x14ac:dyDescent="0.3">
      <c r="A1398" t="s">
        <v>177</v>
      </c>
      <c r="B1398" t="s">
        <v>178</v>
      </c>
      <c r="C1398" t="s">
        <v>57</v>
      </c>
      <c r="D1398" t="s">
        <v>58</v>
      </c>
      <c r="E1398" t="s">
        <v>66</v>
      </c>
      <c r="F1398" s="1" t="s">
        <v>33</v>
      </c>
      <c r="G1398" s="2">
        <v>50.1</v>
      </c>
      <c r="H1398">
        <v>50.1</v>
      </c>
      <c r="I1398">
        <v>49.551110999999999</v>
      </c>
      <c r="J1398">
        <v>65.11</v>
      </c>
      <c r="K1398">
        <v>36</v>
      </c>
      <c r="M1398">
        <v>0</v>
      </c>
      <c r="N1398" s="2">
        <v>81</v>
      </c>
      <c r="O1398">
        <v>4013.64</v>
      </c>
      <c r="P1398">
        <v>4</v>
      </c>
      <c r="Q1398">
        <v>77</v>
      </c>
      <c r="R1398">
        <v>5.69</v>
      </c>
      <c r="S1398">
        <v>0</v>
      </c>
      <c r="T1398">
        <v>52</v>
      </c>
      <c r="U1398" s="2">
        <v>3385.72</v>
      </c>
      <c r="V1398">
        <v>0</v>
      </c>
      <c r="W1398" t="s">
        <v>29</v>
      </c>
      <c r="X1398" t="str">
        <f>IF(Table2[[#This Row],[Qty available]]&gt;Table2[[#This Row],[Qty on hand]],"Check","OK")</f>
        <v>OK</v>
      </c>
    </row>
    <row r="1399" spans="1:24" x14ac:dyDescent="0.3">
      <c r="A1399" t="s">
        <v>177</v>
      </c>
      <c r="B1399" t="s">
        <v>178</v>
      </c>
      <c r="C1399" t="s">
        <v>57</v>
      </c>
      <c r="D1399" t="s">
        <v>58</v>
      </c>
      <c r="E1399" t="s">
        <v>66</v>
      </c>
      <c r="F1399" s="1" t="s">
        <v>34</v>
      </c>
      <c r="G1399" s="2">
        <v>50.27</v>
      </c>
      <c r="H1399">
        <v>50.27</v>
      </c>
      <c r="I1399">
        <v>49.847999999999999</v>
      </c>
      <c r="J1399">
        <v>68.239999999999995</v>
      </c>
      <c r="K1399">
        <v>36</v>
      </c>
      <c r="L1399" s="2">
        <v>35</v>
      </c>
      <c r="M1399">
        <v>57</v>
      </c>
      <c r="N1399" s="2">
        <v>110</v>
      </c>
      <c r="O1399">
        <v>5483.28</v>
      </c>
      <c r="P1399">
        <v>20</v>
      </c>
      <c r="Q1399">
        <v>90</v>
      </c>
      <c r="R1399">
        <v>9.82</v>
      </c>
      <c r="S1399">
        <v>3</v>
      </c>
      <c r="T1399">
        <v>28</v>
      </c>
      <c r="U1399" s="2">
        <v>1910.72</v>
      </c>
      <c r="V1399">
        <v>0</v>
      </c>
      <c r="W1399" t="s">
        <v>29</v>
      </c>
      <c r="X1399" t="str">
        <f>IF(Table2[[#This Row],[Qty available]]&gt;Table2[[#This Row],[Qty on hand]],"Check","OK")</f>
        <v>OK</v>
      </c>
    </row>
    <row r="1400" spans="1:24" x14ac:dyDescent="0.3">
      <c r="A1400" t="s">
        <v>177</v>
      </c>
      <c r="B1400" t="s">
        <v>178</v>
      </c>
      <c r="C1400" t="s">
        <v>57</v>
      </c>
      <c r="D1400" t="s">
        <v>58</v>
      </c>
      <c r="E1400" t="s">
        <v>66</v>
      </c>
      <c r="F1400" s="1" t="s">
        <v>35</v>
      </c>
      <c r="G1400" s="2">
        <v>49.65</v>
      </c>
      <c r="H1400">
        <v>49.65</v>
      </c>
      <c r="I1400">
        <v>49.805574</v>
      </c>
      <c r="J1400">
        <v>68.239999999999995</v>
      </c>
      <c r="K1400">
        <v>36</v>
      </c>
      <c r="L1400" s="2">
        <v>36</v>
      </c>
      <c r="M1400">
        <v>30</v>
      </c>
      <c r="N1400" s="2">
        <v>122</v>
      </c>
      <c r="O1400">
        <v>6076.28</v>
      </c>
      <c r="P1400">
        <v>16</v>
      </c>
      <c r="Q1400">
        <v>106</v>
      </c>
      <c r="R1400">
        <v>16.010000000000002</v>
      </c>
      <c r="S1400">
        <v>0</v>
      </c>
      <c r="T1400">
        <v>18</v>
      </c>
      <c r="U1400" s="2">
        <v>1228.32</v>
      </c>
      <c r="V1400">
        <v>0</v>
      </c>
      <c r="W1400" t="s">
        <v>29</v>
      </c>
      <c r="X1400" t="str">
        <f>IF(Table2[[#This Row],[Qty available]]&gt;Table2[[#This Row],[Qty on hand]],"Check","OK")</f>
        <v>OK</v>
      </c>
    </row>
    <row r="1401" spans="1:24" x14ac:dyDescent="0.3">
      <c r="A1401" t="s">
        <v>177</v>
      </c>
      <c r="B1401" t="s">
        <v>178</v>
      </c>
      <c r="C1401" t="s">
        <v>57</v>
      </c>
      <c r="D1401" t="s">
        <v>58</v>
      </c>
      <c r="E1401" t="s">
        <v>66</v>
      </c>
      <c r="F1401" s="1" t="s">
        <v>36</v>
      </c>
      <c r="G1401" s="2">
        <v>49.64</v>
      </c>
      <c r="H1401">
        <v>49.64</v>
      </c>
      <c r="I1401">
        <v>49.805531999999999</v>
      </c>
      <c r="J1401">
        <v>68.239999999999995</v>
      </c>
      <c r="K1401">
        <v>36</v>
      </c>
      <c r="M1401">
        <v>0</v>
      </c>
      <c r="N1401" s="2">
        <v>47</v>
      </c>
      <c r="O1401">
        <v>2340.86</v>
      </c>
      <c r="P1401">
        <v>18</v>
      </c>
      <c r="Q1401">
        <v>29</v>
      </c>
      <c r="R1401">
        <v>4.9400000000000004</v>
      </c>
      <c r="S1401">
        <v>9</v>
      </c>
      <c r="T1401">
        <v>75</v>
      </c>
      <c r="U1401" s="2">
        <v>5118</v>
      </c>
      <c r="V1401">
        <v>0</v>
      </c>
      <c r="W1401" t="s">
        <v>29</v>
      </c>
      <c r="X1401" t="str">
        <f>IF(Table2[[#This Row],[Qty available]]&gt;Table2[[#This Row],[Qty on hand]],"Check","OK")</f>
        <v>OK</v>
      </c>
    </row>
    <row r="1402" spans="1:24" x14ac:dyDescent="0.3">
      <c r="A1402" t="s">
        <v>177</v>
      </c>
      <c r="B1402" t="s">
        <v>178</v>
      </c>
      <c r="C1402" t="s">
        <v>57</v>
      </c>
      <c r="D1402" t="s">
        <v>58</v>
      </c>
      <c r="E1402" t="s">
        <v>66</v>
      </c>
      <c r="F1402" s="1" t="s">
        <v>37</v>
      </c>
      <c r="G1402" s="2">
        <v>50.95</v>
      </c>
      <c r="H1402">
        <v>50.95</v>
      </c>
      <c r="I1402">
        <v>50.333333000000003</v>
      </c>
      <c r="J1402">
        <v>68.239999999999995</v>
      </c>
      <c r="K1402">
        <v>36</v>
      </c>
      <c r="L1402" s="2">
        <v>34</v>
      </c>
      <c r="M1402">
        <v>40</v>
      </c>
      <c r="N1402" s="2">
        <v>3</v>
      </c>
      <c r="O1402">
        <v>151</v>
      </c>
      <c r="P1402">
        <v>3</v>
      </c>
      <c r="Q1402">
        <v>0</v>
      </c>
      <c r="R1402">
        <v>0.22</v>
      </c>
      <c r="S1402">
        <v>2</v>
      </c>
      <c r="T1402">
        <v>84</v>
      </c>
      <c r="U1402" s="2">
        <v>5732.16</v>
      </c>
      <c r="V1402">
        <v>0</v>
      </c>
      <c r="W1402" t="s">
        <v>29</v>
      </c>
      <c r="X1402" t="str">
        <f>IF(Table2[[#This Row],[Qty available]]&gt;Table2[[#This Row],[Qty on hand]],"Check","OK")</f>
        <v>OK</v>
      </c>
    </row>
    <row r="1403" spans="1:24" x14ac:dyDescent="0.3">
      <c r="A1403" t="s">
        <v>177</v>
      </c>
      <c r="B1403" t="s">
        <v>178</v>
      </c>
      <c r="C1403" t="s">
        <v>57</v>
      </c>
      <c r="D1403" t="s">
        <v>58</v>
      </c>
      <c r="E1403" t="s">
        <v>66</v>
      </c>
      <c r="F1403" s="1" t="s">
        <v>38</v>
      </c>
      <c r="G1403" s="2">
        <v>51.25</v>
      </c>
      <c r="H1403">
        <v>51.25</v>
      </c>
      <c r="I1403">
        <v>51.224117999999997</v>
      </c>
      <c r="J1403">
        <v>68.239999999999995</v>
      </c>
      <c r="K1403">
        <v>36</v>
      </c>
      <c r="L1403" s="2">
        <v>42</v>
      </c>
      <c r="M1403">
        <v>104</v>
      </c>
      <c r="N1403" s="2">
        <v>17</v>
      </c>
      <c r="O1403">
        <v>870.81</v>
      </c>
      <c r="P1403">
        <v>17</v>
      </c>
      <c r="Q1403">
        <v>0</v>
      </c>
      <c r="R1403">
        <v>0.89</v>
      </c>
      <c r="S1403">
        <v>0</v>
      </c>
      <c r="T1403">
        <v>90</v>
      </c>
      <c r="U1403" s="2">
        <v>6141.6</v>
      </c>
      <c r="V1403">
        <v>0</v>
      </c>
      <c r="W1403" t="s">
        <v>29</v>
      </c>
      <c r="X1403" t="str">
        <f>IF(Table2[[#This Row],[Qty available]]&gt;Table2[[#This Row],[Qty on hand]],"Check","OK")</f>
        <v>OK</v>
      </c>
    </row>
    <row r="1404" spans="1:24" x14ac:dyDescent="0.3">
      <c r="A1404" t="s">
        <v>177</v>
      </c>
      <c r="B1404" t="s">
        <v>178</v>
      </c>
      <c r="C1404" t="s">
        <v>57</v>
      </c>
      <c r="D1404" t="s">
        <v>58</v>
      </c>
      <c r="E1404" t="s">
        <v>66</v>
      </c>
      <c r="F1404" s="1" t="s">
        <v>39</v>
      </c>
      <c r="G1404" s="2">
        <v>49.64</v>
      </c>
      <c r="H1404">
        <v>49.64</v>
      </c>
      <c r="I1404">
        <v>49.923547999999997</v>
      </c>
      <c r="J1404">
        <v>68.239999999999995</v>
      </c>
      <c r="K1404">
        <v>36</v>
      </c>
      <c r="L1404" s="2">
        <v>34</v>
      </c>
      <c r="M1404">
        <v>78</v>
      </c>
      <c r="N1404" s="2">
        <v>31</v>
      </c>
      <c r="O1404">
        <v>1547.63</v>
      </c>
      <c r="P1404">
        <v>8</v>
      </c>
      <c r="Q1404">
        <v>23</v>
      </c>
      <c r="R1404">
        <v>1.71</v>
      </c>
      <c r="S1404">
        <v>5</v>
      </c>
      <c r="T1404">
        <v>64</v>
      </c>
      <c r="U1404" s="2">
        <v>4367.3599999999997</v>
      </c>
      <c r="V1404">
        <v>0</v>
      </c>
      <c r="W1404" t="s">
        <v>29</v>
      </c>
      <c r="X1404" t="str">
        <f>IF(Table2[[#This Row],[Qty available]]&gt;Table2[[#This Row],[Qty on hand]],"Check","OK")</f>
        <v>OK</v>
      </c>
    </row>
    <row r="1405" spans="1:24" x14ac:dyDescent="0.3">
      <c r="A1405" t="s">
        <v>177</v>
      </c>
      <c r="B1405" t="s">
        <v>178</v>
      </c>
      <c r="C1405" t="s">
        <v>57</v>
      </c>
      <c r="D1405" t="s">
        <v>58</v>
      </c>
      <c r="E1405" t="s">
        <v>66</v>
      </c>
      <c r="F1405" s="1" t="s">
        <v>40</v>
      </c>
      <c r="G1405" s="2">
        <v>50.62</v>
      </c>
      <c r="H1405">
        <v>50.62</v>
      </c>
      <c r="I1405">
        <v>50.495154999999997</v>
      </c>
      <c r="J1405">
        <v>68.239999999999995</v>
      </c>
      <c r="K1405">
        <v>36</v>
      </c>
      <c r="L1405" s="2">
        <v>36</v>
      </c>
      <c r="M1405">
        <v>142</v>
      </c>
      <c r="N1405" s="2">
        <v>97</v>
      </c>
      <c r="O1405">
        <v>4898.03</v>
      </c>
      <c r="P1405">
        <v>14</v>
      </c>
      <c r="Q1405">
        <v>83</v>
      </c>
      <c r="R1405">
        <v>5.54</v>
      </c>
      <c r="S1405">
        <v>0</v>
      </c>
      <c r="T1405">
        <v>76</v>
      </c>
      <c r="U1405" s="2">
        <v>5186.24</v>
      </c>
      <c r="V1405">
        <v>0</v>
      </c>
      <c r="W1405" t="s">
        <v>29</v>
      </c>
      <c r="X1405" t="str">
        <f>IF(Table2[[#This Row],[Qty available]]&gt;Table2[[#This Row],[Qty on hand]],"Check","OK")</f>
        <v>OK</v>
      </c>
    </row>
    <row r="1406" spans="1:24" x14ac:dyDescent="0.3">
      <c r="A1406" t="s">
        <v>177</v>
      </c>
      <c r="B1406" t="s">
        <v>178</v>
      </c>
      <c r="C1406" t="s">
        <v>57</v>
      </c>
      <c r="D1406" t="s">
        <v>58</v>
      </c>
      <c r="E1406" t="s">
        <v>66</v>
      </c>
      <c r="F1406" s="1" t="s">
        <v>41</v>
      </c>
      <c r="G1406" s="2">
        <v>49.69</v>
      </c>
      <c r="H1406">
        <v>49.69</v>
      </c>
      <c r="I1406">
        <v>50.440877</v>
      </c>
      <c r="J1406">
        <v>68.239999999999995</v>
      </c>
      <c r="K1406">
        <v>36</v>
      </c>
      <c r="L1406" s="2">
        <v>42</v>
      </c>
      <c r="M1406">
        <v>7</v>
      </c>
      <c r="N1406" s="2">
        <v>57</v>
      </c>
      <c r="O1406">
        <v>2875.13</v>
      </c>
      <c r="P1406">
        <v>10</v>
      </c>
      <c r="Q1406">
        <v>47</v>
      </c>
      <c r="R1406">
        <v>4.01</v>
      </c>
      <c r="S1406">
        <v>5</v>
      </c>
      <c r="T1406">
        <v>47</v>
      </c>
      <c r="U1406" s="2">
        <v>3207.28</v>
      </c>
      <c r="V1406">
        <v>0</v>
      </c>
      <c r="W1406" t="s">
        <v>29</v>
      </c>
      <c r="X1406" t="str">
        <f>IF(Table2[[#This Row],[Qty available]]&gt;Table2[[#This Row],[Qty on hand]],"Check","OK")</f>
        <v>OK</v>
      </c>
    </row>
    <row r="1407" spans="1:24" x14ac:dyDescent="0.3">
      <c r="A1407" t="s">
        <v>177</v>
      </c>
      <c r="B1407" t="s">
        <v>178</v>
      </c>
      <c r="C1407" t="s">
        <v>57</v>
      </c>
      <c r="D1407" t="s">
        <v>58</v>
      </c>
      <c r="E1407" t="s">
        <v>66</v>
      </c>
      <c r="F1407" s="1" t="s">
        <v>42</v>
      </c>
      <c r="G1407" s="2">
        <v>49.96</v>
      </c>
      <c r="H1407">
        <v>49.96</v>
      </c>
      <c r="I1407">
        <v>50.102046999999999</v>
      </c>
      <c r="J1407">
        <v>68.239999999999995</v>
      </c>
      <c r="K1407">
        <v>36</v>
      </c>
      <c r="L1407" s="2">
        <v>35</v>
      </c>
      <c r="M1407">
        <v>136</v>
      </c>
      <c r="N1407" s="2">
        <v>127</v>
      </c>
      <c r="O1407">
        <v>6362.96</v>
      </c>
      <c r="P1407">
        <v>4</v>
      </c>
      <c r="Q1407">
        <v>123</v>
      </c>
      <c r="R1407">
        <v>8.83</v>
      </c>
      <c r="S1407">
        <v>2</v>
      </c>
      <c r="T1407">
        <v>66</v>
      </c>
      <c r="U1407" s="2">
        <v>4503.84</v>
      </c>
      <c r="V1407">
        <v>0</v>
      </c>
      <c r="W1407" t="s">
        <v>29</v>
      </c>
      <c r="X1407" t="str">
        <f>IF(Table2[[#This Row],[Qty available]]&gt;Table2[[#This Row],[Qty on hand]],"Check","OK")</f>
        <v>OK</v>
      </c>
    </row>
    <row r="1408" spans="1:24" x14ac:dyDescent="0.3">
      <c r="A1408" t="s">
        <v>177</v>
      </c>
      <c r="B1408" t="s">
        <v>178</v>
      </c>
      <c r="C1408" t="s">
        <v>57</v>
      </c>
      <c r="D1408" t="s">
        <v>58</v>
      </c>
      <c r="E1408" t="s">
        <v>66</v>
      </c>
      <c r="F1408" s="1" t="s">
        <v>43</v>
      </c>
      <c r="G1408" s="2">
        <v>50.7</v>
      </c>
      <c r="H1408">
        <v>50.7</v>
      </c>
      <c r="I1408">
        <v>50.102093000000004</v>
      </c>
      <c r="J1408">
        <v>68.239999999999995</v>
      </c>
      <c r="K1408">
        <v>36</v>
      </c>
      <c r="M1408">
        <v>0</v>
      </c>
      <c r="N1408" s="2">
        <v>86</v>
      </c>
      <c r="O1408">
        <v>4308.78</v>
      </c>
      <c r="P1408">
        <v>8</v>
      </c>
      <c r="Q1408">
        <v>78</v>
      </c>
      <c r="R1408">
        <v>7.26</v>
      </c>
      <c r="S1408">
        <v>10</v>
      </c>
      <c r="T1408">
        <v>41</v>
      </c>
      <c r="U1408" s="2">
        <v>2797.84</v>
      </c>
      <c r="V1408">
        <v>0</v>
      </c>
      <c r="W1408" t="s">
        <v>29</v>
      </c>
      <c r="X1408" t="str">
        <f>IF(Table2[[#This Row],[Qty available]]&gt;Table2[[#This Row],[Qty on hand]],"Check","OK")</f>
        <v>OK</v>
      </c>
    </row>
    <row r="1409" spans="1:24" x14ac:dyDescent="0.3">
      <c r="A1409" t="s">
        <v>177</v>
      </c>
      <c r="B1409" t="s">
        <v>178</v>
      </c>
      <c r="C1409" t="s">
        <v>57</v>
      </c>
      <c r="D1409" t="s">
        <v>58</v>
      </c>
      <c r="E1409" t="s">
        <v>66</v>
      </c>
      <c r="F1409" s="1" t="s">
        <v>44</v>
      </c>
      <c r="G1409" s="2">
        <v>50.07</v>
      </c>
      <c r="H1409">
        <v>50.07</v>
      </c>
      <c r="I1409">
        <v>50.085286000000004</v>
      </c>
      <c r="J1409">
        <v>68.239999999999995</v>
      </c>
      <c r="K1409">
        <v>36</v>
      </c>
      <c r="L1409" s="2">
        <v>35</v>
      </c>
      <c r="M1409">
        <v>94</v>
      </c>
      <c r="N1409" s="2">
        <v>70</v>
      </c>
      <c r="O1409">
        <v>3505.97</v>
      </c>
      <c r="P1409">
        <v>12</v>
      </c>
      <c r="Q1409">
        <v>58</v>
      </c>
      <c r="R1409">
        <v>4.24</v>
      </c>
      <c r="S1409">
        <v>0</v>
      </c>
      <c r="T1409">
        <v>110</v>
      </c>
      <c r="U1409" s="2">
        <v>7506.4</v>
      </c>
      <c r="V1409">
        <v>0</v>
      </c>
      <c r="W1409" t="s">
        <v>29</v>
      </c>
      <c r="X1409" t="str">
        <f>IF(Table2[[#This Row],[Qty available]]&gt;Table2[[#This Row],[Qty on hand]],"Check","OK")</f>
        <v>OK</v>
      </c>
    </row>
    <row r="1410" spans="1:24" x14ac:dyDescent="0.3">
      <c r="A1410" t="s">
        <v>177</v>
      </c>
      <c r="B1410" t="s">
        <v>178</v>
      </c>
      <c r="C1410" t="s">
        <v>57</v>
      </c>
      <c r="D1410" t="s">
        <v>58</v>
      </c>
      <c r="E1410" t="s">
        <v>66</v>
      </c>
      <c r="F1410" s="1" t="s">
        <v>45</v>
      </c>
      <c r="G1410" s="2">
        <v>52.91</v>
      </c>
      <c r="H1410">
        <v>52.91</v>
      </c>
      <c r="I1410">
        <v>50.556027</v>
      </c>
      <c r="J1410">
        <v>68.239999999999995</v>
      </c>
      <c r="K1410">
        <v>36</v>
      </c>
      <c r="L1410" s="2">
        <v>52</v>
      </c>
      <c r="M1410">
        <v>14</v>
      </c>
      <c r="N1410" s="2">
        <v>73</v>
      </c>
      <c r="O1410">
        <v>3690.59</v>
      </c>
      <c r="P1410">
        <v>20</v>
      </c>
      <c r="Q1410">
        <v>53</v>
      </c>
      <c r="R1410">
        <v>5.92</v>
      </c>
      <c r="S1410">
        <v>9</v>
      </c>
      <c r="T1410">
        <v>11</v>
      </c>
      <c r="U1410" s="2">
        <v>750.64</v>
      </c>
      <c r="V1410">
        <v>0</v>
      </c>
      <c r="W1410" t="s">
        <v>29</v>
      </c>
      <c r="X1410" t="str">
        <f>IF(Table2[[#This Row],[Qty available]]&gt;Table2[[#This Row],[Qty on hand]],"Check","OK")</f>
        <v>OK</v>
      </c>
    </row>
    <row r="1411" spans="1:24" x14ac:dyDescent="0.3">
      <c r="A1411" t="s">
        <v>177</v>
      </c>
      <c r="B1411" t="s">
        <v>178</v>
      </c>
      <c r="C1411" t="s">
        <v>57</v>
      </c>
      <c r="D1411" t="s">
        <v>58</v>
      </c>
      <c r="E1411" t="s">
        <v>66</v>
      </c>
      <c r="F1411" s="1" t="s">
        <v>46</v>
      </c>
      <c r="G1411" s="2">
        <v>52.72</v>
      </c>
      <c r="H1411">
        <v>52.72</v>
      </c>
      <c r="I1411">
        <v>51.566952000000001</v>
      </c>
      <c r="J1411">
        <v>71.52</v>
      </c>
      <c r="K1411">
        <v>36</v>
      </c>
      <c r="L1411" s="2">
        <v>32</v>
      </c>
      <c r="M1411">
        <v>64</v>
      </c>
      <c r="N1411" s="2">
        <v>105</v>
      </c>
      <c r="O1411">
        <v>5414.53</v>
      </c>
      <c r="P1411">
        <v>10</v>
      </c>
      <c r="Q1411">
        <v>95</v>
      </c>
      <c r="R1411">
        <v>8.82</v>
      </c>
      <c r="S1411">
        <v>10</v>
      </c>
      <c r="T1411">
        <v>32</v>
      </c>
      <c r="U1411" s="2">
        <v>2288.64</v>
      </c>
      <c r="V1411">
        <v>0</v>
      </c>
      <c r="W1411" t="s">
        <v>29</v>
      </c>
      <c r="X1411" t="str">
        <f>IF(Table2[[#This Row],[Qty available]]&gt;Table2[[#This Row],[Qty on hand]],"Check","OK")</f>
        <v>OK</v>
      </c>
    </row>
    <row r="1412" spans="1:24" x14ac:dyDescent="0.3">
      <c r="A1412" t="s">
        <v>177</v>
      </c>
      <c r="B1412" t="s">
        <v>178</v>
      </c>
      <c r="C1412" t="s">
        <v>57</v>
      </c>
      <c r="D1412" t="s">
        <v>58</v>
      </c>
      <c r="E1412" t="s">
        <v>66</v>
      </c>
      <c r="F1412" s="1" t="s">
        <v>47</v>
      </c>
      <c r="G1412" s="2">
        <v>53.12</v>
      </c>
      <c r="H1412">
        <v>53.12</v>
      </c>
      <c r="I1412">
        <v>51.566957000000002</v>
      </c>
      <c r="J1412">
        <v>71.52</v>
      </c>
      <c r="K1412">
        <v>36</v>
      </c>
      <c r="M1412">
        <v>0</v>
      </c>
      <c r="N1412" s="2">
        <v>92</v>
      </c>
      <c r="O1412">
        <v>4744.16</v>
      </c>
      <c r="P1412">
        <v>8</v>
      </c>
      <c r="Q1412">
        <v>84</v>
      </c>
      <c r="R1412">
        <v>21.12</v>
      </c>
      <c r="S1412">
        <v>6</v>
      </c>
      <c r="T1412">
        <v>13</v>
      </c>
      <c r="U1412" s="2">
        <v>929.76</v>
      </c>
      <c r="V1412">
        <v>0</v>
      </c>
      <c r="W1412" t="s">
        <v>29</v>
      </c>
      <c r="X1412" t="str">
        <f>IF(Table2[[#This Row],[Qty available]]&gt;Table2[[#This Row],[Qty on hand]],"Check","OK")</f>
        <v>OK</v>
      </c>
    </row>
    <row r="1413" spans="1:24" x14ac:dyDescent="0.3">
      <c r="A1413" t="s">
        <v>177</v>
      </c>
      <c r="B1413" t="s">
        <v>178</v>
      </c>
      <c r="C1413" t="s">
        <v>57</v>
      </c>
      <c r="D1413" t="s">
        <v>58</v>
      </c>
      <c r="E1413" t="s">
        <v>66</v>
      </c>
      <c r="F1413" s="1" t="s">
        <v>48</v>
      </c>
      <c r="G1413" s="2">
        <v>52.24</v>
      </c>
      <c r="H1413">
        <v>52.24</v>
      </c>
      <c r="I1413">
        <v>51.821596</v>
      </c>
      <c r="J1413">
        <v>71.52</v>
      </c>
      <c r="K1413">
        <v>36</v>
      </c>
      <c r="L1413" s="2">
        <v>32</v>
      </c>
      <c r="M1413">
        <v>56</v>
      </c>
      <c r="N1413" s="2">
        <v>94</v>
      </c>
      <c r="O1413">
        <v>4871.2299999999996</v>
      </c>
      <c r="P1413">
        <v>12</v>
      </c>
      <c r="Q1413">
        <v>82</v>
      </c>
      <c r="R1413">
        <v>12.07</v>
      </c>
      <c r="S1413">
        <v>1</v>
      </c>
      <c r="T1413">
        <v>54</v>
      </c>
      <c r="U1413" s="2">
        <v>3862.08</v>
      </c>
      <c r="V1413">
        <v>0</v>
      </c>
      <c r="W1413" t="s">
        <v>29</v>
      </c>
      <c r="X1413" t="str">
        <f>IF(Table2[[#This Row],[Qty available]]&gt;Table2[[#This Row],[Qty on hand]],"Check","OK")</f>
        <v>OK</v>
      </c>
    </row>
    <row r="1414" spans="1:24" x14ac:dyDescent="0.3">
      <c r="A1414" t="s">
        <v>177</v>
      </c>
      <c r="B1414" t="s">
        <v>178</v>
      </c>
      <c r="C1414" t="s">
        <v>57</v>
      </c>
      <c r="D1414" t="s">
        <v>58</v>
      </c>
      <c r="E1414" t="s">
        <v>66</v>
      </c>
      <c r="F1414" s="1" t="s">
        <v>49</v>
      </c>
      <c r="G1414" s="2">
        <v>53.23</v>
      </c>
      <c r="H1414">
        <v>53.23</v>
      </c>
      <c r="I1414">
        <v>51.957143000000002</v>
      </c>
      <c r="J1414">
        <v>71.52</v>
      </c>
      <c r="K1414">
        <v>36</v>
      </c>
      <c r="L1414" s="2">
        <v>35</v>
      </c>
      <c r="M1414">
        <v>10</v>
      </c>
      <c r="N1414" s="2">
        <v>35</v>
      </c>
      <c r="O1414">
        <v>1818.5</v>
      </c>
      <c r="P1414">
        <v>16</v>
      </c>
      <c r="Q1414">
        <v>19</v>
      </c>
      <c r="R1414">
        <v>3.38</v>
      </c>
      <c r="S1414">
        <v>0</v>
      </c>
      <c r="T1414">
        <v>69</v>
      </c>
      <c r="U1414" s="2">
        <v>4934.88</v>
      </c>
      <c r="V1414">
        <v>0</v>
      </c>
      <c r="W1414" t="s">
        <v>29</v>
      </c>
      <c r="X1414" t="str">
        <f>IF(Table2[[#This Row],[Qty available]]&gt;Table2[[#This Row],[Qty on hand]],"Check","OK")</f>
        <v>OK</v>
      </c>
    </row>
    <row r="1415" spans="1:24" x14ac:dyDescent="0.3">
      <c r="A1415" t="s">
        <v>177</v>
      </c>
      <c r="B1415" t="s">
        <v>178</v>
      </c>
      <c r="C1415" t="s">
        <v>57</v>
      </c>
      <c r="D1415" t="s">
        <v>58</v>
      </c>
      <c r="E1415" t="s">
        <v>66</v>
      </c>
      <c r="F1415" s="1" t="s">
        <v>50</v>
      </c>
      <c r="G1415" s="2">
        <v>53.1</v>
      </c>
      <c r="H1415">
        <v>53.1</v>
      </c>
      <c r="I1415">
        <v>52.655652000000003</v>
      </c>
      <c r="J1415">
        <v>71.52</v>
      </c>
      <c r="K1415">
        <v>36</v>
      </c>
      <c r="L1415" s="2">
        <v>34</v>
      </c>
      <c r="M1415">
        <v>55</v>
      </c>
      <c r="N1415" s="2">
        <v>46</v>
      </c>
      <c r="O1415">
        <v>2422.16</v>
      </c>
      <c r="P1415">
        <v>16</v>
      </c>
      <c r="Q1415">
        <v>30</v>
      </c>
      <c r="R1415">
        <v>3.58</v>
      </c>
      <c r="S1415">
        <v>0</v>
      </c>
      <c r="T1415">
        <v>44</v>
      </c>
      <c r="U1415" s="2">
        <v>3146.88</v>
      </c>
      <c r="V1415">
        <v>0</v>
      </c>
      <c r="W1415" t="s">
        <v>29</v>
      </c>
      <c r="X1415" t="str">
        <f>IF(Table2[[#This Row],[Qty available]]&gt;Table2[[#This Row],[Qty on hand]],"Check","OK")</f>
        <v>OK</v>
      </c>
    </row>
    <row r="1416" spans="1:24" x14ac:dyDescent="0.3">
      <c r="A1416" t="s">
        <v>177</v>
      </c>
      <c r="B1416" t="s">
        <v>178</v>
      </c>
      <c r="C1416" t="s">
        <v>57</v>
      </c>
      <c r="D1416" t="s">
        <v>58</v>
      </c>
      <c r="E1416" t="s">
        <v>66</v>
      </c>
      <c r="F1416" s="1" t="s">
        <v>51</v>
      </c>
      <c r="G1416" s="2">
        <v>51.82</v>
      </c>
      <c r="H1416">
        <v>51.82</v>
      </c>
      <c r="I1416">
        <v>52.071232999999999</v>
      </c>
      <c r="J1416">
        <v>71.52</v>
      </c>
      <c r="K1416">
        <v>36</v>
      </c>
      <c r="L1416" s="2">
        <v>35</v>
      </c>
      <c r="M1416">
        <v>107</v>
      </c>
      <c r="N1416" s="2">
        <v>73</v>
      </c>
      <c r="O1416">
        <v>3801.2</v>
      </c>
      <c r="P1416">
        <v>4</v>
      </c>
      <c r="Q1416">
        <v>69</v>
      </c>
      <c r="R1416">
        <v>4.97</v>
      </c>
      <c r="S1416">
        <v>6</v>
      </c>
      <c r="T1416">
        <v>80</v>
      </c>
      <c r="U1416" s="2">
        <v>5721.6</v>
      </c>
      <c r="V1416">
        <v>0</v>
      </c>
      <c r="W1416" t="s">
        <v>29</v>
      </c>
      <c r="X1416" t="str">
        <f>IF(Table2[[#This Row],[Qty available]]&gt;Table2[[#This Row],[Qty on hand]],"Check","OK")</f>
        <v>OK</v>
      </c>
    </row>
    <row r="1417" spans="1:24" x14ac:dyDescent="0.3">
      <c r="A1417" t="s">
        <v>177</v>
      </c>
      <c r="B1417" t="s">
        <v>178</v>
      </c>
      <c r="C1417" t="s">
        <v>57</v>
      </c>
      <c r="D1417" t="s">
        <v>58</v>
      </c>
      <c r="E1417" t="s">
        <v>66</v>
      </c>
      <c r="F1417" s="1" t="s">
        <v>52</v>
      </c>
      <c r="G1417" s="2">
        <v>53.38</v>
      </c>
      <c r="H1417">
        <v>53.38</v>
      </c>
      <c r="I1417">
        <v>52.786628999999998</v>
      </c>
      <c r="J1417">
        <v>71.52</v>
      </c>
      <c r="K1417">
        <v>36</v>
      </c>
      <c r="L1417" s="2">
        <v>60</v>
      </c>
      <c r="M1417">
        <v>88</v>
      </c>
      <c r="N1417" s="2">
        <v>89</v>
      </c>
      <c r="O1417">
        <v>4698.01</v>
      </c>
      <c r="P1417">
        <v>8</v>
      </c>
      <c r="Q1417">
        <v>81</v>
      </c>
      <c r="R1417">
        <v>5.97</v>
      </c>
      <c r="S1417">
        <v>0</v>
      </c>
      <c r="T1417">
        <v>72</v>
      </c>
      <c r="U1417" s="2">
        <v>5149.4399999999996</v>
      </c>
      <c r="V1417">
        <v>0</v>
      </c>
      <c r="W1417" t="s">
        <v>29</v>
      </c>
      <c r="X1417" t="str">
        <f>IF(Table2[[#This Row],[Qty available]]&gt;Table2[[#This Row],[Qty on hand]],"Check","OK")</f>
        <v>OK</v>
      </c>
    </row>
    <row r="1418" spans="1:24" x14ac:dyDescent="0.3">
      <c r="A1418" t="s">
        <v>179</v>
      </c>
      <c r="B1418" t="s">
        <v>180</v>
      </c>
      <c r="C1418" t="s">
        <v>77</v>
      </c>
      <c r="D1418" t="s">
        <v>78</v>
      </c>
      <c r="E1418" t="s">
        <v>66</v>
      </c>
      <c r="F1418" s="1" t="s">
        <v>28</v>
      </c>
      <c r="G1418" s="2">
        <v>7.08</v>
      </c>
      <c r="H1418">
        <v>7.08</v>
      </c>
      <c r="I1418">
        <v>6.9150549999999997</v>
      </c>
      <c r="J1418">
        <v>9.2899999999999991</v>
      </c>
      <c r="K1418">
        <v>41</v>
      </c>
      <c r="L1418" s="2">
        <v>36</v>
      </c>
      <c r="M1418">
        <v>139</v>
      </c>
      <c r="N1418" s="2">
        <v>631</v>
      </c>
      <c r="O1418">
        <v>4363.3999999999996</v>
      </c>
      <c r="P1418">
        <v>50</v>
      </c>
      <c r="Q1418">
        <v>581</v>
      </c>
      <c r="R1418">
        <v>7.81</v>
      </c>
      <c r="S1418">
        <v>0</v>
      </c>
      <c r="T1418">
        <v>177</v>
      </c>
      <c r="U1418" s="2">
        <v>1644.33</v>
      </c>
      <c r="V1418">
        <v>0</v>
      </c>
      <c r="W1418" t="s">
        <v>29</v>
      </c>
      <c r="X1418" t="str">
        <f>IF(Table2[[#This Row],[Qty available]]&gt;Table2[[#This Row],[Qty on hand]],"Check","OK")</f>
        <v>OK</v>
      </c>
    </row>
    <row r="1419" spans="1:24" x14ac:dyDescent="0.3">
      <c r="A1419" t="s">
        <v>179</v>
      </c>
      <c r="B1419" t="s">
        <v>180</v>
      </c>
      <c r="C1419" t="s">
        <v>77</v>
      </c>
      <c r="D1419" t="s">
        <v>78</v>
      </c>
      <c r="E1419" t="s">
        <v>66</v>
      </c>
      <c r="F1419" s="1" t="s">
        <v>30</v>
      </c>
      <c r="G1419" s="2">
        <v>6.88</v>
      </c>
      <c r="H1419">
        <v>6.88</v>
      </c>
      <c r="I1419">
        <v>6.8968210000000001</v>
      </c>
      <c r="J1419">
        <v>9.2899999999999991</v>
      </c>
      <c r="K1419">
        <v>41</v>
      </c>
      <c r="L1419" s="2">
        <v>38</v>
      </c>
      <c r="M1419">
        <v>684</v>
      </c>
      <c r="N1419" s="2">
        <v>692</v>
      </c>
      <c r="O1419">
        <v>4772.6000000000004</v>
      </c>
      <c r="P1419">
        <v>100</v>
      </c>
      <c r="Q1419">
        <v>592</v>
      </c>
      <c r="R1419">
        <v>6.85</v>
      </c>
      <c r="S1419">
        <v>3</v>
      </c>
      <c r="T1419">
        <v>623</v>
      </c>
      <c r="U1419" s="2">
        <v>5787.67</v>
      </c>
      <c r="V1419">
        <v>0</v>
      </c>
      <c r="W1419" t="s">
        <v>29</v>
      </c>
      <c r="X1419" t="str">
        <f>IF(Table2[[#This Row],[Qty available]]&gt;Table2[[#This Row],[Qty on hand]],"Check","OK")</f>
        <v>OK</v>
      </c>
    </row>
    <row r="1420" spans="1:24" x14ac:dyDescent="0.3">
      <c r="A1420" t="s">
        <v>179</v>
      </c>
      <c r="B1420" t="s">
        <v>180</v>
      </c>
      <c r="C1420" t="s">
        <v>77</v>
      </c>
      <c r="D1420" t="s">
        <v>78</v>
      </c>
      <c r="E1420" t="s">
        <v>66</v>
      </c>
      <c r="F1420" s="1" t="s">
        <v>31</v>
      </c>
      <c r="G1420" s="2">
        <v>6.95</v>
      </c>
      <c r="H1420">
        <v>6.95</v>
      </c>
      <c r="I1420">
        <v>6.8968319999999999</v>
      </c>
      <c r="J1420">
        <v>9.2899999999999991</v>
      </c>
      <c r="K1420">
        <v>41</v>
      </c>
      <c r="M1420">
        <v>0</v>
      </c>
      <c r="N1420" s="2">
        <v>322</v>
      </c>
      <c r="O1420">
        <v>2220.7800000000002</v>
      </c>
      <c r="P1420">
        <v>50</v>
      </c>
      <c r="Q1420">
        <v>272</v>
      </c>
      <c r="R1420">
        <v>3.58</v>
      </c>
      <c r="S1420">
        <v>0</v>
      </c>
      <c r="T1420">
        <v>370</v>
      </c>
      <c r="U1420" s="2">
        <v>3437.3</v>
      </c>
      <c r="V1420">
        <v>0</v>
      </c>
      <c r="W1420" t="s">
        <v>29</v>
      </c>
      <c r="X1420" t="str">
        <f>IF(Table2[[#This Row],[Qty available]]&gt;Table2[[#This Row],[Qty on hand]],"Check","OK")</f>
        <v>OK</v>
      </c>
    </row>
    <row r="1421" spans="1:24" x14ac:dyDescent="0.3">
      <c r="A1421" t="s">
        <v>179</v>
      </c>
      <c r="B1421" t="s">
        <v>180</v>
      </c>
      <c r="C1421" t="s">
        <v>77</v>
      </c>
      <c r="D1421" t="s">
        <v>78</v>
      </c>
      <c r="E1421" t="s">
        <v>66</v>
      </c>
      <c r="F1421" s="1" t="s">
        <v>32</v>
      </c>
      <c r="G1421" s="2">
        <v>6.98</v>
      </c>
      <c r="H1421">
        <v>6.98</v>
      </c>
      <c r="I1421">
        <v>6.9603210000000004</v>
      </c>
      <c r="J1421">
        <v>9.2899999999999991</v>
      </c>
      <c r="K1421">
        <v>41</v>
      </c>
      <c r="L1421" s="2">
        <v>39</v>
      </c>
      <c r="M1421">
        <v>1039</v>
      </c>
      <c r="N1421" s="2">
        <v>1059</v>
      </c>
      <c r="O1421">
        <v>7370.98</v>
      </c>
      <c r="P1421">
        <v>50</v>
      </c>
      <c r="Q1421">
        <v>1009</v>
      </c>
      <c r="R1421">
        <v>10.75</v>
      </c>
      <c r="S1421">
        <v>0</v>
      </c>
      <c r="T1421">
        <v>302</v>
      </c>
      <c r="U1421" s="2">
        <v>2805.58</v>
      </c>
      <c r="V1421">
        <v>0</v>
      </c>
      <c r="W1421" t="s">
        <v>29</v>
      </c>
      <c r="X1421" t="str">
        <f>IF(Table2[[#This Row],[Qty available]]&gt;Table2[[#This Row],[Qty on hand]],"Check","OK")</f>
        <v>OK</v>
      </c>
    </row>
    <row r="1422" spans="1:24" x14ac:dyDescent="0.3">
      <c r="A1422" t="s">
        <v>179</v>
      </c>
      <c r="B1422" t="s">
        <v>180</v>
      </c>
      <c r="C1422" t="s">
        <v>77</v>
      </c>
      <c r="D1422" t="s">
        <v>78</v>
      </c>
      <c r="E1422" t="s">
        <v>66</v>
      </c>
      <c r="F1422" s="1" t="s">
        <v>33</v>
      </c>
      <c r="G1422" s="2">
        <v>7.03</v>
      </c>
      <c r="H1422">
        <v>7.03</v>
      </c>
      <c r="I1422">
        <v>6.9603159999999997</v>
      </c>
      <c r="J1422">
        <v>9.2899999999999991</v>
      </c>
      <c r="K1422">
        <v>41</v>
      </c>
      <c r="M1422">
        <v>0</v>
      </c>
      <c r="N1422" s="2">
        <v>506</v>
      </c>
      <c r="O1422">
        <v>3521.92</v>
      </c>
      <c r="P1422">
        <v>113</v>
      </c>
      <c r="Q1422">
        <v>393</v>
      </c>
      <c r="R1422">
        <v>5.43</v>
      </c>
      <c r="S1422">
        <v>0</v>
      </c>
      <c r="T1422">
        <v>553</v>
      </c>
      <c r="U1422" s="2">
        <v>5137.37</v>
      </c>
      <c r="V1422">
        <v>0</v>
      </c>
      <c r="W1422" t="s">
        <v>29</v>
      </c>
      <c r="X1422" t="str">
        <f>IF(Table2[[#This Row],[Qty available]]&gt;Table2[[#This Row],[Qty on hand]],"Check","OK")</f>
        <v>OK</v>
      </c>
    </row>
    <row r="1423" spans="1:24" x14ac:dyDescent="0.3">
      <c r="A1423" t="s">
        <v>179</v>
      </c>
      <c r="B1423" t="s">
        <v>180</v>
      </c>
      <c r="C1423" t="s">
        <v>77</v>
      </c>
      <c r="D1423" t="s">
        <v>78</v>
      </c>
      <c r="E1423" t="s">
        <v>66</v>
      </c>
      <c r="F1423" s="1" t="s">
        <v>34</v>
      </c>
      <c r="G1423" s="2">
        <v>6.86</v>
      </c>
      <c r="H1423">
        <v>6.86</v>
      </c>
      <c r="I1423">
        <v>6.9603390000000003</v>
      </c>
      <c r="J1423">
        <v>9.74</v>
      </c>
      <c r="K1423">
        <v>41</v>
      </c>
      <c r="M1423">
        <v>0</v>
      </c>
      <c r="N1423" s="2">
        <v>59</v>
      </c>
      <c r="O1423">
        <v>410.66</v>
      </c>
      <c r="P1423">
        <v>59</v>
      </c>
      <c r="Q1423">
        <v>0</v>
      </c>
      <c r="R1423">
        <v>0.57999999999999996</v>
      </c>
      <c r="S1423">
        <v>0</v>
      </c>
      <c r="T1423">
        <v>447</v>
      </c>
      <c r="U1423" s="2">
        <v>4353.78</v>
      </c>
      <c r="V1423">
        <v>0</v>
      </c>
      <c r="W1423" t="s">
        <v>29</v>
      </c>
      <c r="X1423" t="str">
        <f>IF(Table2[[#This Row],[Qty available]]&gt;Table2[[#This Row],[Qty on hand]],"Check","OK")</f>
        <v>OK</v>
      </c>
    </row>
    <row r="1424" spans="1:24" x14ac:dyDescent="0.3">
      <c r="A1424" t="s">
        <v>179</v>
      </c>
      <c r="B1424" t="s">
        <v>180</v>
      </c>
      <c r="C1424" t="s">
        <v>77</v>
      </c>
      <c r="D1424" t="s">
        <v>78</v>
      </c>
      <c r="E1424" t="s">
        <v>66</v>
      </c>
      <c r="F1424" s="1" t="s">
        <v>35</v>
      </c>
      <c r="G1424" s="2">
        <v>7.48</v>
      </c>
      <c r="H1424">
        <v>7.48</v>
      </c>
      <c r="I1424">
        <v>7.4134770000000003</v>
      </c>
      <c r="J1424">
        <v>9.74</v>
      </c>
      <c r="K1424">
        <v>41</v>
      </c>
      <c r="L1424" s="2">
        <v>36</v>
      </c>
      <c r="M1424">
        <v>402</v>
      </c>
      <c r="N1424" s="2">
        <v>279</v>
      </c>
      <c r="O1424">
        <v>2068.36</v>
      </c>
      <c r="P1424">
        <v>25</v>
      </c>
      <c r="Q1424">
        <v>254</v>
      </c>
      <c r="R1424">
        <v>3.03</v>
      </c>
      <c r="S1424">
        <v>5</v>
      </c>
      <c r="T1424">
        <v>182</v>
      </c>
      <c r="U1424" s="2">
        <v>1772.68</v>
      </c>
      <c r="V1424">
        <v>0</v>
      </c>
      <c r="W1424" t="s">
        <v>29</v>
      </c>
      <c r="X1424" t="str">
        <f>IF(Table2[[#This Row],[Qty available]]&gt;Table2[[#This Row],[Qty on hand]],"Check","OK")</f>
        <v>OK</v>
      </c>
    </row>
    <row r="1425" spans="1:24" x14ac:dyDescent="0.3">
      <c r="A1425" t="s">
        <v>179</v>
      </c>
      <c r="B1425" t="s">
        <v>180</v>
      </c>
      <c r="C1425" t="s">
        <v>77</v>
      </c>
      <c r="D1425" t="s">
        <v>78</v>
      </c>
      <c r="E1425" t="s">
        <v>66</v>
      </c>
      <c r="F1425" s="1" t="s">
        <v>36</v>
      </c>
      <c r="G1425" s="2">
        <v>7.39</v>
      </c>
      <c r="H1425">
        <v>7.39</v>
      </c>
      <c r="I1425">
        <v>7.3959669999999997</v>
      </c>
      <c r="J1425">
        <v>9.74</v>
      </c>
      <c r="K1425">
        <v>41</v>
      </c>
      <c r="L1425" s="2">
        <v>40</v>
      </c>
      <c r="M1425">
        <v>818</v>
      </c>
      <c r="N1425" s="2">
        <v>724</v>
      </c>
      <c r="O1425">
        <v>5354.68</v>
      </c>
      <c r="P1425">
        <v>125</v>
      </c>
      <c r="Q1425">
        <v>599</v>
      </c>
      <c r="R1425">
        <v>9.19</v>
      </c>
      <c r="S1425">
        <v>0</v>
      </c>
      <c r="T1425">
        <v>373</v>
      </c>
      <c r="U1425" s="2">
        <v>3633.02</v>
      </c>
      <c r="V1425">
        <v>0</v>
      </c>
      <c r="W1425" t="s">
        <v>29</v>
      </c>
      <c r="X1425" t="str">
        <f>IF(Table2[[#This Row],[Qty available]]&gt;Table2[[#This Row],[Qty on hand]],"Check","OK")</f>
        <v>OK</v>
      </c>
    </row>
    <row r="1426" spans="1:24" x14ac:dyDescent="0.3">
      <c r="A1426" t="s">
        <v>179</v>
      </c>
      <c r="B1426" t="s">
        <v>180</v>
      </c>
      <c r="C1426" t="s">
        <v>77</v>
      </c>
      <c r="D1426" t="s">
        <v>78</v>
      </c>
      <c r="E1426" t="s">
        <v>66</v>
      </c>
      <c r="F1426" s="1" t="s">
        <v>37</v>
      </c>
      <c r="G1426" s="2">
        <v>7.33</v>
      </c>
      <c r="H1426">
        <v>7.33</v>
      </c>
      <c r="I1426">
        <v>7.3960290000000004</v>
      </c>
      <c r="J1426">
        <v>9.74</v>
      </c>
      <c r="K1426">
        <v>41</v>
      </c>
      <c r="M1426">
        <v>0</v>
      </c>
      <c r="N1426" s="2">
        <v>68</v>
      </c>
      <c r="O1426">
        <v>502.93</v>
      </c>
      <c r="P1426">
        <v>68</v>
      </c>
      <c r="Q1426">
        <v>0</v>
      </c>
      <c r="R1426">
        <v>0.74</v>
      </c>
      <c r="S1426">
        <v>0</v>
      </c>
      <c r="T1426">
        <v>656</v>
      </c>
      <c r="U1426" s="2">
        <v>6389.44</v>
      </c>
      <c r="V1426">
        <v>0</v>
      </c>
      <c r="W1426" t="s">
        <v>29</v>
      </c>
      <c r="X1426" t="str">
        <f>IF(Table2[[#This Row],[Qty available]]&gt;Table2[[#This Row],[Qty on hand]],"Check","OK")</f>
        <v>OK</v>
      </c>
    </row>
    <row r="1427" spans="1:24" x14ac:dyDescent="0.3">
      <c r="A1427" t="s">
        <v>179</v>
      </c>
      <c r="B1427" t="s">
        <v>180</v>
      </c>
      <c r="C1427" t="s">
        <v>77</v>
      </c>
      <c r="D1427" t="s">
        <v>78</v>
      </c>
      <c r="E1427" t="s">
        <v>66</v>
      </c>
      <c r="F1427" s="1" t="s">
        <v>38</v>
      </c>
      <c r="G1427" s="2">
        <v>7.43</v>
      </c>
      <c r="H1427">
        <v>7.43</v>
      </c>
      <c r="I1427">
        <v>7.427581</v>
      </c>
      <c r="J1427">
        <v>9.74</v>
      </c>
      <c r="K1427">
        <v>41</v>
      </c>
      <c r="L1427" s="2">
        <v>36</v>
      </c>
      <c r="M1427">
        <v>887</v>
      </c>
      <c r="N1427" s="2">
        <v>616</v>
      </c>
      <c r="O1427">
        <v>4575.3900000000003</v>
      </c>
      <c r="P1427">
        <v>25</v>
      </c>
      <c r="Q1427">
        <v>591</v>
      </c>
      <c r="R1427">
        <v>5.85</v>
      </c>
      <c r="S1427">
        <v>0</v>
      </c>
      <c r="T1427">
        <v>339</v>
      </c>
      <c r="U1427" s="2">
        <v>3301.86</v>
      </c>
      <c r="V1427">
        <v>0</v>
      </c>
      <c r="W1427" t="s">
        <v>29</v>
      </c>
      <c r="X1427" t="str">
        <f>IF(Table2[[#This Row],[Qty available]]&gt;Table2[[#This Row],[Qty on hand]],"Check","OK")</f>
        <v>OK</v>
      </c>
    </row>
    <row r="1428" spans="1:24" x14ac:dyDescent="0.3">
      <c r="A1428" t="s">
        <v>179</v>
      </c>
      <c r="B1428" t="s">
        <v>180</v>
      </c>
      <c r="C1428" t="s">
        <v>77</v>
      </c>
      <c r="D1428" t="s">
        <v>78</v>
      </c>
      <c r="E1428" t="s">
        <v>66</v>
      </c>
      <c r="F1428" s="1" t="s">
        <v>39</v>
      </c>
      <c r="G1428" s="2">
        <v>7.41</v>
      </c>
      <c r="H1428">
        <v>7.41</v>
      </c>
      <c r="I1428">
        <v>7.4233000000000002</v>
      </c>
      <c r="J1428">
        <v>9.74</v>
      </c>
      <c r="K1428">
        <v>41</v>
      </c>
      <c r="L1428" s="2">
        <v>52</v>
      </c>
      <c r="M1428">
        <v>198</v>
      </c>
      <c r="N1428" s="2">
        <v>803</v>
      </c>
      <c r="O1428">
        <v>5960.91</v>
      </c>
      <c r="P1428">
        <v>50</v>
      </c>
      <c r="Q1428">
        <v>753</v>
      </c>
      <c r="R1428">
        <v>10.49</v>
      </c>
      <c r="S1428">
        <v>1</v>
      </c>
      <c r="T1428">
        <v>11</v>
      </c>
      <c r="U1428" s="2">
        <v>107.14</v>
      </c>
      <c r="V1428">
        <v>0</v>
      </c>
      <c r="W1428" t="s">
        <v>29</v>
      </c>
      <c r="X1428" t="str">
        <f>IF(Table2[[#This Row],[Qty available]]&gt;Table2[[#This Row],[Qty on hand]],"Check","OK")</f>
        <v>OK</v>
      </c>
    </row>
    <row r="1429" spans="1:24" x14ac:dyDescent="0.3">
      <c r="A1429" t="s">
        <v>179</v>
      </c>
      <c r="B1429" t="s">
        <v>180</v>
      </c>
      <c r="C1429" t="s">
        <v>77</v>
      </c>
      <c r="D1429" t="s">
        <v>78</v>
      </c>
      <c r="E1429" t="s">
        <v>66</v>
      </c>
      <c r="F1429" s="1" t="s">
        <v>40</v>
      </c>
      <c r="G1429" s="2">
        <v>7.25</v>
      </c>
      <c r="H1429">
        <v>7.25</v>
      </c>
      <c r="I1429">
        <v>7.3465040000000004</v>
      </c>
      <c r="J1429">
        <v>9.74</v>
      </c>
      <c r="K1429">
        <v>41</v>
      </c>
      <c r="L1429" s="2">
        <v>35</v>
      </c>
      <c r="M1429">
        <v>639</v>
      </c>
      <c r="N1429" s="2">
        <v>1370</v>
      </c>
      <c r="O1429">
        <v>10064.709999999999</v>
      </c>
      <c r="P1429">
        <v>63</v>
      </c>
      <c r="Q1429">
        <v>1307</v>
      </c>
      <c r="R1429">
        <v>42.67</v>
      </c>
      <c r="S1429">
        <v>0</v>
      </c>
      <c r="T1429">
        <v>72</v>
      </c>
      <c r="U1429" s="2">
        <v>701.28</v>
      </c>
      <c r="V1429">
        <v>0</v>
      </c>
      <c r="W1429" t="s">
        <v>29</v>
      </c>
      <c r="X1429" t="str">
        <f>IF(Table2[[#This Row],[Qty available]]&gt;Table2[[#This Row],[Qty on hand]],"Check","OK")</f>
        <v>OK</v>
      </c>
    </row>
    <row r="1430" spans="1:24" x14ac:dyDescent="0.3">
      <c r="A1430" t="s">
        <v>179</v>
      </c>
      <c r="B1430" t="s">
        <v>180</v>
      </c>
      <c r="C1430" t="s">
        <v>77</v>
      </c>
      <c r="D1430" t="s">
        <v>78</v>
      </c>
      <c r="E1430" t="s">
        <v>66</v>
      </c>
      <c r="F1430" s="1" t="s">
        <v>41</v>
      </c>
      <c r="G1430" s="2">
        <v>7.35</v>
      </c>
      <c r="H1430">
        <v>7.35</v>
      </c>
      <c r="I1430">
        <v>7.3465939999999996</v>
      </c>
      <c r="J1430">
        <v>9.74</v>
      </c>
      <c r="K1430">
        <v>41</v>
      </c>
      <c r="L1430" s="2">
        <v>40</v>
      </c>
      <c r="M1430">
        <v>35</v>
      </c>
      <c r="N1430" s="2">
        <v>966</v>
      </c>
      <c r="O1430">
        <v>7096.81</v>
      </c>
      <c r="P1430">
        <v>38</v>
      </c>
      <c r="Q1430">
        <v>928</v>
      </c>
      <c r="R1430">
        <v>24.32</v>
      </c>
      <c r="S1430">
        <v>1</v>
      </c>
      <c r="T1430">
        <v>439</v>
      </c>
      <c r="U1430" s="2">
        <v>4275.8599999999997</v>
      </c>
      <c r="V1430">
        <v>0</v>
      </c>
      <c r="W1430" t="s">
        <v>29</v>
      </c>
      <c r="X1430" t="str">
        <f>IF(Table2[[#This Row],[Qty available]]&gt;Table2[[#This Row],[Qty on hand]],"Check","OK")</f>
        <v>OK</v>
      </c>
    </row>
    <row r="1431" spans="1:24" x14ac:dyDescent="0.3">
      <c r="A1431" t="s">
        <v>179</v>
      </c>
      <c r="B1431" t="s">
        <v>180</v>
      </c>
      <c r="C1431" t="s">
        <v>77</v>
      </c>
      <c r="D1431" t="s">
        <v>78</v>
      </c>
      <c r="E1431" t="s">
        <v>66</v>
      </c>
      <c r="F1431" s="1" t="s">
        <v>42</v>
      </c>
      <c r="G1431" s="2">
        <v>7.33</v>
      </c>
      <c r="H1431">
        <v>7.33</v>
      </c>
      <c r="I1431">
        <v>7.3466019999999999</v>
      </c>
      <c r="J1431">
        <v>9.74</v>
      </c>
      <c r="K1431">
        <v>41</v>
      </c>
      <c r="M1431">
        <v>0</v>
      </c>
      <c r="N1431" s="2">
        <v>512</v>
      </c>
      <c r="O1431">
        <v>3761.46</v>
      </c>
      <c r="P1431">
        <v>38</v>
      </c>
      <c r="Q1431">
        <v>474</v>
      </c>
      <c r="R1431">
        <v>6.97</v>
      </c>
      <c r="S1431">
        <v>3</v>
      </c>
      <c r="T1431">
        <v>454</v>
      </c>
      <c r="U1431" s="2">
        <v>4421.96</v>
      </c>
      <c r="V1431">
        <v>0</v>
      </c>
      <c r="W1431" t="s">
        <v>29</v>
      </c>
      <c r="X1431" t="str">
        <f>IF(Table2[[#This Row],[Qty available]]&gt;Table2[[#This Row],[Qty on hand]],"Check","OK")</f>
        <v>OK</v>
      </c>
    </row>
    <row r="1432" spans="1:24" x14ac:dyDescent="0.3">
      <c r="A1432" t="s">
        <v>179</v>
      </c>
      <c r="B1432" t="s">
        <v>180</v>
      </c>
      <c r="C1432" t="s">
        <v>77</v>
      </c>
      <c r="D1432" t="s">
        <v>78</v>
      </c>
      <c r="E1432" t="s">
        <v>66</v>
      </c>
      <c r="F1432" s="1" t="s">
        <v>43</v>
      </c>
      <c r="G1432" s="2">
        <v>7.36</v>
      </c>
      <c r="H1432">
        <v>7.36</v>
      </c>
      <c r="I1432">
        <v>7.3512320000000004</v>
      </c>
      <c r="J1432">
        <v>9.74</v>
      </c>
      <c r="K1432">
        <v>41</v>
      </c>
      <c r="L1432" s="2">
        <v>41</v>
      </c>
      <c r="M1432">
        <v>270</v>
      </c>
      <c r="N1432" s="2">
        <v>357</v>
      </c>
      <c r="O1432">
        <v>2624.39</v>
      </c>
      <c r="P1432">
        <v>50</v>
      </c>
      <c r="Q1432">
        <v>307</v>
      </c>
      <c r="R1432">
        <v>3.52</v>
      </c>
      <c r="S1432">
        <v>2</v>
      </c>
      <c r="T1432">
        <v>425</v>
      </c>
      <c r="U1432" s="2">
        <v>4139.5</v>
      </c>
      <c r="V1432">
        <v>0</v>
      </c>
      <c r="W1432" t="s">
        <v>29</v>
      </c>
      <c r="X1432" t="str">
        <f>IF(Table2[[#This Row],[Qty available]]&gt;Table2[[#This Row],[Qty on hand]],"Check","OK")</f>
        <v>OK</v>
      </c>
    </row>
    <row r="1433" spans="1:24" x14ac:dyDescent="0.3">
      <c r="A1433" t="s">
        <v>179</v>
      </c>
      <c r="B1433" t="s">
        <v>180</v>
      </c>
      <c r="C1433" t="s">
        <v>77</v>
      </c>
      <c r="D1433" t="s">
        <v>78</v>
      </c>
      <c r="E1433" t="s">
        <v>66</v>
      </c>
      <c r="F1433" s="1" t="s">
        <v>44</v>
      </c>
      <c r="G1433" s="2">
        <v>7.37</v>
      </c>
      <c r="H1433">
        <v>7.37</v>
      </c>
      <c r="I1433">
        <v>7.3643789999999996</v>
      </c>
      <c r="J1433">
        <v>9.74</v>
      </c>
      <c r="K1433">
        <v>41</v>
      </c>
      <c r="L1433" s="2">
        <v>36</v>
      </c>
      <c r="M1433">
        <v>835</v>
      </c>
      <c r="N1433" s="2">
        <v>781</v>
      </c>
      <c r="O1433">
        <v>5751.58</v>
      </c>
      <c r="P1433">
        <v>100</v>
      </c>
      <c r="Q1433">
        <v>681</v>
      </c>
      <c r="R1433">
        <v>7.96</v>
      </c>
      <c r="S1433">
        <v>1</v>
      </c>
      <c r="T1433">
        <v>411</v>
      </c>
      <c r="U1433" s="2">
        <v>4003.14</v>
      </c>
      <c r="V1433">
        <v>0</v>
      </c>
      <c r="W1433" t="s">
        <v>29</v>
      </c>
      <c r="X1433" t="str">
        <f>IF(Table2[[#This Row],[Qty available]]&gt;Table2[[#This Row],[Qty on hand]],"Check","OK")</f>
        <v>OK</v>
      </c>
    </row>
    <row r="1434" spans="1:24" x14ac:dyDescent="0.3">
      <c r="A1434" t="s">
        <v>179</v>
      </c>
      <c r="B1434" t="s">
        <v>180</v>
      </c>
      <c r="C1434" t="s">
        <v>77</v>
      </c>
      <c r="D1434" t="s">
        <v>78</v>
      </c>
      <c r="E1434" t="s">
        <v>66</v>
      </c>
      <c r="F1434" s="1" t="s">
        <v>45</v>
      </c>
      <c r="G1434" s="2">
        <v>7.46</v>
      </c>
      <c r="H1434">
        <v>7.46</v>
      </c>
      <c r="I1434">
        <v>7.365926</v>
      </c>
      <c r="J1434">
        <v>9.74</v>
      </c>
      <c r="K1434">
        <v>41</v>
      </c>
      <c r="L1434" s="2">
        <v>38</v>
      </c>
      <c r="M1434">
        <v>13</v>
      </c>
      <c r="N1434" s="2">
        <v>243</v>
      </c>
      <c r="O1434">
        <v>1789.92</v>
      </c>
      <c r="P1434">
        <v>125</v>
      </c>
      <c r="Q1434">
        <v>118</v>
      </c>
      <c r="R1434">
        <v>2.2999999999999998</v>
      </c>
      <c r="S1434">
        <v>1</v>
      </c>
      <c r="T1434">
        <v>551</v>
      </c>
      <c r="U1434" s="2">
        <v>5366.74</v>
      </c>
      <c r="V1434">
        <v>0</v>
      </c>
      <c r="W1434" t="s">
        <v>29</v>
      </c>
      <c r="X1434" t="str">
        <f>IF(Table2[[#This Row],[Qty available]]&gt;Table2[[#This Row],[Qty on hand]],"Check","OK")</f>
        <v>OK</v>
      </c>
    </row>
    <row r="1435" spans="1:24" x14ac:dyDescent="0.3">
      <c r="A1435" t="s">
        <v>179</v>
      </c>
      <c r="B1435" t="s">
        <v>180</v>
      </c>
      <c r="C1435" t="s">
        <v>77</v>
      </c>
      <c r="D1435" t="s">
        <v>78</v>
      </c>
      <c r="E1435" t="s">
        <v>66</v>
      </c>
      <c r="F1435" s="1" t="s">
        <v>46</v>
      </c>
      <c r="G1435" s="2">
        <v>7.45</v>
      </c>
      <c r="H1435">
        <v>7.45</v>
      </c>
      <c r="I1435">
        <v>7.365926</v>
      </c>
      <c r="J1435">
        <v>10.210000000000001</v>
      </c>
      <c r="K1435">
        <v>41</v>
      </c>
      <c r="M1435">
        <v>0</v>
      </c>
      <c r="N1435" s="2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243</v>
      </c>
      <c r="U1435" s="2">
        <v>2481.0300000000002</v>
      </c>
      <c r="V1435">
        <v>50</v>
      </c>
      <c r="W1435" t="s">
        <v>59</v>
      </c>
      <c r="X1435" t="str">
        <f>IF(Table2[[#This Row],[Qty available]]&gt;Table2[[#This Row],[Qty on hand]],"Check","OK")</f>
        <v>OK</v>
      </c>
    </row>
    <row r="1436" spans="1:24" x14ac:dyDescent="0.3">
      <c r="A1436" t="s">
        <v>179</v>
      </c>
      <c r="B1436" t="s">
        <v>180</v>
      </c>
      <c r="C1436" t="s">
        <v>77</v>
      </c>
      <c r="D1436" t="s">
        <v>78</v>
      </c>
      <c r="E1436" t="s">
        <v>66</v>
      </c>
      <c r="F1436" s="1" t="s">
        <v>47</v>
      </c>
      <c r="G1436" s="2">
        <v>7.94</v>
      </c>
      <c r="H1436">
        <v>7.94</v>
      </c>
      <c r="I1436">
        <v>7.94</v>
      </c>
      <c r="J1436">
        <v>10.210000000000001</v>
      </c>
      <c r="K1436">
        <v>41</v>
      </c>
      <c r="L1436" s="2">
        <v>39</v>
      </c>
      <c r="M1436">
        <v>811</v>
      </c>
      <c r="N1436" s="2">
        <v>515</v>
      </c>
      <c r="O1436">
        <v>4089.1</v>
      </c>
      <c r="P1436">
        <v>38</v>
      </c>
      <c r="Q1436">
        <v>477</v>
      </c>
      <c r="R1436">
        <v>6.07</v>
      </c>
      <c r="S1436">
        <v>0</v>
      </c>
      <c r="T1436">
        <v>296</v>
      </c>
      <c r="U1436" s="2">
        <v>3022.16</v>
      </c>
      <c r="V1436">
        <v>0</v>
      </c>
      <c r="W1436" t="s">
        <v>29</v>
      </c>
      <c r="X1436" t="str">
        <f>IF(Table2[[#This Row],[Qty available]]&gt;Table2[[#This Row],[Qty on hand]],"Check","OK")</f>
        <v>OK</v>
      </c>
    </row>
    <row r="1437" spans="1:24" x14ac:dyDescent="0.3">
      <c r="A1437" t="s">
        <v>179</v>
      </c>
      <c r="B1437" t="s">
        <v>180</v>
      </c>
      <c r="C1437" t="s">
        <v>77</v>
      </c>
      <c r="D1437" t="s">
        <v>78</v>
      </c>
      <c r="E1437" t="s">
        <v>66</v>
      </c>
      <c r="F1437" s="1" t="s">
        <v>48</v>
      </c>
      <c r="G1437" s="2">
        <v>7.79</v>
      </c>
      <c r="H1437">
        <v>7.79</v>
      </c>
      <c r="I1437">
        <v>7.851648</v>
      </c>
      <c r="J1437">
        <v>10.210000000000001</v>
      </c>
      <c r="K1437">
        <v>41</v>
      </c>
      <c r="L1437" s="2">
        <v>40</v>
      </c>
      <c r="M1437">
        <v>738</v>
      </c>
      <c r="N1437" s="2">
        <v>1068</v>
      </c>
      <c r="O1437">
        <v>8385.56</v>
      </c>
      <c r="P1437">
        <v>125</v>
      </c>
      <c r="Q1437">
        <v>943</v>
      </c>
      <c r="R1437">
        <v>18.760000000000002</v>
      </c>
      <c r="S1437">
        <v>2</v>
      </c>
      <c r="T1437">
        <v>185</v>
      </c>
      <c r="U1437" s="2">
        <v>1888.85</v>
      </c>
      <c r="V1437">
        <v>0</v>
      </c>
      <c r="W1437" t="s">
        <v>29</v>
      </c>
      <c r="X1437" t="str">
        <f>IF(Table2[[#This Row],[Qty available]]&gt;Table2[[#This Row],[Qty on hand]],"Check","OK")</f>
        <v>OK</v>
      </c>
    </row>
    <row r="1438" spans="1:24" x14ac:dyDescent="0.3">
      <c r="A1438" t="s">
        <v>179</v>
      </c>
      <c r="B1438" t="s">
        <v>180</v>
      </c>
      <c r="C1438" t="s">
        <v>77</v>
      </c>
      <c r="D1438" t="s">
        <v>78</v>
      </c>
      <c r="E1438" t="s">
        <v>66</v>
      </c>
      <c r="F1438" s="1" t="s">
        <v>49</v>
      </c>
      <c r="G1438" s="2">
        <v>7.71</v>
      </c>
      <c r="H1438">
        <v>7.71</v>
      </c>
      <c r="I1438">
        <v>7.8459199999999996</v>
      </c>
      <c r="J1438">
        <v>10.210000000000001</v>
      </c>
      <c r="K1438">
        <v>41</v>
      </c>
      <c r="L1438" s="2">
        <v>56</v>
      </c>
      <c r="M1438">
        <v>45</v>
      </c>
      <c r="N1438" s="2">
        <v>799</v>
      </c>
      <c r="O1438">
        <v>6268.89</v>
      </c>
      <c r="P1438">
        <v>113</v>
      </c>
      <c r="Q1438">
        <v>686</v>
      </c>
      <c r="R1438">
        <v>13.21</v>
      </c>
      <c r="S1438">
        <v>0</v>
      </c>
      <c r="T1438">
        <v>314</v>
      </c>
      <c r="U1438" s="2">
        <v>3205.94</v>
      </c>
      <c r="V1438">
        <v>0</v>
      </c>
      <c r="W1438" t="s">
        <v>29</v>
      </c>
      <c r="X1438" t="str">
        <f>IF(Table2[[#This Row],[Qty available]]&gt;Table2[[#This Row],[Qty on hand]],"Check","OK")</f>
        <v>OK</v>
      </c>
    </row>
    <row r="1439" spans="1:24" x14ac:dyDescent="0.3">
      <c r="A1439" t="s">
        <v>179</v>
      </c>
      <c r="B1439" t="s">
        <v>180</v>
      </c>
      <c r="C1439" t="s">
        <v>77</v>
      </c>
      <c r="D1439" t="s">
        <v>78</v>
      </c>
      <c r="E1439" t="s">
        <v>66</v>
      </c>
      <c r="F1439" s="1" t="s">
        <v>50</v>
      </c>
      <c r="G1439" s="2">
        <v>7.68</v>
      </c>
      <c r="H1439">
        <v>7.68</v>
      </c>
      <c r="I1439">
        <v>7.845917</v>
      </c>
      <c r="J1439">
        <v>10.210000000000001</v>
      </c>
      <c r="K1439">
        <v>41</v>
      </c>
      <c r="M1439">
        <v>0</v>
      </c>
      <c r="N1439" s="2">
        <v>360</v>
      </c>
      <c r="O1439">
        <v>2824.53</v>
      </c>
      <c r="P1439">
        <v>113</v>
      </c>
      <c r="Q1439">
        <v>247</v>
      </c>
      <c r="R1439">
        <v>4.99</v>
      </c>
      <c r="S1439">
        <v>0</v>
      </c>
      <c r="T1439">
        <v>439</v>
      </c>
      <c r="U1439" s="2">
        <v>4482.1899999999996</v>
      </c>
      <c r="V1439">
        <v>0</v>
      </c>
      <c r="W1439" t="s">
        <v>29</v>
      </c>
      <c r="X1439" t="str">
        <f>IF(Table2[[#This Row],[Qty available]]&gt;Table2[[#This Row],[Qty on hand]],"Check","OK")</f>
        <v>OK</v>
      </c>
    </row>
    <row r="1440" spans="1:24" x14ac:dyDescent="0.3">
      <c r="A1440" t="s">
        <v>179</v>
      </c>
      <c r="B1440" t="s">
        <v>180</v>
      </c>
      <c r="C1440" t="s">
        <v>77</v>
      </c>
      <c r="D1440" t="s">
        <v>78</v>
      </c>
      <c r="E1440" t="s">
        <v>66</v>
      </c>
      <c r="F1440" s="1" t="s">
        <v>51</v>
      </c>
      <c r="G1440" s="2">
        <v>7.75</v>
      </c>
      <c r="H1440">
        <v>7.75</v>
      </c>
      <c r="I1440">
        <v>7.7791370000000004</v>
      </c>
      <c r="J1440">
        <v>10.210000000000001</v>
      </c>
      <c r="K1440">
        <v>41</v>
      </c>
      <c r="L1440" s="2">
        <v>60</v>
      </c>
      <c r="M1440">
        <v>825</v>
      </c>
      <c r="N1440" s="2">
        <v>649</v>
      </c>
      <c r="O1440">
        <v>5048.66</v>
      </c>
      <c r="P1440">
        <v>63</v>
      </c>
      <c r="Q1440">
        <v>586</v>
      </c>
      <c r="R1440">
        <v>6.62</v>
      </c>
      <c r="S1440">
        <v>0</v>
      </c>
      <c r="T1440">
        <v>536</v>
      </c>
      <c r="U1440" s="2">
        <v>5472.56</v>
      </c>
      <c r="V1440">
        <v>0</v>
      </c>
      <c r="W1440" t="s">
        <v>29</v>
      </c>
      <c r="X1440" t="str">
        <f>IF(Table2[[#This Row],[Qty available]]&gt;Table2[[#This Row],[Qty on hand]],"Check","OK")</f>
        <v>OK</v>
      </c>
    </row>
    <row r="1441" spans="1:24" x14ac:dyDescent="0.3">
      <c r="A1441" t="s">
        <v>179</v>
      </c>
      <c r="B1441" t="s">
        <v>180</v>
      </c>
      <c r="C1441" t="s">
        <v>77</v>
      </c>
      <c r="D1441" t="s">
        <v>78</v>
      </c>
      <c r="E1441" t="s">
        <v>66</v>
      </c>
      <c r="F1441" s="1" t="s">
        <v>52</v>
      </c>
      <c r="G1441" s="2">
        <v>7.75</v>
      </c>
      <c r="H1441">
        <v>7.75</v>
      </c>
      <c r="I1441">
        <v>7.767817</v>
      </c>
      <c r="J1441">
        <v>10.210000000000001</v>
      </c>
      <c r="K1441">
        <v>41</v>
      </c>
      <c r="L1441" s="2">
        <v>39</v>
      </c>
      <c r="M1441">
        <v>412</v>
      </c>
      <c r="N1441" s="2">
        <v>481</v>
      </c>
      <c r="O1441">
        <v>3736.32</v>
      </c>
      <c r="P1441">
        <v>125</v>
      </c>
      <c r="Q1441">
        <v>356</v>
      </c>
      <c r="R1441">
        <v>4.07</v>
      </c>
      <c r="S1441">
        <v>1</v>
      </c>
      <c r="T1441">
        <v>580</v>
      </c>
      <c r="U1441" s="2">
        <v>5921.8</v>
      </c>
      <c r="V1441">
        <v>0</v>
      </c>
      <c r="W1441" t="s">
        <v>29</v>
      </c>
      <c r="X1441" t="str">
        <f>IF(Table2[[#This Row],[Qty available]]&gt;Table2[[#This Row],[Qty on hand]],"Check","OK")</f>
        <v>OK</v>
      </c>
    </row>
    <row r="1442" spans="1:24" x14ac:dyDescent="0.3">
      <c r="A1442" t="s">
        <v>181</v>
      </c>
      <c r="B1442" t="s">
        <v>182</v>
      </c>
      <c r="C1442" t="s">
        <v>57</v>
      </c>
      <c r="D1442" t="s">
        <v>58</v>
      </c>
      <c r="E1442" t="s">
        <v>27</v>
      </c>
      <c r="F1442" s="1" t="s">
        <v>28</v>
      </c>
      <c r="G1442" s="2">
        <v>1.03</v>
      </c>
      <c r="H1442">
        <v>1.03</v>
      </c>
      <c r="I1442">
        <v>1.016284</v>
      </c>
      <c r="J1442">
        <v>1.39</v>
      </c>
      <c r="K1442">
        <v>36</v>
      </c>
      <c r="L1442" s="2">
        <v>35</v>
      </c>
      <c r="M1442">
        <v>511</v>
      </c>
      <c r="N1442" s="2">
        <v>880</v>
      </c>
      <c r="O1442">
        <v>894.33</v>
      </c>
      <c r="P1442">
        <v>310</v>
      </c>
      <c r="Q1442">
        <v>570</v>
      </c>
      <c r="R1442">
        <v>4.5199999999999996</v>
      </c>
      <c r="S1442">
        <v>1</v>
      </c>
      <c r="T1442">
        <v>747</v>
      </c>
      <c r="U1442" s="2">
        <v>1038.33</v>
      </c>
      <c r="V1442">
        <v>0</v>
      </c>
      <c r="W1442" t="s">
        <v>29</v>
      </c>
      <c r="X1442" t="str">
        <f>IF(Table2[[#This Row],[Qty available]]&gt;Table2[[#This Row],[Qty on hand]],"Check","OK")</f>
        <v>OK</v>
      </c>
    </row>
    <row r="1443" spans="1:24" x14ac:dyDescent="0.3">
      <c r="A1443" t="s">
        <v>181</v>
      </c>
      <c r="B1443" t="s">
        <v>182</v>
      </c>
      <c r="C1443" t="s">
        <v>57</v>
      </c>
      <c r="D1443" t="s">
        <v>58</v>
      </c>
      <c r="E1443" t="s">
        <v>27</v>
      </c>
      <c r="F1443" s="1" t="s">
        <v>30</v>
      </c>
      <c r="G1443" s="2">
        <v>1.03</v>
      </c>
      <c r="H1443">
        <v>1.03</v>
      </c>
      <c r="I1443">
        <v>1.0247999999999999</v>
      </c>
      <c r="J1443">
        <v>1.39</v>
      </c>
      <c r="K1443">
        <v>36</v>
      </c>
      <c r="L1443" s="2">
        <v>31</v>
      </c>
      <c r="M1443">
        <v>1443</v>
      </c>
      <c r="N1443" s="2">
        <v>902</v>
      </c>
      <c r="O1443">
        <v>924.37</v>
      </c>
      <c r="P1443">
        <v>248</v>
      </c>
      <c r="Q1443">
        <v>654</v>
      </c>
      <c r="R1443">
        <v>3.74</v>
      </c>
      <c r="S1443">
        <v>0</v>
      </c>
      <c r="T1443">
        <v>1421</v>
      </c>
      <c r="U1443" s="2">
        <v>1975.19</v>
      </c>
      <c r="V1443">
        <v>0</v>
      </c>
      <c r="W1443" t="s">
        <v>29</v>
      </c>
      <c r="X1443" t="str">
        <f>IF(Table2[[#This Row],[Qty available]]&gt;Table2[[#This Row],[Qty on hand]],"Check","OK")</f>
        <v>OK</v>
      </c>
    </row>
    <row r="1444" spans="1:24" x14ac:dyDescent="0.3">
      <c r="A1444" t="s">
        <v>181</v>
      </c>
      <c r="B1444" t="s">
        <v>182</v>
      </c>
      <c r="C1444" t="s">
        <v>57</v>
      </c>
      <c r="D1444" t="s">
        <v>58</v>
      </c>
      <c r="E1444" t="s">
        <v>27</v>
      </c>
      <c r="F1444" s="1" t="s">
        <v>31</v>
      </c>
      <c r="G1444" s="2">
        <v>1.04</v>
      </c>
      <c r="H1444">
        <v>1.04</v>
      </c>
      <c r="I1444">
        <v>1.0330760000000001</v>
      </c>
      <c r="J1444">
        <v>1.39</v>
      </c>
      <c r="K1444">
        <v>36</v>
      </c>
      <c r="L1444" s="2">
        <v>42</v>
      </c>
      <c r="M1444">
        <v>1077</v>
      </c>
      <c r="N1444" s="2">
        <v>790</v>
      </c>
      <c r="O1444">
        <v>816.13</v>
      </c>
      <c r="P1444">
        <v>186</v>
      </c>
      <c r="Q1444">
        <v>604</v>
      </c>
      <c r="R1444">
        <v>3.06</v>
      </c>
      <c r="S1444">
        <v>0</v>
      </c>
      <c r="T1444">
        <v>1189</v>
      </c>
      <c r="U1444" s="2">
        <v>1652.71</v>
      </c>
      <c r="V1444">
        <v>0</v>
      </c>
      <c r="W1444" t="s">
        <v>29</v>
      </c>
      <c r="X1444" t="str">
        <f>IF(Table2[[#This Row],[Qty available]]&gt;Table2[[#This Row],[Qty on hand]],"Check","OK")</f>
        <v>OK</v>
      </c>
    </row>
    <row r="1445" spans="1:24" x14ac:dyDescent="0.3">
      <c r="A1445" t="s">
        <v>181</v>
      </c>
      <c r="B1445" t="s">
        <v>182</v>
      </c>
      <c r="C1445" t="s">
        <v>57</v>
      </c>
      <c r="D1445" t="s">
        <v>58</v>
      </c>
      <c r="E1445" t="s">
        <v>27</v>
      </c>
      <c r="F1445" s="1" t="s">
        <v>32</v>
      </c>
      <c r="G1445" s="2">
        <v>1.01</v>
      </c>
      <c r="H1445">
        <v>1.01</v>
      </c>
      <c r="I1445">
        <v>1.0180979999999999</v>
      </c>
      <c r="J1445">
        <v>1.39</v>
      </c>
      <c r="K1445">
        <v>36</v>
      </c>
      <c r="L1445" s="2">
        <v>44</v>
      </c>
      <c r="M1445">
        <v>1462</v>
      </c>
      <c r="N1445" s="2">
        <v>1635</v>
      </c>
      <c r="O1445">
        <v>1664.59</v>
      </c>
      <c r="P1445">
        <v>310</v>
      </c>
      <c r="Q1445">
        <v>1325</v>
      </c>
      <c r="R1445">
        <v>6.66</v>
      </c>
      <c r="S1445">
        <v>1</v>
      </c>
      <c r="T1445">
        <v>617</v>
      </c>
      <c r="U1445" s="2">
        <v>857.63</v>
      </c>
      <c r="V1445">
        <v>0</v>
      </c>
      <c r="W1445" t="s">
        <v>29</v>
      </c>
      <c r="X1445" t="str">
        <f>IF(Table2[[#This Row],[Qty available]]&gt;Table2[[#This Row],[Qty on hand]],"Check","OK")</f>
        <v>OK</v>
      </c>
    </row>
    <row r="1446" spans="1:24" x14ac:dyDescent="0.3">
      <c r="A1446" t="s">
        <v>181</v>
      </c>
      <c r="B1446" t="s">
        <v>182</v>
      </c>
      <c r="C1446" t="s">
        <v>57</v>
      </c>
      <c r="D1446" t="s">
        <v>58</v>
      </c>
      <c r="E1446" t="s">
        <v>27</v>
      </c>
      <c r="F1446" s="1" t="s">
        <v>33</v>
      </c>
      <c r="G1446" s="2">
        <v>1.06</v>
      </c>
      <c r="H1446">
        <v>1.06</v>
      </c>
      <c r="I1446">
        <v>1.038176</v>
      </c>
      <c r="J1446">
        <v>1.39</v>
      </c>
      <c r="K1446">
        <v>36</v>
      </c>
      <c r="L1446" s="2">
        <v>44</v>
      </c>
      <c r="M1446">
        <v>1504</v>
      </c>
      <c r="N1446" s="2">
        <v>1639</v>
      </c>
      <c r="O1446">
        <v>1701.57</v>
      </c>
      <c r="P1446">
        <v>248</v>
      </c>
      <c r="Q1446">
        <v>1391</v>
      </c>
      <c r="R1446">
        <v>6.52</v>
      </c>
      <c r="S1446">
        <v>0</v>
      </c>
      <c r="T1446">
        <v>1500</v>
      </c>
      <c r="U1446" s="2">
        <v>2085</v>
      </c>
      <c r="V1446">
        <v>0</v>
      </c>
      <c r="W1446" t="s">
        <v>29</v>
      </c>
      <c r="X1446" t="str">
        <f>IF(Table2[[#This Row],[Qty available]]&gt;Table2[[#This Row],[Qty on hand]],"Check","OK")</f>
        <v>OK</v>
      </c>
    </row>
    <row r="1447" spans="1:24" x14ac:dyDescent="0.3">
      <c r="A1447" t="s">
        <v>181</v>
      </c>
      <c r="B1447" t="s">
        <v>182</v>
      </c>
      <c r="C1447" t="s">
        <v>57</v>
      </c>
      <c r="D1447" t="s">
        <v>58</v>
      </c>
      <c r="E1447" t="s">
        <v>27</v>
      </c>
      <c r="F1447" s="1" t="s">
        <v>34</v>
      </c>
      <c r="G1447" s="2">
        <v>1.04</v>
      </c>
      <c r="H1447">
        <v>1.04</v>
      </c>
      <c r="I1447">
        <v>1.038178</v>
      </c>
      <c r="J1447">
        <v>1.45</v>
      </c>
      <c r="K1447">
        <v>36</v>
      </c>
      <c r="M1447">
        <v>0</v>
      </c>
      <c r="N1447" s="2">
        <v>1449</v>
      </c>
      <c r="O1447">
        <v>1504.32</v>
      </c>
      <c r="P1447">
        <v>217</v>
      </c>
      <c r="Q1447">
        <v>1232</v>
      </c>
      <c r="R1447">
        <v>8.08</v>
      </c>
      <c r="S1447">
        <v>1</v>
      </c>
      <c r="T1447">
        <v>190</v>
      </c>
      <c r="U1447" s="2">
        <v>275.5</v>
      </c>
      <c r="V1447">
        <v>0</v>
      </c>
      <c r="W1447" t="s">
        <v>29</v>
      </c>
      <c r="X1447" t="str">
        <f>IF(Table2[[#This Row],[Qty available]]&gt;Table2[[#This Row],[Qty on hand]],"Check","OK")</f>
        <v>OK</v>
      </c>
    </row>
    <row r="1448" spans="1:24" x14ac:dyDescent="0.3">
      <c r="A1448" t="s">
        <v>181</v>
      </c>
      <c r="B1448" t="s">
        <v>182</v>
      </c>
      <c r="C1448" t="s">
        <v>57</v>
      </c>
      <c r="D1448" t="s">
        <v>58</v>
      </c>
      <c r="E1448" t="s">
        <v>27</v>
      </c>
      <c r="F1448" s="1" t="s">
        <v>35</v>
      </c>
      <c r="G1448" s="2">
        <v>1.05</v>
      </c>
      <c r="H1448">
        <v>1.05</v>
      </c>
      <c r="I1448">
        <v>1.0453589999999999</v>
      </c>
      <c r="J1448">
        <v>1.45</v>
      </c>
      <c r="K1448">
        <v>36</v>
      </c>
      <c r="L1448" s="2">
        <v>31</v>
      </c>
      <c r="M1448">
        <v>2241</v>
      </c>
      <c r="N1448" s="2">
        <v>2607</v>
      </c>
      <c r="O1448">
        <v>2725.25</v>
      </c>
      <c r="P1448">
        <v>279</v>
      </c>
      <c r="Q1448">
        <v>2328</v>
      </c>
      <c r="R1448">
        <v>12.09</v>
      </c>
      <c r="S1448">
        <v>0</v>
      </c>
      <c r="T1448">
        <v>1083</v>
      </c>
      <c r="U1448" s="2">
        <v>1570.35</v>
      </c>
      <c r="V1448">
        <v>0</v>
      </c>
      <c r="W1448" t="s">
        <v>29</v>
      </c>
      <c r="X1448" t="str">
        <f>IF(Table2[[#This Row],[Qty available]]&gt;Table2[[#This Row],[Qty on hand]],"Check","OK")</f>
        <v>OK</v>
      </c>
    </row>
    <row r="1449" spans="1:24" x14ac:dyDescent="0.3">
      <c r="A1449" t="s">
        <v>181</v>
      </c>
      <c r="B1449" t="s">
        <v>182</v>
      </c>
      <c r="C1449" t="s">
        <v>57</v>
      </c>
      <c r="D1449" t="s">
        <v>58</v>
      </c>
      <c r="E1449" t="s">
        <v>27</v>
      </c>
      <c r="F1449" s="1" t="s">
        <v>36</v>
      </c>
      <c r="G1449" s="2">
        <v>1.05</v>
      </c>
      <c r="H1449">
        <v>1.05</v>
      </c>
      <c r="I1449">
        <v>1.0453570000000001</v>
      </c>
      <c r="J1449">
        <v>1.45</v>
      </c>
      <c r="K1449">
        <v>36</v>
      </c>
      <c r="M1449">
        <v>0</v>
      </c>
      <c r="N1449" s="2">
        <v>1792</v>
      </c>
      <c r="O1449">
        <v>1873.28</v>
      </c>
      <c r="P1449">
        <v>186</v>
      </c>
      <c r="Q1449">
        <v>1606</v>
      </c>
      <c r="R1449">
        <v>10.91</v>
      </c>
      <c r="S1449">
        <v>0</v>
      </c>
      <c r="T1449">
        <v>815</v>
      </c>
      <c r="U1449" s="2">
        <v>1181.75</v>
      </c>
      <c r="V1449">
        <v>0</v>
      </c>
      <c r="W1449" t="s">
        <v>29</v>
      </c>
      <c r="X1449" t="str">
        <f>IF(Table2[[#This Row],[Qty available]]&gt;Table2[[#This Row],[Qty on hand]],"Check","OK")</f>
        <v>OK</v>
      </c>
    </row>
    <row r="1450" spans="1:24" x14ac:dyDescent="0.3">
      <c r="A1450" t="s">
        <v>181</v>
      </c>
      <c r="B1450" t="s">
        <v>182</v>
      </c>
      <c r="C1450" t="s">
        <v>57</v>
      </c>
      <c r="D1450" t="s">
        <v>58</v>
      </c>
      <c r="E1450" t="s">
        <v>27</v>
      </c>
      <c r="F1450" s="1" t="s">
        <v>37</v>
      </c>
      <c r="G1450" s="2">
        <v>1.04</v>
      </c>
      <c r="H1450">
        <v>1.04</v>
      </c>
      <c r="I1450">
        <v>1.044667</v>
      </c>
      <c r="J1450">
        <v>1.45</v>
      </c>
      <c r="K1450">
        <v>36</v>
      </c>
      <c r="L1450" s="2">
        <v>34</v>
      </c>
      <c r="M1450">
        <v>264</v>
      </c>
      <c r="N1450" s="2">
        <v>1425</v>
      </c>
      <c r="O1450">
        <v>1488.65</v>
      </c>
      <c r="P1450">
        <v>186</v>
      </c>
      <c r="Q1450">
        <v>1239</v>
      </c>
      <c r="R1450">
        <v>7.41</v>
      </c>
      <c r="S1450">
        <v>0</v>
      </c>
      <c r="T1450">
        <v>631</v>
      </c>
      <c r="U1450" s="2">
        <v>914.95</v>
      </c>
      <c r="V1450">
        <v>0</v>
      </c>
      <c r="W1450" t="s">
        <v>29</v>
      </c>
      <c r="X1450" t="str">
        <f>IF(Table2[[#This Row],[Qty available]]&gt;Table2[[#This Row],[Qty on hand]],"Check","OK")</f>
        <v>OK</v>
      </c>
    </row>
    <row r="1451" spans="1:24" x14ac:dyDescent="0.3">
      <c r="A1451" t="s">
        <v>181</v>
      </c>
      <c r="B1451" t="s">
        <v>182</v>
      </c>
      <c r="C1451" t="s">
        <v>57</v>
      </c>
      <c r="D1451" t="s">
        <v>58</v>
      </c>
      <c r="E1451" t="s">
        <v>27</v>
      </c>
      <c r="F1451" s="1" t="s">
        <v>38</v>
      </c>
      <c r="G1451" s="2">
        <v>1.06</v>
      </c>
      <c r="H1451">
        <v>1.06</v>
      </c>
      <c r="I1451">
        <v>1.0454300000000001</v>
      </c>
      <c r="J1451">
        <v>1.45</v>
      </c>
      <c r="K1451">
        <v>36</v>
      </c>
      <c r="L1451" s="2">
        <v>40</v>
      </c>
      <c r="M1451">
        <v>74</v>
      </c>
      <c r="N1451" s="2">
        <v>372</v>
      </c>
      <c r="O1451">
        <v>388.9</v>
      </c>
      <c r="P1451">
        <v>155</v>
      </c>
      <c r="Q1451">
        <v>217</v>
      </c>
      <c r="R1451">
        <v>1.88</v>
      </c>
      <c r="S1451">
        <v>1</v>
      </c>
      <c r="T1451">
        <v>1127</v>
      </c>
      <c r="U1451" s="2">
        <v>1634.15</v>
      </c>
      <c r="V1451">
        <v>0</v>
      </c>
      <c r="W1451" t="s">
        <v>29</v>
      </c>
      <c r="X1451" t="str">
        <f>IF(Table2[[#This Row],[Qty available]]&gt;Table2[[#This Row],[Qty on hand]],"Check","OK")</f>
        <v>OK</v>
      </c>
    </row>
    <row r="1452" spans="1:24" x14ac:dyDescent="0.3">
      <c r="A1452" t="s">
        <v>181</v>
      </c>
      <c r="B1452" t="s">
        <v>182</v>
      </c>
      <c r="C1452" t="s">
        <v>57</v>
      </c>
      <c r="D1452" t="s">
        <v>58</v>
      </c>
      <c r="E1452" t="s">
        <v>27</v>
      </c>
      <c r="F1452" s="1" t="s">
        <v>39</v>
      </c>
      <c r="G1452" s="2">
        <v>1.08</v>
      </c>
      <c r="H1452">
        <v>1.08</v>
      </c>
      <c r="I1452">
        <v>1.0734729999999999</v>
      </c>
      <c r="J1452">
        <v>1.45</v>
      </c>
      <c r="K1452">
        <v>36</v>
      </c>
      <c r="L1452" s="2">
        <v>61</v>
      </c>
      <c r="M1452">
        <v>1596</v>
      </c>
      <c r="N1452" s="2">
        <v>383</v>
      </c>
      <c r="O1452">
        <v>411.14</v>
      </c>
      <c r="P1452">
        <v>186</v>
      </c>
      <c r="Q1452">
        <v>197</v>
      </c>
      <c r="R1452">
        <v>1.51</v>
      </c>
      <c r="S1452">
        <v>0</v>
      </c>
      <c r="T1452">
        <v>1585</v>
      </c>
      <c r="U1452" s="2">
        <v>2298.25</v>
      </c>
      <c r="V1452">
        <v>0</v>
      </c>
      <c r="W1452" t="s">
        <v>29</v>
      </c>
      <c r="X1452" t="str">
        <f>IF(Table2[[#This Row],[Qty available]]&gt;Table2[[#This Row],[Qty on hand]],"Check","OK")</f>
        <v>OK</v>
      </c>
    </row>
    <row r="1453" spans="1:24" x14ac:dyDescent="0.3">
      <c r="A1453" t="s">
        <v>181</v>
      </c>
      <c r="B1453" t="s">
        <v>182</v>
      </c>
      <c r="C1453" t="s">
        <v>57</v>
      </c>
      <c r="D1453" t="s">
        <v>58</v>
      </c>
      <c r="E1453" t="s">
        <v>27</v>
      </c>
      <c r="F1453" s="1" t="s">
        <v>40</v>
      </c>
      <c r="G1453" s="2">
        <v>1.08</v>
      </c>
      <c r="H1453">
        <v>1.08</v>
      </c>
      <c r="I1453">
        <v>1.0782579999999999</v>
      </c>
      <c r="J1453">
        <v>1.45</v>
      </c>
      <c r="K1453">
        <v>36</v>
      </c>
      <c r="L1453" s="2">
        <v>32</v>
      </c>
      <c r="M1453">
        <v>1079</v>
      </c>
      <c r="N1453" s="2">
        <v>155</v>
      </c>
      <c r="O1453">
        <v>167.13</v>
      </c>
      <c r="P1453">
        <v>155</v>
      </c>
      <c r="Q1453">
        <v>0</v>
      </c>
      <c r="R1453">
        <v>0.51</v>
      </c>
      <c r="S1453">
        <v>1</v>
      </c>
      <c r="T1453">
        <v>1307</v>
      </c>
      <c r="U1453" s="2">
        <v>1895.15</v>
      </c>
      <c r="V1453">
        <v>0</v>
      </c>
      <c r="W1453" t="s">
        <v>29</v>
      </c>
      <c r="X1453" t="str">
        <f>IF(Table2[[#This Row],[Qty available]]&gt;Table2[[#This Row],[Qty on hand]],"Check","OK")</f>
        <v>OK</v>
      </c>
    </row>
    <row r="1454" spans="1:24" x14ac:dyDescent="0.3">
      <c r="A1454" t="s">
        <v>181</v>
      </c>
      <c r="B1454" t="s">
        <v>182</v>
      </c>
      <c r="C1454" t="s">
        <v>57</v>
      </c>
      <c r="D1454" t="s">
        <v>58</v>
      </c>
      <c r="E1454" t="s">
        <v>27</v>
      </c>
      <c r="F1454" s="1" t="s">
        <v>41</v>
      </c>
      <c r="G1454" s="2">
        <v>1.08</v>
      </c>
      <c r="H1454">
        <v>1.08</v>
      </c>
      <c r="I1454">
        <v>1.079866</v>
      </c>
      <c r="J1454">
        <v>1.45</v>
      </c>
      <c r="K1454">
        <v>36</v>
      </c>
      <c r="L1454" s="2">
        <v>34</v>
      </c>
      <c r="M1454">
        <v>1910</v>
      </c>
      <c r="N1454" s="2">
        <v>970</v>
      </c>
      <c r="O1454">
        <v>1047.47</v>
      </c>
      <c r="P1454">
        <v>93</v>
      </c>
      <c r="Q1454">
        <v>877</v>
      </c>
      <c r="R1454">
        <v>3.2</v>
      </c>
      <c r="S1454">
        <v>1</v>
      </c>
      <c r="T1454">
        <v>1095</v>
      </c>
      <c r="U1454" s="2">
        <v>1587.75</v>
      </c>
      <c r="V1454">
        <v>0</v>
      </c>
      <c r="W1454" t="s">
        <v>29</v>
      </c>
      <c r="X1454" t="str">
        <f>IF(Table2[[#This Row],[Qty available]]&gt;Table2[[#This Row],[Qty on hand]],"Check","OK")</f>
        <v>OK</v>
      </c>
    </row>
    <row r="1455" spans="1:24" x14ac:dyDescent="0.3">
      <c r="A1455" t="s">
        <v>181</v>
      </c>
      <c r="B1455" t="s">
        <v>182</v>
      </c>
      <c r="C1455" t="s">
        <v>57</v>
      </c>
      <c r="D1455" t="s">
        <v>58</v>
      </c>
      <c r="E1455" t="s">
        <v>27</v>
      </c>
      <c r="F1455" s="1" t="s">
        <v>42</v>
      </c>
      <c r="G1455" s="2">
        <v>1.08</v>
      </c>
      <c r="H1455">
        <v>1.08</v>
      </c>
      <c r="I1455">
        <v>1.0799179999999999</v>
      </c>
      <c r="J1455">
        <v>1.45</v>
      </c>
      <c r="K1455">
        <v>36</v>
      </c>
      <c r="L1455" s="2">
        <v>55</v>
      </c>
      <c r="M1455">
        <v>739</v>
      </c>
      <c r="N1455" s="2">
        <v>489</v>
      </c>
      <c r="O1455">
        <v>528.08000000000004</v>
      </c>
      <c r="P1455">
        <v>186</v>
      </c>
      <c r="Q1455">
        <v>303</v>
      </c>
      <c r="R1455">
        <v>1.77</v>
      </c>
      <c r="S1455">
        <v>0</v>
      </c>
      <c r="T1455">
        <v>1220</v>
      </c>
      <c r="U1455" s="2">
        <v>1769</v>
      </c>
      <c r="V1455">
        <v>0</v>
      </c>
      <c r="W1455" t="s">
        <v>29</v>
      </c>
      <c r="X1455" t="str">
        <f>IF(Table2[[#This Row],[Qty available]]&gt;Table2[[#This Row],[Qty on hand]],"Check","OK")</f>
        <v>OK</v>
      </c>
    </row>
    <row r="1456" spans="1:24" x14ac:dyDescent="0.3">
      <c r="A1456" t="s">
        <v>181</v>
      </c>
      <c r="B1456" t="s">
        <v>182</v>
      </c>
      <c r="C1456" t="s">
        <v>57</v>
      </c>
      <c r="D1456" t="s">
        <v>58</v>
      </c>
      <c r="E1456" t="s">
        <v>27</v>
      </c>
      <c r="F1456" s="1" t="s">
        <v>43</v>
      </c>
      <c r="G1456" s="2">
        <v>1.07</v>
      </c>
      <c r="H1456">
        <v>1.07</v>
      </c>
      <c r="I1456">
        <v>1.074489</v>
      </c>
      <c r="J1456">
        <v>1.45</v>
      </c>
      <c r="K1456">
        <v>36</v>
      </c>
      <c r="L1456" s="2">
        <v>34</v>
      </c>
      <c r="M1456">
        <v>591</v>
      </c>
      <c r="N1456" s="2">
        <v>421</v>
      </c>
      <c r="O1456">
        <v>452.36</v>
      </c>
      <c r="P1456">
        <v>186</v>
      </c>
      <c r="Q1456">
        <v>235</v>
      </c>
      <c r="R1456">
        <v>1.84</v>
      </c>
      <c r="S1456">
        <v>3</v>
      </c>
      <c r="T1456">
        <v>659</v>
      </c>
      <c r="U1456" s="2">
        <v>955.55</v>
      </c>
      <c r="V1456">
        <v>0</v>
      </c>
      <c r="W1456" t="s">
        <v>29</v>
      </c>
      <c r="X1456" t="str">
        <f>IF(Table2[[#This Row],[Qty available]]&gt;Table2[[#This Row],[Qty on hand]],"Check","OK")</f>
        <v>OK</v>
      </c>
    </row>
    <row r="1457" spans="1:24" x14ac:dyDescent="0.3">
      <c r="A1457" t="s">
        <v>181</v>
      </c>
      <c r="B1457" t="s">
        <v>182</v>
      </c>
      <c r="C1457" t="s">
        <v>57</v>
      </c>
      <c r="D1457" t="s">
        <v>58</v>
      </c>
      <c r="E1457" t="s">
        <v>27</v>
      </c>
      <c r="F1457" s="1" t="s">
        <v>44</v>
      </c>
      <c r="G1457" s="2">
        <v>1.04</v>
      </c>
      <c r="H1457">
        <v>1.04</v>
      </c>
      <c r="I1457">
        <v>1.074489</v>
      </c>
      <c r="J1457">
        <v>1.45</v>
      </c>
      <c r="K1457">
        <v>36</v>
      </c>
      <c r="M1457">
        <v>0</v>
      </c>
      <c r="N1457" s="2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421</v>
      </c>
      <c r="U1457" s="2">
        <v>610.45000000000005</v>
      </c>
      <c r="V1457">
        <v>379</v>
      </c>
      <c r="W1457" t="s">
        <v>59</v>
      </c>
      <c r="X1457" t="str">
        <f>IF(Table2[[#This Row],[Qty available]]&gt;Table2[[#This Row],[Qty on hand]],"Check","OK")</f>
        <v>OK</v>
      </c>
    </row>
    <row r="1458" spans="1:24" x14ac:dyDescent="0.3">
      <c r="A1458" t="s">
        <v>181</v>
      </c>
      <c r="B1458" t="s">
        <v>182</v>
      </c>
      <c r="C1458" t="s">
        <v>57</v>
      </c>
      <c r="D1458" t="s">
        <v>58</v>
      </c>
      <c r="E1458" t="s">
        <v>27</v>
      </c>
      <c r="F1458" s="1" t="s">
        <v>45</v>
      </c>
      <c r="G1458" s="2">
        <v>1.1000000000000001</v>
      </c>
      <c r="H1458">
        <v>1.1000000000000001</v>
      </c>
      <c r="I1458">
        <v>1.1000000000000001</v>
      </c>
      <c r="J1458">
        <v>1.45</v>
      </c>
      <c r="K1458">
        <v>36</v>
      </c>
      <c r="L1458" s="2">
        <v>34</v>
      </c>
      <c r="M1458">
        <v>3824</v>
      </c>
      <c r="N1458" s="2">
        <v>2552</v>
      </c>
      <c r="O1458">
        <v>2807.2</v>
      </c>
      <c r="P1458">
        <v>155</v>
      </c>
      <c r="Q1458">
        <v>2397</v>
      </c>
      <c r="R1458">
        <v>14.26</v>
      </c>
      <c r="S1458">
        <v>1</v>
      </c>
      <c r="T1458">
        <v>1272</v>
      </c>
      <c r="U1458" s="2">
        <v>1844.4</v>
      </c>
      <c r="V1458">
        <v>0</v>
      </c>
      <c r="W1458" t="s">
        <v>29</v>
      </c>
      <c r="X1458" t="str">
        <f>IF(Table2[[#This Row],[Qty available]]&gt;Table2[[#This Row],[Qty on hand]],"Check","OK")</f>
        <v>OK</v>
      </c>
    </row>
    <row r="1459" spans="1:24" x14ac:dyDescent="0.3">
      <c r="A1459" t="s">
        <v>181</v>
      </c>
      <c r="B1459" t="s">
        <v>182</v>
      </c>
      <c r="C1459" t="s">
        <v>57</v>
      </c>
      <c r="D1459" t="s">
        <v>58</v>
      </c>
      <c r="E1459" t="s">
        <v>27</v>
      </c>
      <c r="F1459" s="1" t="s">
        <v>46</v>
      </c>
      <c r="G1459" s="2">
        <v>1.1100000000000001</v>
      </c>
      <c r="H1459">
        <v>1.1100000000000001</v>
      </c>
      <c r="I1459">
        <v>1.1026860000000001</v>
      </c>
      <c r="J1459">
        <v>1.51</v>
      </c>
      <c r="K1459">
        <v>36</v>
      </c>
      <c r="L1459" s="2">
        <v>41</v>
      </c>
      <c r="M1459">
        <v>937</v>
      </c>
      <c r="N1459" s="2">
        <v>2848</v>
      </c>
      <c r="O1459">
        <v>3140.45</v>
      </c>
      <c r="P1459">
        <v>155</v>
      </c>
      <c r="Q1459">
        <v>2693</v>
      </c>
      <c r="R1459">
        <v>15.69</v>
      </c>
      <c r="S1459">
        <v>0</v>
      </c>
      <c r="T1459">
        <v>641</v>
      </c>
      <c r="U1459" s="2">
        <v>967.91</v>
      </c>
      <c r="V1459">
        <v>0</v>
      </c>
      <c r="W1459" t="s">
        <v>29</v>
      </c>
      <c r="X1459" t="str">
        <f>IF(Table2[[#This Row],[Qty available]]&gt;Table2[[#This Row],[Qty on hand]],"Check","OK")</f>
        <v>OK</v>
      </c>
    </row>
    <row r="1460" spans="1:24" x14ac:dyDescent="0.3">
      <c r="A1460" t="s">
        <v>181</v>
      </c>
      <c r="B1460" t="s">
        <v>182</v>
      </c>
      <c r="C1460" t="s">
        <v>57</v>
      </c>
      <c r="D1460" t="s">
        <v>58</v>
      </c>
      <c r="E1460" t="s">
        <v>27</v>
      </c>
      <c r="F1460" s="1" t="s">
        <v>47</v>
      </c>
      <c r="G1460" s="2">
        <v>1.1200000000000001</v>
      </c>
      <c r="H1460">
        <v>1.1200000000000001</v>
      </c>
      <c r="I1460">
        <v>1.102687</v>
      </c>
      <c r="J1460">
        <v>1.51</v>
      </c>
      <c r="K1460">
        <v>36</v>
      </c>
      <c r="M1460">
        <v>0</v>
      </c>
      <c r="N1460" s="2">
        <v>1727</v>
      </c>
      <c r="O1460">
        <v>1904.34</v>
      </c>
      <c r="P1460">
        <v>248</v>
      </c>
      <c r="Q1460">
        <v>1479</v>
      </c>
      <c r="R1460">
        <v>7.32</v>
      </c>
      <c r="S1460">
        <v>0</v>
      </c>
      <c r="T1460">
        <v>1121</v>
      </c>
      <c r="U1460" s="2">
        <v>1692.71</v>
      </c>
      <c r="V1460">
        <v>0</v>
      </c>
      <c r="W1460" t="s">
        <v>29</v>
      </c>
      <c r="X1460" t="str">
        <f>IF(Table2[[#This Row],[Qty available]]&gt;Table2[[#This Row],[Qty on hand]],"Check","OK")</f>
        <v>OK</v>
      </c>
    </row>
    <row r="1461" spans="1:24" x14ac:dyDescent="0.3">
      <c r="A1461" t="s">
        <v>181</v>
      </c>
      <c r="B1461" t="s">
        <v>182</v>
      </c>
      <c r="C1461" t="s">
        <v>57</v>
      </c>
      <c r="D1461" t="s">
        <v>58</v>
      </c>
      <c r="E1461" t="s">
        <v>27</v>
      </c>
      <c r="F1461" s="1" t="s">
        <v>48</v>
      </c>
      <c r="G1461" s="2">
        <v>1.0900000000000001</v>
      </c>
      <c r="H1461">
        <v>1.0900000000000001</v>
      </c>
      <c r="I1461">
        <v>1.1000460000000001</v>
      </c>
      <c r="J1461">
        <v>1.51</v>
      </c>
      <c r="K1461">
        <v>36</v>
      </c>
      <c r="L1461" s="2">
        <v>54</v>
      </c>
      <c r="M1461">
        <v>454</v>
      </c>
      <c r="N1461" s="2">
        <v>1310</v>
      </c>
      <c r="O1461">
        <v>1441.06</v>
      </c>
      <c r="P1461">
        <v>310</v>
      </c>
      <c r="Q1461">
        <v>1000</v>
      </c>
      <c r="R1461">
        <v>6.33</v>
      </c>
      <c r="S1461">
        <v>0</v>
      </c>
      <c r="T1461">
        <v>871</v>
      </c>
      <c r="U1461" s="2">
        <v>1315.21</v>
      </c>
      <c r="V1461">
        <v>0</v>
      </c>
      <c r="W1461" t="s">
        <v>29</v>
      </c>
      <c r="X1461" t="str">
        <f>IF(Table2[[#This Row],[Qty available]]&gt;Table2[[#This Row],[Qty on hand]],"Check","OK")</f>
        <v>OK</v>
      </c>
    </row>
    <row r="1462" spans="1:24" x14ac:dyDescent="0.3">
      <c r="A1462" t="s">
        <v>181</v>
      </c>
      <c r="B1462" t="s">
        <v>182</v>
      </c>
      <c r="C1462" t="s">
        <v>57</v>
      </c>
      <c r="D1462" t="s">
        <v>58</v>
      </c>
      <c r="E1462" t="s">
        <v>27</v>
      </c>
      <c r="F1462" s="1" t="s">
        <v>49</v>
      </c>
      <c r="G1462" s="2">
        <v>1.08</v>
      </c>
      <c r="H1462">
        <v>1.08</v>
      </c>
      <c r="I1462">
        <v>1.0956760000000001</v>
      </c>
      <c r="J1462">
        <v>1.51</v>
      </c>
      <c r="K1462">
        <v>36</v>
      </c>
      <c r="L1462" s="2">
        <v>34</v>
      </c>
      <c r="M1462">
        <v>366</v>
      </c>
      <c r="N1462" s="2">
        <v>518</v>
      </c>
      <c r="O1462">
        <v>567.55999999999995</v>
      </c>
      <c r="P1462">
        <v>124</v>
      </c>
      <c r="Q1462">
        <v>394</v>
      </c>
      <c r="R1462">
        <v>2.16</v>
      </c>
      <c r="S1462">
        <v>2</v>
      </c>
      <c r="T1462">
        <v>1158</v>
      </c>
      <c r="U1462" s="2">
        <v>1748.58</v>
      </c>
      <c r="V1462">
        <v>0</v>
      </c>
      <c r="W1462" t="s">
        <v>29</v>
      </c>
      <c r="X1462" t="str">
        <f>IF(Table2[[#This Row],[Qty available]]&gt;Table2[[#This Row],[Qty on hand]],"Check","OK")</f>
        <v>OK</v>
      </c>
    </row>
    <row r="1463" spans="1:24" x14ac:dyDescent="0.3">
      <c r="A1463" t="s">
        <v>181</v>
      </c>
      <c r="B1463" t="s">
        <v>182</v>
      </c>
      <c r="C1463" t="s">
        <v>57</v>
      </c>
      <c r="D1463" t="s">
        <v>58</v>
      </c>
      <c r="E1463" t="s">
        <v>27</v>
      </c>
      <c r="F1463" s="1" t="s">
        <v>50</v>
      </c>
      <c r="G1463" s="2">
        <v>1.0900000000000001</v>
      </c>
      <c r="H1463">
        <v>1.0900000000000001</v>
      </c>
      <c r="I1463">
        <v>1.0956840000000001</v>
      </c>
      <c r="J1463">
        <v>1.51</v>
      </c>
      <c r="K1463">
        <v>36</v>
      </c>
      <c r="M1463">
        <v>0</v>
      </c>
      <c r="N1463" s="2">
        <v>95</v>
      </c>
      <c r="O1463">
        <v>104.09</v>
      </c>
      <c r="P1463">
        <v>95</v>
      </c>
      <c r="Q1463">
        <v>0</v>
      </c>
      <c r="R1463">
        <v>0.5</v>
      </c>
      <c r="S1463">
        <v>0</v>
      </c>
      <c r="T1463">
        <v>423</v>
      </c>
      <c r="U1463" s="2">
        <v>638.73</v>
      </c>
      <c r="V1463">
        <v>0</v>
      </c>
      <c r="W1463" t="s">
        <v>29</v>
      </c>
      <c r="X1463" t="str">
        <f>IF(Table2[[#This Row],[Qty available]]&gt;Table2[[#This Row],[Qty on hand]],"Check","OK")</f>
        <v>OK</v>
      </c>
    </row>
    <row r="1464" spans="1:24" x14ac:dyDescent="0.3">
      <c r="A1464" t="s">
        <v>181</v>
      </c>
      <c r="B1464" t="s">
        <v>182</v>
      </c>
      <c r="C1464" t="s">
        <v>57</v>
      </c>
      <c r="D1464" t="s">
        <v>58</v>
      </c>
      <c r="E1464" t="s">
        <v>27</v>
      </c>
      <c r="F1464" s="1" t="s">
        <v>51</v>
      </c>
      <c r="G1464" s="2">
        <v>1.1100000000000001</v>
      </c>
      <c r="H1464">
        <v>1.1100000000000001</v>
      </c>
      <c r="I1464">
        <v>1.10931</v>
      </c>
      <c r="J1464">
        <v>1.51</v>
      </c>
      <c r="K1464">
        <v>36</v>
      </c>
      <c r="L1464" s="2">
        <v>32</v>
      </c>
      <c r="M1464">
        <v>1893</v>
      </c>
      <c r="N1464" s="2">
        <v>638</v>
      </c>
      <c r="O1464">
        <v>707.74</v>
      </c>
      <c r="P1464">
        <v>248</v>
      </c>
      <c r="Q1464">
        <v>390</v>
      </c>
      <c r="R1464">
        <v>2.86</v>
      </c>
      <c r="S1464">
        <v>0</v>
      </c>
      <c r="T1464">
        <v>1350</v>
      </c>
      <c r="U1464" s="2">
        <v>2038.5</v>
      </c>
      <c r="V1464">
        <v>0</v>
      </c>
      <c r="W1464" t="s">
        <v>29</v>
      </c>
      <c r="X1464" t="str">
        <f>IF(Table2[[#This Row],[Qty available]]&gt;Table2[[#This Row],[Qty on hand]],"Check","OK")</f>
        <v>OK</v>
      </c>
    </row>
    <row r="1465" spans="1:24" x14ac:dyDescent="0.3">
      <c r="A1465" t="s">
        <v>181</v>
      </c>
      <c r="B1465" t="s">
        <v>182</v>
      </c>
      <c r="C1465" t="s">
        <v>57</v>
      </c>
      <c r="D1465" t="s">
        <v>58</v>
      </c>
      <c r="E1465" t="s">
        <v>27</v>
      </c>
      <c r="F1465" s="1" t="s">
        <v>52</v>
      </c>
      <c r="G1465" s="2">
        <v>1.0900000000000001</v>
      </c>
      <c r="H1465">
        <v>1.0900000000000001</v>
      </c>
      <c r="I1465">
        <v>1.1006530000000001</v>
      </c>
      <c r="J1465">
        <v>1.51</v>
      </c>
      <c r="K1465">
        <v>36</v>
      </c>
      <c r="L1465" s="2">
        <v>33</v>
      </c>
      <c r="M1465">
        <v>521</v>
      </c>
      <c r="N1465" s="2">
        <v>199</v>
      </c>
      <c r="O1465">
        <v>219.03</v>
      </c>
      <c r="P1465">
        <v>62</v>
      </c>
      <c r="Q1465">
        <v>137</v>
      </c>
      <c r="R1465">
        <v>0.96</v>
      </c>
      <c r="S1465">
        <v>2</v>
      </c>
      <c r="T1465">
        <v>960</v>
      </c>
      <c r="U1465" s="2">
        <v>1449.6</v>
      </c>
      <c r="V1465">
        <v>0</v>
      </c>
      <c r="W1465" t="s">
        <v>29</v>
      </c>
      <c r="X1465" t="str">
        <f>IF(Table2[[#This Row],[Qty available]]&gt;Table2[[#This Row],[Qty on hand]],"Check","OK")</f>
        <v>OK</v>
      </c>
    </row>
    <row r="1466" spans="1:24" x14ac:dyDescent="0.3">
      <c r="A1466" t="s">
        <v>183</v>
      </c>
      <c r="B1466" t="s">
        <v>184</v>
      </c>
      <c r="C1466" t="s">
        <v>77</v>
      </c>
      <c r="D1466" t="s">
        <v>78</v>
      </c>
      <c r="E1466" t="s">
        <v>66</v>
      </c>
      <c r="F1466" s="1" t="s">
        <v>28</v>
      </c>
      <c r="G1466" s="2">
        <v>45.39</v>
      </c>
      <c r="H1466">
        <v>45.39</v>
      </c>
      <c r="I1466">
        <v>45.766582</v>
      </c>
      <c r="J1466">
        <v>63.83</v>
      </c>
      <c r="K1466">
        <v>57</v>
      </c>
      <c r="L1466" s="2">
        <v>63</v>
      </c>
      <c r="M1466">
        <v>35</v>
      </c>
      <c r="N1466" s="2">
        <v>79</v>
      </c>
      <c r="O1466">
        <v>3615.56</v>
      </c>
      <c r="P1466">
        <v>10</v>
      </c>
      <c r="Q1466">
        <v>69</v>
      </c>
      <c r="R1466">
        <v>10.93</v>
      </c>
      <c r="S1466">
        <v>0</v>
      </c>
      <c r="T1466">
        <v>17</v>
      </c>
      <c r="U1466" s="2">
        <v>1085.1099999999999</v>
      </c>
      <c r="V1466">
        <v>0</v>
      </c>
      <c r="W1466" t="s">
        <v>29</v>
      </c>
      <c r="X1466" t="str">
        <f>IF(Table2[[#This Row],[Qty available]]&gt;Table2[[#This Row],[Qty on hand]],"Check","OK")</f>
        <v>OK</v>
      </c>
    </row>
    <row r="1467" spans="1:24" x14ac:dyDescent="0.3">
      <c r="A1467" t="s">
        <v>183</v>
      </c>
      <c r="B1467" t="s">
        <v>184</v>
      </c>
      <c r="C1467" t="s">
        <v>77</v>
      </c>
      <c r="D1467" t="s">
        <v>78</v>
      </c>
      <c r="E1467" t="s">
        <v>66</v>
      </c>
      <c r="F1467" s="1" t="s">
        <v>30</v>
      </c>
      <c r="G1467" s="2">
        <v>44.82</v>
      </c>
      <c r="H1467">
        <v>44.82</v>
      </c>
      <c r="I1467">
        <v>45.575372999999999</v>
      </c>
      <c r="J1467">
        <v>63.83</v>
      </c>
      <c r="K1467">
        <v>57</v>
      </c>
      <c r="L1467" s="2">
        <v>64</v>
      </c>
      <c r="M1467">
        <v>20</v>
      </c>
      <c r="N1467" s="2">
        <v>67</v>
      </c>
      <c r="O1467">
        <v>3053.55</v>
      </c>
      <c r="P1467">
        <v>2</v>
      </c>
      <c r="Q1467">
        <v>65</v>
      </c>
      <c r="R1467">
        <v>10.01</v>
      </c>
      <c r="S1467">
        <v>8</v>
      </c>
      <c r="T1467">
        <v>32</v>
      </c>
      <c r="U1467" s="2">
        <v>2042.56</v>
      </c>
      <c r="V1467">
        <v>0</v>
      </c>
      <c r="W1467" t="s">
        <v>29</v>
      </c>
      <c r="X1467" t="str">
        <f>IF(Table2[[#This Row],[Qty available]]&gt;Table2[[#This Row],[Qty on hand]],"Check","OK")</f>
        <v>OK</v>
      </c>
    </row>
    <row r="1468" spans="1:24" x14ac:dyDescent="0.3">
      <c r="A1468" t="s">
        <v>183</v>
      </c>
      <c r="B1468" t="s">
        <v>184</v>
      </c>
      <c r="C1468" t="s">
        <v>77</v>
      </c>
      <c r="D1468" t="s">
        <v>78</v>
      </c>
      <c r="E1468" t="s">
        <v>66</v>
      </c>
      <c r="F1468" s="1" t="s">
        <v>31</v>
      </c>
      <c r="G1468" s="2">
        <v>46.23</v>
      </c>
      <c r="H1468">
        <v>46.23</v>
      </c>
      <c r="I1468">
        <v>45.575516999999998</v>
      </c>
      <c r="J1468">
        <v>63.83</v>
      </c>
      <c r="K1468">
        <v>57</v>
      </c>
      <c r="M1468">
        <v>0</v>
      </c>
      <c r="N1468" s="2">
        <v>29</v>
      </c>
      <c r="O1468">
        <v>1321.69</v>
      </c>
      <c r="P1468">
        <v>9</v>
      </c>
      <c r="Q1468">
        <v>20</v>
      </c>
      <c r="R1468">
        <v>4.33</v>
      </c>
      <c r="S1468">
        <v>2</v>
      </c>
      <c r="T1468">
        <v>38</v>
      </c>
      <c r="U1468" s="2">
        <v>2425.54</v>
      </c>
      <c r="V1468">
        <v>0</v>
      </c>
      <c r="W1468" t="s">
        <v>29</v>
      </c>
      <c r="X1468" t="str">
        <f>IF(Table2[[#This Row],[Qty available]]&gt;Table2[[#This Row],[Qty on hand]],"Check","OK")</f>
        <v>OK</v>
      </c>
    </row>
    <row r="1469" spans="1:24" x14ac:dyDescent="0.3">
      <c r="A1469" t="s">
        <v>183</v>
      </c>
      <c r="B1469" t="s">
        <v>184</v>
      </c>
      <c r="C1469" t="s">
        <v>77</v>
      </c>
      <c r="D1469" t="s">
        <v>78</v>
      </c>
      <c r="E1469" t="s">
        <v>66</v>
      </c>
      <c r="F1469" s="1" t="s">
        <v>32</v>
      </c>
      <c r="G1469" s="2">
        <v>44.81</v>
      </c>
      <c r="H1469">
        <v>44.81</v>
      </c>
      <c r="I1469">
        <v>45.021394999999998</v>
      </c>
      <c r="J1469">
        <v>63.83</v>
      </c>
      <c r="K1469">
        <v>57</v>
      </c>
      <c r="L1469" s="2">
        <v>53</v>
      </c>
      <c r="M1469">
        <v>76</v>
      </c>
      <c r="N1469" s="2">
        <v>86</v>
      </c>
      <c r="O1469">
        <v>3871.84</v>
      </c>
      <c r="P1469">
        <v>9</v>
      </c>
      <c r="Q1469">
        <v>77</v>
      </c>
      <c r="R1469">
        <v>12.7</v>
      </c>
      <c r="S1469">
        <v>1</v>
      </c>
      <c r="T1469">
        <v>19</v>
      </c>
      <c r="U1469" s="2">
        <v>1212.77</v>
      </c>
      <c r="V1469">
        <v>0</v>
      </c>
      <c r="W1469" t="s">
        <v>29</v>
      </c>
      <c r="X1469" t="str">
        <f>IF(Table2[[#This Row],[Qty available]]&gt;Table2[[#This Row],[Qty on hand]],"Check","OK")</f>
        <v>OK</v>
      </c>
    </row>
    <row r="1470" spans="1:24" x14ac:dyDescent="0.3">
      <c r="A1470" t="s">
        <v>183</v>
      </c>
      <c r="B1470" t="s">
        <v>184</v>
      </c>
      <c r="C1470" t="s">
        <v>77</v>
      </c>
      <c r="D1470" t="s">
        <v>78</v>
      </c>
      <c r="E1470" t="s">
        <v>66</v>
      </c>
      <c r="F1470" s="1" t="s">
        <v>33</v>
      </c>
      <c r="G1470" s="2">
        <v>44.58</v>
      </c>
      <c r="H1470">
        <v>44.58</v>
      </c>
      <c r="I1470">
        <v>45.021394999999998</v>
      </c>
      <c r="J1470">
        <v>63.83</v>
      </c>
      <c r="K1470">
        <v>57</v>
      </c>
      <c r="M1470">
        <v>0</v>
      </c>
      <c r="N1470" s="2">
        <v>43</v>
      </c>
      <c r="O1470">
        <v>1935.92</v>
      </c>
      <c r="P1470">
        <v>7</v>
      </c>
      <c r="Q1470">
        <v>36</v>
      </c>
      <c r="R1470">
        <v>5.65</v>
      </c>
      <c r="S1470">
        <v>1</v>
      </c>
      <c r="T1470">
        <v>43</v>
      </c>
      <c r="U1470" s="2">
        <v>2744.69</v>
      </c>
      <c r="V1470">
        <v>0</v>
      </c>
      <c r="W1470" t="s">
        <v>29</v>
      </c>
      <c r="X1470" t="str">
        <f>IF(Table2[[#This Row],[Qty available]]&gt;Table2[[#This Row],[Qty on hand]],"Check","OK")</f>
        <v>OK</v>
      </c>
    </row>
    <row r="1471" spans="1:24" x14ac:dyDescent="0.3">
      <c r="A1471" t="s">
        <v>183</v>
      </c>
      <c r="B1471" t="s">
        <v>184</v>
      </c>
      <c r="C1471" t="s">
        <v>77</v>
      </c>
      <c r="D1471" t="s">
        <v>78</v>
      </c>
      <c r="E1471" t="s">
        <v>66</v>
      </c>
      <c r="F1471" s="1" t="s">
        <v>34</v>
      </c>
      <c r="G1471" s="2">
        <v>45.99</v>
      </c>
      <c r="H1471">
        <v>45.99</v>
      </c>
      <c r="I1471">
        <v>45.328837</v>
      </c>
      <c r="J1471">
        <v>66.099999999999994</v>
      </c>
      <c r="K1471">
        <v>57</v>
      </c>
      <c r="L1471" s="2">
        <v>88</v>
      </c>
      <c r="M1471">
        <v>20</v>
      </c>
      <c r="N1471" s="2">
        <v>43</v>
      </c>
      <c r="O1471">
        <v>1949.14</v>
      </c>
      <c r="P1471">
        <v>5</v>
      </c>
      <c r="Q1471">
        <v>38</v>
      </c>
      <c r="R1471">
        <v>6.74</v>
      </c>
      <c r="S1471">
        <v>4</v>
      </c>
      <c r="T1471">
        <v>20</v>
      </c>
      <c r="U1471" s="2">
        <v>1322</v>
      </c>
      <c r="V1471">
        <v>0</v>
      </c>
      <c r="W1471" t="s">
        <v>29</v>
      </c>
      <c r="X1471" t="str">
        <f>IF(Table2[[#This Row],[Qty available]]&gt;Table2[[#This Row],[Qty on hand]],"Check","OK")</f>
        <v>OK</v>
      </c>
    </row>
    <row r="1472" spans="1:24" x14ac:dyDescent="0.3">
      <c r="A1472" t="s">
        <v>183</v>
      </c>
      <c r="B1472" t="s">
        <v>184</v>
      </c>
      <c r="C1472" t="s">
        <v>77</v>
      </c>
      <c r="D1472" t="s">
        <v>78</v>
      </c>
      <c r="E1472" t="s">
        <v>66</v>
      </c>
      <c r="F1472" s="1" t="s">
        <v>35</v>
      </c>
      <c r="G1472" s="2">
        <v>48.66</v>
      </c>
      <c r="H1472">
        <v>48.66</v>
      </c>
      <c r="I1472">
        <v>47.068474999999999</v>
      </c>
      <c r="J1472">
        <v>66.099999999999994</v>
      </c>
      <c r="K1472">
        <v>57</v>
      </c>
      <c r="L1472" s="2">
        <v>50</v>
      </c>
      <c r="M1472">
        <v>47</v>
      </c>
      <c r="N1472" s="2">
        <v>59</v>
      </c>
      <c r="O1472">
        <v>2777.04</v>
      </c>
      <c r="P1472">
        <v>7</v>
      </c>
      <c r="Q1472">
        <v>52</v>
      </c>
      <c r="R1472">
        <v>8.07</v>
      </c>
      <c r="S1472">
        <v>1</v>
      </c>
      <c r="T1472">
        <v>31</v>
      </c>
      <c r="U1472" s="2">
        <v>2049.1</v>
      </c>
      <c r="V1472">
        <v>0</v>
      </c>
      <c r="W1472" t="s">
        <v>29</v>
      </c>
      <c r="X1472" t="str">
        <f>IF(Table2[[#This Row],[Qty available]]&gt;Table2[[#This Row],[Qty on hand]],"Check","OK")</f>
        <v>OK</v>
      </c>
    </row>
    <row r="1473" spans="1:24" x14ac:dyDescent="0.3">
      <c r="A1473" t="s">
        <v>183</v>
      </c>
      <c r="B1473" t="s">
        <v>184</v>
      </c>
      <c r="C1473" t="s">
        <v>77</v>
      </c>
      <c r="D1473" t="s">
        <v>78</v>
      </c>
      <c r="E1473" t="s">
        <v>66</v>
      </c>
      <c r="F1473" s="1" t="s">
        <v>36</v>
      </c>
      <c r="G1473" s="2">
        <v>47.71</v>
      </c>
      <c r="H1473">
        <v>47.71</v>
      </c>
      <c r="I1473">
        <v>47.338912999999998</v>
      </c>
      <c r="J1473">
        <v>66.099999999999994</v>
      </c>
      <c r="K1473">
        <v>57</v>
      </c>
      <c r="L1473" s="2">
        <v>50</v>
      </c>
      <c r="M1473">
        <v>43</v>
      </c>
      <c r="N1473" s="2">
        <v>92</v>
      </c>
      <c r="O1473">
        <v>4355.18</v>
      </c>
      <c r="P1473">
        <v>3</v>
      </c>
      <c r="Q1473">
        <v>89</v>
      </c>
      <c r="R1473">
        <v>19.18</v>
      </c>
      <c r="S1473">
        <v>20</v>
      </c>
      <c r="T1473">
        <v>10</v>
      </c>
      <c r="U1473" s="2">
        <v>661</v>
      </c>
      <c r="V1473">
        <v>0</v>
      </c>
      <c r="W1473" t="s">
        <v>29</v>
      </c>
      <c r="X1473" t="str">
        <f>IF(Table2[[#This Row],[Qty available]]&gt;Table2[[#This Row],[Qty on hand]],"Check","OK")</f>
        <v>OK</v>
      </c>
    </row>
    <row r="1474" spans="1:24" x14ac:dyDescent="0.3">
      <c r="A1474" t="s">
        <v>183</v>
      </c>
      <c r="B1474" t="s">
        <v>184</v>
      </c>
      <c r="C1474" t="s">
        <v>77</v>
      </c>
      <c r="D1474" t="s">
        <v>78</v>
      </c>
      <c r="E1474" t="s">
        <v>66</v>
      </c>
      <c r="F1474" s="1" t="s">
        <v>37</v>
      </c>
      <c r="G1474" s="2">
        <v>48.35</v>
      </c>
      <c r="H1474">
        <v>48.35</v>
      </c>
      <c r="I1474">
        <v>47.554937000000002</v>
      </c>
      <c r="J1474">
        <v>66.099999999999994</v>
      </c>
      <c r="K1474">
        <v>57</v>
      </c>
      <c r="L1474" s="2">
        <v>49</v>
      </c>
      <c r="M1474">
        <v>25</v>
      </c>
      <c r="N1474" s="2">
        <v>79</v>
      </c>
      <c r="O1474">
        <v>3756.84</v>
      </c>
      <c r="P1474">
        <v>7</v>
      </c>
      <c r="Q1474">
        <v>72</v>
      </c>
      <c r="R1474">
        <v>13.14</v>
      </c>
      <c r="S1474">
        <v>0</v>
      </c>
      <c r="T1474">
        <v>38</v>
      </c>
      <c r="U1474" s="2">
        <v>2511.8000000000002</v>
      </c>
      <c r="V1474">
        <v>0</v>
      </c>
      <c r="W1474" t="s">
        <v>29</v>
      </c>
      <c r="X1474" t="str">
        <f>IF(Table2[[#This Row],[Qty available]]&gt;Table2[[#This Row],[Qty on hand]],"Check","OK")</f>
        <v>OK</v>
      </c>
    </row>
    <row r="1475" spans="1:24" x14ac:dyDescent="0.3">
      <c r="A1475" t="s">
        <v>183</v>
      </c>
      <c r="B1475" t="s">
        <v>184</v>
      </c>
      <c r="C1475" t="s">
        <v>77</v>
      </c>
      <c r="D1475" t="s">
        <v>78</v>
      </c>
      <c r="E1475" t="s">
        <v>66</v>
      </c>
      <c r="F1475" s="1" t="s">
        <v>38</v>
      </c>
      <c r="G1475" s="2">
        <v>49.01</v>
      </c>
      <c r="H1475">
        <v>49.01</v>
      </c>
      <c r="I1475">
        <v>47.848889</v>
      </c>
      <c r="J1475">
        <v>66.099999999999994</v>
      </c>
      <c r="K1475">
        <v>57</v>
      </c>
      <c r="L1475" s="2">
        <v>56</v>
      </c>
      <c r="M1475">
        <v>20</v>
      </c>
      <c r="N1475" s="2">
        <v>54</v>
      </c>
      <c r="O1475">
        <v>2583.84</v>
      </c>
      <c r="P1475">
        <v>3</v>
      </c>
      <c r="Q1475">
        <v>51</v>
      </c>
      <c r="R1475">
        <v>7.55</v>
      </c>
      <c r="S1475">
        <v>0</v>
      </c>
      <c r="T1475">
        <v>45</v>
      </c>
      <c r="U1475" s="2">
        <v>2974.5</v>
      </c>
      <c r="V1475">
        <v>0</v>
      </c>
      <c r="W1475" t="s">
        <v>29</v>
      </c>
      <c r="X1475" t="str">
        <f>IF(Table2[[#This Row],[Qty available]]&gt;Table2[[#This Row],[Qty on hand]],"Check","OK")</f>
        <v>OK</v>
      </c>
    </row>
    <row r="1476" spans="1:24" x14ac:dyDescent="0.3">
      <c r="A1476" t="s">
        <v>183</v>
      </c>
      <c r="B1476" t="s">
        <v>184</v>
      </c>
      <c r="C1476" t="s">
        <v>77</v>
      </c>
      <c r="D1476" t="s">
        <v>78</v>
      </c>
      <c r="E1476" t="s">
        <v>66</v>
      </c>
      <c r="F1476" s="1" t="s">
        <v>39</v>
      </c>
      <c r="G1476" s="2">
        <v>48.93</v>
      </c>
      <c r="H1476">
        <v>48.93</v>
      </c>
      <c r="I1476">
        <v>48.357624999999999</v>
      </c>
      <c r="J1476">
        <v>66.099999999999994</v>
      </c>
      <c r="K1476">
        <v>57</v>
      </c>
      <c r="L1476" s="2">
        <v>49</v>
      </c>
      <c r="M1476">
        <v>48</v>
      </c>
      <c r="N1476" s="2">
        <v>80</v>
      </c>
      <c r="O1476">
        <v>3868.61</v>
      </c>
      <c r="P1476">
        <v>10</v>
      </c>
      <c r="Q1476">
        <v>70</v>
      </c>
      <c r="R1476">
        <v>10.01</v>
      </c>
      <c r="S1476">
        <v>6</v>
      </c>
      <c r="T1476">
        <v>22</v>
      </c>
      <c r="U1476" s="2">
        <v>1454.2</v>
      </c>
      <c r="V1476">
        <v>0</v>
      </c>
      <c r="W1476" t="s">
        <v>29</v>
      </c>
      <c r="X1476" t="str">
        <f>IF(Table2[[#This Row],[Qty available]]&gt;Table2[[#This Row],[Qty on hand]],"Check","OK")</f>
        <v>OK</v>
      </c>
    </row>
    <row r="1477" spans="1:24" x14ac:dyDescent="0.3">
      <c r="A1477" t="s">
        <v>183</v>
      </c>
      <c r="B1477" t="s">
        <v>184</v>
      </c>
      <c r="C1477" t="s">
        <v>77</v>
      </c>
      <c r="D1477" t="s">
        <v>78</v>
      </c>
      <c r="E1477" t="s">
        <v>66</v>
      </c>
      <c r="F1477" s="1" t="s">
        <v>40</v>
      </c>
      <c r="G1477" s="2">
        <v>48.87</v>
      </c>
      <c r="H1477">
        <v>48.87</v>
      </c>
      <c r="I1477">
        <v>48.460129999999999</v>
      </c>
      <c r="J1477">
        <v>66.099999999999994</v>
      </c>
      <c r="K1477">
        <v>57</v>
      </c>
      <c r="L1477" s="2">
        <v>55</v>
      </c>
      <c r="M1477">
        <v>20</v>
      </c>
      <c r="N1477" s="2">
        <v>77</v>
      </c>
      <c r="O1477">
        <v>3731.43</v>
      </c>
      <c r="P1477">
        <v>7</v>
      </c>
      <c r="Q1477">
        <v>70</v>
      </c>
      <c r="R1477">
        <v>11.24</v>
      </c>
      <c r="S1477">
        <v>2</v>
      </c>
      <c r="T1477">
        <v>23</v>
      </c>
      <c r="U1477" s="2">
        <v>1520.3</v>
      </c>
      <c r="V1477">
        <v>0</v>
      </c>
      <c r="W1477" t="s">
        <v>29</v>
      </c>
      <c r="X1477" t="str">
        <f>IF(Table2[[#This Row],[Qty available]]&gt;Table2[[#This Row],[Qty on hand]],"Check","OK")</f>
        <v>OK</v>
      </c>
    </row>
    <row r="1478" spans="1:24" x14ac:dyDescent="0.3">
      <c r="A1478" t="s">
        <v>183</v>
      </c>
      <c r="B1478" t="s">
        <v>184</v>
      </c>
      <c r="C1478" t="s">
        <v>77</v>
      </c>
      <c r="D1478" t="s">
        <v>78</v>
      </c>
      <c r="E1478" t="s">
        <v>66</v>
      </c>
      <c r="F1478" s="1" t="s">
        <v>41</v>
      </c>
      <c r="G1478" s="2">
        <v>47.99</v>
      </c>
      <c r="H1478">
        <v>47.99</v>
      </c>
      <c r="I1478">
        <v>48.363261000000001</v>
      </c>
      <c r="J1478">
        <v>66.099999999999994</v>
      </c>
      <c r="K1478">
        <v>57</v>
      </c>
      <c r="L1478" s="2">
        <v>51</v>
      </c>
      <c r="M1478">
        <v>20</v>
      </c>
      <c r="N1478" s="2">
        <v>46</v>
      </c>
      <c r="O1478">
        <v>2224.71</v>
      </c>
      <c r="P1478">
        <v>2</v>
      </c>
      <c r="Q1478">
        <v>44</v>
      </c>
      <c r="R1478">
        <v>6.3</v>
      </c>
      <c r="S1478">
        <v>3</v>
      </c>
      <c r="T1478">
        <v>51</v>
      </c>
      <c r="U1478" s="2">
        <v>3371.1</v>
      </c>
      <c r="V1478">
        <v>0</v>
      </c>
      <c r="W1478" t="s">
        <v>29</v>
      </c>
      <c r="X1478" t="str">
        <f>IF(Table2[[#This Row],[Qty available]]&gt;Table2[[#This Row],[Qty on hand]],"Check","OK")</f>
        <v>OK</v>
      </c>
    </row>
    <row r="1479" spans="1:24" x14ac:dyDescent="0.3">
      <c r="A1479" t="s">
        <v>183</v>
      </c>
      <c r="B1479" t="s">
        <v>184</v>
      </c>
      <c r="C1479" t="s">
        <v>77</v>
      </c>
      <c r="D1479" t="s">
        <v>78</v>
      </c>
      <c r="E1479" t="s">
        <v>66</v>
      </c>
      <c r="F1479" s="1" t="s">
        <v>42</v>
      </c>
      <c r="G1479" s="2">
        <v>48.32</v>
      </c>
      <c r="H1479">
        <v>48.32</v>
      </c>
      <c r="I1479">
        <v>48.340957000000003</v>
      </c>
      <c r="J1479">
        <v>66.099999999999994</v>
      </c>
      <c r="K1479">
        <v>57</v>
      </c>
      <c r="L1479" s="2">
        <v>55</v>
      </c>
      <c r="M1479">
        <v>49</v>
      </c>
      <c r="N1479" s="2">
        <v>94</v>
      </c>
      <c r="O1479">
        <v>4544.05</v>
      </c>
      <c r="P1479">
        <v>3</v>
      </c>
      <c r="Q1479">
        <v>91</v>
      </c>
      <c r="R1479">
        <v>16.47</v>
      </c>
      <c r="S1479">
        <v>12</v>
      </c>
      <c r="T1479">
        <v>1</v>
      </c>
      <c r="U1479" s="2">
        <v>66.099999999999994</v>
      </c>
      <c r="V1479">
        <v>0</v>
      </c>
      <c r="W1479" t="s">
        <v>29</v>
      </c>
      <c r="X1479" t="str">
        <f>IF(Table2[[#This Row],[Qty available]]&gt;Table2[[#This Row],[Qty on hand]],"Check","OK")</f>
        <v>OK</v>
      </c>
    </row>
    <row r="1480" spans="1:24" x14ac:dyDescent="0.3">
      <c r="A1480" t="s">
        <v>183</v>
      </c>
      <c r="B1480" t="s">
        <v>184</v>
      </c>
      <c r="C1480" t="s">
        <v>77</v>
      </c>
      <c r="D1480" t="s">
        <v>78</v>
      </c>
      <c r="E1480" t="s">
        <v>66</v>
      </c>
      <c r="F1480" s="1" t="s">
        <v>43</v>
      </c>
      <c r="G1480" s="2">
        <v>48.97</v>
      </c>
      <c r="H1480">
        <v>48.97</v>
      </c>
      <c r="I1480">
        <v>48.508000000000003</v>
      </c>
      <c r="J1480">
        <v>66.099999999999994</v>
      </c>
      <c r="K1480">
        <v>57</v>
      </c>
      <c r="L1480" s="2">
        <v>51</v>
      </c>
      <c r="M1480">
        <v>34</v>
      </c>
      <c r="N1480" s="2">
        <v>100</v>
      </c>
      <c r="O1480">
        <v>4850.8</v>
      </c>
      <c r="P1480">
        <v>6</v>
      </c>
      <c r="Q1480">
        <v>94</v>
      </c>
      <c r="R1480">
        <v>16.25</v>
      </c>
      <c r="S1480">
        <v>3</v>
      </c>
      <c r="T1480">
        <v>28</v>
      </c>
      <c r="U1480" s="2">
        <v>1850.8</v>
      </c>
      <c r="V1480">
        <v>0</v>
      </c>
      <c r="W1480" t="s">
        <v>29</v>
      </c>
      <c r="X1480" t="str">
        <f>IF(Table2[[#This Row],[Qty available]]&gt;Table2[[#This Row],[Qty on hand]],"Check","OK")</f>
        <v>OK</v>
      </c>
    </row>
    <row r="1481" spans="1:24" x14ac:dyDescent="0.3">
      <c r="A1481" t="s">
        <v>183</v>
      </c>
      <c r="B1481" t="s">
        <v>184</v>
      </c>
      <c r="C1481" t="s">
        <v>77</v>
      </c>
      <c r="D1481" t="s">
        <v>78</v>
      </c>
      <c r="E1481" t="s">
        <v>66</v>
      </c>
      <c r="F1481" s="1" t="s">
        <v>44</v>
      </c>
      <c r="G1481" s="2">
        <v>48.34</v>
      </c>
      <c r="H1481">
        <v>48.34</v>
      </c>
      <c r="I1481">
        <v>48.477722</v>
      </c>
      <c r="J1481">
        <v>66.099999999999994</v>
      </c>
      <c r="K1481">
        <v>57</v>
      </c>
      <c r="L1481" s="2">
        <v>50</v>
      </c>
      <c r="M1481">
        <v>22</v>
      </c>
      <c r="N1481" s="2">
        <v>79</v>
      </c>
      <c r="O1481">
        <v>3829.74</v>
      </c>
      <c r="P1481">
        <v>6</v>
      </c>
      <c r="Q1481">
        <v>73</v>
      </c>
      <c r="R1481">
        <v>14.42</v>
      </c>
      <c r="S1481">
        <v>2</v>
      </c>
      <c r="T1481">
        <v>43</v>
      </c>
      <c r="U1481" s="2">
        <v>2842.3</v>
      </c>
      <c r="V1481">
        <v>0</v>
      </c>
      <c r="W1481" t="s">
        <v>29</v>
      </c>
      <c r="X1481" t="str">
        <f>IF(Table2[[#This Row],[Qty available]]&gt;Table2[[#This Row],[Qty on hand]],"Check","OK")</f>
        <v>OK</v>
      </c>
    </row>
    <row r="1482" spans="1:24" x14ac:dyDescent="0.3">
      <c r="A1482" t="s">
        <v>183</v>
      </c>
      <c r="B1482" t="s">
        <v>184</v>
      </c>
      <c r="C1482" t="s">
        <v>77</v>
      </c>
      <c r="D1482" t="s">
        <v>78</v>
      </c>
      <c r="E1482" t="s">
        <v>66</v>
      </c>
      <c r="F1482" s="1" t="s">
        <v>45</v>
      </c>
      <c r="G1482" s="2">
        <v>47.32</v>
      </c>
      <c r="H1482">
        <v>47.32</v>
      </c>
      <c r="I1482">
        <v>48.477857</v>
      </c>
      <c r="J1482">
        <v>66.099999999999994</v>
      </c>
      <c r="K1482">
        <v>57</v>
      </c>
      <c r="M1482">
        <v>0</v>
      </c>
      <c r="N1482" s="2">
        <v>28</v>
      </c>
      <c r="O1482">
        <v>1357.38</v>
      </c>
      <c r="P1482">
        <v>10</v>
      </c>
      <c r="Q1482">
        <v>18</v>
      </c>
      <c r="R1482">
        <v>3.02</v>
      </c>
      <c r="S1482">
        <v>1</v>
      </c>
      <c r="T1482">
        <v>51</v>
      </c>
      <c r="U1482" s="2">
        <v>3371.1</v>
      </c>
      <c r="V1482">
        <v>0</v>
      </c>
      <c r="W1482" t="s">
        <v>29</v>
      </c>
      <c r="X1482" t="str">
        <f>IF(Table2[[#This Row],[Qty available]]&gt;Table2[[#This Row],[Qty on hand]],"Check","OK")</f>
        <v>OK</v>
      </c>
    </row>
    <row r="1483" spans="1:24" x14ac:dyDescent="0.3">
      <c r="A1483" t="s">
        <v>183</v>
      </c>
      <c r="B1483" t="s">
        <v>184</v>
      </c>
      <c r="C1483" t="s">
        <v>77</v>
      </c>
      <c r="D1483" t="s">
        <v>78</v>
      </c>
      <c r="E1483" t="s">
        <v>66</v>
      </c>
      <c r="F1483" s="1" t="s">
        <v>46</v>
      </c>
      <c r="G1483" s="2">
        <v>48.56</v>
      </c>
      <c r="H1483">
        <v>48.56</v>
      </c>
      <c r="I1483">
        <v>48.521667000000001</v>
      </c>
      <c r="J1483">
        <v>68.45</v>
      </c>
      <c r="K1483">
        <v>57</v>
      </c>
      <c r="L1483" s="2">
        <v>53</v>
      </c>
      <c r="M1483">
        <v>32</v>
      </c>
      <c r="N1483" s="2">
        <v>42</v>
      </c>
      <c r="O1483">
        <v>2037.91</v>
      </c>
      <c r="P1483">
        <v>6</v>
      </c>
      <c r="Q1483">
        <v>36</v>
      </c>
      <c r="R1483">
        <v>4.82</v>
      </c>
      <c r="S1483">
        <v>17</v>
      </c>
      <c r="T1483">
        <v>18</v>
      </c>
      <c r="U1483" s="2">
        <v>1232.0999999999999</v>
      </c>
      <c r="V1483">
        <v>0</v>
      </c>
      <c r="W1483" t="s">
        <v>29</v>
      </c>
      <c r="X1483" t="str">
        <f>IF(Table2[[#This Row],[Qty available]]&gt;Table2[[#This Row],[Qty on hand]],"Check","OK")</f>
        <v>OK</v>
      </c>
    </row>
    <row r="1484" spans="1:24" x14ac:dyDescent="0.3">
      <c r="A1484" t="s">
        <v>183</v>
      </c>
      <c r="B1484" t="s">
        <v>184</v>
      </c>
      <c r="C1484" t="s">
        <v>77</v>
      </c>
      <c r="D1484" t="s">
        <v>78</v>
      </c>
      <c r="E1484" t="s">
        <v>66</v>
      </c>
      <c r="F1484" s="1" t="s">
        <v>47</v>
      </c>
      <c r="G1484" s="2">
        <v>50.2</v>
      </c>
      <c r="H1484">
        <v>50.2</v>
      </c>
      <c r="I1484">
        <v>49.480702000000001</v>
      </c>
      <c r="J1484">
        <v>68.45</v>
      </c>
      <c r="K1484">
        <v>57</v>
      </c>
      <c r="L1484" s="2">
        <v>57</v>
      </c>
      <c r="M1484">
        <v>56</v>
      </c>
      <c r="N1484" s="2">
        <v>57</v>
      </c>
      <c r="O1484">
        <v>2820.4</v>
      </c>
      <c r="P1484">
        <v>3</v>
      </c>
      <c r="Q1484">
        <v>54</v>
      </c>
      <c r="R1484">
        <v>6.66</v>
      </c>
      <c r="S1484">
        <v>3</v>
      </c>
      <c r="T1484">
        <v>41</v>
      </c>
      <c r="U1484" s="2">
        <v>2806.45</v>
      </c>
      <c r="V1484">
        <v>0</v>
      </c>
      <c r="W1484" t="s">
        <v>29</v>
      </c>
      <c r="X1484" t="str">
        <f>IF(Table2[[#This Row],[Qty available]]&gt;Table2[[#This Row],[Qty on hand]],"Check","OK")</f>
        <v>OK</v>
      </c>
    </row>
    <row r="1485" spans="1:24" x14ac:dyDescent="0.3">
      <c r="A1485" t="s">
        <v>183</v>
      </c>
      <c r="B1485" t="s">
        <v>184</v>
      </c>
      <c r="C1485" t="s">
        <v>77</v>
      </c>
      <c r="D1485" t="s">
        <v>78</v>
      </c>
      <c r="E1485" t="s">
        <v>66</v>
      </c>
      <c r="F1485" s="1" t="s">
        <v>48</v>
      </c>
      <c r="G1485" s="2">
        <v>51.4</v>
      </c>
      <c r="H1485">
        <v>51.4</v>
      </c>
      <c r="I1485">
        <v>49.48</v>
      </c>
      <c r="J1485">
        <v>68.45</v>
      </c>
      <c r="K1485">
        <v>57</v>
      </c>
      <c r="M1485">
        <v>0</v>
      </c>
      <c r="N1485" s="2">
        <v>5</v>
      </c>
      <c r="O1485">
        <v>247.4</v>
      </c>
      <c r="P1485">
        <v>5</v>
      </c>
      <c r="Q1485">
        <v>0</v>
      </c>
      <c r="R1485">
        <v>0.56999999999999995</v>
      </c>
      <c r="S1485">
        <v>4</v>
      </c>
      <c r="T1485">
        <v>52</v>
      </c>
      <c r="U1485" s="2">
        <v>3559.4</v>
      </c>
      <c r="V1485">
        <v>0</v>
      </c>
      <c r="W1485" t="s">
        <v>29</v>
      </c>
      <c r="X1485" t="str">
        <f>IF(Table2[[#This Row],[Qty available]]&gt;Table2[[#This Row],[Qty on hand]],"Check","OK")</f>
        <v>OK</v>
      </c>
    </row>
    <row r="1486" spans="1:24" x14ac:dyDescent="0.3">
      <c r="A1486" t="s">
        <v>183</v>
      </c>
      <c r="B1486" t="s">
        <v>184</v>
      </c>
      <c r="C1486" t="s">
        <v>77</v>
      </c>
      <c r="D1486" t="s">
        <v>78</v>
      </c>
      <c r="E1486" t="s">
        <v>66</v>
      </c>
      <c r="F1486" s="1" t="s">
        <v>49</v>
      </c>
      <c r="G1486" s="2">
        <v>50.14</v>
      </c>
      <c r="H1486">
        <v>50.14</v>
      </c>
      <c r="I1486">
        <v>50.073999999999998</v>
      </c>
      <c r="J1486">
        <v>68.45</v>
      </c>
      <c r="K1486">
        <v>57</v>
      </c>
      <c r="L1486" s="2">
        <v>80</v>
      </c>
      <c r="M1486">
        <v>45</v>
      </c>
      <c r="N1486" s="2">
        <v>30</v>
      </c>
      <c r="O1486">
        <v>1502.22</v>
      </c>
      <c r="P1486">
        <v>9</v>
      </c>
      <c r="Q1486">
        <v>21</v>
      </c>
      <c r="R1486">
        <v>3.49</v>
      </c>
      <c r="S1486">
        <v>1</v>
      </c>
      <c r="T1486">
        <v>20</v>
      </c>
      <c r="U1486" s="2">
        <v>1369</v>
      </c>
      <c r="V1486">
        <v>0</v>
      </c>
      <c r="W1486" t="s">
        <v>29</v>
      </c>
      <c r="X1486" t="str">
        <f>IF(Table2[[#This Row],[Qty available]]&gt;Table2[[#This Row],[Qty on hand]],"Check","OK")</f>
        <v>OK</v>
      </c>
    </row>
    <row r="1487" spans="1:24" x14ac:dyDescent="0.3">
      <c r="A1487" t="s">
        <v>183</v>
      </c>
      <c r="B1487" t="s">
        <v>184</v>
      </c>
      <c r="C1487" t="s">
        <v>77</v>
      </c>
      <c r="D1487" t="s">
        <v>78</v>
      </c>
      <c r="E1487" t="s">
        <v>66</v>
      </c>
      <c r="F1487" s="1" t="s">
        <v>50</v>
      </c>
      <c r="G1487" s="2">
        <v>50.11</v>
      </c>
      <c r="H1487">
        <v>50.11</v>
      </c>
      <c r="I1487">
        <v>50.092765999999997</v>
      </c>
      <c r="J1487">
        <v>68.45</v>
      </c>
      <c r="K1487">
        <v>57</v>
      </c>
      <c r="L1487" s="2">
        <v>74</v>
      </c>
      <c r="M1487">
        <v>33</v>
      </c>
      <c r="N1487" s="2">
        <v>47</v>
      </c>
      <c r="O1487">
        <v>2354.36</v>
      </c>
      <c r="P1487">
        <v>9</v>
      </c>
      <c r="Q1487">
        <v>38</v>
      </c>
      <c r="R1487">
        <v>6.94</v>
      </c>
      <c r="S1487">
        <v>6</v>
      </c>
      <c r="T1487">
        <v>16</v>
      </c>
      <c r="U1487" s="2">
        <v>1095.2</v>
      </c>
      <c r="V1487">
        <v>0</v>
      </c>
      <c r="W1487" t="s">
        <v>29</v>
      </c>
      <c r="X1487" t="str">
        <f>IF(Table2[[#This Row],[Qty available]]&gt;Table2[[#This Row],[Qty on hand]],"Check","OK")</f>
        <v>OK</v>
      </c>
    </row>
    <row r="1488" spans="1:24" x14ac:dyDescent="0.3">
      <c r="A1488" t="s">
        <v>183</v>
      </c>
      <c r="B1488" t="s">
        <v>184</v>
      </c>
      <c r="C1488" t="s">
        <v>77</v>
      </c>
      <c r="D1488" t="s">
        <v>78</v>
      </c>
      <c r="E1488" t="s">
        <v>66</v>
      </c>
      <c r="F1488" s="1" t="s">
        <v>51</v>
      </c>
      <c r="G1488" s="2">
        <v>50.63</v>
      </c>
      <c r="H1488">
        <v>50.63</v>
      </c>
      <c r="I1488">
        <v>50.460507</v>
      </c>
      <c r="J1488">
        <v>68.45</v>
      </c>
      <c r="K1488">
        <v>57</v>
      </c>
      <c r="L1488" s="2">
        <v>56</v>
      </c>
      <c r="M1488">
        <v>102</v>
      </c>
      <c r="N1488" s="2">
        <v>138</v>
      </c>
      <c r="O1488">
        <v>6963.55</v>
      </c>
      <c r="P1488">
        <v>10</v>
      </c>
      <c r="Q1488">
        <v>128</v>
      </c>
      <c r="R1488">
        <v>38.590000000000003</v>
      </c>
      <c r="S1488">
        <v>0</v>
      </c>
      <c r="T1488">
        <v>11</v>
      </c>
      <c r="U1488" s="2">
        <v>752.95</v>
      </c>
      <c r="V1488">
        <v>0</v>
      </c>
      <c r="W1488" t="s">
        <v>29</v>
      </c>
      <c r="X1488" t="str">
        <f>IF(Table2[[#This Row],[Qty available]]&gt;Table2[[#This Row],[Qty on hand]],"Check","OK")</f>
        <v>OK</v>
      </c>
    </row>
    <row r="1489" spans="1:24" x14ac:dyDescent="0.3">
      <c r="A1489" t="s">
        <v>183</v>
      </c>
      <c r="B1489" t="s">
        <v>184</v>
      </c>
      <c r="C1489" t="s">
        <v>77</v>
      </c>
      <c r="D1489" t="s">
        <v>78</v>
      </c>
      <c r="E1489" t="s">
        <v>66</v>
      </c>
      <c r="F1489" s="1" t="s">
        <v>52</v>
      </c>
      <c r="G1489" s="2">
        <v>50.47</v>
      </c>
      <c r="H1489">
        <v>50.47</v>
      </c>
      <c r="I1489">
        <v>50.461691000000002</v>
      </c>
      <c r="J1489">
        <v>68.45</v>
      </c>
      <c r="K1489">
        <v>57</v>
      </c>
      <c r="L1489" s="2">
        <v>93</v>
      </c>
      <c r="M1489">
        <v>20</v>
      </c>
      <c r="N1489" s="2">
        <v>136</v>
      </c>
      <c r="O1489">
        <v>6862.79</v>
      </c>
      <c r="P1489">
        <v>7</v>
      </c>
      <c r="Q1489">
        <v>129</v>
      </c>
      <c r="R1489">
        <v>36.479999999999997</v>
      </c>
      <c r="S1489">
        <v>12</v>
      </c>
      <c r="T1489">
        <v>22</v>
      </c>
      <c r="U1489" s="2">
        <v>1505.9</v>
      </c>
      <c r="V1489">
        <v>0</v>
      </c>
      <c r="W1489" t="s">
        <v>29</v>
      </c>
      <c r="X1489" t="str">
        <f>IF(Table2[[#This Row],[Qty available]]&gt;Table2[[#This Row],[Qty on hand]],"Check","OK")</f>
        <v>OK</v>
      </c>
    </row>
    <row r="1490" spans="1:24" x14ac:dyDescent="0.3">
      <c r="A1490" t="s">
        <v>185</v>
      </c>
      <c r="B1490" t="s">
        <v>186</v>
      </c>
      <c r="C1490" t="s">
        <v>69</v>
      </c>
      <c r="D1490" t="s">
        <v>70</v>
      </c>
      <c r="E1490" t="s">
        <v>27</v>
      </c>
      <c r="F1490" s="1" t="s">
        <v>28</v>
      </c>
      <c r="G1490" s="2">
        <v>4.29</v>
      </c>
      <c r="H1490">
        <v>4.29</v>
      </c>
      <c r="I1490">
        <v>4.2944129999999996</v>
      </c>
      <c r="J1490">
        <v>6.03</v>
      </c>
      <c r="K1490">
        <v>45</v>
      </c>
      <c r="L1490" s="2">
        <v>40</v>
      </c>
      <c r="M1490">
        <v>42</v>
      </c>
      <c r="N1490" s="2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716</v>
      </c>
      <c r="U1490" s="2">
        <v>4317.4799999999996</v>
      </c>
      <c r="V1490">
        <v>32</v>
      </c>
      <c r="W1490" t="s">
        <v>59</v>
      </c>
      <c r="X1490" t="str">
        <f>IF(Table2[[#This Row],[Qty available]]&gt;Table2[[#This Row],[Qty on hand]],"Check","OK")</f>
        <v>OK</v>
      </c>
    </row>
    <row r="1491" spans="1:24" x14ac:dyDescent="0.3">
      <c r="A1491" t="s">
        <v>185</v>
      </c>
      <c r="B1491" t="s">
        <v>186</v>
      </c>
      <c r="C1491" t="s">
        <v>69</v>
      </c>
      <c r="D1491" t="s">
        <v>70</v>
      </c>
      <c r="E1491" t="s">
        <v>27</v>
      </c>
      <c r="F1491" s="1" t="s">
        <v>30</v>
      </c>
      <c r="G1491" s="2">
        <v>4.21</v>
      </c>
      <c r="H1491">
        <v>4.21</v>
      </c>
      <c r="I1491">
        <v>4.21</v>
      </c>
      <c r="J1491">
        <v>6.03</v>
      </c>
      <c r="K1491">
        <v>45</v>
      </c>
      <c r="L1491" s="2">
        <v>45</v>
      </c>
      <c r="M1491">
        <v>2334</v>
      </c>
      <c r="N1491" s="2">
        <v>1675</v>
      </c>
      <c r="O1491">
        <v>7051.75</v>
      </c>
      <c r="P1491">
        <v>90</v>
      </c>
      <c r="Q1491">
        <v>1585</v>
      </c>
      <c r="R1491">
        <v>7.5</v>
      </c>
      <c r="S1491">
        <v>0</v>
      </c>
      <c r="T1491">
        <v>659</v>
      </c>
      <c r="U1491" s="2">
        <v>3973.77</v>
      </c>
      <c r="V1491">
        <v>0</v>
      </c>
      <c r="W1491" t="s">
        <v>29</v>
      </c>
      <c r="X1491" t="str">
        <f>IF(Table2[[#This Row],[Qty available]]&gt;Table2[[#This Row],[Qty on hand]],"Check","OK")</f>
        <v>OK</v>
      </c>
    </row>
    <row r="1492" spans="1:24" x14ac:dyDescent="0.3">
      <c r="A1492" t="s">
        <v>185</v>
      </c>
      <c r="B1492" t="s">
        <v>186</v>
      </c>
      <c r="C1492" t="s">
        <v>69</v>
      </c>
      <c r="D1492" t="s">
        <v>70</v>
      </c>
      <c r="E1492" t="s">
        <v>27</v>
      </c>
      <c r="F1492" s="1" t="s">
        <v>31</v>
      </c>
      <c r="G1492" s="2">
        <v>4.3</v>
      </c>
      <c r="H1492">
        <v>4.3</v>
      </c>
      <c r="I1492">
        <v>4.2178930000000001</v>
      </c>
      <c r="J1492">
        <v>6.03</v>
      </c>
      <c r="K1492">
        <v>45</v>
      </c>
      <c r="L1492" s="2">
        <v>43</v>
      </c>
      <c r="M1492">
        <v>161</v>
      </c>
      <c r="N1492" s="2">
        <v>1139</v>
      </c>
      <c r="O1492">
        <v>4804.18</v>
      </c>
      <c r="P1492">
        <v>149</v>
      </c>
      <c r="Q1492">
        <v>990</v>
      </c>
      <c r="R1492">
        <v>7.15</v>
      </c>
      <c r="S1492">
        <v>0</v>
      </c>
      <c r="T1492">
        <v>697</v>
      </c>
      <c r="U1492" s="2">
        <v>4202.91</v>
      </c>
      <c r="V1492">
        <v>0</v>
      </c>
      <c r="W1492" t="s">
        <v>29</v>
      </c>
      <c r="X1492" t="str">
        <f>IF(Table2[[#This Row],[Qty available]]&gt;Table2[[#This Row],[Qty on hand]],"Check","OK")</f>
        <v>OK</v>
      </c>
    </row>
    <row r="1493" spans="1:24" x14ac:dyDescent="0.3">
      <c r="A1493" t="s">
        <v>185</v>
      </c>
      <c r="B1493" t="s">
        <v>186</v>
      </c>
      <c r="C1493" t="s">
        <v>69</v>
      </c>
      <c r="D1493" t="s">
        <v>70</v>
      </c>
      <c r="E1493" t="s">
        <v>27</v>
      </c>
      <c r="F1493" s="1" t="s">
        <v>32</v>
      </c>
      <c r="G1493" s="2">
        <v>4.46</v>
      </c>
      <c r="H1493">
        <v>4.46</v>
      </c>
      <c r="I1493">
        <v>4.3154709999999996</v>
      </c>
      <c r="J1493">
        <v>6.03</v>
      </c>
      <c r="K1493">
        <v>45</v>
      </c>
      <c r="L1493" s="2">
        <v>41</v>
      </c>
      <c r="M1493">
        <v>769</v>
      </c>
      <c r="N1493" s="2">
        <v>1464</v>
      </c>
      <c r="O1493">
        <v>6317.85</v>
      </c>
      <c r="P1493">
        <v>209</v>
      </c>
      <c r="Q1493">
        <v>1255</v>
      </c>
      <c r="R1493">
        <v>10.69</v>
      </c>
      <c r="S1493">
        <v>0</v>
      </c>
      <c r="T1493">
        <v>444</v>
      </c>
      <c r="U1493" s="2">
        <v>2677.32</v>
      </c>
      <c r="V1493">
        <v>0</v>
      </c>
      <c r="W1493" t="s">
        <v>29</v>
      </c>
      <c r="X1493" t="str">
        <f>IF(Table2[[#This Row],[Qty available]]&gt;Table2[[#This Row],[Qty on hand]],"Check","OK")</f>
        <v>OK</v>
      </c>
    </row>
    <row r="1494" spans="1:24" x14ac:dyDescent="0.3">
      <c r="A1494" t="s">
        <v>185</v>
      </c>
      <c r="B1494" t="s">
        <v>186</v>
      </c>
      <c r="C1494" t="s">
        <v>69</v>
      </c>
      <c r="D1494" t="s">
        <v>70</v>
      </c>
      <c r="E1494" t="s">
        <v>27</v>
      </c>
      <c r="F1494" s="1" t="s">
        <v>33</v>
      </c>
      <c r="G1494" s="2">
        <v>4.37</v>
      </c>
      <c r="H1494">
        <v>4.37</v>
      </c>
      <c r="I1494">
        <v>4.3283149999999999</v>
      </c>
      <c r="J1494">
        <v>6.03</v>
      </c>
      <c r="K1494">
        <v>45</v>
      </c>
      <c r="L1494" s="2">
        <v>41</v>
      </c>
      <c r="M1494">
        <v>451</v>
      </c>
      <c r="N1494" s="2">
        <v>801</v>
      </c>
      <c r="O1494">
        <v>3466.98</v>
      </c>
      <c r="P1494">
        <v>299</v>
      </c>
      <c r="Q1494">
        <v>502</v>
      </c>
      <c r="R1494">
        <v>4.67</v>
      </c>
      <c r="S1494">
        <v>0</v>
      </c>
      <c r="T1494">
        <v>1114</v>
      </c>
      <c r="U1494" s="2">
        <v>6717.42</v>
      </c>
      <c r="V1494">
        <v>0</v>
      </c>
      <c r="W1494" t="s">
        <v>29</v>
      </c>
      <c r="X1494" t="str">
        <f>IF(Table2[[#This Row],[Qty available]]&gt;Table2[[#This Row],[Qty on hand]],"Check","OK")</f>
        <v>OK</v>
      </c>
    </row>
    <row r="1495" spans="1:24" x14ac:dyDescent="0.3">
      <c r="A1495" t="s">
        <v>185</v>
      </c>
      <c r="B1495" t="s">
        <v>186</v>
      </c>
      <c r="C1495" t="s">
        <v>69</v>
      </c>
      <c r="D1495" t="s">
        <v>70</v>
      </c>
      <c r="E1495" t="s">
        <v>27</v>
      </c>
      <c r="F1495" s="1" t="s">
        <v>34</v>
      </c>
      <c r="G1495" s="2">
        <v>4.29</v>
      </c>
      <c r="H1495">
        <v>4.29</v>
      </c>
      <c r="I1495">
        <v>4.3097339999999997</v>
      </c>
      <c r="J1495">
        <v>6.24</v>
      </c>
      <c r="K1495">
        <v>45</v>
      </c>
      <c r="L1495" s="2">
        <v>59</v>
      </c>
      <c r="M1495">
        <v>754</v>
      </c>
      <c r="N1495" s="2">
        <v>677</v>
      </c>
      <c r="O1495">
        <v>2917.69</v>
      </c>
      <c r="P1495">
        <v>239</v>
      </c>
      <c r="Q1495">
        <v>438</v>
      </c>
      <c r="R1495">
        <v>3.57</v>
      </c>
      <c r="S1495">
        <v>0</v>
      </c>
      <c r="T1495">
        <v>878</v>
      </c>
      <c r="U1495" s="2">
        <v>5478.72</v>
      </c>
      <c r="V1495">
        <v>0</v>
      </c>
      <c r="W1495" t="s">
        <v>29</v>
      </c>
      <c r="X1495" t="str">
        <f>IF(Table2[[#This Row],[Qty available]]&gt;Table2[[#This Row],[Qty on hand]],"Check","OK")</f>
        <v>OK</v>
      </c>
    </row>
    <row r="1496" spans="1:24" x14ac:dyDescent="0.3">
      <c r="A1496" t="s">
        <v>185</v>
      </c>
      <c r="B1496" t="s">
        <v>186</v>
      </c>
      <c r="C1496" t="s">
        <v>69</v>
      </c>
      <c r="D1496" t="s">
        <v>70</v>
      </c>
      <c r="E1496" t="s">
        <v>27</v>
      </c>
      <c r="F1496" s="1" t="s">
        <v>35</v>
      </c>
      <c r="G1496" s="2">
        <v>4.3600000000000003</v>
      </c>
      <c r="H1496">
        <v>4.3600000000000003</v>
      </c>
      <c r="I1496">
        <v>4.3393699999999997</v>
      </c>
      <c r="J1496">
        <v>6.24</v>
      </c>
      <c r="K1496">
        <v>45</v>
      </c>
      <c r="L1496" s="2">
        <v>43</v>
      </c>
      <c r="M1496">
        <v>973</v>
      </c>
      <c r="N1496" s="2">
        <v>397</v>
      </c>
      <c r="O1496">
        <v>1722.73</v>
      </c>
      <c r="P1496">
        <v>90</v>
      </c>
      <c r="Q1496">
        <v>307</v>
      </c>
      <c r="R1496">
        <v>1.57</v>
      </c>
      <c r="S1496">
        <v>0</v>
      </c>
      <c r="T1496">
        <v>1253</v>
      </c>
      <c r="U1496" s="2">
        <v>7818.72</v>
      </c>
      <c r="V1496">
        <v>0</v>
      </c>
      <c r="W1496" t="s">
        <v>29</v>
      </c>
      <c r="X1496" t="str">
        <f>IF(Table2[[#This Row],[Qty available]]&gt;Table2[[#This Row],[Qty on hand]],"Check","OK")</f>
        <v>OK</v>
      </c>
    </row>
    <row r="1497" spans="1:24" x14ac:dyDescent="0.3">
      <c r="A1497" t="s">
        <v>185</v>
      </c>
      <c r="B1497" t="s">
        <v>186</v>
      </c>
      <c r="C1497" t="s">
        <v>69</v>
      </c>
      <c r="D1497" t="s">
        <v>70</v>
      </c>
      <c r="E1497" t="s">
        <v>27</v>
      </c>
      <c r="F1497" s="1" t="s">
        <v>36</v>
      </c>
      <c r="G1497" s="2">
        <v>4.47</v>
      </c>
      <c r="H1497">
        <v>4.47</v>
      </c>
      <c r="I1497">
        <v>4.4233209999999996</v>
      </c>
      <c r="J1497">
        <v>6.24</v>
      </c>
      <c r="K1497">
        <v>45</v>
      </c>
      <c r="L1497" s="2">
        <v>40</v>
      </c>
      <c r="M1497">
        <v>714</v>
      </c>
      <c r="N1497" s="2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1111</v>
      </c>
      <c r="U1497" s="2">
        <v>6932.64</v>
      </c>
      <c r="V1497">
        <v>96</v>
      </c>
      <c r="W1497" t="s">
        <v>59</v>
      </c>
      <c r="X1497" t="str">
        <f>IF(Table2[[#This Row],[Qty available]]&gt;Table2[[#This Row],[Qty on hand]],"Check","OK")</f>
        <v>OK</v>
      </c>
    </row>
    <row r="1498" spans="1:24" x14ac:dyDescent="0.3">
      <c r="A1498" t="s">
        <v>185</v>
      </c>
      <c r="B1498" t="s">
        <v>186</v>
      </c>
      <c r="C1498" t="s">
        <v>69</v>
      </c>
      <c r="D1498" t="s">
        <v>70</v>
      </c>
      <c r="E1498" t="s">
        <v>27</v>
      </c>
      <c r="F1498" s="1" t="s">
        <v>37</v>
      </c>
      <c r="G1498" s="2">
        <v>4.4000000000000004</v>
      </c>
      <c r="H1498">
        <v>4.4000000000000004</v>
      </c>
      <c r="I1498">
        <v>4.4233209999999996</v>
      </c>
      <c r="J1498">
        <v>6.24</v>
      </c>
      <c r="K1498">
        <v>45</v>
      </c>
      <c r="M1498">
        <v>0</v>
      </c>
      <c r="N1498" s="2">
        <v>0</v>
      </c>
      <c r="O1498">
        <v>0</v>
      </c>
      <c r="P1498">
        <v>0</v>
      </c>
      <c r="Q1498">
        <v>0</v>
      </c>
      <c r="R1498">
        <v>0</v>
      </c>
      <c r="S1498">
        <v>32</v>
      </c>
      <c r="T1498">
        <v>0</v>
      </c>
      <c r="U1498" s="2">
        <v>0</v>
      </c>
      <c r="V1498">
        <v>553</v>
      </c>
      <c r="W1498" t="s">
        <v>59</v>
      </c>
      <c r="X1498" t="str">
        <f>IF(Table2[[#This Row],[Qty available]]&gt;Table2[[#This Row],[Qty on hand]],"Check","OK")</f>
        <v>OK</v>
      </c>
    </row>
    <row r="1499" spans="1:24" x14ac:dyDescent="0.3">
      <c r="A1499" t="s">
        <v>185</v>
      </c>
      <c r="B1499" t="s">
        <v>186</v>
      </c>
      <c r="C1499" t="s">
        <v>69</v>
      </c>
      <c r="D1499" t="s">
        <v>70</v>
      </c>
      <c r="E1499" t="s">
        <v>27</v>
      </c>
      <c r="F1499" s="1" t="s">
        <v>38</v>
      </c>
      <c r="G1499" s="2">
        <v>4.43</v>
      </c>
      <c r="H1499">
        <v>4.43</v>
      </c>
      <c r="I1499">
        <v>4.43</v>
      </c>
      <c r="J1499">
        <v>6.24</v>
      </c>
      <c r="K1499">
        <v>45</v>
      </c>
      <c r="L1499" s="2">
        <v>42</v>
      </c>
      <c r="M1499">
        <v>2540</v>
      </c>
      <c r="N1499" s="2">
        <v>1124</v>
      </c>
      <c r="O1499">
        <v>4979.32</v>
      </c>
      <c r="P1499">
        <v>179</v>
      </c>
      <c r="Q1499">
        <v>945</v>
      </c>
      <c r="R1499">
        <v>5.78</v>
      </c>
      <c r="S1499">
        <v>1</v>
      </c>
      <c r="T1499">
        <v>1416</v>
      </c>
      <c r="U1499" s="2">
        <v>8835.84</v>
      </c>
      <c r="V1499">
        <v>0</v>
      </c>
      <c r="W1499" t="s">
        <v>29</v>
      </c>
      <c r="X1499" t="str">
        <f>IF(Table2[[#This Row],[Qty available]]&gt;Table2[[#This Row],[Qty on hand]],"Check","OK")</f>
        <v>OK</v>
      </c>
    </row>
    <row r="1500" spans="1:24" x14ac:dyDescent="0.3">
      <c r="A1500" t="s">
        <v>185</v>
      </c>
      <c r="B1500" t="s">
        <v>186</v>
      </c>
      <c r="C1500" t="s">
        <v>69</v>
      </c>
      <c r="D1500" t="s">
        <v>70</v>
      </c>
      <c r="E1500" t="s">
        <v>27</v>
      </c>
      <c r="F1500" s="1" t="s">
        <v>39</v>
      </c>
      <c r="G1500" s="2">
        <v>4.3899999999999997</v>
      </c>
      <c r="H1500">
        <v>4.3899999999999997</v>
      </c>
      <c r="I1500">
        <v>4.4223109999999997</v>
      </c>
      <c r="J1500">
        <v>6.24</v>
      </c>
      <c r="K1500">
        <v>45</v>
      </c>
      <c r="L1500" s="2">
        <v>40</v>
      </c>
      <c r="M1500">
        <v>267</v>
      </c>
      <c r="N1500" s="2">
        <v>225</v>
      </c>
      <c r="O1500">
        <v>995.02</v>
      </c>
      <c r="P1500">
        <v>225</v>
      </c>
      <c r="Q1500">
        <v>0</v>
      </c>
      <c r="R1500">
        <v>1.1499999999999999</v>
      </c>
      <c r="S1500">
        <v>0</v>
      </c>
      <c r="T1500">
        <v>1166</v>
      </c>
      <c r="U1500" s="2">
        <v>7275.84</v>
      </c>
      <c r="V1500">
        <v>0</v>
      </c>
      <c r="W1500" t="s">
        <v>29</v>
      </c>
      <c r="X1500" t="str">
        <f>IF(Table2[[#This Row],[Qty available]]&gt;Table2[[#This Row],[Qty on hand]],"Check","OK")</f>
        <v>OK</v>
      </c>
    </row>
    <row r="1501" spans="1:24" x14ac:dyDescent="0.3">
      <c r="A1501" t="s">
        <v>185</v>
      </c>
      <c r="B1501" t="s">
        <v>186</v>
      </c>
      <c r="C1501" t="s">
        <v>69</v>
      </c>
      <c r="D1501" t="s">
        <v>70</v>
      </c>
      <c r="E1501" t="s">
        <v>27</v>
      </c>
      <c r="F1501" s="1" t="s">
        <v>40</v>
      </c>
      <c r="G1501" s="2">
        <v>4.38</v>
      </c>
      <c r="H1501">
        <v>4.38</v>
      </c>
      <c r="I1501">
        <v>4.3880920000000003</v>
      </c>
      <c r="J1501">
        <v>6.24</v>
      </c>
      <c r="K1501">
        <v>45</v>
      </c>
      <c r="L1501" s="2">
        <v>61</v>
      </c>
      <c r="M1501">
        <v>955</v>
      </c>
      <c r="N1501" s="2">
        <v>152</v>
      </c>
      <c r="O1501">
        <v>666.99</v>
      </c>
      <c r="P1501">
        <v>152</v>
      </c>
      <c r="Q1501">
        <v>0</v>
      </c>
      <c r="R1501">
        <v>0.55000000000000004</v>
      </c>
      <c r="S1501">
        <v>1</v>
      </c>
      <c r="T1501">
        <v>1028</v>
      </c>
      <c r="U1501" s="2">
        <v>6414.72</v>
      </c>
      <c r="V1501">
        <v>0</v>
      </c>
      <c r="W1501" t="s">
        <v>29</v>
      </c>
      <c r="X1501" t="str">
        <f>IF(Table2[[#This Row],[Qty available]]&gt;Table2[[#This Row],[Qty on hand]],"Check","OK")</f>
        <v>OK</v>
      </c>
    </row>
    <row r="1502" spans="1:24" x14ac:dyDescent="0.3">
      <c r="A1502" t="s">
        <v>185</v>
      </c>
      <c r="B1502" t="s">
        <v>186</v>
      </c>
      <c r="C1502" t="s">
        <v>69</v>
      </c>
      <c r="D1502" t="s">
        <v>70</v>
      </c>
      <c r="E1502" t="s">
        <v>27</v>
      </c>
      <c r="F1502" s="1" t="s">
        <v>41</v>
      </c>
      <c r="G1502" s="2">
        <v>4.42</v>
      </c>
      <c r="H1502">
        <v>4.42</v>
      </c>
      <c r="I1502">
        <v>4.3880920000000003</v>
      </c>
      <c r="J1502">
        <v>6.24</v>
      </c>
      <c r="K1502">
        <v>45</v>
      </c>
      <c r="M1502">
        <v>0</v>
      </c>
      <c r="N1502" s="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152</v>
      </c>
      <c r="U1502" s="2">
        <v>948.48</v>
      </c>
      <c r="V1502">
        <v>225</v>
      </c>
      <c r="W1502" t="s">
        <v>59</v>
      </c>
      <c r="X1502" t="str">
        <f>IF(Table2[[#This Row],[Qty available]]&gt;Table2[[#This Row],[Qty on hand]],"Check","OK")</f>
        <v>OK</v>
      </c>
    </row>
    <row r="1503" spans="1:24" x14ac:dyDescent="0.3">
      <c r="A1503" t="s">
        <v>185</v>
      </c>
      <c r="B1503" t="s">
        <v>186</v>
      </c>
      <c r="C1503" t="s">
        <v>69</v>
      </c>
      <c r="D1503" t="s">
        <v>70</v>
      </c>
      <c r="E1503" t="s">
        <v>27</v>
      </c>
      <c r="F1503" s="1" t="s">
        <v>42</v>
      </c>
      <c r="G1503" s="2">
        <v>4.46</v>
      </c>
      <c r="H1503">
        <v>4.46</v>
      </c>
      <c r="I1503">
        <v>4.46</v>
      </c>
      <c r="J1503">
        <v>6.24</v>
      </c>
      <c r="K1503">
        <v>45</v>
      </c>
      <c r="L1503" s="2">
        <v>52</v>
      </c>
      <c r="M1503">
        <v>1892</v>
      </c>
      <c r="N1503" s="2">
        <v>999</v>
      </c>
      <c r="O1503">
        <v>4455.54</v>
      </c>
      <c r="P1503">
        <v>179</v>
      </c>
      <c r="Q1503">
        <v>820</v>
      </c>
      <c r="R1503">
        <v>6.33</v>
      </c>
      <c r="S1503">
        <v>0</v>
      </c>
      <c r="T1503">
        <v>893</v>
      </c>
      <c r="U1503" s="2">
        <v>5572.32</v>
      </c>
      <c r="V1503">
        <v>0</v>
      </c>
      <c r="W1503" t="s">
        <v>29</v>
      </c>
      <c r="X1503" t="str">
        <f>IF(Table2[[#This Row],[Qty available]]&gt;Table2[[#This Row],[Qty on hand]],"Check","OK")</f>
        <v>OK</v>
      </c>
    </row>
    <row r="1504" spans="1:24" x14ac:dyDescent="0.3">
      <c r="A1504" t="s">
        <v>185</v>
      </c>
      <c r="B1504" t="s">
        <v>186</v>
      </c>
      <c r="C1504" t="s">
        <v>69</v>
      </c>
      <c r="D1504" t="s">
        <v>70</v>
      </c>
      <c r="E1504" t="s">
        <v>27</v>
      </c>
      <c r="F1504" s="1" t="s">
        <v>43</v>
      </c>
      <c r="G1504" s="2">
        <v>4.4400000000000004</v>
      </c>
      <c r="H1504">
        <v>4.4400000000000004</v>
      </c>
      <c r="I1504">
        <v>4.4514940000000003</v>
      </c>
      <c r="J1504">
        <v>6.24</v>
      </c>
      <c r="K1504">
        <v>45</v>
      </c>
      <c r="L1504" s="2">
        <v>41</v>
      </c>
      <c r="M1504">
        <v>739</v>
      </c>
      <c r="N1504" s="2">
        <v>1091</v>
      </c>
      <c r="O1504">
        <v>4856.58</v>
      </c>
      <c r="P1504">
        <v>90</v>
      </c>
      <c r="Q1504">
        <v>1001</v>
      </c>
      <c r="R1504">
        <v>8.3800000000000008</v>
      </c>
      <c r="S1504">
        <v>0</v>
      </c>
      <c r="T1504">
        <v>647</v>
      </c>
      <c r="U1504" s="2">
        <v>4037.28</v>
      </c>
      <c r="V1504">
        <v>0</v>
      </c>
      <c r="W1504" t="s">
        <v>29</v>
      </c>
      <c r="X1504" t="str">
        <f>IF(Table2[[#This Row],[Qty available]]&gt;Table2[[#This Row],[Qty on hand]],"Check","OK")</f>
        <v>OK</v>
      </c>
    </row>
    <row r="1505" spans="1:24" x14ac:dyDescent="0.3">
      <c r="A1505" t="s">
        <v>185</v>
      </c>
      <c r="B1505" t="s">
        <v>186</v>
      </c>
      <c r="C1505" t="s">
        <v>69</v>
      </c>
      <c r="D1505" t="s">
        <v>70</v>
      </c>
      <c r="E1505" t="s">
        <v>27</v>
      </c>
      <c r="F1505" s="1" t="s">
        <v>44</v>
      </c>
      <c r="G1505" s="2">
        <v>4.53</v>
      </c>
      <c r="H1505">
        <v>4.53</v>
      </c>
      <c r="I1505">
        <v>4.4715920000000002</v>
      </c>
      <c r="J1505">
        <v>6.24</v>
      </c>
      <c r="K1505">
        <v>45</v>
      </c>
      <c r="L1505" s="2">
        <v>45</v>
      </c>
      <c r="M1505">
        <v>376</v>
      </c>
      <c r="N1505" s="2">
        <v>201</v>
      </c>
      <c r="O1505">
        <v>898.79</v>
      </c>
      <c r="P1505">
        <v>149</v>
      </c>
      <c r="Q1505">
        <v>52</v>
      </c>
      <c r="R1505">
        <v>0.94</v>
      </c>
      <c r="S1505">
        <v>3</v>
      </c>
      <c r="T1505">
        <v>1266</v>
      </c>
      <c r="U1505" s="2">
        <v>7899.84</v>
      </c>
      <c r="V1505">
        <v>0</v>
      </c>
      <c r="W1505" t="s">
        <v>29</v>
      </c>
      <c r="X1505" t="str">
        <f>IF(Table2[[#This Row],[Qty available]]&gt;Table2[[#This Row],[Qty on hand]],"Check","OK")</f>
        <v>OK</v>
      </c>
    </row>
    <row r="1506" spans="1:24" x14ac:dyDescent="0.3">
      <c r="A1506" t="s">
        <v>185</v>
      </c>
      <c r="B1506" t="s">
        <v>186</v>
      </c>
      <c r="C1506" t="s">
        <v>69</v>
      </c>
      <c r="D1506" t="s">
        <v>70</v>
      </c>
      <c r="E1506" t="s">
        <v>27</v>
      </c>
      <c r="F1506" s="1" t="s">
        <v>45</v>
      </c>
      <c r="G1506" s="2">
        <v>4.55</v>
      </c>
      <c r="H1506">
        <v>4.55</v>
      </c>
      <c r="I1506">
        <v>4.5437339999999997</v>
      </c>
      <c r="J1506">
        <v>6.24</v>
      </c>
      <c r="K1506">
        <v>45</v>
      </c>
      <c r="L1506" s="2">
        <v>44</v>
      </c>
      <c r="M1506">
        <v>2314</v>
      </c>
      <c r="N1506" s="2">
        <v>1655</v>
      </c>
      <c r="O1506">
        <v>7519.88</v>
      </c>
      <c r="P1506">
        <v>299</v>
      </c>
      <c r="Q1506">
        <v>1356</v>
      </c>
      <c r="R1506">
        <v>7.84</v>
      </c>
      <c r="S1506">
        <v>0</v>
      </c>
      <c r="T1506">
        <v>860</v>
      </c>
      <c r="U1506" s="2">
        <v>5366.4</v>
      </c>
      <c r="V1506">
        <v>0</v>
      </c>
      <c r="W1506" t="s">
        <v>29</v>
      </c>
      <c r="X1506" t="str">
        <f>IF(Table2[[#This Row],[Qty available]]&gt;Table2[[#This Row],[Qty on hand]],"Check","OK")</f>
        <v>OK</v>
      </c>
    </row>
    <row r="1507" spans="1:24" x14ac:dyDescent="0.3">
      <c r="A1507" t="s">
        <v>185</v>
      </c>
      <c r="B1507" t="s">
        <v>186</v>
      </c>
      <c r="C1507" t="s">
        <v>69</v>
      </c>
      <c r="D1507" t="s">
        <v>70</v>
      </c>
      <c r="E1507" t="s">
        <v>27</v>
      </c>
      <c r="F1507" s="1" t="s">
        <v>46</v>
      </c>
      <c r="G1507" s="2">
        <v>4.5</v>
      </c>
      <c r="H1507">
        <v>4.5</v>
      </c>
      <c r="I1507">
        <v>4.5437370000000001</v>
      </c>
      <c r="J1507">
        <v>6.45</v>
      </c>
      <c r="K1507">
        <v>45</v>
      </c>
      <c r="M1507">
        <v>0</v>
      </c>
      <c r="N1507" s="2">
        <v>463</v>
      </c>
      <c r="O1507">
        <v>2103.75</v>
      </c>
      <c r="P1507">
        <v>269</v>
      </c>
      <c r="Q1507">
        <v>194</v>
      </c>
      <c r="R1507">
        <v>1.79</v>
      </c>
      <c r="S1507">
        <v>1</v>
      </c>
      <c r="T1507">
        <v>1192</v>
      </c>
      <c r="U1507" s="2">
        <v>7688.4</v>
      </c>
      <c r="V1507">
        <v>0</v>
      </c>
      <c r="W1507" t="s">
        <v>29</v>
      </c>
      <c r="X1507" t="str">
        <f>IF(Table2[[#This Row],[Qty available]]&gt;Table2[[#This Row],[Qty on hand]],"Check","OK")</f>
        <v>OK</v>
      </c>
    </row>
    <row r="1508" spans="1:24" x14ac:dyDescent="0.3">
      <c r="A1508" t="s">
        <v>185</v>
      </c>
      <c r="B1508" t="s">
        <v>186</v>
      </c>
      <c r="C1508" t="s">
        <v>69</v>
      </c>
      <c r="D1508" t="s">
        <v>70</v>
      </c>
      <c r="E1508" t="s">
        <v>27</v>
      </c>
      <c r="F1508" s="1" t="s">
        <v>47</v>
      </c>
      <c r="G1508" s="2">
        <v>4.4400000000000004</v>
      </c>
      <c r="H1508">
        <v>4.4400000000000004</v>
      </c>
      <c r="I1508">
        <v>4.5031140000000001</v>
      </c>
      <c r="J1508">
        <v>6.45</v>
      </c>
      <c r="K1508">
        <v>45</v>
      </c>
      <c r="L1508" s="2">
        <v>40</v>
      </c>
      <c r="M1508">
        <v>298</v>
      </c>
      <c r="N1508" s="2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761</v>
      </c>
      <c r="U1508" s="2">
        <v>4908.45</v>
      </c>
      <c r="V1508">
        <v>450</v>
      </c>
      <c r="W1508" t="s">
        <v>59</v>
      </c>
      <c r="X1508" t="str">
        <f>IF(Table2[[#This Row],[Qty available]]&gt;Table2[[#This Row],[Qty on hand]],"Check","OK")</f>
        <v>OK</v>
      </c>
    </row>
    <row r="1509" spans="1:24" x14ac:dyDescent="0.3">
      <c r="A1509" t="s">
        <v>185</v>
      </c>
      <c r="B1509" t="s">
        <v>186</v>
      </c>
      <c r="C1509" t="s">
        <v>69</v>
      </c>
      <c r="D1509" t="s">
        <v>70</v>
      </c>
      <c r="E1509" t="s">
        <v>27</v>
      </c>
      <c r="F1509" s="1" t="s">
        <v>48</v>
      </c>
      <c r="G1509" s="2">
        <v>4.41</v>
      </c>
      <c r="H1509">
        <v>4.41</v>
      </c>
      <c r="I1509">
        <v>4.41</v>
      </c>
      <c r="J1509">
        <v>6.45</v>
      </c>
      <c r="K1509">
        <v>45</v>
      </c>
      <c r="L1509" s="2">
        <v>40</v>
      </c>
      <c r="M1509">
        <v>1649</v>
      </c>
      <c r="N1509" s="2">
        <v>931</v>
      </c>
      <c r="O1509">
        <v>4105.71</v>
      </c>
      <c r="P1509">
        <v>299</v>
      </c>
      <c r="Q1509">
        <v>632</v>
      </c>
      <c r="R1509">
        <v>4.43</v>
      </c>
      <c r="S1509">
        <v>5</v>
      </c>
      <c r="T1509">
        <v>718</v>
      </c>
      <c r="U1509" s="2">
        <v>4631.1000000000004</v>
      </c>
      <c r="V1509">
        <v>0</v>
      </c>
      <c r="W1509" t="s">
        <v>29</v>
      </c>
      <c r="X1509" t="str">
        <f>IF(Table2[[#This Row],[Qty available]]&gt;Table2[[#This Row],[Qty on hand]],"Check","OK")</f>
        <v>OK</v>
      </c>
    </row>
    <row r="1510" spans="1:24" x14ac:dyDescent="0.3">
      <c r="A1510" t="s">
        <v>185</v>
      </c>
      <c r="B1510" t="s">
        <v>186</v>
      </c>
      <c r="C1510" t="s">
        <v>69</v>
      </c>
      <c r="D1510" t="s">
        <v>70</v>
      </c>
      <c r="E1510" t="s">
        <v>27</v>
      </c>
      <c r="F1510" s="1" t="s">
        <v>49</v>
      </c>
      <c r="G1510" s="2">
        <v>4.55</v>
      </c>
      <c r="H1510">
        <v>4.55</v>
      </c>
      <c r="I1510">
        <v>4.41</v>
      </c>
      <c r="J1510">
        <v>6.45</v>
      </c>
      <c r="K1510">
        <v>45</v>
      </c>
      <c r="M1510">
        <v>0</v>
      </c>
      <c r="N1510" s="2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931</v>
      </c>
      <c r="U1510" s="2">
        <v>6004.95</v>
      </c>
      <c r="V1510">
        <v>227</v>
      </c>
      <c r="W1510" t="s">
        <v>59</v>
      </c>
      <c r="X1510" t="str">
        <f>IF(Table2[[#This Row],[Qty available]]&gt;Table2[[#This Row],[Qty on hand]],"Check","OK")</f>
        <v>OK</v>
      </c>
    </row>
    <row r="1511" spans="1:24" x14ac:dyDescent="0.3">
      <c r="A1511" t="s">
        <v>185</v>
      </c>
      <c r="B1511" t="s">
        <v>186</v>
      </c>
      <c r="C1511" t="s">
        <v>69</v>
      </c>
      <c r="D1511" t="s">
        <v>70</v>
      </c>
      <c r="E1511" t="s">
        <v>27</v>
      </c>
      <c r="F1511" s="1" t="s">
        <v>50</v>
      </c>
      <c r="G1511" s="2">
        <v>4.55</v>
      </c>
      <c r="H1511">
        <v>4.55</v>
      </c>
      <c r="I1511">
        <v>4.55</v>
      </c>
      <c r="J1511">
        <v>6.45</v>
      </c>
      <c r="K1511">
        <v>45</v>
      </c>
      <c r="L1511" s="2">
        <v>72</v>
      </c>
      <c r="M1511">
        <v>1346</v>
      </c>
      <c r="N1511" s="2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1346</v>
      </c>
      <c r="U1511" s="2">
        <v>8681.7000000000007</v>
      </c>
      <c r="V1511">
        <v>105</v>
      </c>
      <c r="W1511" t="s">
        <v>59</v>
      </c>
      <c r="X1511" t="str">
        <f>IF(Table2[[#This Row],[Qty available]]&gt;Table2[[#This Row],[Qty on hand]],"Check","OK")</f>
        <v>OK</v>
      </c>
    </row>
    <row r="1512" spans="1:24" x14ac:dyDescent="0.3">
      <c r="A1512" t="s">
        <v>185</v>
      </c>
      <c r="B1512" t="s">
        <v>186</v>
      </c>
      <c r="C1512" t="s">
        <v>69</v>
      </c>
      <c r="D1512" t="s">
        <v>70</v>
      </c>
      <c r="E1512" t="s">
        <v>27</v>
      </c>
      <c r="F1512" s="1" t="s">
        <v>51</v>
      </c>
      <c r="G1512" s="2">
        <v>4.49</v>
      </c>
      <c r="H1512">
        <v>4.49</v>
      </c>
      <c r="I1512">
        <v>4.55</v>
      </c>
      <c r="J1512">
        <v>6.45</v>
      </c>
      <c r="K1512">
        <v>45</v>
      </c>
      <c r="M1512">
        <v>0</v>
      </c>
      <c r="N1512" s="2">
        <v>0</v>
      </c>
      <c r="O1512">
        <v>0</v>
      </c>
      <c r="P1512">
        <v>0</v>
      </c>
      <c r="Q1512">
        <v>0</v>
      </c>
      <c r="R1512">
        <v>0</v>
      </c>
      <c r="S1512">
        <v>31</v>
      </c>
      <c r="T1512">
        <v>0</v>
      </c>
      <c r="U1512" s="2">
        <v>0</v>
      </c>
      <c r="V1512">
        <v>748</v>
      </c>
      <c r="W1512" t="s">
        <v>59</v>
      </c>
      <c r="X1512" t="str">
        <f>IF(Table2[[#This Row],[Qty available]]&gt;Table2[[#This Row],[Qty on hand]],"Check","OK")</f>
        <v>OK</v>
      </c>
    </row>
    <row r="1513" spans="1:24" x14ac:dyDescent="0.3">
      <c r="A1513" t="s">
        <v>185</v>
      </c>
      <c r="B1513" t="s">
        <v>186</v>
      </c>
      <c r="C1513" t="s">
        <v>69</v>
      </c>
      <c r="D1513" t="s">
        <v>70</v>
      </c>
      <c r="E1513" t="s">
        <v>27</v>
      </c>
      <c r="F1513" s="1" t="s">
        <v>52</v>
      </c>
      <c r="G1513" s="2">
        <v>4.54</v>
      </c>
      <c r="H1513">
        <v>4.54</v>
      </c>
      <c r="I1513">
        <v>4.54</v>
      </c>
      <c r="J1513">
        <v>6.45</v>
      </c>
      <c r="K1513">
        <v>45</v>
      </c>
      <c r="L1513" s="2">
        <v>39</v>
      </c>
      <c r="M1513">
        <v>3098</v>
      </c>
      <c r="N1513" s="2">
        <v>2878</v>
      </c>
      <c r="O1513">
        <v>13066.12</v>
      </c>
      <c r="P1513">
        <v>149</v>
      </c>
      <c r="Q1513">
        <v>2729</v>
      </c>
      <c r="R1513">
        <v>24.15</v>
      </c>
      <c r="S1513">
        <v>0</v>
      </c>
      <c r="T1513">
        <v>220</v>
      </c>
      <c r="U1513" s="2">
        <v>1419</v>
      </c>
      <c r="V1513">
        <v>0</v>
      </c>
      <c r="W1513" t="s">
        <v>29</v>
      </c>
      <c r="X1513" t="str">
        <f>IF(Table2[[#This Row],[Qty available]]&gt;Table2[[#This Row],[Qty on hand]],"Check","OK")</f>
        <v>OK</v>
      </c>
    </row>
    <row r="1514" spans="1:24" x14ac:dyDescent="0.3">
      <c r="A1514" t="s">
        <v>187</v>
      </c>
      <c r="B1514" t="s">
        <v>188</v>
      </c>
      <c r="C1514" t="s">
        <v>25</v>
      </c>
      <c r="D1514" t="s">
        <v>26</v>
      </c>
      <c r="E1514" t="s">
        <v>66</v>
      </c>
      <c r="F1514" s="1" t="s">
        <v>28</v>
      </c>
      <c r="G1514" s="2">
        <v>63.14</v>
      </c>
      <c r="H1514">
        <v>63.14</v>
      </c>
      <c r="I1514">
        <v>63.263314999999999</v>
      </c>
      <c r="J1514">
        <v>87.37</v>
      </c>
      <c r="K1514">
        <v>21</v>
      </c>
      <c r="L1514" s="2">
        <v>21</v>
      </c>
      <c r="M1514">
        <v>773</v>
      </c>
      <c r="N1514" s="2">
        <v>727</v>
      </c>
      <c r="O1514">
        <v>45992.43</v>
      </c>
      <c r="P1514">
        <v>81</v>
      </c>
      <c r="Q1514">
        <v>646</v>
      </c>
      <c r="R1514">
        <v>7.77</v>
      </c>
      <c r="S1514">
        <v>2</v>
      </c>
      <c r="T1514">
        <v>347</v>
      </c>
      <c r="U1514" s="2">
        <v>30317.39</v>
      </c>
      <c r="V1514">
        <v>0</v>
      </c>
      <c r="W1514" t="s">
        <v>29</v>
      </c>
      <c r="X1514" t="str">
        <f>IF(Table2[[#This Row],[Qty available]]&gt;Table2[[#This Row],[Qty on hand]],"Check","OK")</f>
        <v>OK</v>
      </c>
    </row>
    <row r="1515" spans="1:24" x14ac:dyDescent="0.3">
      <c r="A1515" t="s">
        <v>187</v>
      </c>
      <c r="B1515" t="s">
        <v>188</v>
      </c>
      <c r="C1515" t="s">
        <v>25</v>
      </c>
      <c r="D1515" t="s">
        <v>26</v>
      </c>
      <c r="E1515" t="s">
        <v>66</v>
      </c>
      <c r="F1515" s="1" t="s">
        <v>30</v>
      </c>
      <c r="G1515" s="2">
        <v>62.56</v>
      </c>
      <c r="H1515">
        <v>62.56</v>
      </c>
      <c r="I1515">
        <v>63.263300999999998</v>
      </c>
      <c r="J1515">
        <v>87.37</v>
      </c>
      <c r="K1515">
        <v>21</v>
      </c>
      <c r="M1515">
        <v>0</v>
      </c>
      <c r="N1515" s="2">
        <v>312</v>
      </c>
      <c r="O1515">
        <v>19738.150000000001</v>
      </c>
      <c r="P1515">
        <v>72</v>
      </c>
      <c r="Q1515">
        <v>240</v>
      </c>
      <c r="R1515">
        <v>3.39</v>
      </c>
      <c r="S1515">
        <v>0</v>
      </c>
      <c r="T1515">
        <v>415</v>
      </c>
      <c r="U1515" s="2">
        <v>36258.550000000003</v>
      </c>
      <c r="V1515">
        <v>0</v>
      </c>
      <c r="W1515" t="s">
        <v>29</v>
      </c>
      <c r="X1515" t="str">
        <f>IF(Table2[[#This Row],[Qty available]]&gt;Table2[[#This Row],[Qty on hand]],"Check","OK")</f>
        <v>OK</v>
      </c>
    </row>
    <row r="1516" spans="1:24" x14ac:dyDescent="0.3">
      <c r="A1516" t="s">
        <v>187</v>
      </c>
      <c r="B1516" t="s">
        <v>188</v>
      </c>
      <c r="C1516" t="s">
        <v>25</v>
      </c>
      <c r="D1516" t="s">
        <v>26</v>
      </c>
      <c r="E1516" t="s">
        <v>66</v>
      </c>
      <c r="F1516" s="1" t="s">
        <v>31</v>
      </c>
      <c r="G1516" s="2">
        <v>62.69</v>
      </c>
      <c r="H1516">
        <v>62.69</v>
      </c>
      <c r="I1516">
        <v>62.915844</v>
      </c>
      <c r="J1516">
        <v>87.37</v>
      </c>
      <c r="K1516">
        <v>21</v>
      </c>
      <c r="L1516" s="2">
        <v>25</v>
      </c>
      <c r="M1516">
        <v>480</v>
      </c>
      <c r="N1516" s="2">
        <v>729</v>
      </c>
      <c r="O1516">
        <v>45865.65</v>
      </c>
      <c r="P1516">
        <v>36</v>
      </c>
      <c r="Q1516">
        <v>693</v>
      </c>
      <c r="R1516">
        <v>11.49</v>
      </c>
      <c r="S1516">
        <v>4</v>
      </c>
      <c r="T1516">
        <v>63</v>
      </c>
      <c r="U1516" s="2">
        <v>5504.31</v>
      </c>
      <c r="V1516">
        <v>0</v>
      </c>
      <c r="W1516" t="s">
        <v>29</v>
      </c>
      <c r="X1516" t="str">
        <f>IF(Table2[[#This Row],[Qty available]]&gt;Table2[[#This Row],[Qty on hand]],"Check","OK")</f>
        <v>OK</v>
      </c>
    </row>
    <row r="1517" spans="1:24" x14ac:dyDescent="0.3">
      <c r="A1517" t="s">
        <v>187</v>
      </c>
      <c r="B1517" t="s">
        <v>188</v>
      </c>
      <c r="C1517" t="s">
        <v>25</v>
      </c>
      <c r="D1517" t="s">
        <v>26</v>
      </c>
      <c r="E1517" t="s">
        <v>66</v>
      </c>
      <c r="F1517" s="1" t="s">
        <v>32</v>
      </c>
      <c r="G1517" s="2">
        <v>63.1</v>
      </c>
      <c r="H1517">
        <v>63.1</v>
      </c>
      <c r="I1517">
        <v>62.969794</v>
      </c>
      <c r="J1517">
        <v>87.37</v>
      </c>
      <c r="K1517">
        <v>21</v>
      </c>
      <c r="L1517" s="2">
        <v>19</v>
      </c>
      <c r="M1517">
        <v>302</v>
      </c>
      <c r="N1517" s="2">
        <v>583</v>
      </c>
      <c r="O1517">
        <v>36711.39</v>
      </c>
      <c r="P1517">
        <v>27</v>
      </c>
      <c r="Q1517">
        <v>556</v>
      </c>
      <c r="R1517">
        <v>8.27</v>
      </c>
      <c r="S1517">
        <v>0</v>
      </c>
      <c r="T1517">
        <v>448</v>
      </c>
      <c r="U1517" s="2">
        <v>39141.760000000002</v>
      </c>
      <c r="V1517">
        <v>0</v>
      </c>
      <c r="W1517" t="s">
        <v>29</v>
      </c>
      <c r="X1517" t="str">
        <f>IF(Table2[[#This Row],[Qty available]]&gt;Table2[[#This Row],[Qty on hand]],"Check","OK")</f>
        <v>OK</v>
      </c>
    </row>
    <row r="1518" spans="1:24" x14ac:dyDescent="0.3">
      <c r="A1518" t="s">
        <v>187</v>
      </c>
      <c r="B1518" t="s">
        <v>188</v>
      </c>
      <c r="C1518" t="s">
        <v>25</v>
      </c>
      <c r="D1518" t="s">
        <v>26</v>
      </c>
      <c r="E1518" t="s">
        <v>66</v>
      </c>
      <c r="F1518" s="1" t="s">
        <v>33</v>
      </c>
      <c r="G1518" s="2">
        <v>62.37</v>
      </c>
      <c r="H1518">
        <v>62.37</v>
      </c>
      <c r="I1518">
        <v>62.969808</v>
      </c>
      <c r="J1518">
        <v>87.37</v>
      </c>
      <c r="K1518">
        <v>21</v>
      </c>
      <c r="M1518">
        <v>0</v>
      </c>
      <c r="N1518" s="2">
        <v>312</v>
      </c>
      <c r="O1518">
        <v>19646.580000000002</v>
      </c>
      <c r="P1518">
        <v>54</v>
      </c>
      <c r="Q1518">
        <v>258</v>
      </c>
      <c r="R1518">
        <v>5.24</v>
      </c>
      <c r="S1518">
        <v>1</v>
      </c>
      <c r="T1518">
        <v>271</v>
      </c>
      <c r="U1518" s="2">
        <v>23677.27</v>
      </c>
      <c r="V1518">
        <v>0</v>
      </c>
      <c r="W1518" t="s">
        <v>29</v>
      </c>
      <c r="X1518" t="str">
        <f>IF(Table2[[#This Row],[Qty available]]&gt;Table2[[#This Row],[Qty on hand]],"Check","OK")</f>
        <v>OK</v>
      </c>
    </row>
    <row r="1519" spans="1:24" x14ac:dyDescent="0.3">
      <c r="A1519" t="s">
        <v>187</v>
      </c>
      <c r="B1519" t="s">
        <v>188</v>
      </c>
      <c r="C1519" t="s">
        <v>25</v>
      </c>
      <c r="D1519" t="s">
        <v>26</v>
      </c>
      <c r="E1519" t="s">
        <v>66</v>
      </c>
      <c r="F1519" s="1" t="s">
        <v>34</v>
      </c>
      <c r="G1519" s="2">
        <v>63.67</v>
      </c>
      <c r="H1519">
        <v>63.67</v>
      </c>
      <c r="I1519">
        <v>63.418021000000003</v>
      </c>
      <c r="J1519">
        <v>91.87</v>
      </c>
      <c r="K1519">
        <v>21</v>
      </c>
      <c r="L1519" s="2">
        <v>21</v>
      </c>
      <c r="M1519">
        <v>555</v>
      </c>
      <c r="N1519" s="2">
        <v>677</v>
      </c>
      <c r="O1519">
        <v>42934</v>
      </c>
      <c r="P1519">
        <v>45</v>
      </c>
      <c r="Q1519">
        <v>632</v>
      </c>
      <c r="R1519">
        <v>9.58</v>
      </c>
      <c r="S1519">
        <v>2</v>
      </c>
      <c r="T1519">
        <v>190</v>
      </c>
      <c r="U1519" s="2">
        <v>17455.3</v>
      </c>
      <c r="V1519">
        <v>0</v>
      </c>
      <c r="W1519" t="s">
        <v>29</v>
      </c>
      <c r="X1519" t="str">
        <f>IF(Table2[[#This Row],[Qty available]]&gt;Table2[[#This Row],[Qty on hand]],"Check","OK")</f>
        <v>OK</v>
      </c>
    </row>
    <row r="1520" spans="1:24" x14ac:dyDescent="0.3">
      <c r="A1520" t="s">
        <v>187</v>
      </c>
      <c r="B1520" t="s">
        <v>188</v>
      </c>
      <c r="C1520" t="s">
        <v>25</v>
      </c>
      <c r="D1520" t="s">
        <v>26</v>
      </c>
      <c r="E1520" t="s">
        <v>66</v>
      </c>
      <c r="F1520" s="1" t="s">
        <v>35</v>
      </c>
      <c r="G1520" s="2">
        <v>63.57</v>
      </c>
      <c r="H1520">
        <v>63.57</v>
      </c>
      <c r="I1520">
        <v>63.446626999999999</v>
      </c>
      <c r="J1520">
        <v>91.87</v>
      </c>
      <c r="K1520">
        <v>21</v>
      </c>
      <c r="L1520" s="2">
        <v>20</v>
      </c>
      <c r="M1520">
        <v>157</v>
      </c>
      <c r="N1520" s="2">
        <v>498</v>
      </c>
      <c r="O1520">
        <v>31596.42</v>
      </c>
      <c r="P1520">
        <v>63</v>
      </c>
      <c r="Q1520">
        <v>435</v>
      </c>
      <c r="R1520">
        <v>8.0299999999999994</v>
      </c>
      <c r="S1520">
        <v>1</v>
      </c>
      <c r="T1520">
        <v>336</v>
      </c>
      <c r="U1520" s="2">
        <v>30868.32</v>
      </c>
      <c r="V1520">
        <v>0</v>
      </c>
      <c r="W1520" t="s">
        <v>29</v>
      </c>
      <c r="X1520" t="str">
        <f>IF(Table2[[#This Row],[Qty available]]&gt;Table2[[#This Row],[Qty on hand]],"Check","OK")</f>
        <v>OK</v>
      </c>
    </row>
    <row r="1521" spans="1:24" x14ac:dyDescent="0.3">
      <c r="A1521" t="s">
        <v>187</v>
      </c>
      <c r="B1521" t="s">
        <v>188</v>
      </c>
      <c r="C1521" t="s">
        <v>25</v>
      </c>
      <c r="D1521" t="s">
        <v>26</v>
      </c>
      <c r="E1521" t="s">
        <v>66</v>
      </c>
      <c r="F1521" s="1" t="s">
        <v>36</v>
      </c>
      <c r="G1521" s="2">
        <v>65.47</v>
      </c>
      <c r="H1521">
        <v>65.47</v>
      </c>
      <c r="I1521">
        <v>64.054777000000001</v>
      </c>
      <c r="J1521">
        <v>91.87</v>
      </c>
      <c r="K1521">
        <v>21</v>
      </c>
      <c r="L1521" s="2">
        <v>18</v>
      </c>
      <c r="M1521">
        <v>214</v>
      </c>
      <c r="N1521" s="2">
        <v>561</v>
      </c>
      <c r="O1521">
        <v>35934.730000000003</v>
      </c>
      <c r="P1521">
        <v>81</v>
      </c>
      <c r="Q1521">
        <v>480</v>
      </c>
      <c r="R1521">
        <v>10.54</v>
      </c>
      <c r="S1521">
        <v>1</v>
      </c>
      <c r="T1521">
        <v>151</v>
      </c>
      <c r="U1521" s="2">
        <v>13872.37</v>
      </c>
      <c r="V1521">
        <v>0</v>
      </c>
      <c r="W1521" t="s">
        <v>29</v>
      </c>
      <c r="X1521" t="str">
        <f>IF(Table2[[#This Row],[Qty available]]&gt;Table2[[#This Row],[Qty on hand]],"Check","OK")</f>
        <v>OK</v>
      </c>
    </row>
    <row r="1522" spans="1:24" x14ac:dyDescent="0.3">
      <c r="A1522" t="s">
        <v>187</v>
      </c>
      <c r="B1522" t="s">
        <v>188</v>
      </c>
      <c r="C1522" t="s">
        <v>25</v>
      </c>
      <c r="D1522" t="s">
        <v>26</v>
      </c>
      <c r="E1522" t="s">
        <v>66</v>
      </c>
      <c r="F1522" s="1" t="s">
        <v>37</v>
      </c>
      <c r="G1522" s="2">
        <v>64.55</v>
      </c>
      <c r="H1522">
        <v>64.55</v>
      </c>
      <c r="I1522">
        <v>64.154240999999999</v>
      </c>
      <c r="J1522">
        <v>91.87</v>
      </c>
      <c r="K1522">
        <v>21</v>
      </c>
      <c r="L1522" s="2">
        <v>19</v>
      </c>
      <c r="M1522">
        <v>141</v>
      </c>
      <c r="N1522" s="2">
        <v>474</v>
      </c>
      <c r="O1522">
        <v>30409.11</v>
      </c>
      <c r="P1522">
        <v>45</v>
      </c>
      <c r="Q1522">
        <v>429</v>
      </c>
      <c r="R1522">
        <v>8.7100000000000009</v>
      </c>
      <c r="S1522">
        <v>2</v>
      </c>
      <c r="T1522">
        <v>228</v>
      </c>
      <c r="U1522" s="2">
        <v>20946.36</v>
      </c>
      <c r="V1522">
        <v>0</v>
      </c>
      <c r="W1522" t="s">
        <v>29</v>
      </c>
      <c r="X1522" t="str">
        <f>IF(Table2[[#This Row],[Qty available]]&gt;Table2[[#This Row],[Qty on hand]],"Check","OK")</f>
        <v>OK</v>
      </c>
    </row>
    <row r="1523" spans="1:24" x14ac:dyDescent="0.3">
      <c r="A1523" t="s">
        <v>187</v>
      </c>
      <c r="B1523" t="s">
        <v>188</v>
      </c>
      <c r="C1523" t="s">
        <v>25</v>
      </c>
      <c r="D1523" t="s">
        <v>26</v>
      </c>
      <c r="E1523" t="s">
        <v>66</v>
      </c>
      <c r="F1523" s="1" t="s">
        <v>38</v>
      </c>
      <c r="G1523" s="2">
        <v>64.709999999999994</v>
      </c>
      <c r="H1523">
        <v>64.709999999999994</v>
      </c>
      <c r="I1523">
        <v>64.368333000000007</v>
      </c>
      <c r="J1523">
        <v>91.87</v>
      </c>
      <c r="K1523">
        <v>21</v>
      </c>
      <c r="L1523" s="2">
        <v>24</v>
      </c>
      <c r="M1523">
        <v>297</v>
      </c>
      <c r="N1523" s="2">
        <v>378</v>
      </c>
      <c r="O1523">
        <v>24331.23</v>
      </c>
      <c r="P1523">
        <v>36</v>
      </c>
      <c r="Q1523">
        <v>342</v>
      </c>
      <c r="R1523">
        <v>6.37</v>
      </c>
      <c r="S1523">
        <v>0</v>
      </c>
      <c r="T1523">
        <v>393</v>
      </c>
      <c r="U1523" s="2">
        <v>36104.910000000003</v>
      </c>
      <c r="V1523">
        <v>0</v>
      </c>
      <c r="W1523" t="s">
        <v>29</v>
      </c>
      <c r="X1523" t="str">
        <f>IF(Table2[[#This Row],[Qty available]]&gt;Table2[[#This Row],[Qty on hand]],"Check","OK")</f>
        <v>OK</v>
      </c>
    </row>
    <row r="1524" spans="1:24" x14ac:dyDescent="0.3">
      <c r="A1524" t="s">
        <v>187</v>
      </c>
      <c r="B1524" t="s">
        <v>188</v>
      </c>
      <c r="C1524" t="s">
        <v>25</v>
      </c>
      <c r="D1524" t="s">
        <v>26</v>
      </c>
      <c r="E1524" t="s">
        <v>66</v>
      </c>
      <c r="F1524" s="1" t="s">
        <v>39</v>
      </c>
      <c r="G1524" s="2">
        <v>64.59</v>
      </c>
      <c r="H1524">
        <v>64.59</v>
      </c>
      <c r="I1524">
        <v>64.472970000000004</v>
      </c>
      <c r="J1524">
        <v>91.87</v>
      </c>
      <c r="K1524">
        <v>21</v>
      </c>
      <c r="L1524" s="2">
        <v>20</v>
      </c>
      <c r="M1524">
        <v>338</v>
      </c>
      <c r="N1524" s="2">
        <v>505</v>
      </c>
      <c r="O1524">
        <v>32558.85</v>
      </c>
      <c r="P1524">
        <v>63</v>
      </c>
      <c r="Q1524">
        <v>442</v>
      </c>
      <c r="R1524">
        <v>7.98</v>
      </c>
      <c r="S1524">
        <v>1</v>
      </c>
      <c r="T1524">
        <v>211</v>
      </c>
      <c r="U1524" s="2">
        <v>19384.57</v>
      </c>
      <c r="V1524">
        <v>0</v>
      </c>
      <c r="W1524" t="s">
        <v>29</v>
      </c>
      <c r="X1524" t="str">
        <f>IF(Table2[[#This Row],[Qty available]]&gt;Table2[[#This Row],[Qty on hand]],"Check","OK")</f>
        <v>OK</v>
      </c>
    </row>
    <row r="1525" spans="1:24" x14ac:dyDescent="0.3">
      <c r="A1525" t="s">
        <v>187</v>
      </c>
      <c r="B1525" t="s">
        <v>188</v>
      </c>
      <c r="C1525" t="s">
        <v>25</v>
      </c>
      <c r="D1525" t="s">
        <v>26</v>
      </c>
      <c r="E1525" t="s">
        <v>66</v>
      </c>
      <c r="F1525" s="1" t="s">
        <v>40</v>
      </c>
      <c r="G1525" s="2">
        <v>64.39</v>
      </c>
      <c r="H1525">
        <v>64.39</v>
      </c>
      <c r="I1525">
        <v>64.446014000000005</v>
      </c>
      <c r="J1525">
        <v>91.87</v>
      </c>
      <c r="K1525">
        <v>21</v>
      </c>
      <c r="L1525" s="2">
        <v>18</v>
      </c>
      <c r="M1525">
        <v>243</v>
      </c>
      <c r="N1525" s="2">
        <v>414</v>
      </c>
      <c r="O1525">
        <v>26680.65</v>
      </c>
      <c r="P1525">
        <v>81</v>
      </c>
      <c r="Q1525">
        <v>333</v>
      </c>
      <c r="R1525">
        <v>5.8</v>
      </c>
      <c r="S1525">
        <v>1</v>
      </c>
      <c r="T1525">
        <v>334</v>
      </c>
      <c r="U1525" s="2">
        <v>30684.58</v>
      </c>
      <c r="V1525">
        <v>0</v>
      </c>
      <c r="W1525" t="s">
        <v>29</v>
      </c>
      <c r="X1525" t="str">
        <f>IF(Table2[[#This Row],[Qty available]]&gt;Table2[[#This Row],[Qty on hand]],"Check","OK")</f>
        <v>OK</v>
      </c>
    </row>
    <row r="1526" spans="1:24" x14ac:dyDescent="0.3">
      <c r="A1526" t="s">
        <v>187</v>
      </c>
      <c r="B1526" t="s">
        <v>188</v>
      </c>
      <c r="C1526" t="s">
        <v>25</v>
      </c>
      <c r="D1526" t="s">
        <v>26</v>
      </c>
      <c r="E1526" t="s">
        <v>66</v>
      </c>
      <c r="F1526" s="1" t="s">
        <v>41</v>
      </c>
      <c r="G1526" s="2">
        <v>64.45</v>
      </c>
      <c r="H1526">
        <v>64.45</v>
      </c>
      <c r="I1526">
        <v>64.448605000000001</v>
      </c>
      <c r="J1526">
        <v>91.87</v>
      </c>
      <c r="K1526">
        <v>21</v>
      </c>
      <c r="L1526" s="2">
        <v>19</v>
      </c>
      <c r="M1526">
        <v>768</v>
      </c>
      <c r="N1526" s="2">
        <v>939</v>
      </c>
      <c r="O1526">
        <v>60517.24</v>
      </c>
      <c r="P1526">
        <v>81</v>
      </c>
      <c r="Q1526">
        <v>858</v>
      </c>
      <c r="R1526">
        <v>15.66</v>
      </c>
      <c r="S1526">
        <v>0</v>
      </c>
      <c r="T1526">
        <v>243</v>
      </c>
      <c r="U1526" s="2">
        <v>22324.41</v>
      </c>
      <c r="V1526">
        <v>0</v>
      </c>
      <c r="W1526" t="s">
        <v>29</v>
      </c>
      <c r="X1526" t="str">
        <f>IF(Table2[[#This Row],[Qty available]]&gt;Table2[[#This Row],[Qty on hand]],"Check","OK")</f>
        <v>OK</v>
      </c>
    </row>
    <row r="1527" spans="1:24" x14ac:dyDescent="0.3">
      <c r="A1527" t="s">
        <v>187</v>
      </c>
      <c r="B1527" t="s">
        <v>188</v>
      </c>
      <c r="C1527" t="s">
        <v>25</v>
      </c>
      <c r="D1527" t="s">
        <v>26</v>
      </c>
      <c r="E1527" t="s">
        <v>66</v>
      </c>
      <c r="F1527" s="1" t="s">
        <v>42</v>
      </c>
      <c r="G1527" s="2">
        <v>64.61</v>
      </c>
      <c r="H1527">
        <v>64.61</v>
      </c>
      <c r="I1527">
        <v>64.448599999999999</v>
      </c>
      <c r="J1527">
        <v>91.87</v>
      </c>
      <c r="K1527">
        <v>21</v>
      </c>
      <c r="M1527">
        <v>0</v>
      </c>
      <c r="N1527" s="2">
        <v>557</v>
      </c>
      <c r="O1527">
        <v>35897.870000000003</v>
      </c>
      <c r="P1527">
        <v>54</v>
      </c>
      <c r="Q1527">
        <v>503</v>
      </c>
      <c r="R1527">
        <v>7.63</v>
      </c>
      <c r="S1527">
        <v>1</v>
      </c>
      <c r="T1527">
        <v>382</v>
      </c>
      <c r="U1527" s="2">
        <v>35094.339999999997</v>
      </c>
      <c r="V1527">
        <v>0</v>
      </c>
      <c r="W1527" t="s">
        <v>29</v>
      </c>
      <c r="X1527" t="str">
        <f>IF(Table2[[#This Row],[Qty available]]&gt;Table2[[#This Row],[Qty on hand]],"Check","OK")</f>
        <v>OK</v>
      </c>
    </row>
    <row r="1528" spans="1:24" x14ac:dyDescent="0.3">
      <c r="A1528" t="s">
        <v>187</v>
      </c>
      <c r="B1528" t="s">
        <v>188</v>
      </c>
      <c r="C1528" t="s">
        <v>25</v>
      </c>
      <c r="D1528" t="s">
        <v>26</v>
      </c>
      <c r="E1528" t="s">
        <v>66</v>
      </c>
      <c r="F1528" s="1" t="s">
        <v>43</v>
      </c>
      <c r="G1528" s="2">
        <v>63.97</v>
      </c>
      <c r="H1528">
        <v>63.97</v>
      </c>
      <c r="I1528">
        <v>64.352470999999994</v>
      </c>
      <c r="J1528">
        <v>91.87</v>
      </c>
      <c r="K1528">
        <v>21</v>
      </c>
      <c r="L1528" s="2">
        <v>29</v>
      </c>
      <c r="M1528">
        <v>140</v>
      </c>
      <c r="N1528" s="2">
        <v>429</v>
      </c>
      <c r="O1528">
        <v>27607.21</v>
      </c>
      <c r="P1528">
        <v>45</v>
      </c>
      <c r="Q1528">
        <v>384</v>
      </c>
      <c r="R1528">
        <v>6.25</v>
      </c>
      <c r="S1528">
        <v>1</v>
      </c>
      <c r="T1528">
        <v>268</v>
      </c>
      <c r="U1528" s="2">
        <v>24621.16</v>
      </c>
      <c r="V1528">
        <v>0</v>
      </c>
      <c r="W1528" t="s">
        <v>29</v>
      </c>
      <c r="X1528" t="str">
        <f>IF(Table2[[#This Row],[Qty available]]&gt;Table2[[#This Row],[Qty on hand]],"Check","OK")</f>
        <v>OK</v>
      </c>
    </row>
    <row r="1529" spans="1:24" x14ac:dyDescent="0.3">
      <c r="A1529" t="s">
        <v>187</v>
      </c>
      <c r="B1529" t="s">
        <v>188</v>
      </c>
      <c r="C1529" t="s">
        <v>25</v>
      </c>
      <c r="D1529" t="s">
        <v>26</v>
      </c>
      <c r="E1529" t="s">
        <v>66</v>
      </c>
      <c r="F1529" s="1" t="s">
        <v>44</v>
      </c>
      <c r="G1529" s="2">
        <v>65.27</v>
      </c>
      <c r="H1529">
        <v>65.27</v>
      </c>
      <c r="I1529">
        <v>64.664435999999995</v>
      </c>
      <c r="J1529">
        <v>91.87</v>
      </c>
      <c r="K1529">
        <v>21</v>
      </c>
      <c r="L1529" s="2">
        <v>19</v>
      </c>
      <c r="M1529">
        <v>221</v>
      </c>
      <c r="N1529" s="2">
        <v>647</v>
      </c>
      <c r="O1529">
        <v>41837.89</v>
      </c>
      <c r="P1529">
        <v>36</v>
      </c>
      <c r="Q1529">
        <v>611</v>
      </c>
      <c r="R1529">
        <v>13.02</v>
      </c>
      <c r="S1529">
        <v>14</v>
      </c>
      <c r="T1529">
        <v>3</v>
      </c>
      <c r="U1529" s="2">
        <v>275.61</v>
      </c>
      <c r="V1529">
        <v>0</v>
      </c>
      <c r="W1529" t="s">
        <v>29</v>
      </c>
      <c r="X1529" t="str">
        <f>IF(Table2[[#This Row],[Qty available]]&gt;Table2[[#This Row],[Qty on hand]],"Check","OK")</f>
        <v>OK</v>
      </c>
    </row>
    <row r="1530" spans="1:24" x14ac:dyDescent="0.3">
      <c r="A1530" t="s">
        <v>187</v>
      </c>
      <c r="B1530" t="s">
        <v>188</v>
      </c>
      <c r="C1530" t="s">
        <v>25</v>
      </c>
      <c r="D1530" t="s">
        <v>26</v>
      </c>
      <c r="E1530" t="s">
        <v>66</v>
      </c>
      <c r="F1530" s="1" t="s">
        <v>45</v>
      </c>
      <c r="G1530" s="2">
        <v>65.41</v>
      </c>
      <c r="H1530">
        <v>65.41</v>
      </c>
      <c r="I1530">
        <v>64.818844999999996</v>
      </c>
      <c r="J1530">
        <v>91.87</v>
      </c>
      <c r="K1530">
        <v>21</v>
      </c>
      <c r="L1530" s="2">
        <v>21</v>
      </c>
      <c r="M1530">
        <v>169</v>
      </c>
      <c r="N1530" s="2">
        <v>476</v>
      </c>
      <c r="O1530">
        <v>30853.77</v>
      </c>
      <c r="P1530">
        <v>90</v>
      </c>
      <c r="Q1530">
        <v>386</v>
      </c>
      <c r="R1530">
        <v>10.24</v>
      </c>
      <c r="S1530">
        <v>2</v>
      </c>
      <c r="T1530">
        <v>340</v>
      </c>
      <c r="U1530" s="2">
        <v>31235.8</v>
      </c>
      <c r="V1530">
        <v>0</v>
      </c>
      <c r="W1530" t="s">
        <v>29</v>
      </c>
      <c r="X1530" t="str">
        <f>IF(Table2[[#This Row],[Qty available]]&gt;Table2[[#This Row],[Qty on hand]],"Check","OK")</f>
        <v>OK</v>
      </c>
    </row>
    <row r="1531" spans="1:24" x14ac:dyDescent="0.3">
      <c r="A1531" t="s">
        <v>187</v>
      </c>
      <c r="B1531" t="s">
        <v>188</v>
      </c>
      <c r="C1531" t="s">
        <v>25</v>
      </c>
      <c r="D1531" t="s">
        <v>26</v>
      </c>
      <c r="E1531" t="s">
        <v>66</v>
      </c>
      <c r="F1531" s="1" t="s">
        <v>46</v>
      </c>
      <c r="G1531" s="2">
        <v>65.540000000000006</v>
      </c>
      <c r="H1531">
        <v>65.540000000000006</v>
      </c>
      <c r="I1531">
        <v>65.231029000000007</v>
      </c>
      <c r="J1531">
        <v>96.6</v>
      </c>
      <c r="K1531">
        <v>21</v>
      </c>
      <c r="L1531" s="2">
        <v>28</v>
      </c>
      <c r="M1531">
        <v>635</v>
      </c>
      <c r="N1531" s="2">
        <v>826</v>
      </c>
      <c r="O1531">
        <v>53880.83</v>
      </c>
      <c r="P1531">
        <v>81</v>
      </c>
      <c r="Q1531">
        <v>745</v>
      </c>
      <c r="R1531">
        <v>16.91</v>
      </c>
      <c r="S1531">
        <v>0</v>
      </c>
      <c r="T1531">
        <v>285</v>
      </c>
      <c r="U1531" s="2">
        <v>27531</v>
      </c>
      <c r="V1531">
        <v>0</v>
      </c>
      <c r="W1531" t="s">
        <v>29</v>
      </c>
      <c r="X1531" t="str">
        <f>IF(Table2[[#This Row],[Qty available]]&gt;Table2[[#This Row],[Qty on hand]],"Check","OK")</f>
        <v>OK</v>
      </c>
    </row>
    <row r="1532" spans="1:24" x14ac:dyDescent="0.3">
      <c r="A1532" t="s">
        <v>187</v>
      </c>
      <c r="B1532" t="s">
        <v>188</v>
      </c>
      <c r="C1532" t="s">
        <v>25</v>
      </c>
      <c r="D1532" t="s">
        <v>26</v>
      </c>
      <c r="E1532" t="s">
        <v>66</v>
      </c>
      <c r="F1532" s="1" t="s">
        <v>47</v>
      </c>
      <c r="G1532" s="2">
        <v>63.17</v>
      </c>
      <c r="H1532">
        <v>63.17</v>
      </c>
      <c r="I1532">
        <v>64.965796999999995</v>
      </c>
      <c r="J1532">
        <v>96.6</v>
      </c>
      <c r="K1532">
        <v>21</v>
      </c>
      <c r="L1532" s="2">
        <v>26</v>
      </c>
      <c r="M1532">
        <v>122</v>
      </c>
      <c r="N1532" s="2">
        <v>671</v>
      </c>
      <c r="O1532">
        <v>43592.05</v>
      </c>
      <c r="P1532">
        <v>18</v>
      </c>
      <c r="Q1532">
        <v>653</v>
      </c>
      <c r="R1532">
        <v>9.56</v>
      </c>
      <c r="S1532">
        <v>0</v>
      </c>
      <c r="T1532">
        <v>277</v>
      </c>
      <c r="U1532" s="2">
        <v>26758.2</v>
      </c>
      <c r="V1532">
        <v>0</v>
      </c>
      <c r="W1532" t="s">
        <v>29</v>
      </c>
      <c r="X1532" t="str">
        <f>IF(Table2[[#This Row],[Qty available]]&gt;Table2[[#This Row],[Qty on hand]],"Check","OK")</f>
        <v>OK</v>
      </c>
    </row>
    <row r="1533" spans="1:24" x14ac:dyDescent="0.3">
      <c r="A1533" t="s">
        <v>187</v>
      </c>
      <c r="B1533" t="s">
        <v>188</v>
      </c>
      <c r="C1533" t="s">
        <v>25</v>
      </c>
      <c r="D1533" t="s">
        <v>26</v>
      </c>
      <c r="E1533" t="s">
        <v>66</v>
      </c>
      <c r="F1533" s="1" t="s">
        <v>48</v>
      </c>
      <c r="G1533" s="2">
        <v>66.81</v>
      </c>
      <c r="H1533">
        <v>66.81</v>
      </c>
      <c r="I1533">
        <v>65.605078000000006</v>
      </c>
      <c r="J1533">
        <v>96.6</v>
      </c>
      <c r="K1533">
        <v>21</v>
      </c>
      <c r="L1533" s="2">
        <v>18</v>
      </c>
      <c r="M1533">
        <v>356</v>
      </c>
      <c r="N1533" s="2">
        <v>644</v>
      </c>
      <c r="O1533">
        <v>42249.67</v>
      </c>
      <c r="P1533">
        <v>36</v>
      </c>
      <c r="Q1533">
        <v>608</v>
      </c>
      <c r="R1533">
        <v>8.66</v>
      </c>
      <c r="S1533">
        <v>0</v>
      </c>
      <c r="T1533">
        <v>383</v>
      </c>
      <c r="U1533" s="2">
        <v>36997.800000000003</v>
      </c>
      <c r="V1533">
        <v>0</v>
      </c>
      <c r="W1533" t="s">
        <v>29</v>
      </c>
      <c r="X1533" t="str">
        <f>IF(Table2[[#This Row],[Qty available]]&gt;Table2[[#This Row],[Qty on hand]],"Check","OK")</f>
        <v>OK</v>
      </c>
    </row>
    <row r="1534" spans="1:24" x14ac:dyDescent="0.3">
      <c r="A1534" t="s">
        <v>187</v>
      </c>
      <c r="B1534" t="s">
        <v>188</v>
      </c>
      <c r="C1534" t="s">
        <v>25</v>
      </c>
      <c r="D1534" t="s">
        <v>26</v>
      </c>
      <c r="E1534" t="s">
        <v>66</v>
      </c>
      <c r="F1534" s="1" t="s">
        <v>49</v>
      </c>
      <c r="G1534" s="2">
        <v>65.709999999999994</v>
      </c>
      <c r="H1534">
        <v>65.709999999999994</v>
      </c>
      <c r="I1534">
        <v>65.638875999999996</v>
      </c>
      <c r="J1534">
        <v>96.6</v>
      </c>
      <c r="K1534">
        <v>21</v>
      </c>
      <c r="L1534" s="2">
        <v>20</v>
      </c>
      <c r="M1534">
        <v>306</v>
      </c>
      <c r="N1534" s="2">
        <v>614</v>
      </c>
      <c r="O1534">
        <v>40302.269999999997</v>
      </c>
      <c r="P1534">
        <v>90</v>
      </c>
      <c r="Q1534">
        <v>524</v>
      </c>
      <c r="R1534">
        <v>8.1</v>
      </c>
      <c r="S1534">
        <v>0</v>
      </c>
      <c r="T1534">
        <v>336</v>
      </c>
      <c r="U1534" s="2">
        <v>32457.599999999999</v>
      </c>
      <c r="V1534">
        <v>0</v>
      </c>
      <c r="W1534" t="s">
        <v>29</v>
      </c>
      <c r="X1534" t="str">
        <f>IF(Table2[[#This Row],[Qty available]]&gt;Table2[[#This Row],[Qty on hand]],"Check","OK")</f>
        <v>OK</v>
      </c>
    </row>
    <row r="1535" spans="1:24" x14ac:dyDescent="0.3">
      <c r="A1535" t="s">
        <v>187</v>
      </c>
      <c r="B1535" t="s">
        <v>188</v>
      </c>
      <c r="C1535" t="s">
        <v>25</v>
      </c>
      <c r="D1535" t="s">
        <v>26</v>
      </c>
      <c r="E1535" t="s">
        <v>66</v>
      </c>
      <c r="F1535" s="1" t="s">
        <v>50</v>
      </c>
      <c r="G1535" s="2">
        <v>66.38</v>
      </c>
      <c r="H1535">
        <v>66.38</v>
      </c>
      <c r="I1535">
        <v>65.715680000000006</v>
      </c>
      <c r="J1535">
        <v>96.6</v>
      </c>
      <c r="K1535">
        <v>21</v>
      </c>
      <c r="L1535" s="2">
        <v>27</v>
      </c>
      <c r="M1535">
        <v>71</v>
      </c>
      <c r="N1535" s="2">
        <v>294</v>
      </c>
      <c r="O1535">
        <v>19320.41</v>
      </c>
      <c r="P1535">
        <v>45</v>
      </c>
      <c r="Q1535">
        <v>249</v>
      </c>
      <c r="R1535">
        <v>3.44</v>
      </c>
      <c r="S1535">
        <v>2</v>
      </c>
      <c r="T1535">
        <v>391</v>
      </c>
      <c r="U1535" s="2">
        <v>37770.6</v>
      </c>
      <c r="V1535">
        <v>0</v>
      </c>
      <c r="W1535" t="s">
        <v>29</v>
      </c>
      <c r="X1535" t="str">
        <f>IF(Table2[[#This Row],[Qty available]]&gt;Table2[[#This Row],[Qty on hand]],"Check","OK")</f>
        <v>OK</v>
      </c>
    </row>
    <row r="1536" spans="1:24" x14ac:dyDescent="0.3">
      <c r="A1536" t="s">
        <v>187</v>
      </c>
      <c r="B1536" t="s">
        <v>188</v>
      </c>
      <c r="C1536" t="s">
        <v>25</v>
      </c>
      <c r="D1536" t="s">
        <v>26</v>
      </c>
      <c r="E1536" t="s">
        <v>66</v>
      </c>
      <c r="F1536" s="1" t="s">
        <v>51</v>
      </c>
      <c r="G1536" s="2">
        <v>67.010000000000005</v>
      </c>
      <c r="H1536">
        <v>67.010000000000005</v>
      </c>
      <c r="I1536">
        <v>65.715744999999998</v>
      </c>
      <c r="J1536">
        <v>96.6</v>
      </c>
      <c r="K1536">
        <v>21</v>
      </c>
      <c r="M1536">
        <v>0</v>
      </c>
      <c r="N1536" s="2">
        <v>47</v>
      </c>
      <c r="O1536">
        <v>3088.64</v>
      </c>
      <c r="P1536">
        <v>45</v>
      </c>
      <c r="Q1536">
        <v>2</v>
      </c>
      <c r="R1536">
        <v>0.63</v>
      </c>
      <c r="S1536">
        <v>1</v>
      </c>
      <c r="T1536">
        <v>247</v>
      </c>
      <c r="U1536" s="2">
        <v>23860.2</v>
      </c>
      <c r="V1536">
        <v>0</v>
      </c>
      <c r="W1536" t="s">
        <v>29</v>
      </c>
      <c r="X1536" t="str">
        <f>IF(Table2[[#This Row],[Qty available]]&gt;Table2[[#This Row],[Qty on hand]],"Check","OK")</f>
        <v>OK</v>
      </c>
    </row>
    <row r="1537" spans="1:24" x14ac:dyDescent="0.3">
      <c r="A1537" t="s">
        <v>187</v>
      </c>
      <c r="B1537" t="s">
        <v>188</v>
      </c>
      <c r="C1537" t="s">
        <v>25</v>
      </c>
      <c r="D1537" t="s">
        <v>26</v>
      </c>
      <c r="E1537" t="s">
        <v>66</v>
      </c>
      <c r="F1537" s="1" t="s">
        <v>52</v>
      </c>
      <c r="G1537" s="2">
        <v>67.27</v>
      </c>
      <c r="H1537">
        <v>67.27</v>
      </c>
      <c r="I1537">
        <v>67.163045999999994</v>
      </c>
      <c r="J1537">
        <v>96.6</v>
      </c>
      <c r="K1537">
        <v>21</v>
      </c>
      <c r="L1537" s="2">
        <v>33</v>
      </c>
      <c r="M1537">
        <v>636</v>
      </c>
      <c r="N1537" s="2">
        <v>476</v>
      </c>
      <c r="O1537">
        <v>31969.61</v>
      </c>
      <c r="P1537">
        <v>54</v>
      </c>
      <c r="Q1537">
        <v>422</v>
      </c>
      <c r="R1537">
        <v>7.4</v>
      </c>
      <c r="S1537">
        <v>1</v>
      </c>
      <c r="T1537">
        <v>207</v>
      </c>
      <c r="U1537" s="2">
        <v>19996.2</v>
      </c>
      <c r="V1537">
        <v>0</v>
      </c>
      <c r="W1537" t="s">
        <v>29</v>
      </c>
      <c r="X1537" t="str">
        <f>IF(Table2[[#This Row],[Qty available]]&gt;Table2[[#This Row],[Qty on hand]],"Check","OK")</f>
        <v>OK</v>
      </c>
    </row>
    <row r="1538" spans="1:24" x14ac:dyDescent="0.3">
      <c r="A1538" t="s">
        <v>189</v>
      </c>
      <c r="B1538" t="s">
        <v>190</v>
      </c>
      <c r="C1538" t="s">
        <v>91</v>
      </c>
      <c r="D1538" t="s">
        <v>92</v>
      </c>
      <c r="E1538" t="s">
        <v>66</v>
      </c>
      <c r="F1538" s="1" t="s">
        <v>28</v>
      </c>
      <c r="G1538" s="2">
        <v>31.19</v>
      </c>
      <c r="H1538">
        <v>31.19</v>
      </c>
      <c r="I1538">
        <v>31.344000000000001</v>
      </c>
      <c r="J1538">
        <v>44.64</v>
      </c>
      <c r="K1538">
        <v>23</v>
      </c>
      <c r="L1538" s="2">
        <v>22</v>
      </c>
      <c r="M1538">
        <v>97</v>
      </c>
      <c r="N1538" s="2">
        <v>110</v>
      </c>
      <c r="O1538">
        <v>3447.84</v>
      </c>
      <c r="P1538">
        <v>13</v>
      </c>
      <c r="Q1538">
        <v>97</v>
      </c>
      <c r="R1538">
        <v>5.18</v>
      </c>
      <c r="S1538">
        <v>0</v>
      </c>
      <c r="T1538">
        <v>115</v>
      </c>
      <c r="U1538" s="2">
        <v>5133.6000000000004</v>
      </c>
      <c r="V1538">
        <v>0</v>
      </c>
      <c r="W1538" t="s">
        <v>29</v>
      </c>
      <c r="X1538" t="str">
        <f>IF(Table2[[#This Row],[Qty available]]&gt;Table2[[#This Row],[Qty on hand]],"Check","OK")</f>
        <v>OK</v>
      </c>
    </row>
    <row r="1539" spans="1:24" x14ac:dyDescent="0.3">
      <c r="A1539" t="s">
        <v>189</v>
      </c>
      <c r="B1539" t="s">
        <v>190</v>
      </c>
      <c r="C1539" t="s">
        <v>91</v>
      </c>
      <c r="D1539" t="s">
        <v>92</v>
      </c>
      <c r="E1539" t="s">
        <v>66</v>
      </c>
      <c r="F1539" s="1" t="s">
        <v>30</v>
      </c>
      <c r="G1539" s="2">
        <v>33.39</v>
      </c>
      <c r="H1539">
        <v>33.39</v>
      </c>
      <c r="I1539">
        <v>32.627093000000002</v>
      </c>
      <c r="J1539">
        <v>44.64</v>
      </c>
      <c r="K1539">
        <v>23</v>
      </c>
      <c r="L1539" s="2">
        <v>20</v>
      </c>
      <c r="M1539">
        <v>185</v>
      </c>
      <c r="N1539" s="2">
        <v>258</v>
      </c>
      <c r="O1539">
        <v>8417.7900000000009</v>
      </c>
      <c r="P1539">
        <v>4</v>
      </c>
      <c r="Q1539">
        <v>254</v>
      </c>
      <c r="R1539">
        <v>12.51</v>
      </c>
      <c r="S1539">
        <v>0</v>
      </c>
      <c r="T1539">
        <v>37</v>
      </c>
      <c r="U1539" s="2">
        <v>1651.68</v>
      </c>
      <c r="V1539">
        <v>0</v>
      </c>
      <c r="W1539" t="s">
        <v>29</v>
      </c>
      <c r="X1539" t="str">
        <f>IF(Table2[[#This Row],[Qty available]]&gt;Table2[[#This Row],[Qty on hand]],"Check","OK")</f>
        <v>OK</v>
      </c>
    </row>
    <row r="1540" spans="1:24" x14ac:dyDescent="0.3">
      <c r="A1540" t="s">
        <v>189</v>
      </c>
      <c r="B1540" t="s">
        <v>190</v>
      </c>
      <c r="C1540" t="s">
        <v>91</v>
      </c>
      <c r="D1540" t="s">
        <v>92</v>
      </c>
      <c r="E1540" t="s">
        <v>66</v>
      </c>
      <c r="F1540" s="1" t="s">
        <v>31</v>
      </c>
      <c r="G1540" s="2">
        <v>33.6</v>
      </c>
      <c r="H1540">
        <v>33.6</v>
      </c>
      <c r="I1540">
        <v>32.716144999999997</v>
      </c>
      <c r="J1540">
        <v>44.64</v>
      </c>
      <c r="K1540">
        <v>23</v>
      </c>
      <c r="L1540" s="2">
        <v>21</v>
      </c>
      <c r="M1540">
        <v>26</v>
      </c>
      <c r="N1540" s="2">
        <v>179</v>
      </c>
      <c r="O1540">
        <v>5856.19</v>
      </c>
      <c r="P1540">
        <v>13</v>
      </c>
      <c r="Q1540">
        <v>166</v>
      </c>
      <c r="R1540">
        <v>9.0500000000000007</v>
      </c>
      <c r="S1540">
        <v>1</v>
      </c>
      <c r="T1540">
        <v>105</v>
      </c>
      <c r="U1540" s="2">
        <v>4687.2</v>
      </c>
      <c r="V1540">
        <v>0</v>
      </c>
      <c r="W1540" t="s">
        <v>29</v>
      </c>
      <c r="X1540" t="str">
        <f>IF(Table2[[#This Row],[Qty available]]&gt;Table2[[#This Row],[Qty on hand]],"Check","OK")</f>
        <v>OK</v>
      </c>
    </row>
    <row r="1541" spans="1:24" x14ac:dyDescent="0.3">
      <c r="A1541" t="s">
        <v>189</v>
      </c>
      <c r="B1541" t="s">
        <v>190</v>
      </c>
      <c r="C1541" t="s">
        <v>91</v>
      </c>
      <c r="D1541" t="s">
        <v>92</v>
      </c>
      <c r="E1541" t="s">
        <v>66</v>
      </c>
      <c r="F1541" s="1" t="s">
        <v>32</v>
      </c>
      <c r="G1541" s="2">
        <v>33.119999999999997</v>
      </c>
      <c r="H1541">
        <v>33.119999999999997</v>
      </c>
      <c r="I1541">
        <v>32.834293000000002</v>
      </c>
      <c r="J1541">
        <v>44.64</v>
      </c>
      <c r="K1541">
        <v>23</v>
      </c>
      <c r="L1541" s="2">
        <v>29</v>
      </c>
      <c r="M1541">
        <v>74</v>
      </c>
      <c r="N1541" s="2">
        <v>191</v>
      </c>
      <c r="O1541">
        <v>6271.35</v>
      </c>
      <c r="P1541">
        <v>19</v>
      </c>
      <c r="Q1541">
        <v>172</v>
      </c>
      <c r="R1541">
        <v>12.31</v>
      </c>
      <c r="S1541">
        <v>1</v>
      </c>
      <c r="T1541">
        <v>62</v>
      </c>
      <c r="U1541" s="2">
        <v>2767.68</v>
      </c>
      <c r="V1541">
        <v>0</v>
      </c>
      <c r="W1541" t="s">
        <v>29</v>
      </c>
      <c r="X1541" t="str">
        <f>IF(Table2[[#This Row],[Qty available]]&gt;Table2[[#This Row],[Qty on hand]],"Check","OK")</f>
        <v>OK</v>
      </c>
    </row>
    <row r="1542" spans="1:24" x14ac:dyDescent="0.3">
      <c r="A1542" t="s">
        <v>189</v>
      </c>
      <c r="B1542" t="s">
        <v>190</v>
      </c>
      <c r="C1542" t="s">
        <v>91</v>
      </c>
      <c r="D1542" t="s">
        <v>92</v>
      </c>
      <c r="E1542" t="s">
        <v>66</v>
      </c>
      <c r="F1542" s="1" t="s">
        <v>33</v>
      </c>
      <c r="G1542" s="2">
        <v>33.020000000000003</v>
      </c>
      <c r="H1542">
        <v>33.020000000000003</v>
      </c>
      <c r="I1542">
        <v>32.883059000000003</v>
      </c>
      <c r="J1542">
        <v>44.64</v>
      </c>
      <c r="K1542">
        <v>23</v>
      </c>
      <c r="L1542" s="2">
        <v>21</v>
      </c>
      <c r="M1542">
        <v>68</v>
      </c>
      <c r="N1542" s="2">
        <v>219</v>
      </c>
      <c r="O1542">
        <v>7201.39</v>
      </c>
      <c r="P1542">
        <v>19</v>
      </c>
      <c r="Q1542">
        <v>200</v>
      </c>
      <c r="R1542">
        <v>13.9</v>
      </c>
      <c r="S1542">
        <v>2</v>
      </c>
      <c r="T1542">
        <v>40</v>
      </c>
      <c r="U1542" s="2">
        <v>1785.6</v>
      </c>
      <c r="V1542">
        <v>0</v>
      </c>
      <c r="W1542" t="s">
        <v>29</v>
      </c>
      <c r="X1542" t="str">
        <f>IF(Table2[[#This Row],[Qty available]]&gt;Table2[[#This Row],[Qty on hand]],"Check","OK")</f>
        <v>OK</v>
      </c>
    </row>
    <row r="1543" spans="1:24" x14ac:dyDescent="0.3">
      <c r="A1543" t="s">
        <v>189</v>
      </c>
      <c r="B1543" t="s">
        <v>190</v>
      </c>
      <c r="C1543" t="s">
        <v>91</v>
      </c>
      <c r="D1543" t="s">
        <v>92</v>
      </c>
      <c r="E1543" t="s">
        <v>66</v>
      </c>
      <c r="F1543" s="1" t="s">
        <v>34</v>
      </c>
      <c r="G1543" s="2">
        <v>32.770000000000003</v>
      </c>
      <c r="H1543">
        <v>32.770000000000003</v>
      </c>
      <c r="I1543">
        <v>32.860042</v>
      </c>
      <c r="J1543">
        <v>45.82</v>
      </c>
      <c r="K1543">
        <v>23</v>
      </c>
      <c r="L1543" s="2">
        <v>20</v>
      </c>
      <c r="M1543">
        <v>56</v>
      </c>
      <c r="N1543" s="2">
        <v>236</v>
      </c>
      <c r="O1543">
        <v>7754.97</v>
      </c>
      <c r="P1543">
        <v>13</v>
      </c>
      <c r="Q1543">
        <v>223</v>
      </c>
      <c r="R1543">
        <v>21.52</v>
      </c>
      <c r="S1543">
        <v>2</v>
      </c>
      <c r="T1543">
        <v>39</v>
      </c>
      <c r="U1543" s="2">
        <v>1786.98</v>
      </c>
      <c r="V1543">
        <v>0</v>
      </c>
      <c r="W1543" t="s">
        <v>29</v>
      </c>
      <c r="X1543" t="str">
        <f>IF(Table2[[#This Row],[Qty available]]&gt;Table2[[#This Row],[Qty on hand]],"Check","OK")</f>
        <v>OK</v>
      </c>
    </row>
    <row r="1544" spans="1:24" x14ac:dyDescent="0.3">
      <c r="A1544" t="s">
        <v>189</v>
      </c>
      <c r="B1544" t="s">
        <v>190</v>
      </c>
      <c r="C1544" t="s">
        <v>91</v>
      </c>
      <c r="D1544" t="s">
        <v>92</v>
      </c>
      <c r="E1544" t="s">
        <v>66</v>
      </c>
      <c r="F1544" s="1" t="s">
        <v>35</v>
      </c>
      <c r="G1544" s="2">
        <v>33.4</v>
      </c>
      <c r="H1544">
        <v>33.4</v>
      </c>
      <c r="I1544">
        <v>32.900298999999997</v>
      </c>
      <c r="J1544">
        <v>45.82</v>
      </c>
      <c r="K1544">
        <v>23</v>
      </c>
      <c r="L1544" s="2">
        <v>22</v>
      </c>
      <c r="M1544">
        <v>19</v>
      </c>
      <c r="N1544" s="2">
        <v>167</v>
      </c>
      <c r="O1544">
        <v>5494.35</v>
      </c>
      <c r="P1544">
        <v>17</v>
      </c>
      <c r="Q1544">
        <v>150</v>
      </c>
      <c r="R1544">
        <v>12.86</v>
      </c>
      <c r="S1544">
        <v>2</v>
      </c>
      <c r="T1544">
        <v>88</v>
      </c>
      <c r="U1544" s="2">
        <v>4032.16</v>
      </c>
      <c r="V1544">
        <v>0</v>
      </c>
      <c r="W1544" t="s">
        <v>29</v>
      </c>
      <c r="X1544" t="str">
        <f>IF(Table2[[#This Row],[Qty available]]&gt;Table2[[#This Row],[Qty on hand]],"Check","OK")</f>
        <v>OK</v>
      </c>
    </row>
    <row r="1545" spans="1:24" x14ac:dyDescent="0.3">
      <c r="A1545" t="s">
        <v>189</v>
      </c>
      <c r="B1545" t="s">
        <v>190</v>
      </c>
      <c r="C1545" t="s">
        <v>91</v>
      </c>
      <c r="D1545" t="s">
        <v>92</v>
      </c>
      <c r="E1545" t="s">
        <v>66</v>
      </c>
      <c r="F1545" s="1" t="s">
        <v>36</v>
      </c>
      <c r="G1545" s="2">
        <v>32.4</v>
      </c>
      <c r="H1545">
        <v>32.4</v>
      </c>
      <c r="I1545">
        <v>32.709463999999997</v>
      </c>
      <c r="J1545">
        <v>45.82</v>
      </c>
      <c r="K1545">
        <v>23</v>
      </c>
      <c r="L1545" s="2">
        <v>21</v>
      </c>
      <c r="M1545">
        <v>103</v>
      </c>
      <c r="N1545" s="2">
        <v>224</v>
      </c>
      <c r="O1545">
        <v>7326.92</v>
      </c>
      <c r="P1545">
        <v>15</v>
      </c>
      <c r="Q1545">
        <v>209</v>
      </c>
      <c r="R1545">
        <v>16.46</v>
      </c>
      <c r="S1545">
        <v>4</v>
      </c>
      <c r="T1545">
        <v>46</v>
      </c>
      <c r="U1545" s="2">
        <v>2107.7199999999998</v>
      </c>
      <c r="V1545">
        <v>0</v>
      </c>
      <c r="W1545" t="s">
        <v>29</v>
      </c>
      <c r="X1545" t="str">
        <f>IF(Table2[[#This Row],[Qty available]]&gt;Table2[[#This Row],[Qty on hand]],"Check","OK")</f>
        <v>OK</v>
      </c>
    </row>
    <row r="1546" spans="1:24" x14ac:dyDescent="0.3">
      <c r="A1546" t="s">
        <v>189</v>
      </c>
      <c r="B1546" t="s">
        <v>190</v>
      </c>
      <c r="C1546" t="s">
        <v>91</v>
      </c>
      <c r="D1546" t="s">
        <v>92</v>
      </c>
      <c r="E1546" t="s">
        <v>66</v>
      </c>
      <c r="F1546" s="1" t="s">
        <v>37</v>
      </c>
      <c r="G1546" s="2">
        <v>33.18</v>
      </c>
      <c r="H1546">
        <v>33.18</v>
      </c>
      <c r="I1546">
        <v>32.838897000000003</v>
      </c>
      <c r="J1546">
        <v>45.82</v>
      </c>
      <c r="K1546">
        <v>23</v>
      </c>
      <c r="L1546" s="2">
        <v>21</v>
      </c>
      <c r="M1546">
        <v>85</v>
      </c>
      <c r="N1546" s="2">
        <v>263</v>
      </c>
      <c r="O1546">
        <v>8636.6299999999992</v>
      </c>
      <c r="P1546">
        <v>8</v>
      </c>
      <c r="Q1546">
        <v>255</v>
      </c>
      <c r="R1546">
        <v>19.2</v>
      </c>
      <c r="S1546">
        <v>0</v>
      </c>
      <c r="T1546">
        <v>46</v>
      </c>
      <c r="U1546" s="2">
        <v>2107.7199999999998</v>
      </c>
      <c r="V1546">
        <v>0</v>
      </c>
      <c r="W1546" t="s">
        <v>29</v>
      </c>
      <c r="X1546" t="str">
        <f>IF(Table2[[#This Row],[Qty available]]&gt;Table2[[#This Row],[Qty on hand]],"Check","OK")</f>
        <v>OK</v>
      </c>
    </row>
    <row r="1547" spans="1:24" x14ac:dyDescent="0.3">
      <c r="A1547" t="s">
        <v>189</v>
      </c>
      <c r="B1547" t="s">
        <v>190</v>
      </c>
      <c r="C1547" t="s">
        <v>91</v>
      </c>
      <c r="D1547" t="s">
        <v>92</v>
      </c>
      <c r="E1547" t="s">
        <v>66</v>
      </c>
      <c r="F1547" s="1" t="s">
        <v>38</v>
      </c>
      <c r="G1547" s="2">
        <v>32.79</v>
      </c>
      <c r="H1547">
        <v>32.79</v>
      </c>
      <c r="I1547">
        <v>32.835912999999998</v>
      </c>
      <c r="J1547">
        <v>45.82</v>
      </c>
      <c r="K1547">
        <v>23</v>
      </c>
      <c r="L1547" s="2">
        <v>22</v>
      </c>
      <c r="M1547">
        <v>17</v>
      </c>
      <c r="N1547" s="2">
        <v>252</v>
      </c>
      <c r="O1547">
        <v>8274.65</v>
      </c>
      <c r="P1547">
        <v>6</v>
      </c>
      <c r="Q1547">
        <v>246</v>
      </c>
      <c r="R1547">
        <v>27.3</v>
      </c>
      <c r="S1547">
        <v>17</v>
      </c>
      <c r="T1547">
        <v>28</v>
      </c>
      <c r="U1547" s="2">
        <v>1282.96</v>
      </c>
      <c r="V1547">
        <v>0</v>
      </c>
      <c r="W1547" t="s">
        <v>29</v>
      </c>
      <c r="X1547" t="str">
        <f>IF(Table2[[#This Row],[Qty available]]&gt;Table2[[#This Row],[Qty on hand]],"Check","OK")</f>
        <v>OK</v>
      </c>
    </row>
    <row r="1548" spans="1:24" x14ac:dyDescent="0.3">
      <c r="A1548" t="s">
        <v>189</v>
      </c>
      <c r="B1548" t="s">
        <v>190</v>
      </c>
      <c r="C1548" t="s">
        <v>91</v>
      </c>
      <c r="D1548" t="s">
        <v>92</v>
      </c>
      <c r="E1548" t="s">
        <v>66</v>
      </c>
      <c r="F1548" s="1" t="s">
        <v>39</v>
      </c>
      <c r="G1548" s="2">
        <v>32.520000000000003</v>
      </c>
      <c r="H1548">
        <v>32.520000000000003</v>
      </c>
      <c r="I1548">
        <v>32.835917000000002</v>
      </c>
      <c r="J1548">
        <v>45.82</v>
      </c>
      <c r="K1548">
        <v>23</v>
      </c>
      <c r="M1548">
        <v>0</v>
      </c>
      <c r="N1548" s="2">
        <v>218</v>
      </c>
      <c r="O1548">
        <v>7158.23</v>
      </c>
      <c r="P1548">
        <v>15</v>
      </c>
      <c r="Q1548">
        <v>203</v>
      </c>
      <c r="R1548">
        <v>26.53</v>
      </c>
      <c r="S1548">
        <v>3</v>
      </c>
      <c r="T1548">
        <v>34</v>
      </c>
      <c r="U1548" s="2">
        <v>1557.88</v>
      </c>
      <c r="V1548">
        <v>0</v>
      </c>
      <c r="W1548" t="s">
        <v>29</v>
      </c>
      <c r="X1548" t="str">
        <f>IF(Table2[[#This Row],[Qty available]]&gt;Table2[[#This Row],[Qty on hand]],"Check","OK")</f>
        <v>OK</v>
      </c>
    </row>
    <row r="1549" spans="1:24" x14ac:dyDescent="0.3">
      <c r="A1549" t="s">
        <v>189</v>
      </c>
      <c r="B1549" t="s">
        <v>190</v>
      </c>
      <c r="C1549" t="s">
        <v>91</v>
      </c>
      <c r="D1549" t="s">
        <v>92</v>
      </c>
      <c r="E1549" t="s">
        <v>66</v>
      </c>
      <c r="F1549" s="1" t="s">
        <v>40</v>
      </c>
      <c r="G1549" s="2">
        <v>32.67</v>
      </c>
      <c r="H1549">
        <v>32.67</v>
      </c>
      <c r="I1549">
        <v>32.777323000000003</v>
      </c>
      <c r="J1549">
        <v>45.82</v>
      </c>
      <c r="K1549">
        <v>23</v>
      </c>
      <c r="L1549" s="2">
        <v>29</v>
      </c>
      <c r="M1549">
        <v>119</v>
      </c>
      <c r="N1549" s="2">
        <v>310</v>
      </c>
      <c r="O1549">
        <v>10160.969999999999</v>
      </c>
      <c r="P1549">
        <v>21</v>
      </c>
      <c r="Q1549">
        <v>289</v>
      </c>
      <c r="R1549">
        <v>45.78</v>
      </c>
      <c r="S1549">
        <v>0</v>
      </c>
      <c r="T1549">
        <v>27</v>
      </c>
      <c r="U1549" s="2">
        <v>1237.1400000000001</v>
      </c>
      <c r="V1549">
        <v>0</v>
      </c>
      <c r="W1549" t="s">
        <v>29</v>
      </c>
      <c r="X1549" t="str">
        <f>IF(Table2[[#This Row],[Qty available]]&gt;Table2[[#This Row],[Qty on hand]],"Check","OK")</f>
        <v>OK</v>
      </c>
    </row>
    <row r="1550" spans="1:24" x14ac:dyDescent="0.3">
      <c r="A1550" t="s">
        <v>189</v>
      </c>
      <c r="B1550" t="s">
        <v>190</v>
      </c>
      <c r="C1550" t="s">
        <v>91</v>
      </c>
      <c r="D1550" t="s">
        <v>92</v>
      </c>
      <c r="E1550" t="s">
        <v>66</v>
      </c>
      <c r="F1550" s="1" t="s">
        <v>41</v>
      </c>
      <c r="G1550" s="2">
        <v>32.950000000000003</v>
      </c>
      <c r="H1550">
        <v>32.950000000000003</v>
      </c>
      <c r="I1550">
        <v>32.792082999999998</v>
      </c>
      <c r="J1550">
        <v>45.82</v>
      </c>
      <c r="K1550">
        <v>23</v>
      </c>
      <c r="L1550" s="2">
        <v>23</v>
      </c>
      <c r="M1550">
        <v>29</v>
      </c>
      <c r="N1550" s="2">
        <v>288</v>
      </c>
      <c r="O1550">
        <v>9444.1200000000008</v>
      </c>
      <c r="P1550">
        <v>8</v>
      </c>
      <c r="Q1550">
        <v>280</v>
      </c>
      <c r="R1550">
        <v>33.799999999999997</v>
      </c>
      <c r="S1550">
        <v>0</v>
      </c>
      <c r="T1550">
        <v>51</v>
      </c>
      <c r="U1550" s="2">
        <v>2336.8200000000002</v>
      </c>
      <c r="V1550">
        <v>0</v>
      </c>
      <c r="W1550" t="s">
        <v>29</v>
      </c>
      <c r="X1550" t="str">
        <f>IF(Table2[[#This Row],[Qty available]]&gt;Table2[[#This Row],[Qty on hand]],"Check","OK")</f>
        <v>OK</v>
      </c>
    </row>
    <row r="1551" spans="1:24" x14ac:dyDescent="0.3">
      <c r="A1551" t="s">
        <v>189</v>
      </c>
      <c r="B1551" t="s">
        <v>190</v>
      </c>
      <c r="C1551" t="s">
        <v>91</v>
      </c>
      <c r="D1551" t="s">
        <v>92</v>
      </c>
      <c r="E1551" t="s">
        <v>66</v>
      </c>
      <c r="F1551" s="1" t="s">
        <v>42</v>
      </c>
      <c r="G1551" s="2">
        <v>34.83</v>
      </c>
      <c r="H1551">
        <v>34.83</v>
      </c>
      <c r="I1551">
        <v>32.833652999999998</v>
      </c>
      <c r="J1551">
        <v>45.82</v>
      </c>
      <c r="K1551">
        <v>23</v>
      </c>
      <c r="L1551" s="2">
        <v>20</v>
      </c>
      <c r="M1551">
        <v>6</v>
      </c>
      <c r="N1551" s="2">
        <v>167</v>
      </c>
      <c r="O1551">
        <v>5483.22</v>
      </c>
      <c r="P1551">
        <v>21</v>
      </c>
      <c r="Q1551">
        <v>146</v>
      </c>
      <c r="R1551">
        <v>10.71</v>
      </c>
      <c r="S1551">
        <v>2</v>
      </c>
      <c r="T1551">
        <v>127</v>
      </c>
      <c r="U1551" s="2">
        <v>5819.14</v>
      </c>
      <c r="V1551">
        <v>0</v>
      </c>
      <c r="W1551" t="s">
        <v>29</v>
      </c>
      <c r="X1551" t="str">
        <f>IF(Table2[[#This Row],[Qty available]]&gt;Table2[[#This Row],[Qty on hand]],"Check","OK")</f>
        <v>OK</v>
      </c>
    </row>
    <row r="1552" spans="1:24" x14ac:dyDescent="0.3">
      <c r="A1552" t="s">
        <v>189</v>
      </c>
      <c r="B1552" t="s">
        <v>190</v>
      </c>
      <c r="C1552" t="s">
        <v>91</v>
      </c>
      <c r="D1552" t="s">
        <v>92</v>
      </c>
      <c r="E1552" t="s">
        <v>66</v>
      </c>
      <c r="F1552" s="1" t="s">
        <v>43</v>
      </c>
      <c r="G1552" s="2">
        <v>34.53</v>
      </c>
      <c r="H1552">
        <v>34.53</v>
      </c>
      <c r="I1552">
        <v>33.344662999999997</v>
      </c>
      <c r="J1552">
        <v>45.82</v>
      </c>
      <c r="K1552">
        <v>23</v>
      </c>
      <c r="L1552" s="2">
        <v>22</v>
      </c>
      <c r="M1552">
        <v>72</v>
      </c>
      <c r="N1552" s="2">
        <v>178</v>
      </c>
      <c r="O1552">
        <v>5935.35</v>
      </c>
      <c r="P1552">
        <v>13</v>
      </c>
      <c r="Q1552">
        <v>165</v>
      </c>
      <c r="R1552">
        <v>9.68</v>
      </c>
      <c r="S1552">
        <v>7</v>
      </c>
      <c r="T1552">
        <v>61</v>
      </c>
      <c r="U1552" s="2">
        <v>2795.02</v>
      </c>
      <c r="V1552">
        <v>0</v>
      </c>
      <c r="W1552" t="s">
        <v>29</v>
      </c>
      <c r="X1552" t="str">
        <f>IF(Table2[[#This Row],[Qty available]]&gt;Table2[[#This Row],[Qty on hand]],"Check","OK")</f>
        <v>OK</v>
      </c>
    </row>
    <row r="1553" spans="1:24" x14ac:dyDescent="0.3">
      <c r="A1553" t="s">
        <v>189</v>
      </c>
      <c r="B1553" t="s">
        <v>190</v>
      </c>
      <c r="C1553" t="s">
        <v>91</v>
      </c>
      <c r="D1553" t="s">
        <v>92</v>
      </c>
      <c r="E1553" t="s">
        <v>66</v>
      </c>
      <c r="F1553" s="1" t="s">
        <v>44</v>
      </c>
      <c r="G1553" s="2">
        <v>34.54</v>
      </c>
      <c r="H1553">
        <v>34.54</v>
      </c>
      <c r="I1553">
        <v>33.715286999999996</v>
      </c>
      <c r="J1553">
        <v>45.82</v>
      </c>
      <c r="K1553">
        <v>23</v>
      </c>
      <c r="L1553" s="2">
        <v>26</v>
      </c>
      <c r="M1553">
        <v>80</v>
      </c>
      <c r="N1553" s="2">
        <v>157</v>
      </c>
      <c r="O1553">
        <v>5293.3</v>
      </c>
      <c r="P1553">
        <v>15</v>
      </c>
      <c r="Q1553">
        <v>142</v>
      </c>
      <c r="R1553">
        <v>7.14</v>
      </c>
      <c r="S1553">
        <v>10</v>
      </c>
      <c r="T1553">
        <v>101</v>
      </c>
      <c r="U1553" s="2">
        <v>4627.82</v>
      </c>
      <c r="V1553">
        <v>0</v>
      </c>
      <c r="W1553" t="s">
        <v>29</v>
      </c>
      <c r="X1553" t="str">
        <f>IF(Table2[[#This Row],[Qty available]]&gt;Table2[[#This Row],[Qty on hand]],"Check","OK")</f>
        <v>OK</v>
      </c>
    </row>
    <row r="1554" spans="1:24" x14ac:dyDescent="0.3">
      <c r="A1554" t="s">
        <v>189</v>
      </c>
      <c r="B1554" t="s">
        <v>190</v>
      </c>
      <c r="C1554" t="s">
        <v>91</v>
      </c>
      <c r="D1554" t="s">
        <v>92</v>
      </c>
      <c r="E1554" t="s">
        <v>66</v>
      </c>
      <c r="F1554" s="1" t="s">
        <v>45</v>
      </c>
      <c r="G1554" s="2">
        <v>34.79</v>
      </c>
      <c r="H1554">
        <v>34.79</v>
      </c>
      <c r="I1554">
        <v>34.197974000000002</v>
      </c>
      <c r="J1554">
        <v>45.82</v>
      </c>
      <c r="K1554">
        <v>23</v>
      </c>
      <c r="L1554" s="2">
        <v>20</v>
      </c>
      <c r="M1554">
        <v>128</v>
      </c>
      <c r="N1554" s="2">
        <v>232</v>
      </c>
      <c r="O1554">
        <v>7933.93</v>
      </c>
      <c r="P1554">
        <v>13</v>
      </c>
      <c r="Q1554">
        <v>219</v>
      </c>
      <c r="R1554">
        <v>14.18</v>
      </c>
      <c r="S1554">
        <v>1</v>
      </c>
      <c r="T1554">
        <v>53</v>
      </c>
      <c r="U1554" s="2">
        <v>2428.46</v>
      </c>
      <c r="V1554">
        <v>0</v>
      </c>
      <c r="W1554" t="s">
        <v>29</v>
      </c>
      <c r="X1554" t="str">
        <f>IF(Table2[[#This Row],[Qty available]]&gt;Table2[[#This Row],[Qty on hand]],"Check","OK")</f>
        <v>OK</v>
      </c>
    </row>
    <row r="1555" spans="1:24" x14ac:dyDescent="0.3">
      <c r="A1555" t="s">
        <v>189</v>
      </c>
      <c r="B1555" t="s">
        <v>190</v>
      </c>
      <c r="C1555" t="s">
        <v>91</v>
      </c>
      <c r="D1555" t="s">
        <v>92</v>
      </c>
      <c r="E1555" t="s">
        <v>66</v>
      </c>
      <c r="F1555" s="1" t="s">
        <v>46</v>
      </c>
      <c r="G1555" s="2">
        <v>35.01</v>
      </c>
      <c r="H1555">
        <v>35.01</v>
      </c>
      <c r="I1555">
        <v>34.197977999999999</v>
      </c>
      <c r="J1555">
        <v>47.03</v>
      </c>
      <c r="K1555">
        <v>23</v>
      </c>
      <c r="M1555">
        <v>0</v>
      </c>
      <c r="N1555" s="2">
        <v>178</v>
      </c>
      <c r="O1555">
        <v>6087.24</v>
      </c>
      <c r="P1555">
        <v>19</v>
      </c>
      <c r="Q1555">
        <v>159</v>
      </c>
      <c r="R1555">
        <v>11</v>
      </c>
      <c r="S1555">
        <v>0</v>
      </c>
      <c r="T1555">
        <v>54</v>
      </c>
      <c r="U1555" s="2">
        <v>2539.62</v>
      </c>
      <c r="V1555">
        <v>0</v>
      </c>
      <c r="W1555" t="s">
        <v>29</v>
      </c>
      <c r="X1555" t="str">
        <f>IF(Table2[[#This Row],[Qty available]]&gt;Table2[[#This Row],[Qty on hand]],"Check","OK")</f>
        <v>OK</v>
      </c>
    </row>
    <row r="1556" spans="1:24" x14ac:dyDescent="0.3">
      <c r="A1556" t="s">
        <v>189</v>
      </c>
      <c r="B1556" t="s">
        <v>190</v>
      </c>
      <c r="C1556" t="s">
        <v>91</v>
      </c>
      <c r="D1556" t="s">
        <v>92</v>
      </c>
      <c r="E1556" t="s">
        <v>66</v>
      </c>
      <c r="F1556" s="1" t="s">
        <v>47</v>
      </c>
      <c r="G1556" s="2">
        <v>34.39</v>
      </c>
      <c r="H1556">
        <v>34.39</v>
      </c>
      <c r="I1556">
        <v>34.270499999999998</v>
      </c>
      <c r="J1556">
        <v>47.03</v>
      </c>
      <c r="K1556">
        <v>23</v>
      </c>
      <c r="L1556" s="2">
        <v>34</v>
      </c>
      <c r="M1556">
        <v>108</v>
      </c>
      <c r="N1556" s="2">
        <v>200</v>
      </c>
      <c r="O1556">
        <v>6854.1</v>
      </c>
      <c r="P1556">
        <v>19</v>
      </c>
      <c r="Q1556">
        <v>181</v>
      </c>
      <c r="R1556">
        <v>13.32</v>
      </c>
      <c r="S1556">
        <v>8</v>
      </c>
      <c r="T1556">
        <v>86</v>
      </c>
      <c r="U1556" s="2">
        <v>4044.58</v>
      </c>
      <c r="V1556">
        <v>0</v>
      </c>
      <c r="W1556" t="s">
        <v>29</v>
      </c>
      <c r="X1556" t="str">
        <f>IF(Table2[[#This Row],[Qty available]]&gt;Table2[[#This Row],[Qty on hand]],"Check","OK")</f>
        <v>OK</v>
      </c>
    </row>
    <row r="1557" spans="1:24" x14ac:dyDescent="0.3">
      <c r="A1557" t="s">
        <v>189</v>
      </c>
      <c r="B1557" t="s">
        <v>190</v>
      </c>
      <c r="C1557" t="s">
        <v>91</v>
      </c>
      <c r="D1557" t="s">
        <v>92</v>
      </c>
      <c r="E1557" t="s">
        <v>66</v>
      </c>
      <c r="F1557" s="1" t="s">
        <v>48</v>
      </c>
      <c r="G1557" s="2">
        <v>35.590000000000003</v>
      </c>
      <c r="H1557">
        <v>35.590000000000003</v>
      </c>
      <c r="I1557">
        <v>34.270476000000002</v>
      </c>
      <c r="J1557">
        <v>47.03</v>
      </c>
      <c r="K1557">
        <v>23</v>
      </c>
      <c r="M1557">
        <v>0</v>
      </c>
      <c r="N1557" s="2">
        <v>147</v>
      </c>
      <c r="O1557">
        <v>5037.76</v>
      </c>
      <c r="P1557">
        <v>19</v>
      </c>
      <c r="Q1557">
        <v>128</v>
      </c>
      <c r="R1557">
        <v>9.68</v>
      </c>
      <c r="S1557">
        <v>13</v>
      </c>
      <c r="T1557">
        <v>53</v>
      </c>
      <c r="U1557" s="2">
        <v>2492.59</v>
      </c>
      <c r="V1557">
        <v>0</v>
      </c>
      <c r="W1557" t="s">
        <v>29</v>
      </c>
      <c r="X1557" t="str">
        <f>IF(Table2[[#This Row],[Qty available]]&gt;Table2[[#This Row],[Qty on hand]],"Check","OK")</f>
        <v>OK</v>
      </c>
    </row>
    <row r="1558" spans="1:24" x14ac:dyDescent="0.3">
      <c r="A1558" t="s">
        <v>189</v>
      </c>
      <c r="B1558" t="s">
        <v>190</v>
      </c>
      <c r="C1558" t="s">
        <v>91</v>
      </c>
      <c r="D1558" t="s">
        <v>92</v>
      </c>
      <c r="E1558" t="s">
        <v>66</v>
      </c>
      <c r="F1558" s="1" t="s">
        <v>49</v>
      </c>
      <c r="G1558" s="2">
        <v>35.22</v>
      </c>
      <c r="H1558">
        <v>35.22</v>
      </c>
      <c r="I1558">
        <v>34.790539000000003</v>
      </c>
      <c r="J1558">
        <v>47.03</v>
      </c>
      <c r="K1558">
        <v>23</v>
      </c>
      <c r="L1558" s="2">
        <v>21</v>
      </c>
      <c r="M1558">
        <v>178</v>
      </c>
      <c r="N1558" s="2">
        <v>241</v>
      </c>
      <c r="O1558">
        <v>8384.52</v>
      </c>
      <c r="P1558">
        <v>6</v>
      </c>
      <c r="Q1558">
        <v>235</v>
      </c>
      <c r="R1558">
        <v>14.2</v>
      </c>
      <c r="S1558">
        <v>1</v>
      </c>
      <c r="T1558">
        <v>84</v>
      </c>
      <c r="U1558" s="2">
        <v>3950.52</v>
      </c>
      <c r="V1558">
        <v>0</v>
      </c>
      <c r="W1558" t="s">
        <v>29</v>
      </c>
      <c r="X1558" t="str">
        <f>IF(Table2[[#This Row],[Qty available]]&gt;Table2[[#This Row],[Qty on hand]],"Check","OK")</f>
        <v>OK</v>
      </c>
    </row>
    <row r="1559" spans="1:24" x14ac:dyDescent="0.3">
      <c r="A1559" t="s">
        <v>189</v>
      </c>
      <c r="B1559" t="s">
        <v>190</v>
      </c>
      <c r="C1559" t="s">
        <v>91</v>
      </c>
      <c r="D1559" t="s">
        <v>92</v>
      </c>
      <c r="E1559" t="s">
        <v>66</v>
      </c>
      <c r="F1559" s="1" t="s">
        <v>50</v>
      </c>
      <c r="G1559" s="2">
        <v>34.659999999999997</v>
      </c>
      <c r="H1559">
        <v>34.659999999999997</v>
      </c>
      <c r="I1559">
        <v>34.784855</v>
      </c>
      <c r="J1559">
        <v>47.03</v>
      </c>
      <c r="K1559">
        <v>23</v>
      </c>
      <c r="L1559" s="2">
        <v>20</v>
      </c>
      <c r="M1559">
        <v>11</v>
      </c>
      <c r="N1559" s="2">
        <v>173</v>
      </c>
      <c r="O1559">
        <v>6017.78</v>
      </c>
      <c r="P1559">
        <v>13</v>
      </c>
      <c r="Q1559">
        <v>160</v>
      </c>
      <c r="R1559">
        <v>10.41</v>
      </c>
      <c r="S1559">
        <v>7</v>
      </c>
      <c r="T1559">
        <v>79</v>
      </c>
      <c r="U1559" s="2">
        <v>3715.37</v>
      </c>
      <c r="V1559">
        <v>0</v>
      </c>
      <c r="W1559" t="s">
        <v>29</v>
      </c>
      <c r="X1559" t="str">
        <f>IF(Table2[[#This Row],[Qty available]]&gt;Table2[[#This Row],[Qty on hand]],"Check","OK")</f>
        <v>OK</v>
      </c>
    </row>
    <row r="1560" spans="1:24" x14ac:dyDescent="0.3">
      <c r="A1560" t="s">
        <v>189</v>
      </c>
      <c r="B1560" t="s">
        <v>190</v>
      </c>
      <c r="C1560" t="s">
        <v>91</v>
      </c>
      <c r="D1560" t="s">
        <v>92</v>
      </c>
      <c r="E1560" t="s">
        <v>66</v>
      </c>
      <c r="F1560" s="1" t="s">
        <v>51</v>
      </c>
      <c r="G1560" s="2">
        <v>35.44</v>
      </c>
      <c r="H1560">
        <v>35.44</v>
      </c>
      <c r="I1560">
        <v>34.784847999999997</v>
      </c>
      <c r="J1560">
        <v>47.03</v>
      </c>
      <c r="K1560">
        <v>23</v>
      </c>
      <c r="M1560">
        <v>0</v>
      </c>
      <c r="N1560" s="2">
        <v>99</v>
      </c>
      <c r="O1560">
        <v>3443.7</v>
      </c>
      <c r="P1560">
        <v>21</v>
      </c>
      <c r="Q1560">
        <v>78</v>
      </c>
      <c r="R1560">
        <v>5.49</v>
      </c>
      <c r="S1560">
        <v>0</v>
      </c>
      <c r="T1560">
        <v>74</v>
      </c>
      <c r="U1560" s="2">
        <v>3480.22</v>
      </c>
      <c r="V1560">
        <v>0</v>
      </c>
      <c r="W1560" t="s">
        <v>29</v>
      </c>
      <c r="X1560" t="str">
        <f>IF(Table2[[#This Row],[Qty available]]&gt;Table2[[#This Row],[Qty on hand]],"Check","OK")</f>
        <v>OK</v>
      </c>
    </row>
    <row r="1561" spans="1:24" x14ac:dyDescent="0.3">
      <c r="A1561" t="s">
        <v>189</v>
      </c>
      <c r="B1561" t="s">
        <v>190</v>
      </c>
      <c r="C1561" t="s">
        <v>91</v>
      </c>
      <c r="D1561" t="s">
        <v>92</v>
      </c>
      <c r="E1561" t="s">
        <v>66</v>
      </c>
      <c r="F1561" s="1" t="s">
        <v>52</v>
      </c>
      <c r="G1561" s="2">
        <v>34.22</v>
      </c>
      <c r="H1561">
        <v>34.22</v>
      </c>
      <c r="I1561">
        <v>34.464160999999997</v>
      </c>
      <c r="J1561">
        <v>47.03</v>
      </c>
      <c r="K1561">
        <v>23</v>
      </c>
      <c r="L1561" s="2">
        <v>38</v>
      </c>
      <c r="M1561">
        <v>130</v>
      </c>
      <c r="N1561" s="2">
        <v>137</v>
      </c>
      <c r="O1561">
        <v>4721.59</v>
      </c>
      <c r="P1561">
        <v>21</v>
      </c>
      <c r="Q1561">
        <v>116</v>
      </c>
      <c r="R1561">
        <v>7.35</v>
      </c>
      <c r="S1561">
        <v>0</v>
      </c>
      <c r="T1561">
        <v>92</v>
      </c>
      <c r="U1561" s="2">
        <v>4326.76</v>
      </c>
      <c r="V1561">
        <v>0</v>
      </c>
      <c r="W1561" t="s">
        <v>29</v>
      </c>
      <c r="X1561" t="str">
        <f>IF(Table2[[#This Row],[Qty available]]&gt;Table2[[#This Row],[Qty on hand]],"Check","OK")</f>
        <v>OK</v>
      </c>
    </row>
    <row r="1562" spans="1:24" x14ac:dyDescent="0.3">
      <c r="A1562" t="s">
        <v>191</v>
      </c>
      <c r="B1562" t="s">
        <v>192</v>
      </c>
      <c r="C1562" t="s">
        <v>57</v>
      </c>
      <c r="D1562" t="s">
        <v>58</v>
      </c>
      <c r="E1562" t="s">
        <v>27</v>
      </c>
      <c r="F1562" s="1" t="s">
        <v>28</v>
      </c>
      <c r="G1562" s="2">
        <v>6.25</v>
      </c>
      <c r="H1562">
        <v>6.25</v>
      </c>
      <c r="I1562">
        <v>6.2394829999999999</v>
      </c>
      <c r="J1562">
        <v>8.35</v>
      </c>
      <c r="K1562">
        <v>44</v>
      </c>
      <c r="L1562" s="2">
        <v>42</v>
      </c>
      <c r="M1562">
        <v>977</v>
      </c>
      <c r="N1562" s="2">
        <v>1200</v>
      </c>
      <c r="O1562">
        <v>7487.38</v>
      </c>
      <c r="P1562">
        <v>78</v>
      </c>
      <c r="Q1562">
        <v>1122</v>
      </c>
      <c r="R1562">
        <v>9.5500000000000007</v>
      </c>
      <c r="S1562">
        <v>0</v>
      </c>
      <c r="T1562">
        <v>747</v>
      </c>
      <c r="U1562" s="2">
        <v>6237.45</v>
      </c>
      <c r="V1562">
        <v>0</v>
      </c>
      <c r="W1562" t="s">
        <v>29</v>
      </c>
      <c r="X1562" t="str">
        <f>IF(Table2[[#This Row],[Qty available]]&gt;Table2[[#This Row],[Qty on hand]],"Check","OK")</f>
        <v>OK</v>
      </c>
    </row>
    <row r="1563" spans="1:24" x14ac:dyDescent="0.3">
      <c r="A1563" t="s">
        <v>191</v>
      </c>
      <c r="B1563" t="s">
        <v>192</v>
      </c>
      <c r="C1563" t="s">
        <v>57</v>
      </c>
      <c r="D1563" t="s">
        <v>58</v>
      </c>
      <c r="E1563" t="s">
        <v>27</v>
      </c>
      <c r="F1563" s="1" t="s">
        <v>30</v>
      </c>
      <c r="G1563" s="2">
        <v>6.21</v>
      </c>
      <c r="H1563">
        <v>6.21</v>
      </c>
      <c r="I1563">
        <v>6.239484</v>
      </c>
      <c r="J1563">
        <v>8.35</v>
      </c>
      <c r="K1563">
        <v>44</v>
      </c>
      <c r="M1563">
        <v>0</v>
      </c>
      <c r="N1563" s="2">
        <v>659</v>
      </c>
      <c r="O1563">
        <v>4111.82</v>
      </c>
      <c r="P1563">
        <v>39</v>
      </c>
      <c r="Q1563">
        <v>620</v>
      </c>
      <c r="R1563">
        <v>4.76</v>
      </c>
      <c r="S1563">
        <v>1</v>
      </c>
      <c r="T1563">
        <v>541</v>
      </c>
      <c r="U1563" s="2">
        <v>4517.3500000000004</v>
      </c>
      <c r="V1563">
        <v>0</v>
      </c>
      <c r="W1563" t="s">
        <v>29</v>
      </c>
      <c r="X1563" t="str">
        <f>IF(Table2[[#This Row],[Qty available]]&gt;Table2[[#This Row],[Qty on hand]],"Check","OK")</f>
        <v>OK</v>
      </c>
    </row>
    <row r="1564" spans="1:24" x14ac:dyDescent="0.3">
      <c r="A1564" t="s">
        <v>191</v>
      </c>
      <c r="B1564" t="s">
        <v>192</v>
      </c>
      <c r="C1564" t="s">
        <v>57</v>
      </c>
      <c r="D1564" t="s">
        <v>58</v>
      </c>
      <c r="E1564" t="s">
        <v>27</v>
      </c>
      <c r="F1564" s="1" t="s">
        <v>31</v>
      </c>
      <c r="G1564" s="2">
        <v>6.34</v>
      </c>
      <c r="H1564">
        <v>6.34</v>
      </c>
      <c r="I1564">
        <v>6.239484</v>
      </c>
      <c r="J1564">
        <v>8.35</v>
      </c>
      <c r="K1564">
        <v>44</v>
      </c>
      <c r="M1564">
        <v>0</v>
      </c>
      <c r="N1564" s="2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659</v>
      </c>
      <c r="U1564" s="2">
        <v>5502.65</v>
      </c>
      <c r="V1564">
        <v>76</v>
      </c>
      <c r="W1564" t="s">
        <v>59</v>
      </c>
      <c r="X1564" t="str">
        <f>IF(Table2[[#This Row],[Qty available]]&gt;Table2[[#This Row],[Qty on hand]],"Check","OK")</f>
        <v>OK</v>
      </c>
    </row>
    <row r="1565" spans="1:24" x14ac:dyDescent="0.3">
      <c r="A1565" t="s">
        <v>191</v>
      </c>
      <c r="B1565" t="s">
        <v>192</v>
      </c>
      <c r="C1565" t="s">
        <v>57</v>
      </c>
      <c r="D1565" t="s">
        <v>58</v>
      </c>
      <c r="E1565" t="s">
        <v>27</v>
      </c>
      <c r="F1565" s="1" t="s">
        <v>32</v>
      </c>
      <c r="G1565" s="2">
        <v>6.3</v>
      </c>
      <c r="H1565">
        <v>6.3</v>
      </c>
      <c r="I1565">
        <v>6.3</v>
      </c>
      <c r="J1565">
        <v>8.35</v>
      </c>
      <c r="K1565">
        <v>44</v>
      </c>
      <c r="L1565" s="2">
        <v>51</v>
      </c>
      <c r="M1565">
        <v>611</v>
      </c>
      <c r="N1565" s="2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611</v>
      </c>
      <c r="U1565" s="2">
        <v>5101.8500000000004</v>
      </c>
      <c r="V1565">
        <v>248</v>
      </c>
      <c r="W1565" t="s">
        <v>59</v>
      </c>
      <c r="X1565" t="str">
        <f>IF(Table2[[#This Row],[Qty available]]&gt;Table2[[#This Row],[Qty on hand]],"Check","OK")</f>
        <v>OK</v>
      </c>
    </row>
    <row r="1566" spans="1:24" x14ac:dyDescent="0.3">
      <c r="A1566" t="s">
        <v>191</v>
      </c>
      <c r="B1566" t="s">
        <v>192</v>
      </c>
      <c r="C1566" t="s">
        <v>57</v>
      </c>
      <c r="D1566" t="s">
        <v>58</v>
      </c>
      <c r="E1566" t="s">
        <v>27</v>
      </c>
      <c r="F1566" s="1" t="s">
        <v>33</v>
      </c>
      <c r="G1566" s="2">
        <v>6.49</v>
      </c>
      <c r="H1566">
        <v>6.49</v>
      </c>
      <c r="I1566">
        <v>6.3</v>
      </c>
      <c r="J1566">
        <v>8.35</v>
      </c>
      <c r="K1566">
        <v>44</v>
      </c>
      <c r="M1566">
        <v>0</v>
      </c>
      <c r="N1566" s="2">
        <v>0</v>
      </c>
      <c r="O1566">
        <v>0</v>
      </c>
      <c r="P1566">
        <v>0</v>
      </c>
      <c r="Q1566">
        <v>0</v>
      </c>
      <c r="R1566">
        <v>0</v>
      </c>
      <c r="S1566">
        <v>31</v>
      </c>
      <c r="T1566">
        <v>0</v>
      </c>
      <c r="U1566" s="2">
        <v>0</v>
      </c>
      <c r="V1566">
        <v>843</v>
      </c>
      <c r="W1566" t="s">
        <v>59</v>
      </c>
      <c r="X1566" t="str">
        <f>IF(Table2[[#This Row],[Qty available]]&gt;Table2[[#This Row],[Qty on hand]],"Check","OK")</f>
        <v>OK</v>
      </c>
    </row>
    <row r="1567" spans="1:24" x14ac:dyDescent="0.3">
      <c r="A1567" t="s">
        <v>191</v>
      </c>
      <c r="B1567" t="s">
        <v>192</v>
      </c>
      <c r="C1567" t="s">
        <v>57</v>
      </c>
      <c r="D1567" t="s">
        <v>58</v>
      </c>
      <c r="E1567" t="s">
        <v>27</v>
      </c>
      <c r="F1567" s="1" t="s">
        <v>34</v>
      </c>
      <c r="G1567" s="2">
        <v>6.4</v>
      </c>
      <c r="H1567">
        <v>6.4</v>
      </c>
      <c r="I1567">
        <v>6.4</v>
      </c>
      <c r="J1567">
        <v>8.61</v>
      </c>
      <c r="K1567">
        <v>44</v>
      </c>
      <c r="L1567" s="2">
        <v>53</v>
      </c>
      <c r="M1567">
        <v>2457</v>
      </c>
      <c r="N1567" s="2">
        <v>2300</v>
      </c>
      <c r="O1567">
        <v>14720</v>
      </c>
      <c r="P1567">
        <v>78</v>
      </c>
      <c r="Q1567">
        <v>2222</v>
      </c>
      <c r="R1567">
        <v>38.5</v>
      </c>
      <c r="S1567">
        <v>3</v>
      </c>
      <c r="T1567">
        <v>157</v>
      </c>
      <c r="U1567" s="2">
        <v>1351.77</v>
      </c>
      <c r="V1567">
        <v>0</v>
      </c>
      <c r="W1567" t="s">
        <v>29</v>
      </c>
      <c r="X1567" t="str">
        <f>IF(Table2[[#This Row],[Qty available]]&gt;Table2[[#This Row],[Qty on hand]],"Check","OK")</f>
        <v>OK</v>
      </c>
    </row>
    <row r="1568" spans="1:24" x14ac:dyDescent="0.3">
      <c r="A1568" t="s">
        <v>191</v>
      </c>
      <c r="B1568" t="s">
        <v>192</v>
      </c>
      <c r="C1568" t="s">
        <v>57</v>
      </c>
      <c r="D1568" t="s">
        <v>58</v>
      </c>
      <c r="E1568" t="s">
        <v>27</v>
      </c>
      <c r="F1568" s="1" t="s">
        <v>35</v>
      </c>
      <c r="G1568" s="2">
        <v>6.58</v>
      </c>
      <c r="H1568">
        <v>6.58</v>
      </c>
      <c r="I1568">
        <v>6.4136689999999996</v>
      </c>
      <c r="J1568">
        <v>8.61</v>
      </c>
      <c r="K1568">
        <v>44</v>
      </c>
      <c r="L1568" s="2">
        <v>39</v>
      </c>
      <c r="M1568">
        <v>189</v>
      </c>
      <c r="N1568" s="2">
        <v>2003</v>
      </c>
      <c r="O1568">
        <v>12846.58</v>
      </c>
      <c r="P1568">
        <v>157</v>
      </c>
      <c r="Q1568">
        <v>1846</v>
      </c>
      <c r="R1568">
        <v>40.049999999999997</v>
      </c>
      <c r="S1568">
        <v>0</v>
      </c>
      <c r="T1568">
        <v>486</v>
      </c>
      <c r="U1568" s="2">
        <v>4184.46</v>
      </c>
      <c r="V1568">
        <v>0</v>
      </c>
      <c r="W1568" t="s">
        <v>29</v>
      </c>
      <c r="X1568" t="str">
        <f>IF(Table2[[#This Row],[Qty available]]&gt;Table2[[#This Row],[Qty on hand]],"Check","OK")</f>
        <v>OK</v>
      </c>
    </row>
    <row r="1569" spans="1:24" x14ac:dyDescent="0.3">
      <c r="A1569" t="s">
        <v>191</v>
      </c>
      <c r="B1569" t="s">
        <v>192</v>
      </c>
      <c r="C1569" t="s">
        <v>57</v>
      </c>
      <c r="D1569" t="s">
        <v>58</v>
      </c>
      <c r="E1569" t="s">
        <v>27</v>
      </c>
      <c r="F1569" s="1" t="s">
        <v>36</v>
      </c>
      <c r="G1569" s="2">
        <v>6.47</v>
      </c>
      <c r="H1569">
        <v>6.47</v>
      </c>
      <c r="I1569">
        <v>6.4136699999999998</v>
      </c>
      <c r="J1569">
        <v>8.61</v>
      </c>
      <c r="K1569">
        <v>44</v>
      </c>
      <c r="M1569">
        <v>0</v>
      </c>
      <c r="N1569" s="2">
        <v>1485</v>
      </c>
      <c r="O1569">
        <v>9524.2999999999993</v>
      </c>
      <c r="P1569">
        <v>137</v>
      </c>
      <c r="Q1569">
        <v>1348</v>
      </c>
      <c r="R1569">
        <v>16.260000000000002</v>
      </c>
      <c r="S1569">
        <v>0</v>
      </c>
      <c r="T1569">
        <v>518</v>
      </c>
      <c r="U1569" s="2">
        <v>4459.9799999999996</v>
      </c>
      <c r="V1569">
        <v>0</v>
      </c>
      <c r="W1569" t="s">
        <v>29</v>
      </c>
      <c r="X1569" t="str">
        <f>IF(Table2[[#This Row],[Qty available]]&gt;Table2[[#This Row],[Qty on hand]],"Check","OK")</f>
        <v>OK</v>
      </c>
    </row>
    <row r="1570" spans="1:24" x14ac:dyDescent="0.3">
      <c r="A1570" t="s">
        <v>191</v>
      </c>
      <c r="B1570" t="s">
        <v>192</v>
      </c>
      <c r="C1570" t="s">
        <v>57</v>
      </c>
      <c r="D1570" t="s">
        <v>58</v>
      </c>
      <c r="E1570" t="s">
        <v>27</v>
      </c>
      <c r="F1570" s="1" t="s">
        <v>37</v>
      </c>
      <c r="G1570" s="2">
        <v>6.56</v>
      </c>
      <c r="H1570">
        <v>6.56</v>
      </c>
      <c r="I1570">
        <v>6.4136759999999997</v>
      </c>
      <c r="J1570">
        <v>8.61</v>
      </c>
      <c r="K1570">
        <v>44</v>
      </c>
      <c r="M1570">
        <v>0</v>
      </c>
      <c r="N1570" s="2">
        <v>857</v>
      </c>
      <c r="O1570">
        <v>5496.52</v>
      </c>
      <c r="P1570">
        <v>196</v>
      </c>
      <c r="Q1570">
        <v>661</v>
      </c>
      <c r="R1570">
        <v>6.9</v>
      </c>
      <c r="S1570">
        <v>0</v>
      </c>
      <c r="T1570">
        <v>628</v>
      </c>
      <c r="U1570" s="2">
        <v>5407.08</v>
      </c>
      <c r="V1570">
        <v>0</v>
      </c>
      <c r="W1570" t="s">
        <v>29</v>
      </c>
      <c r="X1570" t="str">
        <f>IF(Table2[[#This Row],[Qty available]]&gt;Table2[[#This Row],[Qty on hand]],"Check","OK")</f>
        <v>OK</v>
      </c>
    </row>
    <row r="1571" spans="1:24" x14ac:dyDescent="0.3">
      <c r="A1571" t="s">
        <v>191</v>
      </c>
      <c r="B1571" t="s">
        <v>192</v>
      </c>
      <c r="C1571" t="s">
        <v>57</v>
      </c>
      <c r="D1571" t="s">
        <v>58</v>
      </c>
      <c r="E1571" t="s">
        <v>27</v>
      </c>
      <c r="F1571" s="1" t="s">
        <v>38</v>
      </c>
      <c r="G1571" s="2">
        <v>6.49</v>
      </c>
      <c r="H1571">
        <v>6.49</v>
      </c>
      <c r="I1571">
        <v>6.4325809999999999</v>
      </c>
      <c r="J1571">
        <v>8.61</v>
      </c>
      <c r="K1571">
        <v>44</v>
      </c>
      <c r="L1571" s="2">
        <v>43</v>
      </c>
      <c r="M1571">
        <v>282</v>
      </c>
      <c r="N1571" s="2">
        <v>554</v>
      </c>
      <c r="O1571">
        <v>3563.65</v>
      </c>
      <c r="P1571">
        <v>117</v>
      </c>
      <c r="Q1571">
        <v>437</v>
      </c>
      <c r="R1571">
        <v>4.16</v>
      </c>
      <c r="S1571">
        <v>4</v>
      </c>
      <c r="T1571">
        <v>585</v>
      </c>
      <c r="U1571" s="2">
        <v>5036.8500000000004</v>
      </c>
      <c r="V1571">
        <v>0</v>
      </c>
      <c r="W1571" t="s">
        <v>29</v>
      </c>
      <c r="X1571" t="str">
        <f>IF(Table2[[#This Row],[Qty available]]&gt;Table2[[#This Row],[Qty on hand]],"Check","OK")</f>
        <v>OK</v>
      </c>
    </row>
    <row r="1572" spans="1:24" x14ac:dyDescent="0.3">
      <c r="A1572" t="s">
        <v>191</v>
      </c>
      <c r="B1572" t="s">
        <v>192</v>
      </c>
      <c r="C1572" t="s">
        <v>57</v>
      </c>
      <c r="D1572" t="s">
        <v>58</v>
      </c>
      <c r="E1572" t="s">
        <v>27</v>
      </c>
      <c r="F1572" s="1" t="s">
        <v>39</v>
      </c>
      <c r="G1572" s="2">
        <v>6.38</v>
      </c>
      <c r="H1572">
        <v>6.38</v>
      </c>
      <c r="I1572">
        <v>6.3947250000000002</v>
      </c>
      <c r="J1572">
        <v>8.61</v>
      </c>
      <c r="K1572">
        <v>44</v>
      </c>
      <c r="L1572" s="2">
        <v>39</v>
      </c>
      <c r="M1572">
        <v>1424</v>
      </c>
      <c r="N1572" s="2">
        <v>1435</v>
      </c>
      <c r="O1572">
        <v>9176.43</v>
      </c>
      <c r="P1572">
        <v>137</v>
      </c>
      <c r="Q1572">
        <v>1298</v>
      </c>
      <c r="R1572">
        <v>10.74</v>
      </c>
      <c r="S1572">
        <v>1</v>
      </c>
      <c r="T1572">
        <v>543</v>
      </c>
      <c r="U1572" s="2">
        <v>4675.2299999999996</v>
      </c>
      <c r="V1572">
        <v>0</v>
      </c>
      <c r="W1572" t="s">
        <v>29</v>
      </c>
      <c r="X1572" t="str">
        <f>IF(Table2[[#This Row],[Qty available]]&gt;Table2[[#This Row],[Qty on hand]],"Check","OK")</f>
        <v>OK</v>
      </c>
    </row>
    <row r="1573" spans="1:24" x14ac:dyDescent="0.3">
      <c r="A1573" t="s">
        <v>191</v>
      </c>
      <c r="B1573" t="s">
        <v>192</v>
      </c>
      <c r="C1573" t="s">
        <v>57</v>
      </c>
      <c r="D1573" t="s">
        <v>58</v>
      </c>
      <c r="E1573" t="s">
        <v>27</v>
      </c>
      <c r="F1573" s="1" t="s">
        <v>40</v>
      </c>
      <c r="G1573" s="2">
        <v>6.57</v>
      </c>
      <c r="H1573">
        <v>6.57</v>
      </c>
      <c r="I1573">
        <v>6.4005109999999998</v>
      </c>
      <c r="J1573">
        <v>8.61</v>
      </c>
      <c r="K1573">
        <v>44</v>
      </c>
      <c r="L1573" s="2">
        <v>62</v>
      </c>
      <c r="M1573">
        <v>49</v>
      </c>
      <c r="N1573" s="2">
        <v>1155</v>
      </c>
      <c r="O1573">
        <v>7392.59</v>
      </c>
      <c r="P1573">
        <v>196</v>
      </c>
      <c r="Q1573">
        <v>959</v>
      </c>
      <c r="R1573">
        <v>10.42</v>
      </c>
      <c r="S1573">
        <v>0</v>
      </c>
      <c r="T1573">
        <v>329</v>
      </c>
      <c r="U1573" s="2">
        <v>2832.69</v>
      </c>
      <c r="V1573">
        <v>0</v>
      </c>
      <c r="W1573" t="s">
        <v>29</v>
      </c>
      <c r="X1573" t="str">
        <f>IF(Table2[[#This Row],[Qty available]]&gt;Table2[[#This Row],[Qty on hand]],"Check","OK")</f>
        <v>OK</v>
      </c>
    </row>
    <row r="1574" spans="1:24" x14ac:dyDescent="0.3">
      <c r="A1574" t="s">
        <v>191</v>
      </c>
      <c r="B1574" t="s">
        <v>192</v>
      </c>
      <c r="C1574" t="s">
        <v>57</v>
      </c>
      <c r="D1574" t="s">
        <v>58</v>
      </c>
      <c r="E1574" t="s">
        <v>27</v>
      </c>
      <c r="F1574" s="1" t="s">
        <v>41</v>
      </c>
      <c r="G1574" s="2">
        <v>6.34</v>
      </c>
      <c r="H1574">
        <v>6.34</v>
      </c>
      <c r="I1574">
        <v>6.3773369999999998</v>
      </c>
      <c r="J1574">
        <v>8.61</v>
      </c>
      <c r="K1574">
        <v>44</v>
      </c>
      <c r="L1574" s="2">
        <v>41</v>
      </c>
      <c r="M1574">
        <v>717</v>
      </c>
      <c r="N1574" s="2">
        <v>1382</v>
      </c>
      <c r="O1574">
        <v>8813.48</v>
      </c>
      <c r="P1574">
        <v>117</v>
      </c>
      <c r="Q1574">
        <v>1265</v>
      </c>
      <c r="R1574">
        <v>13.34</v>
      </c>
      <c r="S1574">
        <v>0</v>
      </c>
      <c r="T1574">
        <v>490</v>
      </c>
      <c r="U1574" s="2">
        <v>4218.8999999999996</v>
      </c>
      <c r="V1574">
        <v>0</v>
      </c>
      <c r="W1574" t="s">
        <v>29</v>
      </c>
      <c r="X1574" t="str">
        <f>IF(Table2[[#This Row],[Qty available]]&gt;Table2[[#This Row],[Qty on hand]],"Check","OK")</f>
        <v>OK</v>
      </c>
    </row>
    <row r="1575" spans="1:24" x14ac:dyDescent="0.3">
      <c r="A1575" t="s">
        <v>191</v>
      </c>
      <c r="B1575" t="s">
        <v>192</v>
      </c>
      <c r="C1575" t="s">
        <v>57</v>
      </c>
      <c r="D1575" t="s">
        <v>58</v>
      </c>
      <c r="E1575" t="s">
        <v>27</v>
      </c>
      <c r="F1575" s="1" t="s">
        <v>42</v>
      </c>
      <c r="G1575" s="2">
        <v>6.36</v>
      </c>
      <c r="H1575">
        <v>6.36</v>
      </c>
      <c r="I1575">
        <v>6.3773340000000003</v>
      </c>
      <c r="J1575">
        <v>8.61</v>
      </c>
      <c r="K1575">
        <v>44</v>
      </c>
      <c r="M1575">
        <v>0</v>
      </c>
      <c r="N1575" s="2">
        <v>739</v>
      </c>
      <c r="O1575">
        <v>4712.8500000000004</v>
      </c>
      <c r="P1575">
        <v>59</v>
      </c>
      <c r="Q1575">
        <v>680</v>
      </c>
      <c r="R1575">
        <v>6.64</v>
      </c>
      <c r="S1575">
        <v>0</v>
      </c>
      <c r="T1575">
        <v>643</v>
      </c>
      <c r="U1575" s="2">
        <v>5536.23</v>
      </c>
      <c r="V1575">
        <v>0</v>
      </c>
      <c r="W1575" t="s">
        <v>29</v>
      </c>
      <c r="X1575" t="str">
        <f>IF(Table2[[#This Row],[Qty available]]&gt;Table2[[#This Row],[Qty on hand]],"Check","OK")</f>
        <v>OK</v>
      </c>
    </row>
    <row r="1576" spans="1:24" x14ac:dyDescent="0.3">
      <c r="A1576" t="s">
        <v>191</v>
      </c>
      <c r="B1576" t="s">
        <v>192</v>
      </c>
      <c r="C1576" t="s">
        <v>57</v>
      </c>
      <c r="D1576" t="s">
        <v>58</v>
      </c>
      <c r="E1576" t="s">
        <v>27</v>
      </c>
      <c r="F1576" s="1" t="s">
        <v>43</v>
      </c>
      <c r="G1576" s="2">
        <v>6.59</v>
      </c>
      <c r="H1576">
        <v>6.59</v>
      </c>
      <c r="I1576">
        <v>6.3774360000000003</v>
      </c>
      <c r="J1576">
        <v>8.61</v>
      </c>
      <c r="K1576">
        <v>44</v>
      </c>
      <c r="M1576">
        <v>0</v>
      </c>
      <c r="N1576" s="2">
        <v>39</v>
      </c>
      <c r="O1576">
        <v>248.72</v>
      </c>
      <c r="P1576">
        <v>39</v>
      </c>
      <c r="Q1576">
        <v>0</v>
      </c>
      <c r="R1576">
        <v>0.28000000000000003</v>
      </c>
      <c r="S1576">
        <v>0</v>
      </c>
      <c r="T1576">
        <v>700</v>
      </c>
      <c r="U1576" s="2">
        <v>6027</v>
      </c>
      <c r="V1576">
        <v>0</v>
      </c>
      <c r="W1576" t="s">
        <v>29</v>
      </c>
      <c r="X1576" t="str">
        <f>IF(Table2[[#This Row],[Qty available]]&gt;Table2[[#This Row],[Qty on hand]],"Check","OK")</f>
        <v>OK</v>
      </c>
    </row>
    <row r="1577" spans="1:24" x14ac:dyDescent="0.3">
      <c r="A1577" t="s">
        <v>191</v>
      </c>
      <c r="B1577" t="s">
        <v>192</v>
      </c>
      <c r="C1577" t="s">
        <v>57</v>
      </c>
      <c r="D1577" t="s">
        <v>58</v>
      </c>
      <c r="E1577" t="s">
        <v>27</v>
      </c>
      <c r="F1577" s="1" t="s">
        <v>44</v>
      </c>
      <c r="G1577" s="2">
        <v>6.38</v>
      </c>
      <c r="H1577">
        <v>6.38</v>
      </c>
      <c r="I1577">
        <v>6.3799109999999999</v>
      </c>
      <c r="J1577">
        <v>8.61</v>
      </c>
      <c r="K1577">
        <v>44</v>
      </c>
      <c r="L1577" s="2">
        <v>43</v>
      </c>
      <c r="M1577">
        <v>960</v>
      </c>
      <c r="N1577" s="2">
        <v>338</v>
      </c>
      <c r="O1577">
        <v>2156.41</v>
      </c>
      <c r="P1577">
        <v>176</v>
      </c>
      <c r="Q1577">
        <v>162</v>
      </c>
      <c r="R1577">
        <v>2.2200000000000002</v>
      </c>
      <c r="S1577">
        <v>1</v>
      </c>
      <c r="T1577">
        <v>661</v>
      </c>
      <c r="U1577" s="2">
        <v>5691.21</v>
      </c>
      <c r="V1577">
        <v>0</v>
      </c>
      <c r="W1577" t="s">
        <v>29</v>
      </c>
      <c r="X1577" t="str">
        <f>IF(Table2[[#This Row],[Qty available]]&gt;Table2[[#This Row],[Qty on hand]],"Check","OK")</f>
        <v>OK</v>
      </c>
    </row>
    <row r="1578" spans="1:24" x14ac:dyDescent="0.3">
      <c r="A1578" t="s">
        <v>191</v>
      </c>
      <c r="B1578" t="s">
        <v>192</v>
      </c>
      <c r="C1578" t="s">
        <v>57</v>
      </c>
      <c r="D1578" t="s">
        <v>58</v>
      </c>
      <c r="E1578" t="s">
        <v>27</v>
      </c>
      <c r="F1578" s="1" t="s">
        <v>45</v>
      </c>
      <c r="G1578" s="2">
        <v>6.83</v>
      </c>
      <c r="H1578">
        <v>6.83</v>
      </c>
      <c r="I1578">
        <v>6.7277659999999999</v>
      </c>
      <c r="J1578">
        <v>8.61</v>
      </c>
      <c r="K1578">
        <v>44</v>
      </c>
      <c r="L1578" s="2">
        <v>42</v>
      </c>
      <c r="M1578">
        <v>1150</v>
      </c>
      <c r="N1578" s="2">
        <v>779</v>
      </c>
      <c r="O1578">
        <v>5240.93</v>
      </c>
      <c r="P1578">
        <v>98</v>
      </c>
      <c r="Q1578">
        <v>681</v>
      </c>
      <c r="R1578">
        <v>4.95</v>
      </c>
      <c r="S1578">
        <v>0</v>
      </c>
      <c r="T1578">
        <v>709</v>
      </c>
      <c r="U1578" s="2">
        <v>6104.49</v>
      </c>
      <c r="V1578">
        <v>0</v>
      </c>
      <c r="W1578" t="s">
        <v>29</v>
      </c>
      <c r="X1578" t="str">
        <f>IF(Table2[[#This Row],[Qty available]]&gt;Table2[[#This Row],[Qty on hand]],"Check","OK")</f>
        <v>OK</v>
      </c>
    </row>
    <row r="1579" spans="1:24" x14ac:dyDescent="0.3">
      <c r="A1579" t="s">
        <v>191</v>
      </c>
      <c r="B1579" t="s">
        <v>192</v>
      </c>
      <c r="C1579" t="s">
        <v>57</v>
      </c>
      <c r="D1579" t="s">
        <v>58</v>
      </c>
      <c r="E1579" t="s">
        <v>27</v>
      </c>
      <c r="F1579" s="1" t="s">
        <v>46</v>
      </c>
      <c r="G1579" s="2">
        <v>6.63</v>
      </c>
      <c r="H1579">
        <v>6.63</v>
      </c>
      <c r="I1579">
        <v>6.7277659999999999</v>
      </c>
      <c r="J1579">
        <v>8.8800000000000008</v>
      </c>
      <c r="K1579">
        <v>44</v>
      </c>
      <c r="M1579">
        <v>0</v>
      </c>
      <c r="N1579" s="2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779</v>
      </c>
      <c r="U1579" s="2">
        <v>6917.52</v>
      </c>
      <c r="V1579">
        <v>17</v>
      </c>
      <c r="W1579" t="s">
        <v>59</v>
      </c>
      <c r="X1579" t="str">
        <f>IF(Table2[[#This Row],[Qty available]]&gt;Table2[[#This Row],[Qty on hand]],"Check","OK")</f>
        <v>OK</v>
      </c>
    </row>
    <row r="1580" spans="1:24" x14ac:dyDescent="0.3">
      <c r="A1580" t="s">
        <v>191</v>
      </c>
      <c r="B1580" t="s">
        <v>192</v>
      </c>
      <c r="C1580" t="s">
        <v>57</v>
      </c>
      <c r="D1580" t="s">
        <v>58</v>
      </c>
      <c r="E1580" t="s">
        <v>27</v>
      </c>
      <c r="F1580" s="1" t="s">
        <v>47</v>
      </c>
      <c r="G1580" s="2">
        <v>6.74</v>
      </c>
      <c r="H1580">
        <v>6.74</v>
      </c>
      <c r="I1580">
        <v>6.74</v>
      </c>
      <c r="J1580">
        <v>8.8800000000000008</v>
      </c>
      <c r="K1580">
        <v>44</v>
      </c>
      <c r="L1580" s="2">
        <v>38</v>
      </c>
      <c r="M1580">
        <v>1551</v>
      </c>
      <c r="N1580" s="2">
        <v>1233</v>
      </c>
      <c r="O1580">
        <v>8310.42</v>
      </c>
      <c r="P1580">
        <v>137</v>
      </c>
      <c r="Q1580">
        <v>1096</v>
      </c>
      <c r="R1580">
        <v>8.7799999999999994</v>
      </c>
      <c r="S1580">
        <v>0</v>
      </c>
      <c r="T1580">
        <v>318</v>
      </c>
      <c r="U1580" s="2">
        <v>2823.84</v>
      </c>
      <c r="V1580">
        <v>0</v>
      </c>
      <c r="W1580" t="s">
        <v>29</v>
      </c>
      <c r="X1580" t="str">
        <f>IF(Table2[[#This Row],[Qty available]]&gt;Table2[[#This Row],[Qty on hand]],"Check","OK")</f>
        <v>OK</v>
      </c>
    </row>
    <row r="1581" spans="1:24" x14ac:dyDescent="0.3">
      <c r="A1581" t="s">
        <v>191</v>
      </c>
      <c r="B1581" t="s">
        <v>192</v>
      </c>
      <c r="C1581" t="s">
        <v>57</v>
      </c>
      <c r="D1581" t="s">
        <v>58</v>
      </c>
      <c r="E1581" t="s">
        <v>27</v>
      </c>
      <c r="F1581" s="1" t="s">
        <v>48</v>
      </c>
      <c r="G1581" s="2">
        <v>6.61</v>
      </c>
      <c r="H1581">
        <v>6.61</v>
      </c>
      <c r="I1581">
        <v>6.7057549999999999</v>
      </c>
      <c r="J1581">
        <v>8.8800000000000008</v>
      </c>
      <c r="K1581">
        <v>44</v>
      </c>
      <c r="L1581" s="2">
        <v>38</v>
      </c>
      <c r="M1581">
        <v>441</v>
      </c>
      <c r="N1581" s="2">
        <v>954</v>
      </c>
      <c r="O1581">
        <v>6397.29</v>
      </c>
      <c r="P1581">
        <v>59</v>
      </c>
      <c r="Q1581">
        <v>895</v>
      </c>
      <c r="R1581">
        <v>6.68</v>
      </c>
      <c r="S1581">
        <v>0</v>
      </c>
      <c r="T1581">
        <v>720</v>
      </c>
      <c r="U1581" s="2">
        <v>6393.6</v>
      </c>
      <c r="V1581">
        <v>0</v>
      </c>
      <c r="W1581" t="s">
        <v>29</v>
      </c>
      <c r="X1581" t="str">
        <f>IF(Table2[[#This Row],[Qty available]]&gt;Table2[[#This Row],[Qty on hand]],"Check","OK")</f>
        <v>OK</v>
      </c>
    </row>
    <row r="1582" spans="1:24" x14ac:dyDescent="0.3">
      <c r="A1582" t="s">
        <v>191</v>
      </c>
      <c r="B1582" t="s">
        <v>192</v>
      </c>
      <c r="C1582" t="s">
        <v>57</v>
      </c>
      <c r="D1582" t="s">
        <v>58</v>
      </c>
      <c r="E1582" t="s">
        <v>27</v>
      </c>
      <c r="F1582" s="1" t="s">
        <v>49</v>
      </c>
      <c r="G1582" s="2">
        <v>6.75</v>
      </c>
      <c r="H1582">
        <v>6.75</v>
      </c>
      <c r="I1582">
        <v>6.705756</v>
      </c>
      <c r="J1582">
        <v>8.8800000000000008</v>
      </c>
      <c r="K1582">
        <v>44</v>
      </c>
      <c r="M1582">
        <v>0</v>
      </c>
      <c r="N1582" s="2">
        <v>377</v>
      </c>
      <c r="O1582">
        <v>2528.0700000000002</v>
      </c>
      <c r="P1582">
        <v>98</v>
      </c>
      <c r="Q1582">
        <v>279</v>
      </c>
      <c r="R1582">
        <v>3.07</v>
      </c>
      <c r="S1582">
        <v>0</v>
      </c>
      <c r="T1582">
        <v>577</v>
      </c>
      <c r="U1582" s="2">
        <v>5123.76</v>
      </c>
      <c r="V1582">
        <v>0</v>
      </c>
      <c r="W1582" t="s">
        <v>29</v>
      </c>
      <c r="X1582" t="str">
        <f>IF(Table2[[#This Row],[Qty available]]&gt;Table2[[#This Row],[Qty on hand]],"Check","OK")</f>
        <v>OK</v>
      </c>
    </row>
    <row r="1583" spans="1:24" x14ac:dyDescent="0.3">
      <c r="A1583" t="s">
        <v>191</v>
      </c>
      <c r="B1583" t="s">
        <v>192</v>
      </c>
      <c r="C1583" t="s">
        <v>57</v>
      </c>
      <c r="D1583" t="s">
        <v>58</v>
      </c>
      <c r="E1583" t="s">
        <v>27</v>
      </c>
      <c r="F1583" s="1" t="s">
        <v>50</v>
      </c>
      <c r="G1583" s="2">
        <v>6.69</v>
      </c>
      <c r="H1583">
        <v>6.69</v>
      </c>
      <c r="I1583">
        <v>6.705756</v>
      </c>
      <c r="J1583">
        <v>8.8800000000000008</v>
      </c>
      <c r="K1583">
        <v>44</v>
      </c>
      <c r="M1583">
        <v>0</v>
      </c>
      <c r="N1583" s="2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377</v>
      </c>
      <c r="U1583" s="2">
        <v>3347.76</v>
      </c>
      <c r="V1583">
        <v>418</v>
      </c>
      <c r="W1583" t="s">
        <v>59</v>
      </c>
      <c r="X1583" t="str">
        <f>IF(Table2[[#This Row],[Qty available]]&gt;Table2[[#This Row],[Qty on hand]],"Check","OK")</f>
        <v>OK</v>
      </c>
    </row>
    <row r="1584" spans="1:24" x14ac:dyDescent="0.3">
      <c r="A1584" t="s">
        <v>191</v>
      </c>
      <c r="B1584" t="s">
        <v>192</v>
      </c>
      <c r="C1584" t="s">
        <v>57</v>
      </c>
      <c r="D1584" t="s">
        <v>58</v>
      </c>
      <c r="E1584" t="s">
        <v>27</v>
      </c>
      <c r="F1584" s="1" t="s">
        <v>51</v>
      </c>
      <c r="G1584" s="2">
        <v>6.68</v>
      </c>
      <c r="H1584">
        <v>6.68</v>
      </c>
      <c r="I1584">
        <v>6.68</v>
      </c>
      <c r="J1584">
        <v>8.8800000000000008</v>
      </c>
      <c r="K1584">
        <v>44</v>
      </c>
      <c r="L1584" s="2">
        <v>40</v>
      </c>
      <c r="M1584">
        <v>2065</v>
      </c>
      <c r="N1584" s="2">
        <v>1395</v>
      </c>
      <c r="O1584">
        <v>9318.6</v>
      </c>
      <c r="P1584">
        <v>157</v>
      </c>
      <c r="Q1584">
        <v>1238</v>
      </c>
      <c r="R1584">
        <v>11.29</v>
      </c>
      <c r="S1584">
        <v>3</v>
      </c>
      <c r="T1584">
        <v>670</v>
      </c>
      <c r="U1584" s="2">
        <v>5949.6</v>
      </c>
      <c r="V1584">
        <v>0</v>
      </c>
      <c r="W1584" t="s">
        <v>29</v>
      </c>
      <c r="X1584" t="str">
        <f>IF(Table2[[#This Row],[Qty available]]&gt;Table2[[#This Row],[Qty on hand]],"Check","OK")</f>
        <v>OK</v>
      </c>
    </row>
    <row r="1585" spans="1:24" x14ac:dyDescent="0.3">
      <c r="A1585" t="s">
        <v>191</v>
      </c>
      <c r="B1585" t="s">
        <v>192</v>
      </c>
      <c r="C1585" t="s">
        <v>57</v>
      </c>
      <c r="D1585" t="s">
        <v>58</v>
      </c>
      <c r="E1585" t="s">
        <v>27</v>
      </c>
      <c r="F1585" s="1" t="s">
        <v>52</v>
      </c>
      <c r="G1585" s="2">
        <v>6.66</v>
      </c>
      <c r="H1585">
        <v>6.66</v>
      </c>
      <c r="I1585">
        <v>6.68</v>
      </c>
      <c r="J1585">
        <v>8.8800000000000008</v>
      </c>
      <c r="K1585">
        <v>44</v>
      </c>
      <c r="M1585">
        <v>0</v>
      </c>
      <c r="N1585" s="2">
        <v>517</v>
      </c>
      <c r="O1585">
        <v>3453.56</v>
      </c>
      <c r="P1585">
        <v>176</v>
      </c>
      <c r="Q1585">
        <v>341</v>
      </c>
      <c r="R1585">
        <v>3.53</v>
      </c>
      <c r="S1585">
        <v>0</v>
      </c>
      <c r="T1585">
        <v>878</v>
      </c>
      <c r="U1585" s="2">
        <v>7796.64</v>
      </c>
      <c r="V1585">
        <v>0</v>
      </c>
      <c r="W1585" t="s">
        <v>29</v>
      </c>
      <c r="X1585" t="str">
        <f>IF(Table2[[#This Row],[Qty available]]&gt;Table2[[#This Row],[Qty on hand]],"Check","OK")</f>
        <v>OK</v>
      </c>
    </row>
    <row r="1586" spans="1:24" x14ac:dyDescent="0.3">
      <c r="A1586" t="s">
        <v>193</v>
      </c>
      <c r="B1586" t="s">
        <v>194</v>
      </c>
      <c r="C1586" t="s">
        <v>77</v>
      </c>
      <c r="D1586" t="s">
        <v>78</v>
      </c>
      <c r="E1586" t="s">
        <v>27</v>
      </c>
      <c r="F1586" s="1" t="s">
        <v>28</v>
      </c>
      <c r="G1586" s="2">
        <v>35.54</v>
      </c>
      <c r="H1586">
        <v>35.54</v>
      </c>
      <c r="I1586">
        <v>35.887832000000003</v>
      </c>
      <c r="J1586">
        <v>48.31</v>
      </c>
      <c r="K1586">
        <v>42</v>
      </c>
      <c r="L1586" s="2">
        <v>73</v>
      </c>
      <c r="M1586">
        <v>232</v>
      </c>
      <c r="N1586" s="2">
        <v>309</v>
      </c>
      <c r="O1586">
        <v>11089.34</v>
      </c>
      <c r="P1586">
        <v>51</v>
      </c>
      <c r="Q1586">
        <v>258</v>
      </c>
      <c r="R1586">
        <v>8.06</v>
      </c>
      <c r="S1586">
        <v>0</v>
      </c>
      <c r="T1586">
        <v>154</v>
      </c>
      <c r="U1586" s="2">
        <v>7439.74</v>
      </c>
      <c r="V1586">
        <v>0</v>
      </c>
      <c r="W1586" t="s">
        <v>29</v>
      </c>
      <c r="X1586" t="str">
        <f>IF(Table2[[#This Row],[Qty available]]&gt;Table2[[#This Row],[Qty on hand]],"Check","OK")</f>
        <v>OK</v>
      </c>
    </row>
    <row r="1587" spans="1:24" x14ac:dyDescent="0.3">
      <c r="A1587" t="s">
        <v>193</v>
      </c>
      <c r="B1587" t="s">
        <v>194</v>
      </c>
      <c r="C1587" t="s">
        <v>77</v>
      </c>
      <c r="D1587" t="s">
        <v>78</v>
      </c>
      <c r="E1587" t="s">
        <v>27</v>
      </c>
      <c r="F1587" s="1" t="s">
        <v>30</v>
      </c>
      <c r="G1587" s="2">
        <v>36.14</v>
      </c>
      <c r="H1587">
        <v>36.14</v>
      </c>
      <c r="I1587">
        <v>35.951320000000003</v>
      </c>
      <c r="J1587">
        <v>48.31</v>
      </c>
      <c r="K1587">
        <v>42</v>
      </c>
      <c r="L1587" s="2">
        <v>65</v>
      </c>
      <c r="M1587">
        <v>104</v>
      </c>
      <c r="N1587" s="2">
        <v>394</v>
      </c>
      <c r="O1587">
        <v>14164.82</v>
      </c>
      <c r="P1587">
        <v>28</v>
      </c>
      <c r="Q1587">
        <v>366</v>
      </c>
      <c r="R1587">
        <v>12.51</v>
      </c>
      <c r="S1587">
        <v>3</v>
      </c>
      <c r="T1587">
        <v>19</v>
      </c>
      <c r="U1587" s="2">
        <v>917.89</v>
      </c>
      <c r="V1587">
        <v>0</v>
      </c>
      <c r="W1587" t="s">
        <v>29</v>
      </c>
      <c r="X1587" t="str">
        <f>IF(Table2[[#This Row],[Qty available]]&gt;Table2[[#This Row],[Qty on hand]],"Check","OK")</f>
        <v>OK</v>
      </c>
    </row>
    <row r="1588" spans="1:24" x14ac:dyDescent="0.3">
      <c r="A1588" t="s">
        <v>193</v>
      </c>
      <c r="B1588" t="s">
        <v>194</v>
      </c>
      <c r="C1588" t="s">
        <v>77</v>
      </c>
      <c r="D1588" t="s">
        <v>78</v>
      </c>
      <c r="E1588" t="s">
        <v>27</v>
      </c>
      <c r="F1588" s="1" t="s">
        <v>31</v>
      </c>
      <c r="G1588" s="2">
        <v>35.369999999999997</v>
      </c>
      <c r="H1588">
        <v>35.369999999999997</v>
      </c>
      <c r="I1588">
        <v>35.671773999999999</v>
      </c>
      <c r="J1588">
        <v>48.31</v>
      </c>
      <c r="K1588">
        <v>42</v>
      </c>
      <c r="L1588" s="2">
        <v>39</v>
      </c>
      <c r="M1588">
        <v>365</v>
      </c>
      <c r="N1588" s="2">
        <v>592</v>
      </c>
      <c r="O1588">
        <v>21117.69</v>
      </c>
      <c r="P1588">
        <v>40</v>
      </c>
      <c r="Q1588">
        <v>552</v>
      </c>
      <c r="R1588">
        <v>22.64</v>
      </c>
      <c r="S1588">
        <v>0</v>
      </c>
      <c r="T1588">
        <v>167</v>
      </c>
      <c r="U1588" s="2">
        <v>8067.77</v>
      </c>
      <c r="V1588">
        <v>0</v>
      </c>
      <c r="W1588" t="s">
        <v>29</v>
      </c>
      <c r="X1588" t="str">
        <f>IF(Table2[[#This Row],[Qty available]]&gt;Table2[[#This Row],[Qty on hand]],"Check","OK")</f>
        <v>OK</v>
      </c>
    </row>
    <row r="1589" spans="1:24" x14ac:dyDescent="0.3">
      <c r="A1589" t="s">
        <v>193</v>
      </c>
      <c r="B1589" t="s">
        <v>194</v>
      </c>
      <c r="C1589" t="s">
        <v>77</v>
      </c>
      <c r="D1589" t="s">
        <v>78</v>
      </c>
      <c r="E1589" t="s">
        <v>27</v>
      </c>
      <c r="F1589" s="1" t="s">
        <v>32</v>
      </c>
      <c r="G1589" s="2">
        <v>35.590000000000003</v>
      </c>
      <c r="H1589">
        <v>35.590000000000003</v>
      </c>
      <c r="I1589">
        <v>35.659961000000003</v>
      </c>
      <c r="J1589">
        <v>48.31</v>
      </c>
      <c r="K1589">
        <v>42</v>
      </c>
      <c r="L1589" s="2">
        <v>36</v>
      </c>
      <c r="M1589">
        <v>100</v>
      </c>
      <c r="N1589" s="2">
        <v>516</v>
      </c>
      <c r="O1589">
        <v>18400.54</v>
      </c>
      <c r="P1589">
        <v>45</v>
      </c>
      <c r="Q1589">
        <v>471</v>
      </c>
      <c r="R1589">
        <v>18.73</v>
      </c>
      <c r="S1589">
        <v>0</v>
      </c>
      <c r="T1589">
        <v>176</v>
      </c>
      <c r="U1589" s="2">
        <v>8502.56</v>
      </c>
      <c r="V1589">
        <v>0</v>
      </c>
      <c r="W1589" t="s">
        <v>29</v>
      </c>
      <c r="X1589" t="str">
        <f>IF(Table2[[#This Row],[Qty available]]&gt;Table2[[#This Row],[Qty on hand]],"Check","OK")</f>
        <v>OK</v>
      </c>
    </row>
    <row r="1590" spans="1:24" x14ac:dyDescent="0.3">
      <c r="A1590" t="s">
        <v>193</v>
      </c>
      <c r="B1590" t="s">
        <v>194</v>
      </c>
      <c r="C1590" t="s">
        <v>77</v>
      </c>
      <c r="D1590" t="s">
        <v>78</v>
      </c>
      <c r="E1590" t="s">
        <v>27</v>
      </c>
      <c r="F1590" s="1" t="s">
        <v>33</v>
      </c>
      <c r="G1590" s="2">
        <v>36.659999999999997</v>
      </c>
      <c r="H1590">
        <v>36.659999999999997</v>
      </c>
      <c r="I1590">
        <v>35.659967999999999</v>
      </c>
      <c r="J1590">
        <v>48.31</v>
      </c>
      <c r="K1590">
        <v>42</v>
      </c>
      <c r="M1590">
        <v>0</v>
      </c>
      <c r="N1590" s="2">
        <v>312</v>
      </c>
      <c r="O1590">
        <v>11125.91</v>
      </c>
      <c r="P1590">
        <v>11</v>
      </c>
      <c r="Q1590">
        <v>301</v>
      </c>
      <c r="R1590">
        <v>7.5</v>
      </c>
      <c r="S1590">
        <v>2</v>
      </c>
      <c r="T1590">
        <v>204</v>
      </c>
      <c r="U1590" s="2">
        <v>9855.24</v>
      </c>
      <c r="V1590">
        <v>0</v>
      </c>
      <c r="W1590" t="s">
        <v>29</v>
      </c>
      <c r="X1590" t="str">
        <f>IF(Table2[[#This Row],[Qty available]]&gt;Table2[[#This Row],[Qty on hand]],"Check","OK")</f>
        <v>OK</v>
      </c>
    </row>
    <row r="1591" spans="1:24" x14ac:dyDescent="0.3">
      <c r="A1591" t="s">
        <v>193</v>
      </c>
      <c r="B1591" t="s">
        <v>194</v>
      </c>
      <c r="C1591" t="s">
        <v>77</v>
      </c>
      <c r="D1591" t="s">
        <v>78</v>
      </c>
      <c r="E1591" t="s">
        <v>27</v>
      </c>
      <c r="F1591" s="1" t="s">
        <v>34</v>
      </c>
      <c r="G1591" s="2">
        <v>36.22</v>
      </c>
      <c r="H1591">
        <v>36.22</v>
      </c>
      <c r="I1591">
        <v>35.845050999999998</v>
      </c>
      <c r="J1591">
        <v>51.15</v>
      </c>
      <c r="K1591">
        <v>42</v>
      </c>
      <c r="L1591" s="2">
        <v>65</v>
      </c>
      <c r="M1591">
        <v>154</v>
      </c>
      <c r="N1591" s="2">
        <v>297</v>
      </c>
      <c r="O1591">
        <v>10645.98</v>
      </c>
      <c r="P1591">
        <v>56</v>
      </c>
      <c r="Q1591">
        <v>241</v>
      </c>
      <c r="R1591">
        <v>6.96</v>
      </c>
      <c r="S1591">
        <v>2</v>
      </c>
      <c r="T1591">
        <v>169</v>
      </c>
      <c r="U1591" s="2">
        <v>8644.35</v>
      </c>
      <c r="V1591">
        <v>0</v>
      </c>
      <c r="W1591" t="s">
        <v>29</v>
      </c>
      <c r="X1591" t="str">
        <f>IF(Table2[[#This Row],[Qty available]]&gt;Table2[[#This Row],[Qty on hand]],"Check","OK")</f>
        <v>OK</v>
      </c>
    </row>
    <row r="1592" spans="1:24" x14ac:dyDescent="0.3">
      <c r="A1592" t="s">
        <v>193</v>
      </c>
      <c r="B1592" t="s">
        <v>194</v>
      </c>
      <c r="C1592" t="s">
        <v>77</v>
      </c>
      <c r="D1592" t="s">
        <v>78</v>
      </c>
      <c r="E1592" t="s">
        <v>27</v>
      </c>
      <c r="F1592" s="1" t="s">
        <v>35</v>
      </c>
      <c r="G1592" s="2">
        <v>38.75</v>
      </c>
      <c r="H1592">
        <v>38.75</v>
      </c>
      <c r="I1592">
        <v>37.458427</v>
      </c>
      <c r="J1592">
        <v>51.15</v>
      </c>
      <c r="K1592">
        <v>42</v>
      </c>
      <c r="L1592" s="2">
        <v>38</v>
      </c>
      <c r="M1592">
        <v>371</v>
      </c>
      <c r="N1592" s="2">
        <v>534</v>
      </c>
      <c r="O1592">
        <v>20002.8</v>
      </c>
      <c r="P1592">
        <v>17</v>
      </c>
      <c r="Q1592">
        <v>517</v>
      </c>
      <c r="R1592">
        <v>13.54</v>
      </c>
      <c r="S1592">
        <v>0</v>
      </c>
      <c r="T1592">
        <v>134</v>
      </c>
      <c r="U1592" s="2">
        <v>6854.1</v>
      </c>
      <c r="V1592">
        <v>0</v>
      </c>
      <c r="W1592" t="s">
        <v>29</v>
      </c>
      <c r="X1592" t="str">
        <f>IF(Table2[[#This Row],[Qty available]]&gt;Table2[[#This Row],[Qty on hand]],"Check","OK")</f>
        <v>OK</v>
      </c>
    </row>
    <row r="1593" spans="1:24" x14ac:dyDescent="0.3">
      <c r="A1593" t="s">
        <v>193</v>
      </c>
      <c r="B1593" t="s">
        <v>194</v>
      </c>
      <c r="C1593" t="s">
        <v>77</v>
      </c>
      <c r="D1593" t="s">
        <v>78</v>
      </c>
      <c r="E1593" t="s">
        <v>27</v>
      </c>
      <c r="F1593" s="1" t="s">
        <v>36</v>
      </c>
      <c r="G1593" s="2">
        <v>38.44</v>
      </c>
      <c r="H1593">
        <v>38.44</v>
      </c>
      <c r="I1593">
        <v>37.458416</v>
      </c>
      <c r="J1593">
        <v>51.15</v>
      </c>
      <c r="K1593">
        <v>42</v>
      </c>
      <c r="M1593">
        <v>0</v>
      </c>
      <c r="N1593" s="2">
        <v>423</v>
      </c>
      <c r="O1593">
        <v>15844.91</v>
      </c>
      <c r="P1593">
        <v>34</v>
      </c>
      <c r="Q1593">
        <v>389</v>
      </c>
      <c r="R1593">
        <v>12.99</v>
      </c>
      <c r="S1593">
        <v>0</v>
      </c>
      <c r="T1593">
        <v>111</v>
      </c>
      <c r="U1593" s="2">
        <v>5677.65</v>
      </c>
      <c r="V1593">
        <v>0</v>
      </c>
      <c r="W1593" t="s">
        <v>29</v>
      </c>
      <c r="X1593" t="str">
        <f>IF(Table2[[#This Row],[Qty available]]&gt;Table2[[#This Row],[Qty on hand]],"Check","OK")</f>
        <v>OK</v>
      </c>
    </row>
    <row r="1594" spans="1:24" x14ac:dyDescent="0.3">
      <c r="A1594" t="s">
        <v>193</v>
      </c>
      <c r="B1594" t="s">
        <v>194</v>
      </c>
      <c r="C1594" t="s">
        <v>77</v>
      </c>
      <c r="D1594" t="s">
        <v>78</v>
      </c>
      <c r="E1594" t="s">
        <v>27</v>
      </c>
      <c r="F1594" s="1" t="s">
        <v>37</v>
      </c>
      <c r="G1594" s="2">
        <v>37.79</v>
      </c>
      <c r="H1594">
        <v>37.79</v>
      </c>
      <c r="I1594">
        <v>37.557772</v>
      </c>
      <c r="J1594">
        <v>51.15</v>
      </c>
      <c r="K1594">
        <v>42</v>
      </c>
      <c r="L1594" s="2">
        <v>38</v>
      </c>
      <c r="M1594">
        <v>181</v>
      </c>
      <c r="N1594" s="2">
        <v>413</v>
      </c>
      <c r="O1594">
        <v>15511.36</v>
      </c>
      <c r="P1594">
        <v>28</v>
      </c>
      <c r="Q1594">
        <v>385</v>
      </c>
      <c r="R1594">
        <v>12.45</v>
      </c>
      <c r="S1594">
        <v>0</v>
      </c>
      <c r="T1594">
        <v>191</v>
      </c>
      <c r="U1594" s="2">
        <v>9769.65</v>
      </c>
      <c r="V1594">
        <v>0</v>
      </c>
      <c r="W1594" t="s">
        <v>29</v>
      </c>
      <c r="X1594" t="str">
        <f>IF(Table2[[#This Row],[Qty available]]&gt;Table2[[#This Row],[Qty on hand]],"Check","OK")</f>
        <v>OK</v>
      </c>
    </row>
    <row r="1595" spans="1:24" x14ac:dyDescent="0.3">
      <c r="A1595" t="s">
        <v>193</v>
      </c>
      <c r="B1595" t="s">
        <v>194</v>
      </c>
      <c r="C1595" t="s">
        <v>77</v>
      </c>
      <c r="D1595" t="s">
        <v>78</v>
      </c>
      <c r="E1595" t="s">
        <v>27</v>
      </c>
      <c r="F1595" s="1" t="s">
        <v>38</v>
      </c>
      <c r="G1595" s="2">
        <v>37.630000000000003</v>
      </c>
      <c r="H1595">
        <v>37.630000000000003</v>
      </c>
      <c r="I1595">
        <v>37.557760999999999</v>
      </c>
      <c r="J1595">
        <v>51.15</v>
      </c>
      <c r="K1595">
        <v>42</v>
      </c>
      <c r="M1595">
        <v>0</v>
      </c>
      <c r="N1595" s="2">
        <v>134</v>
      </c>
      <c r="O1595">
        <v>5032.74</v>
      </c>
      <c r="P1595">
        <v>56</v>
      </c>
      <c r="Q1595">
        <v>78</v>
      </c>
      <c r="R1595">
        <v>3</v>
      </c>
      <c r="S1595">
        <v>1</v>
      </c>
      <c r="T1595">
        <v>279</v>
      </c>
      <c r="U1595" s="2">
        <v>14270.85</v>
      </c>
      <c r="V1595">
        <v>0</v>
      </c>
      <c r="W1595" t="s">
        <v>29</v>
      </c>
      <c r="X1595" t="str">
        <f>IF(Table2[[#This Row],[Qty available]]&gt;Table2[[#This Row],[Qty on hand]],"Check","OK")</f>
        <v>OK</v>
      </c>
    </row>
    <row r="1596" spans="1:24" x14ac:dyDescent="0.3">
      <c r="A1596" t="s">
        <v>193</v>
      </c>
      <c r="B1596" t="s">
        <v>194</v>
      </c>
      <c r="C1596" t="s">
        <v>77</v>
      </c>
      <c r="D1596" t="s">
        <v>78</v>
      </c>
      <c r="E1596" t="s">
        <v>27</v>
      </c>
      <c r="F1596" s="1" t="s">
        <v>39</v>
      </c>
      <c r="G1596" s="2">
        <v>37.68</v>
      </c>
      <c r="H1596">
        <v>37.68</v>
      </c>
      <c r="I1596">
        <v>37.643929999999997</v>
      </c>
      <c r="J1596">
        <v>51.15</v>
      </c>
      <c r="K1596">
        <v>42</v>
      </c>
      <c r="L1596" s="2">
        <v>40</v>
      </c>
      <c r="M1596">
        <v>320</v>
      </c>
      <c r="N1596" s="2">
        <v>285</v>
      </c>
      <c r="O1596">
        <v>10728.52</v>
      </c>
      <c r="P1596">
        <v>51</v>
      </c>
      <c r="Q1596">
        <v>234</v>
      </c>
      <c r="R1596">
        <v>5.86</v>
      </c>
      <c r="S1596">
        <v>0</v>
      </c>
      <c r="T1596">
        <v>169</v>
      </c>
      <c r="U1596" s="2">
        <v>8644.35</v>
      </c>
      <c r="V1596">
        <v>0</v>
      </c>
      <c r="W1596" t="s">
        <v>29</v>
      </c>
      <c r="X1596" t="str">
        <f>IF(Table2[[#This Row],[Qty available]]&gt;Table2[[#This Row],[Qty on hand]],"Check","OK")</f>
        <v>OK</v>
      </c>
    </row>
    <row r="1597" spans="1:24" x14ac:dyDescent="0.3">
      <c r="A1597" t="s">
        <v>193</v>
      </c>
      <c r="B1597" t="s">
        <v>194</v>
      </c>
      <c r="C1597" t="s">
        <v>77</v>
      </c>
      <c r="D1597" t="s">
        <v>78</v>
      </c>
      <c r="E1597" t="s">
        <v>27</v>
      </c>
      <c r="F1597" s="1" t="s">
        <v>40</v>
      </c>
      <c r="G1597" s="2">
        <v>38.46</v>
      </c>
      <c r="H1597">
        <v>38.46</v>
      </c>
      <c r="I1597">
        <v>38.021984000000003</v>
      </c>
      <c r="J1597">
        <v>51.15</v>
      </c>
      <c r="K1597">
        <v>42</v>
      </c>
      <c r="L1597" s="2">
        <v>37</v>
      </c>
      <c r="M1597">
        <v>246</v>
      </c>
      <c r="N1597" s="2">
        <v>368</v>
      </c>
      <c r="O1597">
        <v>13992.09</v>
      </c>
      <c r="P1597">
        <v>23</v>
      </c>
      <c r="Q1597">
        <v>345</v>
      </c>
      <c r="R1597">
        <v>7.92</v>
      </c>
      <c r="S1597">
        <v>1</v>
      </c>
      <c r="T1597">
        <v>163</v>
      </c>
      <c r="U1597" s="2">
        <v>8337.4500000000007</v>
      </c>
      <c r="V1597">
        <v>0</v>
      </c>
      <c r="W1597" t="s">
        <v>29</v>
      </c>
      <c r="X1597" t="str">
        <f>IF(Table2[[#This Row],[Qty available]]&gt;Table2[[#This Row],[Qty on hand]],"Check","OK")</f>
        <v>OK</v>
      </c>
    </row>
    <row r="1598" spans="1:24" x14ac:dyDescent="0.3">
      <c r="A1598" t="s">
        <v>193</v>
      </c>
      <c r="B1598" t="s">
        <v>194</v>
      </c>
      <c r="C1598" t="s">
        <v>77</v>
      </c>
      <c r="D1598" t="s">
        <v>78</v>
      </c>
      <c r="E1598" t="s">
        <v>27</v>
      </c>
      <c r="F1598" s="1" t="s">
        <v>41</v>
      </c>
      <c r="G1598" s="2">
        <v>38.5</v>
      </c>
      <c r="H1598">
        <v>38.5</v>
      </c>
      <c r="I1598">
        <v>38.021979999999999</v>
      </c>
      <c r="J1598">
        <v>51.15</v>
      </c>
      <c r="K1598">
        <v>42</v>
      </c>
      <c r="M1598">
        <v>0</v>
      </c>
      <c r="N1598" s="2">
        <v>197</v>
      </c>
      <c r="O1598">
        <v>7490.33</v>
      </c>
      <c r="P1598">
        <v>11</v>
      </c>
      <c r="Q1598">
        <v>186</v>
      </c>
      <c r="R1598">
        <v>5.15</v>
      </c>
      <c r="S1598">
        <v>2</v>
      </c>
      <c r="T1598">
        <v>171</v>
      </c>
      <c r="U1598" s="2">
        <v>8746.65</v>
      </c>
      <c r="V1598">
        <v>0</v>
      </c>
      <c r="W1598" t="s">
        <v>29</v>
      </c>
      <c r="X1598" t="str">
        <f>IF(Table2[[#This Row],[Qty available]]&gt;Table2[[#This Row],[Qty on hand]],"Check","OK")</f>
        <v>OK</v>
      </c>
    </row>
    <row r="1599" spans="1:24" x14ac:dyDescent="0.3">
      <c r="A1599" t="s">
        <v>193</v>
      </c>
      <c r="B1599" t="s">
        <v>194</v>
      </c>
      <c r="C1599" t="s">
        <v>77</v>
      </c>
      <c r="D1599" t="s">
        <v>78</v>
      </c>
      <c r="E1599" t="s">
        <v>27</v>
      </c>
      <c r="F1599" s="1" t="s">
        <v>42</v>
      </c>
      <c r="G1599" s="2">
        <v>38.11</v>
      </c>
      <c r="H1599">
        <v>38.11</v>
      </c>
      <c r="I1599">
        <v>38.086157999999998</v>
      </c>
      <c r="J1599">
        <v>51.15</v>
      </c>
      <c r="K1599">
        <v>42</v>
      </c>
      <c r="L1599" s="2">
        <v>41</v>
      </c>
      <c r="M1599">
        <v>530</v>
      </c>
      <c r="N1599" s="2">
        <v>354</v>
      </c>
      <c r="O1599">
        <v>13482.5</v>
      </c>
      <c r="P1599">
        <v>28</v>
      </c>
      <c r="Q1599">
        <v>326</v>
      </c>
      <c r="R1599">
        <v>6.58</v>
      </c>
      <c r="S1599">
        <v>0</v>
      </c>
      <c r="T1599">
        <v>373</v>
      </c>
      <c r="U1599" s="2">
        <v>19078.95</v>
      </c>
      <c r="V1599">
        <v>0</v>
      </c>
      <c r="W1599" t="s">
        <v>29</v>
      </c>
      <c r="X1599" t="str">
        <f>IF(Table2[[#This Row],[Qty available]]&gt;Table2[[#This Row],[Qty on hand]],"Check","OK")</f>
        <v>OK</v>
      </c>
    </row>
    <row r="1600" spans="1:24" x14ac:dyDescent="0.3">
      <c r="A1600" t="s">
        <v>193</v>
      </c>
      <c r="B1600" t="s">
        <v>194</v>
      </c>
      <c r="C1600" t="s">
        <v>77</v>
      </c>
      <c r="D1600" t="s">
        <v>78</v>
      </c>
      <c r="E1600" t="s">
        <v>27</v>
      </c>
      <c r="F1600" s="1" t="s">
        <v>43</v>
      </c>
      <c r="G1600" s="2">
        <v>38.83</v>
      </c>
      <c r="H1600">
        <v>38.83</v>
      </c>
      <c r="I1600">
        <v>38.086139000000003</v>
      </c>
      <c r="J1600">
        <v>51.15</v>
      </c>
      <c r="K1600">
        <v>42</v>
      </c>
      <c r="M1600">
        <v>0</v>
      </c>
      <c r="N1600" s="2">
        <v>202</v>
      </c>
      <c r="O1600">
        <v>7693.4</v>
      </c>
      <c r="P1600">
        <v>45</v>
      </c>
      <c r="Q1600">
        <v>157</v>
      </c>
      <c r="R1600">
        <v>3.77</v>
      </c>
      <c r="S1600">
        <v>2</v>
      </c>
      <c r="T1600">
        <v>152</v>
      </c>
      <c r="U1600" s="2">
        <v>7774.8</v>
      </c>
      <c r="V1600">
        <v>0</v>
      </c>
      <c r="W1600" t="s">
        <v>29</v>
      </c>
      <c r="X1600" t="str">
        <f>IF(Table2[[#This Row],[Qty available]]&gt;Table2[[#This Row],[Qty on hand]],"Check","OK")</f>
        <v>OK</v>
      </c>
    </row>
    <row r="1601" spans="1:24" x14ac:dyDescent="0.3">
      <c r="A1601" t="s">
        <v>193</v>
      </c>
      <c r="B1601" t="s">
        <v>194</v>
      </c>
      <c r="C1601" t="s">
        <v>77</v>
      </c>
      <c r="D1601" t="s">
        <v>78</v>
      </c>
      <c r="E1601" t="s">
        <v>27</v>
      </c>
      <c r="F1601" s="1" t="s">
        <v>44</v>
      </c>
      <c r="G1601" s="2">
        <v>37.75</v>
      </c>
      <c r="H1601">
        <v>37.75</v>
      </c>
      <c r="I1601">
        <v>37.924999999999997</v>
      </c>
      <c r="J1601">
        <v>51.15</v>
      </c>
      <c r="K1601">
        <v>42</v>
      </c>
      <c r="L1601" s="2">
        <v>69</v>
      </c>
      <c r="M1601">
        <v>186</v>
      </c>
      <c r="N1601" s="2">
        <v>162</v>
      </c>
      <c r="O1601">
        <v>6143.85</v>
      </c>
      <c r="P1601">
        <v>28</v>
      </c>
      <c r="Q1601">
        <v>134</v>
      </c>
      <c r="R1601">
        <v>2.84</v>
      </c>
      <c r="S1601">
        <v>2</v>
      </c>
      <c r="T1601">
        <v>226</v>
      </c>
      <c r="U1601" s="2">
        <v>11559.9</v>
      </c>
      <c r="V1601">
        <v>0</v>
      </c>
      <c r="W1601" t="s">
        <v>29</v>
      </c>
      <c r="X1601" t="str">
        <f>IF(Table2[[#This Row],[Qty available]]&gt;Table2[[#This Row],[Qty on hand]],"Check","OK")</f>
        <v>OK</v>
      </c>
    </row>
    <row r="1602" spans="1:24" x14ac:dyDescent="0.3">
      <c r="A1602" t="s">
        <v>193</v>
      </c>
      <c r="B1602" t="s">
        <v>194</v>
      </c>
      <c r="C1602" t="s">
        <v>77</v>
      </c>
      <c r="D1602" t="s">
        <v>78</v>
      </c>
      <c r="E1602" t="s">
        <v>27</v>
      </c>
      <c r="F1602" s="1" t="s">
        <v>45</v>
      </c>
      <c r="G1602" s="2">
        <v>38.479999999999997</v>
      </c>
      <c r="H1602">
        <v>38.479999999999997</v>
      </c>
      <c r="I1602">
        <v>38.375574999999998</v>
      </c>
      <c r="J1602">
        <v>51.15</v>
      </c>
      <c r="K1602">
        <v>42</v>
      </c>
      <c r="L1602" s="2">
        <v>41</v>
      </c>
      <c r="M1602">
        <v>699</v>
      </c>
      <c r="N1602" s="2">
        <v>861</v>
      </c>
      <c r="O1602">
        <v>33041.370000000003</v>
      </c>
      <c r="P1602">
        <v>56</v>
      </c>
      <c r="Q1602">
        <v>805</v>
      </c>
      <c r="R1602">
        <v>29.94</v>
      </c>
      <c r="S1602">
        <v>33</v>
      </c>
      <c r="T1602">
        <v>0</v>
      </c>
      <c r="U1602" s="2">
        <v>0</v>
      </c>
      <c r="V1602">
        <v>0</v>
      </c>
      <c r="W1602" t="s">
        <v>29</v>
      </c>
      <c r="X1602" t="str">
        <f>IF(Table2[[#This Row],[Qty available]]&gt;Table2[[#This Row],[Qty on hand]],"Check","OK")</f>
        <v>OK</v>
      </c>
    </row>
    <row r="1603" spans="1:24" x14ac:dyDescent="0.3">
      <c r="A1603" t="s">
        <v>193</v>
      </c>
      <c r="B1603" t="s">
        <v>194</v>
      </c>
      <c r="C1603" t="s">
        <v>77</v>
      </c>
      <c r="D1603" t="s">
        <v>78</v>
      </c>
      <c r="E1603" t="s">
        <v>27</v>
      </c>
      <c r="F1603" s="1" t="s">
        <v>46</v>
      </c>
      <c r="G1603" s="2">
        <v>38.51</v>
      </c>
      <c r="H1603">
        <v>38.51</v>
      </c>
      <c r="I1603">
        <v>38.375574999999998</v>
      </c>
      <c r="J1603">
        <v>54.16</v>
      </c>
      <c r="K1603">
        <v>42</v>
      </c>
      <c r="M1603">
        <v>0</v>
      </c>
      <c r="N1603" s="2">
        <v>861</v>
      </c>
      <c r="O1603">
        <v>33041.370000000003</v>
      </c>
      <c r="P1603">
        <v>51</v>
      </c>
      <c r="Q1603">
        <v>810</v>
      </c>
      <c r="R1603">
        <v>48.98</v>
      </c>
      <c r="S1603">
        <v>61</v>
      </c>
      <c r="T1603">
        <v>0</v>
      </c>
      <c r="U1603" s="2">
        <v>0</v>
      </c>
      <c r="V1603">
        <v>0</v>
      </c>
      <c r="W1603" t="s">
        <v>29</v>
      </c>
      <c r="X1603" t="str">
        <f>IF(Table2[[#This Row],[Qty available]]&gt;Table2[[#This Row],[Qty on hand]],"Check","OK")</f>
        <v>OK</v>
      </c>
    </row>
    <row r="1604" spans="1:24" x14ac:dyDescent="0.3">
      <c r="A1604" t="s">
        <v>193</v>
      </c>
      <c r="B1604" t="s">
        <v>194</v>
      </c>
      <c r="C1604" t="s">
        <v>77</v>
      </c>
      <c r="D1604" t="s">
        <v>78</v>
      </c>
      <c r="E1604" t="s">
        <v>27</v>
      </c>
      <c r="F1604" s="1" t="s">
        <v>47</v>
      </c>
      <c r="G1604" s="2">
        <v>40.82</v>
      </c>
      <c r="H1604">
        <v>40.82</v>
      </c>
      <c r="I1604">
        <v>38.629938000000003</v>
      </c>
      <c r="J1604">
        <v>54.16</v>
      </c>
      <c r="K1604">
        <v>42</v>
      </c>
      <c r="L1604" s="2">
        <v>38</v>
      </c>
      <c r="M1604">
        <v>100</v>
      </c>
      <c r="N1604" s="2">
        <v>961</v>
      </c>
      <c r="O1604">
        <v>37123.370000000003</v>
      </c>
      <c r="P1604">
        <v>56</v>
      </c>
      <c r="Q1604">
        <v>905</v>
      </c>
      <c r="S1604">
        <v>92</v>
      </c>
      <c r="T1604">
        <v>0</v>
      </c>
      <c r="U1604" s="2">
        <v>0</v>
      </c>
      <c r="V1604">
        <v>0</v>
      </c>
      <c r="W1604" t="s">
        <v>29</v>
      </c>
      <c r="X1604" t="str">
        <f>IF(Table2[[#This Row],[Qty available]]&gt;Table2[[#This Row],[Qty on hand]],"Check","OK")</f>
        <v>OK</v>
      </c>
    </row>
    <row r="1605" spans="1:24" x14ac:dyDescent="0.3">
      <c r="A1605" t="s">
        <v>193</v>
      </c>
      <c r="B1605" t="s">
        <v>194</v>
      </c>
      <c r="C1605" t="s">
        <v>77</v>
      </c>
      <c r="D1605" t="s">
        <v>78</v>
      </c>
      <c r="E1605" t="s">
        <v>27</v>
      </c>
      <c r="F1605" s="1" t="s">
        <v>48</v>
      </c>
      <c r="G1605" s="2">
        <v>39.83</v>
      </c>
      <c r="H1605">
        <v>39.83</v>
      </c>
      <c r="I1605">
        <v>38.629938000000003</v>
      </c>
      <c r="J1605">
        <v>54.16</v>
      </c>
      <c r="K1605">
        <v>42</v>
      </c>
      <c r="M1605">
        <v>0</v>
      </c>
      <c r="N1605" s="2">
        <v>961</v>
      </c>
      <c r="O1605">
        <v>37123.370000000003</v>
      </c>
      <c r="P1605">
        <v>56</v>
      </c>
      <c r="Q1605">
        <v>905</v>
      </c>
      <c r="S1605">
        <v>122</v>
      </c>
      <c r="T1605">
        <v>0</v>
      </c>
      <c r="U1605" s="2">
        <v>0</v>
      </c>
      <c r="V1605">
        <v>0</v>
      </c>
      <c r="W1605" t="s">
        <v>29</v>
      </c>
      <c r="X1605" t="str">
        <f>IF(Table2[[#This Row],[Qty available]]&gt;Table2[[#This Row],[Qty on hand]],"Check","OK")</f>
        <v>OK</v>
      </c>
    </row>
    <row r="1606" spans="1:24" x14ac:dyDescent="0.3">
      <c r="A1606" t="s">
        <v>193</v>
      </c>
      <c r="B1606" t="s">
        <v>194</v>
      </c>
      <c r="C1606" t="s">
        <v>77</v>
      </c>
      <c r="D1606" t="s">
        <v>78</v>
      </c>
      <c r="E1606" t="s">
        <v>27</v>
      </c>
      <c r="F1606" s="1" t="s">
        <v>49</v>
      </c>
      <c r="G1606" s="2">
        <v>40.369999999999997</v>
      </c>
      <c r="H1606">
        <v>40.369999999999997</v>
      </c>
      <c r="I1606">
        <v>38.629938000000003</v>
      </c>
      <c r="J1606">
        <v>54.16</v>
      </c>
      <c r="K1606">
        <v>42</v>
      </c>
      <c r="M1606">
        <v>0</v>
      </c>
      <c r="N1606" s="2">
        <v>961</v>
      </c>
      <c r="O1606">
        <v>37123.370000000003</v>
      </c>
      <c r="P1606">
        <v>11</v>
      </c>
      <c r="Q1606">
        <v>950</v>
      </c>
      <c r="S1606">
        <v>153</v>
      </c>
      <c r="T1606">
        <v>0</v>
      </c>
      <c r="U1606" s="2">
        <v>0</v>
      </c>
      <c r="V1606">
        <v>0</v>
      </c>
      <c r="W1606" t="s">
        <v>29</v>
      </c>
      <c r="X1606" t="str">
        <f>IF(Table2[[#This Row],[Qty available]]&gt;Table2[[#This Row],[Qty on hand]],"Check","OK")</f>
        <v>OK</v>
      </c>
    </row>
    <row r="1607" spans="1:24" x14ac:dyDescent="0.3">
      <c r="A1607" t="s">
        <v>193</v>
      </c>
      <c r="B1607" t="s">
        <v>194</v>
      </c>
      <c r="C1607" t="s">
        <v>77</v>
      </c>
      <c r="D1607" t="s">
        <v>78</v>
      </c>
      <c r="E1607" t="s">
        <v>27</v>
      </c>
      <c r="F1607" s="1" t="s">
        <v>50</v>
      </c>
      <c r="G1607" s="2">
        <v>41.21</v>
      </c>
      <c r="H1607">
        <v>41.21</v>
      </c>
      <c r="I1607">
        <v>38.629938000000003</v>
      </c>
      <c r="J1607">
        <v>54.16</v>
      </c>
      <c r="K1607">
        <v>42</v>
      </c>
      <c r="M1607">
        <v>0</v>
      </c>
      <c r="N1607" s="2">
        <v>961</v>
      </c>
      <c r="O1607">
        <v>37123.370000000003</v>
      </c>
      <c r="P1607">
        <v>34</v>
      </c>
      <c r="Q1607">
        <v>927</v>
      </c>
      <c r="S1607">
        <v>183</v>
      </c>
      <c r="T1607">
        <v>0</v>
      </c>
      <c r="U1607" s="2">
        <v>0</v>
      </c>
      <c r="V1607">
        <v>0</v>
      </c>
      <c r="W1607" t="s">
        <v>29</v>
      </c>
      <c r="X1607" t="str">
        <f>IF(Table2[[#This Row],[Qty available]]&gt;Table2[[#This Row],[Qty on hand]],"Check","OK")</f>
        <v>OK</v>
      </c>
    </row>
    <row r="1608" spans="1:24" x14ac:dyDescent="0.3">
      <c r="A1608" t="s">
        <v>193</v>
      </c>
      <c r="B1608" t="s">
        <v>194</v>
      </c>
      <c r="C1608" t="s">
        <v>77</v>
      </c>
      <c r="D1608" t="s">
        <v>78</v>
      </c>
      <c r="E1608" t="s">
        <v>27</v>
      </c>
      <c r="F1608" s="1" t="s">
        <v>51</v>
      </c>
      <c r="G1608" s="2">
        <v>40.42</v>
      </c>
      <c r="H1608">
        <v>40.42</v>
      </c>
      <c r="I1608">
        <v>38.629938000000003</v>
      </c>
      <c r="J1608">
        <v>54.16</v>
      </c>
      <c r="K1608">
        <v>42</v>
      </c>
      <c r="M1608">
        <v>0</v>
      </c>
      <c r="N1608" s="2">
        <v>961</v>
      </c>
      <c r="O1608">
        <v>37123.370000000003</v>
      </c>
      <c r="P1608">
        <v>28</v>
      </c>
      <c r="Q1608">
        <v>933</v>
      </c>
      <c r="S1608">
        <v>214</v>
      </c>
      <c r="T1608">
        <v>0</v>
      </c>
      <c r="U1608" s="2">
        <v>0</v>
      </c>
      <c r="V1608">
        <v>0</v>
      </c>
      <c r="W1608" t="s">
        <v>29</v>
      </c>
      <c r="X1608" t="str">
        <f>IF(Table2[[#This Row],[Qty available]]&gt;Table2[[#This Row],[Qty on hand]],"Check","OK")</f>
        <v>OK</v>
      </c>
    </row>
    <row r="1609" spans="1:24" x14ac:dyDescent="0.3">
      <c r="A1609" t="s">
        <v>193</v>
      </c>
      <c r="B1609" t="s">
        <v>194</v>
      </c>
      <c r="C1609" t="s">
        <v>77</v>
      </c>
      <c r="D1609" t="s">
        <v>78</v>
      </c>
      <c r="E1609" t="s">
        <v>27</v>
      </c>
      <c r="F1609" s="1" t="s">
        <v>52</v>
      </c>
      <c r="G1609" s="2">
        <v>40.69</v>
      </c>
      <c r="H1609">
        <v>40.69</v>
      </c>
      <c r="I1609">
        <v>38.629938000000003</v>
      </c>
      <c r="J1609">
        <v>54.16</v>
      </c>
      <c r="K1609">
        <v>42</v>
      </c>
      <c r="M1609">
        <v>0</v>
      </c>
      <c r="N1609" s="2">
        <v>961</v>
      </c>
      <c r="O1609">
        <v>37123.370000000003</v>
      </c>
      <c r="P1609">
        <v>51</v>
      </c>
      <c r="Q1609">
        <v>910</v>
      </c>
      <c r="S1609">
        <v>245</v>
      </c>
      <c r="T1609">
        <v>0</v>
      </c>
      <c r="U1609" s="2">
        <v>0</v>
      </c>
      <c r="V1609">
        <v>0</v>
      </c>
      <c r="W1609" t="s">
        <v>29</v>
      </c>
      <c r="X1609" t="str">
        <f>IF(Table2[[#This Row],[Qty available]]&gt;Table2[[#This Row],[Qty on hand]],"Check","OK")</f>
        <v>OK</v>
      </c>
    </row>
    <row r="1610" spans="1:24" x14ac:dyDescent="0.3">
      <c r="A1610" t="s">
        <v>195</v>
      </c>
      <c r="B1610" t="s">
        <v>196</v>
      </c>
      <c r="C1610" t="s">
        <v>57</v>
      </c>
      <c r="D1610" t="s">
        <v>58</v>
      </c>
      <c r="E1610" t="s">
        <v>27</v>
      </c>
      <c r="F1610" s="1" t="s">
        <v>28</v>
      </c>
      <c r="G1610" s="2">
        <v>289.49</v>
      </c>
      <c r="H1610">
        <v>289.49</v>
      </c>
      <c r="I1610">
        <v>285.28506499999997</v>
      </c>
      <c r="J1610">
        <v>387.35</v>
      </c>
      <c r="K1610">
        <v>44</v>
      </c>
      <c r="L1610" s="2">
        <v>39</v>
      </c>
      <c r="M1610">
        <v>30</v>
      </c>
      <c r="N1610" s="2">
        <v>77</v>
      </c>
      <c r="O1610">
        <v>21966.95</v>
      </c>
      <c r="P1610">
        <v>2</v>
      </c>
      <c r="Q1610">
        <v>75</v>
      </c>
      <c r="R1610">
        <v>9.73</v>
      </c>
      <c r="S1610">
        <v>15</v>
      </c>
      <c r="T1610">
        <v>25</v>
      </c>
      <c r="U1610" s="2">
        <v>9683.75</v>
      </c>
      <c r="V1610">
        <v>0</v>
      </c>
      <c r="W1610" t="s">
        <v>29</v>
      </c>
      <c r="X1610" t="str">
        <f>IF(Table2[[#This Row],[Qty available]]&gt;Table2[[#This Row],[Qty on hand]],"Check","OK")</f>
        <v>OK</v>
      </c>
    </row>
    <row r="1611" spans="1:24" x14ac:dyDescent="0.3">
      <c r="A1611" t="s">
        <v>195</v>
      </c>
      <c r="B1611" t="s">
        <v>196</v>
      </c>
      <c r="C1611" t="s">
        <v>57</v>
      </c>
      <c r="D1611" t="s">
        <v>58</v>
      </c>
      <c r="E1611" t="s">
        <v>27</v>
      </c>
      <c r="F1611" s="1" t="s">
        <v>30</v>
      </c>
      <c r="G1611" s="2">
        <v>284.60000000000002</v>
      </c>
      <c r="H1611">
        <v>284.60000000000002</v>
      </c>
      <c r="I1611">
        <v>284.90669200000002</v>
      </c>
      <c r="J1611">
        <v>387.35</v>
      </c>
      <c r="K1611">
        <v>44</v>
      </c>
      <c r="L1611" s="2">
        <v>43</v>
      </c>
      <c r="M1611">
        <v>95</v>
      </c>
      <c r="N1611" s="2">
        <v>130</v>
      </c>
      <c r="O1611">
        <v>37037.870000000003</v>
      </c>
      <c r="P1611">
        <v>11</v>
      </c>
      <c r="Q1611">
        <v>119</v>
      </c>
      <c r="R1611">
        <v>17.8</v>
      </c>
      <c r="S1611">
        <v>1</v>
      </c>
      <c r="T1611">
        <v>42</v>
      </c>
      <c r="U1611" s="2">
        <v>16268.7</v>
      </c>
      <c r="V1611">
        <v>0</v>
      </c>
      <c r="W1611" t="s">
        <v>29</v>
      </c>
      <c r="X1611" t="str">
        <f>IF(Table2[[#This Row],[Qty available]]&gt;Table2[[#This Row],[Qty on hand]],"Check","OK")</f>
        <v>OK</v>
      </c>
    </row>
    <row r="1612" spans="1:24" x14ac:dyDescent="0.3">
      <c r="A1612" t="s">
        <v>195</v>
      </c>
      <c r="B1612" t="s">
        <v>196</v>
      </c>
      <c r="C1612" t="s">
        <v>57</v>
      </c>
      <c r="D1612" t="s">
        <v>58</v>
      </c>
      <c r="E1612" t="s">
        <v>27</v>
      </c>
      <c r="F1612" s="1" t="s">
        <v>31</v>
      </c>
      <c r="G1612" s="2">
        <v>287.47000000000003</v>
      </c>
      <c r="H1612">
        <v>287.47000000000003</v>
      </c>
      <c r="I1612">
        <v>284.90671099999997</v>
      </c>
      <c r="J1612">
        <v>387.35</v>
      </c>
      <c r="K1612">
        <v>44</v>
      </c>
      <c r="M1612">
        <v>0</v>
      </c>
      <c r="N1612" s="2">
        <v>76</v>
      </c>
      <c r="O1612">
        <v>21652.91</v>
      </c>
      <c r="P1612">
        <v>2</v>
      </c>
      <c r="Q1612">
        <v>74</v>
      </c>
      <c r="R1612">
        <v>8.17</v>
      </c>
      <c r="S1612">
        <v>1</v>
      </c>
      <c r="T1612">
        <v>54</v>
      </c>
      <c r="U1612" s="2">
        <v>20916.900000000001</v>
      </c>
      <c r="V1612">
        <v>0</v>
      </c>
      <c r="W1612" t="s">
        <v>29</v>
      </c>
      <c r="X1612" t="str">
        <f>IF(Table2[[#This Row],[Qty available]]&gt;Table2[[#This Row],[Qty on hand]],"Check","OK")</f>
        <v>OK</v>
      </c>
    </row>
    <row r="1613" spans="1:24" x14ac:dyDescent="0.3">
      <c r="A1613" t="s">
        <v>195</v>
      </c>
      <c r="B1613" t="s">
        <v>196</v>
      </c>
      <c r="C1613" t="s">
        <v>57</v>
      </c>
      <c r="D1613" t="s">
        <v>58</v>
      </c>
      <c r="E1613" t="s">
        <v>27</v>
      </c>
      <c r="F1613" s="1" t="s">
        <v>32</v>
      </c>
      <c r="G1613" s="2">
        <v>289.92</v>
      </c>
      <c r="H1613">
        <v>289.92</v>
      </c>
      <c r="I1613">
        <v>287.46189700000002</v>
      </c>
      <c r="J1613">
        <v>387.35</v>
      </c>
      <c r="K1613">
        <v>44</v>
      </c>
      <c r="L1613" s="2">
        <v>43</v>
      </c>
      <c r="M1613">
        <v>79</v>
      </c>
      <c r="N1613" s="2">
        <v>116</v>
      </c>
      <c r="O1613">
        <v>33345.58</v>
      </c>
      <c r="P1613">
        <v>10</v>
      </c>
      <c r="Q1613">
        <v>106</v>
      </c>
      <c r="R1613">
        <v>11.29</v>
      </c>
      <c r="S1613">
        <v>4</v>
      </c>
      <c r="T1613">
        <v>39</v>
      </c>
      <c r="U1613" s="2">
        <v>15106.65</v>
      </c>
      <c r="V1613">
        <v>0</v>
      </c>
      <c r="W1613" t="s">
        <v>29</v>
      </c>
      <c r="X1613" t="str">
        <f>IF(Table2[[#This Row],[Qty available]]&gt;Table2[[#This Row],[Qty on hand]],"Check","OK")</f>
        <v>OK</v>
      </c>
    </row>
    <row r="1614" spans="1:24" x14ac:dyDescent="0.3">
      <c r="A1614" t="s">
        <v>195</v>
      </c>
      <c r="B1614" t="s">
        <v>196</v>
      </c>
      <c r="C1614" t="s">
        <v>57</v>
      </c>
      <c r="D1614" t="s">
        <v>58</v>
      </c>
      <c r="E1614" t="s">
        <v>27</v>
      </c>
      <c r="F1614" s="1" t="s">
        <v>33</v>
      </c>
      <c r="G1614" s="2">
        <v>294.12</v>
      </c>
      <c r="H1614">
        <v>294.12</v>
      </c>
      <c r="I1614">
        <v>289.10478599999999</v>
      </c>
      <c r="J1614">
        <v>387.35</v>
      </c>
      <c r="K1614">
        <v>44</v>
      </c>
      <c r="L1614" s="2">
        <v>39</v>
      </c>
      <c r="M1614">
        <v>38</v>
      </c>
      <c r="N1614" s="2">
        <v>140</v>
      </c>
      <c r="O1614">
        <v>40474.67</v>
      </c>
      <c r="P1614">
        <v>6</v>
      </c>
      <c r="Q1614">
        <v>134</v>
      </c>
      <c r="R1614">
        <v>17.2</v>
      </c>
      <c r="S1614">
        <v>1</v>
      </c>
      <c r="T1614">
        <v>14</v>
      </c>
      <c r="U1614" s="2">
        <v>5422.9</v>
      </c>
      <c r="V1614">
        <v>0</v>
      </c>
      <c r="W1614" t="s">
        <v>29</v>
      </c>
      <c r="X1614" t="str">
        <f>IF(Table2[[#This Row],[Qty available]]&gt;Table2[[#This Row],[Qty on hand]],"Check","OK")</f>
        <v>OK</v>
      </c>
    </row>
    <row r="1615" spans="1:24" x14ac:dyDescent="0.3">
      <c r="A1615" t="s">
        <v>195</v>
      </c>
      <c r="B1615" t="s">
        <v>196</v>
      </c>
      <c r="C1615" t="s">
        <v>57</v>
      </c>
      <c r="D1615" t="s">
        <v>58</v>
      </c>
      <c r="E1615" t="s">
        <v>27</v>
      </c>
      <c r="F1615" s="1" t="s">
        <v>34</v>
      </c>
      <c r="G1615" s="2">
        <v>291.76</v>
      </c>
      <c r="H1615">
        <v>291.76</v>
      </c>
      <c r="I1615">
        <v>289.64786299999997</v>
      </c>
      <c r="J1615">
        <v>402.51</v>
      </c>
      <c r="K1615">
        <v>44</v>
      </c>
      <c r="L1615" s="2">
        <v>41</v>
      </c>
      <c r="M1615">
        <v>36</v>
      </c>
      <c r="N1615" s="2">
        <v>117</v>
      </c>
      <c r="O1615">
        <v>33888.800000000003</v>
      </c>
      <c r="P1615">
        <v>6</v>
      </c>
      <c r="Q1615">
        <v>111</v>
      </c>
      <c r="R1615">
        <v>13.43</v>
      </c>
      <c r="S1615">
        <v>0</v>
      </c>
      <c r="T1615">
        <v>59</v>
      </c>
      <c r="U1615" s="2">
        <v>23748.09</v>
      </c>
      <c r="V1615">
        <v>0</v>
      </c>
      <c r="W1615" t="s">
        <v>29</v>
      </c>
      <c r="X1615" t="str">
        <f>IF(Table2[[#This Row],[Qty available]]&gt;Table2[[#This Row],[Qty on hand]],"Check","OK")</f>
        <v>OK</v>
      </c>
    </row>
    <row r="1616" spans="1:24" x14ac:dyDescent="0.3">
      <c r="A1616" t="s">
        <v>195</v>
      </c>
      <c r="B1616" t="s">
        <v>196</v>
      </c>
      <c r="C1616" t="s">
        <v>57</v>
      </c>
      <c r="D1616" t="s">
        <v>58</v>
      </c>
      <c r="E1616" t="s">
        <v>27</v>
      </c>
      <c r="F1616" s="1" t="s">
        <v>35</v>
      </c>
      <c r="G1616" s="2">
        <v>294.92</v>
      </c>
      <c r="H1616">
        <v>294.92</v>
      </c>
      <c r="I1616">
        <v>289.647808</v>
      </c>
      <c r="J1616">
        <v>402.51</v>
      </c>
      <c r="K1616">
        <v>44</v>
      </c>
      <c r="M1616">
        <v>0</v>
      </c>
      <c r="N1616" s="2">
        <v>73</v>
      </c>
      <c r="O1616">
        <v>21144.29</v>
      </c>
      <c r="P1616">
        <v>11</v>
      </c>
      <c r="Q1616">
        <v>62</v>
      </c>
      <c r="R1616">
        <v>8.02</v>
      </c>
      <c r="S1616">
        <v>1</v>
      </c>
      <c r="T1616">
        <v>44</v>
      </c>
      <c r="U1616" s="2">
        <v>17710.439999999999</v>
      </c>
      <c r="V1616">
        <v>0</v>
      </c>
      <c r="W1616" t="s">
        <v>29</v>
      </c>
      <c r="X1616" t="str">
        <f>IF(Table2[[#This Row],[Qty available]]&gt;Table2[[#This Row],[Qty on hand]],"Check","OK")</f>
        <v>OK</v>
      </c>
    </row>
    <row r="1617" spans="1:24" x14ac:dyDescent="0.3">
      <c r="A1617" t="s">
        <v>195</v>
      </c>
      <c r="B1617" t="s">
        <v>196</v>
      </c>
      <c r="C1617" t="s">
        <v>57</v>
      </c>
      <c r="D1617" t="s">
        <v>58</v>
      </c>
      <c r="E1617" t="s">
        <v>27</v>
      </c>
      <c r="F1617" s="1" t="s">
        <v>36</v>
      </c>
      <c r="G1617" s="2">
        <v>300.77</v>
      </c>
      <c r="H1617">
        <v>300.77</v>
      </c>
      <c r="I1617">
        <v>293.70986299999998</v>
      </c>
      <c r="J1617">
        <v>402.51</v>
      </c>
      <c r="K1617">
        <v>44</v>
      </c>
      <c r="L1617" s="2">
        <v>41</v>
      </c>
      <c r="M1617">
        <v>42</v>
      </c>
      <c r="N1617" s="2">
        <v>73</v>
      </c>
      <c r="O1617">
        <v>21440.82</v>
      </c>
      <c r="P1617">
        <v>11</v>
      </c>
      <c r="Q1617">
        <v>62</v>
      </c>
      <c r="R1617">
        <v>6.4</v>
      </c>
      <c r="S1617">
        <v>0</v>
      </c>
      <c r="T1617">
        <v>42</v>
      </c>
      <c r="U1617" s="2">
        <v>16905.419999999998</v>
      </c>
      <c r="V1617">
        <v>0</v>
      </c>
      <c r="W1617" t="s">
        <v>29</v>
      </c>
      <c r="X1617" t="str">
        <f>IF(Table2[[#This Row],[Qty available]]&gt;Table2[[#This Row],[Qty on hand]],"Check","OK")</f>
        <v>OK</v>
      </c>
    </row>
    <row r="1618" spans="1:24" x14ac:dyDescent="0.3">
      <c r="A1618" t="s">
        <v>195</v>
      </c>
      <c r="B1618" t="s">
        <v>196</v>
      </c>
      <c r="C1618" t="s">
        <v>57</v>
      </c>
      <c r="D1618" t="s">
        <v>58</v>
      </c>
      <c r="E1618" t="s">
        <v>27</v>
      </c>
      <c r="F1618" s="1" t="s">
        <v>37</v>
      </c>
      <c r="G1618" s="2">
        <v>298.51</v>
      </c>
      <c r="H1618">
        <v>298.51</v>
      </c>
      <c r="I1618">
        <v>294.82147099999997</v>
      </c>
      <c r="J1618">
        <v>402.51</v>
      </c>
      <c r="K1618">
        <v>44</v>
      </c>
      <c r="L1618" s="2">
        <v>40</v>
      </c>
      <c r="M1618">
        <v>22</v>
      </c>
      <c r="N1618" s="2">
        <v>34</v>
      </c>
      <c r="O1618">
        <v>10023.93</v>
      </c>
      <c r="P1618">
        <v>10</v>
      </c>
      <c r="Q1618">
        <v>24</v>
      </c>
      <c r="R1618">
        <v>3.04</v>
      </c>
      <c r="S1618">
        <v>3</v>
      </c>
      <c r="T1618">
        <v>61</v>
      </c>
      <c r="U1618" s="2">
        <v>24553.11</v>
      </c>
      <c r="V1618">
        <v>0</v>
      </c>
      <c r="W1618" t="s">
        <v>29</v>
      </c>
      <c r="X1618" t="str">
        <f>IF(Table2[[#This Row],[Qty available]]&gt;Table2[[#This Row],[Qty on hand]],"Check","OK")</f>
        <v>OK</v>
      </c>
    </row>
    <row r="1619" spans="1:24" x14ac:dyDescent="0.3">
      <c r="A1619" t="s">
        <v>195</v>
      </c>
      <c r="B1619" t="s">
        <v>196</v>
      </c>
      <c r="C1619" t="s">
        <v>57</v>
      </c>
      <c r="D1619" t="s">
        <v>58</v>
      </c>
      <c r="E1619" t="s">
        <v>27</v>
      </c>
      <c r="F1619" s="1" t="s">
        <v>38</v>
      </c>
      <c r="G1619" s="2">
        <v>300.56</v>
      </c>
      <c r="H1619">
        <v>300.56</v>
      </c>
      <c r="I1619">
        <v>297.99282599999998</v>
      </c>
      <c r="J1619">
        <v>402.51</v>
      </c>
      <c r="K1619">
        <v>44</v>
      </c>
      <c r="L1619" s="2">
        <v>41</v>
      </c>
      <c r="M1619">
        <v>42</v>
      </c>
      <c r="N1619" s="2">
        <v>46</v>
      </c>
      <c r="O1619">
        <v>13707.67</v>
      </c>
      <c r="P1619">
        <v>2</v>
      </c>
      <c r="Q1619">
        <v>44</v>
      </c>
      <c r="R1619">
        <v>4.5</v>
      </c>
      <c r="S1619">
        <v>3</v>
      </c>
      <c r="T1619">
        <v>30</v>
      </c>
      <c r="U1619" s="2">
        <v>12075.3</v>
      </c>
      <c r="V1619">
        <v>0</v>
      </c>
      <c r="W1619" t="s">
        <v>29</v>
      </c>
      <c r="X1619" t="str">
        <f>IF(Table2[[#This Row],[Qty available]]&gt;Table2[[#This Row],[Qty on hand]],"Check","OK")</f>
        <v>OK</v>
      </c>
    </row>
    <row r="1620" spans="1:24" x14ac:dyDescent="0.3">
      <c r="A1620" t="s">
        <v>195</v>
      </c>
      <c r="B1620" t="s">
        <v>196</v>
      </c>
      <c r="C1620" t="s">
        <v>57</v>
      </c>
      <c r="D1620" t="s">
        <v>58</v>
      </c>
      <c r="E1620" t="s">
        <v>27</v>
      </c>
      <c r="F1620" s="1" t="s">
        <v>39</v>
      </c>
      <c r="G1620" s="2">
        <v>291.63</v>
      </c>
      <c r="H1620">
        <v>291.63</v>
      </c>
      <c r="I1620">
        <v>293.99042300000002</v>
      </c>
      <c r="J1620">
        <v>402.51</v>
      </c>
      <c r="K1620">
        <v>44</v>
      </c>
      <c r="L1620" s="2">
        <v>41</v>
      </c>
      <c r="M1620">
        <v>78</v>
      </c>
      <c r="N1620" s="2">
        <v>71</v>
      </c>
      <c r="O1620">
        <v>20873.32</v>
      </c>
      <c r="P1620">
        <v>5</v>
      </c>
      <c r="Q1620">
        <v>66</v>
      </c>
      <c r="R1620">
        <v>6.48</v>
      </c>
      <c r="S1620">
        <v>1</v>
      </c>
      <c r="T1620">
        <v>53</v>
      </c>
      <c r="U1620" s="2">
        <v>21333.03</v>
      </c>
      <c r="V1620">
        <v>0</v>
      </c>
      <c r="W1620" t="s">
        <v>29</v>
      </c>
      <c r="X1620" t="str">
        <f>IF(Table2[[#This Row],[Qty available]]&gt;Table2[[#This Row],[Qty on hand]],"Check","OK")</f>
        <v>OK</v>
      </c>
    </row>
    <row r="1621" spans="1:24" x14ac:dyDescent="0.3">
      <c r="A1621" t="s">
        <v>195</v>
      </c>
      <c r="B1621" t="s">
        <v>196</v>
      </c>
      <c r="C1621" t="s">
        <v>57</v>
      </c>
      <c r="D1621" t="s">
        <v>58</v>
      </c>
      <c r="E1621" t="s">
        <v>27</v>
      </c>
      <c r="F1621" s="1" t="s">
        <v>40</v>
      </c>
      <c r="G1621" s="2">
        <v>294.60000000000002</v>
      </c>
      <c r="H1621">
        <v>294.60000000000002</v>
      </c>
      <c r="I1621">
        <v>293.99880999999999</v>
      </c>
      <c r="J1621">
        <v>402.51</v>
      </c>
      <c r="K1621">
        <v>44</v>
      </c>
      <c r="L1621" s="2">
        <v>42</v>
      </c>
      <c r="M1621">
        <v>1</v>
      </c>
      <c r="N1621" s="2">
        <v>42</v>
      </c>
      <c r="O1621">
        <v>12347.95</v>
      </c>
      <c r="P1621">
        <v>10</v>
      </c>
      <c r="Q1621">
        <v>32</v>
      </c>
      <c r="R1621">
        <v>4.88</v>
      </c>
      <c r="S1621">
        <v>0</v>
      </c>
      <c r="T1621">
        <v>30</v>
      </c>
      <c r="U1621" s="2">
        <v>12075.3</v>
      </c>
      <c r="V1621">
        <v>0</v>
      </c>
      <c r="W1621" t="s">
        <v>29</v>
      </c>
      <c r="X1621" t="str">
        <f>IF(Table2[[#This Row],[Qty available]]&gt;Table2[[#This Row],[Qty on hand]],"Check","OK")</f>
        <v>OK</v>
      </c>
    </row>
    <row r="1622" spans="1:24" x14ac:dyDescent="0.3">
      <c r="A1622" t="s">
        <v>195</v>
      </c>
      <c r="B1622" t="s">
        <v>196</v>
      </c>
      <c r="C1622" t="s">
        <v>57</v>
      </c>
      <c r="D1622" t="s">
        <v>58</v>
      </c>
      <c r="E1622" t="s">
        <v>27</v>
      </c>
      <c r="F1622" s="1" t="s">
        <v>41</v>
      </c>
      <c r="G1622" s="2">
        <v>296.77999999999997</v>
      </c>
      <c r="H1622">
        <v>296.77999999999997</v>
      </c>
      <c r="I1622">
        <v>293.99880999999999</v>
      </c>
      <c r="J1622">
        <v>402.51</v>
      </c>
      <c r="K1622">
        <v>44</v>
      </c>
      <c r="M1622">
        <v>0</v>
      </c>
      <c r="N1622" s="2">
        <v>0</v>
      </c>
      <c r="O1622">
        <v>0</v>
      </c>
      <c r="P1622">
        <v>0</v>
      </c>
      <c r="Q1622">
        <v>0</v>
      </c>
      <c r="R1622">
        <v>0</v>
      </c>
      <c r="S1622">
        <v>2</v>
      </c>
      <c r="T1622">
        <v>42</v>
      </c>
      <c r="U1622" s="2">
        <v>16905.419999999998</v>
      </c>
      <c r="V1622">
        <v>8</v>
      </c>
      <c r="W1622" t="s">
        <v>59</v>
      </c>
      <c r="X1622" t="str">
        <f>IF(Table2[[#This Row],[Qty available]]&gt;Table2[[#This Row],[Qty on hand]],"Check","OK")</f>
        <v>OK</v>
      </c>
    </row>
    <row r="1623" spans="1:24" x14ac:dyDescent="0.3">
      <c r="A1623" t="s">
        <v>195</v>
      </c>
      <c r="B1623" t="s">
        <v>196</v>
      </c>
      <c r="C1623" t="s">
        <v>57</v>
      </c>
      <c r="D1623" t="s">
        <v>58</v>
      </c>
      <c r="E1623" t="s">
        <v>27</v>
      </c>
      <c r="F1623" s="1" t="s">
        <v>42</v>
      </c>
      <c r="G1623" s="2">
        <v>292.74</v>
      </c>
      <c r="H1623">
        <v>292.74</v>
      </c>
      <c r="I1623">
        <v>292.74</v>
      </c>
      <c r="J1623">
        <v>402.51</v>
      </c>
      <c r="K1623">
        <v>44</v>
      </c>
      <c r="L1623" s="2">
        <v>73</v>
      </c>
      <c r="M1623">
        <v>115</v>
      </c>
      <c r="N1623" s="2">
        <v>67</v>
      </c>
      <c r="O1623">
        <v>19613.580000000002</v>
      </c>
      <c r="P1623">
        <v>8</v>
      </c>
      <c r="Q1623">
        <v>59</v>
      </c>
      <c r="R1623">
        <v>7.34</v>
      </c>
      <c r="S1623">
        <v>0</v>
      </c>
      <c r="T1623">
        <v>48</v>
      </c>
      <c r="U1623" s="2">
        <v>19320.48</v>
      </c>
      <c r="V1623">
        <v>0</v>
      </c>
      <c r="W1623" t="s">
        <v>29</v>
      </c>
      <c r="X1623" t="str">
        <f>IF(Table2[[#This Row],[Qty available]]&gt;Table2[[#This Row],[Qty on hand]],"Check","OK")</f>
        <v>OK</v>
      </c>
    </row>
    <row r="1624" spans="1:24" x14ac:dyDescent="0.3">
      <c r="A1624" t="s">
        <v>195</v>
      </c>
      <c r="B1624" t="s">
        <v>196</v>
      </c>
      <c r="C1624" t="s">
        <v>57</v>
      </c>
      <c r="D1624" t="s">
        <v>58</v>
      </c>
      <c r="E1624" t="s">
        <v>27</v>
      </c>
      <c r="F1624" s="1" t="s">
        <v>43</v>
      </c>
      <c r="G1624" s="2">
        <v>298.3</v>
      </c>
      <c r="H1624">
        <v>298.3</v>
      </c>
      <c r="I1624">
        <v>296.01462700000002</v>
      </c>
      <c r="J1624">
        <v>402.51</v>
      </c>
      <c r="K1624">
        <v>44</v>
      </c>
      <c r="L1624" s="2">
        <v>40</v>
      </c>
      <c r="M1624">
        <v>96</v>
      </c>
      <c r="N1624" s="2">
        <v>134</v>
      </c>
      <c r="O1624">
        <v>39665.96</v>
      </c>
      <c r="P1624">
        <v>7</v>
      </c>
      <c r="Q1624">
        <v>127</v>
      </c>
      <c r="R1624">
        <v>14.64</v>
      </c>
      <c r="S1624">
        <v>7</v>
      </c>
      <c r="T1624">
        <v>29</v>
      </c>
      <c r="U1624" s="2">
        <v>11672.79</v>
      </c>
      <c r="V1624">
        <v>0</v>
      </c>
      <c r="W1624" t="s">
        <v>29</v>
      </c>
      <c r="X1624" t="str">
        <f>IF(Table2[[#This Row],[Qty available]]&gt;Table2[[#This Row],[Qty on hand]],"Check","OK")</f>
        <v>OK</v>
      </c>
    </row>
    <row r="1625" spans="1:24" x14ac:dyDescent="0.3">
      <c r="A1625" t="s">
        <v>195</v>
      </c>
      <c r="B1625" t="s">
        <v>196</v>
      </c>
      <c r="C1625" t="s">
        <v>57</v>
      </c>
      <c r="D1625" t="s">
        <v>58</v>
      </c>
      <c r="E1625" t="s">
        <v>27</v>
      </c>
      <c r="F1625" s="1" t="s">
        <v>44</v>
      </c>
      <c r="G1625" s="2">
        <v>294.05</v>
      </c>
      <c r="H1625">
        <v>294.05</v>
      </c>
      <c r="I1625">
        <v>295.74841700000002</v>
      </c>
      <c r="J1625">
        <v>402.51</v>
      </c>
      <c r="K1625">
        <v>44</v>
      </c>
      <c r="L1625" s="2">
        <v>60</v>
      </c>
      <c r="M1625">
        <v>21</v>
      </c>
      <c r="N1625" s="2">
        <v>139</v>
      </c>
      <c r="O1625">
        <v>41109.03</v>
      </c>
      <c r="P1625">
        <v>2</v>
      </c>
      <c r="Q1625">
        <v>137</v>
      </c>
      <c r="R1625">
        <v>19.64</v>
      </c>
      <c r="S1625">
        <v>12</v>
      </c>
      <c r="T1625">
        <v>16</v>
      </c>
      <c r="U1625" s="2">
        <v>6440.16</v>
      </c>
      <c r="V1625">
        <v>0</v>
      </c>
      <c r="W1625" t="s">
        <v>29</v>
      </c>
      <c r="X1625" t="str">
        <f>IF(Table2[[#This Row],[Qty available]]&gt;Table2[[#This Row],[Qty on hand]],"Check","OK")</f>
        <v>OK</v>
      </c>
    </row>
    <row r="1626" spans="1:24" x14ac:dyDescent="0.3">
      <c r="A1626" t="s">
        <v>195</v>
      </c>
      <c r="B1626" t="s">
        <v>196</v>
      </c>
      <c r="C1626" t="s">
        <v>57</v>
      </c>
      <c r="D1626" t="s">
        <v>58</v>
      </c>
      <c r="E1626" t="s">
        <v>27</v>
      </c>
      <c r="F1626" s="1" t="s">
        <v>45</v>
      </c>
      <c r="G1626" s="2">
        <v>302.72000000000003</v>
      </c>
      <c r="H1626">
        <v>302.72000000000003</v>
      </c>
      <c r="I1626">
        <v>297.15074700000002</v>
      </c>
      <c r="J1626">
        <v>402.51</v>
      </c>
      <c r="K1626">
        <v>44</v>
      </c>
      <c r="L1626" s="2">
        <v>44</v>
      </c>
      <c r="M1626">
        <v>35</v>
      </c>
      <c r="N1626" s="2">
        <v>174</v>
      </c>
      <c r="O1626">
        <v>51704.23</v>
      </c>
      <c r="P1626">
        <v>10</v>
      </c>
      <c r="Q1626">
        <v>164</v>
      </c>
      <c r="R1626">
        <v>50.82</v>
      </c>
      <c r="S1626">
        <v>43</v>
      </c>
      <c r="T1626">
        <v>0</v>
      </c>
      <c r="U1626" s="2">
        <v>0</v>
      </c>
      <c r="V1626">
        <v>0</v>
      </c>
      <c r="W1626" t="s">
        <v>29</v>
      </c>
      <c r="X1626" t="str">
        <f>IF(Table2[[#This Row],[Qty available]]&gt;Table2[[#This Row],[Qty on hand]],"Check","OK")</f>
        <v>OK</v>
      </c>
    </row>
    <row r="1627" spans="1:24" x14ac:dyDescent="0.3">
      <c r="A1627" t="s">
        <v>195</v>
      </c>
      <c r="B1627" t="s">
        <v>196</v>
      </c>
      <c r="C1627" t="s">
        <v>57</v>
      </c>
      <c r="D1627" t="s">
        <v>58</v>
      </c>
      <c r="E1627" t="s">
        <v>27</v>
      </c>
      <c r="F1627" s="1" t="s">
        <v>46</v>
      </c>
      <c r="G1627" s="2">
        <v>311.17</v>
      </c>
      <c r="H1627">
        <v>311.17</v>
      </c>
      <c r="I1627">
        <v>297.15074700000002</v>
      </c>
      <c r="J1627">
        <v>418.26</v>
      </c>
      <c r="K1627">
        <v>44</v>
      </c>
      <c r="M1627">
        <v>0</v>
      </c>
      <c r="N1627" s="2">
        <v>174</v>
      </c>
      <c r="O1627">
        <v>51704.23</v>
      </c>
      <c r="P1627">
        <v>4</v>
      </c>
      <c r="Q1627">
        <v>170</v>
      </c>
      <c r="R1627">
        <v>139.82</v>
      </c>
      <c r="S1627">
        <v>71</v>
      </c>
      <c r="T1627">
        <v>0</v>
      </c>
      <c r="U1627" s="2">
        <v>0</v>
      </c>
      <c r="V1627">
        <v>0</v>
      </c>
      <c r="W1627" t="s">
        <v>29</v>
      </c>
      <c r="X1627" t="str">
        <f>IF(Table2[[#This Row],[Qty available]]&gt;Table2[[#This Row],[Qty on hand]],"Check","OK")</f>
        <v>OK</v>
      </c>
    </row>
    <row r="1628" spans="1:24" x14ac:dyDescent="0.3">
      <c r="A1628" t="s">
        <v>195</v>
      </c>
      <c r="B1628" t="s">
        <v>196</v>
      </c>
      <c r="C1628" t="s">
        <v>57</v>
      </c>
      <c r="D1628" t="s">
        <v>58</v>
      </c>
      <c r="E1628" t="s">
        <v>27</v>
      </c>
      <c r="F1628" s="1" t="s">
        <v>47</v>
      </c>
      <c r="G1628" s="2">
        <v>313.95999999999998</v>
      </c>
      <c r="H1628">
        <v>313.95999999999998</v>
      </c>
      <c r="I1628">
        <v>297.15074700000002</v>
      </c>
      <c r="J1628">
        <v>418.26</v>
      </c>
      <c r="K1628">
        <v>44</v>
      </c>
      <c r="M1628">
        <v>0</v>
      </c>
      <c r="N1628" s="2">
        <v>174</v>
      </c>
      <c r="O1628">
        <v>51704.23</v>
      </c>
      <c r="P1628">
        <v>6</v>
      </c>
      <c r="Q1628">
        <v>168</v>
      </c>
      <c r="S1628">
        <v>102</v>
      </c>
      <c r="T1628">
        <v>0</v>
      </c>
      <c r="U1628" s="2">
        <v>0</v>
      </c>
      <c r="V1628">
        <v>0</v>
      </c>
      <c r="W1628" t="s">
        <v>29</v>
      </c>
      <c r="X1628" t="str">
        <f>IF(Table2[[#This Row],[Qty available]]&gt;Table2[[#This Row],[Qty on hand]],"Check","OK")</f>
        <v>OK</v>
      </c>
    </row>
    <row r="1629" spans="1:24" x14ac:dyDescent="0.3">
      <c r="A1629" t="s">
        <v>195</v>
      </c>
      <c r="B1629" t="s">
        <v>196</v>
      </c>
      <c r="C1629" t="s">
        <v>57</v>
      </c>
      <c r="D1629" t="s">
        <v>58</v>
      </c>
      <c r="E1629" t="s">
        <v>27</v>
      </c>
      <c r="F1629" s="1" t="s">
        <v>48</v>
      </c>
      <c r="G1629" s="2">
        <v>311.52</v>
      </c>
      <c r="H1629">
        <v>311.52</v>
      </c>
      <c r="I1629">
        <v>297.15074700000002</v>
      </c>
      <c r="J1629">
        <v>418.26</v>
      </c>
      <c r="K1629">
        <v>44</v>
      </c>
      <c r="M1629">
        <v>0</v>
      </c>
      <c r="N1629" s="2">
        <v>174</v>
      </c>
      <c r="O1629">
        <v>51704.23</v>
      </c>
      <c r="P1629">
        <v>4</v>
      </c>
      <c r="Q1629">
        <v>170</v>
      </c>
      <c r="S1629">
        <v>132</v>
      </c>
      <c r="T1629">
        <v>0</v>
      </c>
      <c r="U1629" s="2">
        <v>0</v>
      </c>
      <c r="V1629">
        <v>0</v>
      </c>
      <c r="W1629" t="s">
        <v>29</v>
      </c>
      <c r="X1629" t="str">
        <f>IF(Table2[[#This Row],[Qty available]]&gt;Table2[[#This Row],[Qty on hand]],"Check","OK")</f>
        <v>OK</v>
      </c>
    </row>
    <row r="1630" spans="1:24" x14ac:dyDescent="0.3">
      <c r="A1630" t="s">
        <v>195</v>
      </c>
      <c r="B1630" t="s">
        <v>196</v>
      </c>
      <c r="C1630" t="s">
        <v>57</v>
      </c>
      <c r="D1630" t="s">
        <v>58</v>
      </c>
      <c r="E1630" t="s">
        <v>27</v>
      </c>
      <c r="F1630" s="1" t="s">
        <v>49</v>
      </c>
      <c r="G1630" s="2">
        <v>310.87</v>
      </c>
      <c r="H1630">
        <v>310.87</v>
      </c>
      <c r="I1630">
        <v>297.15074700000002</v>
      </c>
      <c r="J1630">
        <v>418.26</v>
      </c>
      <c r="K1630">
        <v>44</v>
      </c>
      <c r="M1630">
        <v>0</v>
      </c>
      <c r="N1630" s="2">
        <v>174</v>
      </c>
      <c r="O1630">
        <v>51704.23</v>
      </c>
      <c r="P1630">
        <v>2</v>
      </c>
      <c r="Q1630">
        <v>172</v>
      </c>
      <c r="S1630">
        <v>163</v>
      </c>
      <c r="T1630">
        <v>0</v>
      </c>
      <c r="U1630" s="2">
        <v>0</v>
      </c>
      <c r="V1630">
        <v>0</v>
      </c>
      <c r="W1630" t="s">
        <v>29</v>
      </c>
      <c r="X1630" t="str">
        <f>IF(Table2[[#This Row],[Qty available]]&gt;Table2[[#This Row],[Qty on hand]],"Check","OK")</f>
        <v>OK</v>
      </c>
    </row>
    <row r="1631" spans="1:24" x14ac:dyDescent="0.3">
      <c r="A1631" t="s">
        <v>195</v>
      </c>
      <c r="B1631" t="s">
        <v>196</v>
      </c>
      <c r="C1631" t="s">
        <v>57</v>
      </c>
      <c r="D1631" t="s">
        <v>58</v>
      </c>
      <c r="E1631" t="s">
        <v>27</v>
      </c>
      <c r="F1631" s="1" t="s">
        <v>50</v>
      </c>
      <c r="G1631" s="2">
        <v>311.06</v>
      </c>
      <c r="H1631">
        <v>311.06</v>
      </c>
      <c r="I1631">
        <v>297.15074700000002</v>
      </c>
      <c r="J1631">
        <v>418.26</v>
      </c>
      <c r="K1631">
        <v>44</v>
      </c>
      <c r="M1631">
        <v>0</v>
      </c>
      <c r="N1631" s="2">
        <v>174</v>
      </c>
      <c r="O1631">
        <v>51704.23</v>
      </c>
      <c r="P1631">
        <v>5</v>
      </c>
      <c r="Q1631">
        <v>169</v>
      </c>
      <c r="S1631">
        <v>193</v>
      </c>
      <c r="T1631">
        <v>0</v>
      </c>
      <c r="U1631" s="2">
        <v>0</v>
      </c>
      <c r="V1631">
        <v>0</v>
      </c>
      <c r="W1631" t="s">
        <v>29</v>
      </c>
      <c r="X1631" t="str">
        <f>IF(Table2[[#This Row],[Qty available]]&gt;Table2[[#This Row],[Qty on hand]],"Check","OK")</f>
        <v>OK</v>
      </c>
    </row>
    <row r="1632" spans="1:24" x14ac:dyDescent="0.3">
      <c r="A1632" t="s">
        <v>195</v>
      </c>
      <c r="B1632" t="s">
        <v>196</v>
      </c>
      <c r="C1632" t="s">
        <v>57</v>
      </c>
      <c r="D1632" t="s">
        <v>58</v>
      </c>
      <c r="E1632" t="s">
        <v>27</v>
      </c>
      <c r="F1632" s="1" t="s">
        <v>51</v>
      </c>
      <c r="G1632" s="2">
        <v>302.74</v>
      </c>
      <c r="H1632">
        <v>302.74</v>
      </c>
      <c r="I1632">
        <v>298.08674600000001</v>
      </c>
      <c r="J1632">
        <v>418.26</v>
      </c>
      <c r="K1632">
        <v>44</v>
      </c>
      <c r="L1632" s="2">
        <v>53</v>
      </c>
      <c r="M1632">
        <v>35</v>
      </c>
      <c r="N1632" s="2">
        <v>209</v>
      </c>
      <c r="O1632">
        <v>62300.13</v>
      </c>
      <c r="P1632">
        <v>12</v>
      </c>
      <c r="Q1632">
        <v>197</v>
      </c>
      <c r="S1632">
        <v>224</v>
      </c>
      <c r="T1632">
        <v>0</v>
      </c>
      <c r="U1632" s="2">
        <v>0</v>
      </c>
      <c r="V1632">
        <v>0</v>
      </c>
      <c r="W1632" t="s">
        <v>29</v>
      </c>
      <c r="X1632" t="str">
        <f>IF(Table2[[#This Row],[Qty available]]&gt;Table2[[#This Row],[Qty on hand]],"Check","OK")</f>
        <v>OK</v>
      </c>
    </row>
    <row r="1633" spans="1:24" x14ac:dyDescent="0.3">
      <c r="A1633" t="s">
        <v>195</v>
      </c>
      <c r="B1633" t="s">
        <v>196</v>
      </c>
      <c r="C1633" t="s">
        <v>57</v>
      </c>
      <c r="D1633" t="s">
        <v>58</v>
      </c>
      <c r="E1633" t="s">
        <v>27</v>
      </c>
      <c r="F1633" s="1" t="s">
        <v>52</v>
      </c>
      <c r="G1633" s="2">
        <v>311.17</v>
      </c>
      <c r="H1633">
        <v>311.17</v>
      </c>
      <c r="I1633">
        <v>298.08674600000001</v>
      </c>
      <c r="J1633">
        <v>418.26</v>
      </c>
      <c r="K1633">
        <v>44</v>
      </c>
      <c r="M1633">
        <v>0</v>
      </c>
      <c r="N1633" s="2">
        <v>209</v>
      </c>
      <c r="O1633">
        <v>62300.13</v>
      </c>
      <c r="P1633">
        <v>2</v>
      </c>
      <c r="Q1633">
        <v>207</v>
      </c>
      <c r="S1633">
        <v>255</v>
      </c>
      <c r="T1633">
        <v>0</v>
      </c>
      <c r="U1633" s="2">
        <v>0</v>
      </c>
      <c r="V1633">
        <v>0</v>
      </c>
      <c r="W1633" t="s">
        <v>29</v>
      </c>
      <c r="X1633" t="str">
        <f>IF(Table2[[#This Row],[Qty available]]&gt;Table2[[#This Row],[Qty on hand]],"Check","OK")</f>
        <v>OK</v>
      </c>
    </row>
    <row r="1634" spans="1:24" x14ac:dyDescent="0.3">
      <c r="A1634" t="s">
        <v>197</v>
      </c>
      <c r="B1634" t="s">
        <v>198</v>
      </c>
      <c r="C1634" t="s">
        <v>25</v>
      </c>
      <c r="D1634" t="s">
        <v>26</v>
      </c>
      <c r="E1634" t="s">
        <v>66</v>
      </c>
      <c r="F1634" s="1" t="s">
        <v>28</v>
      </c>
      <c r="G1634" s="2">
        <v>98.84</v>
      </c>
      <c r="H1634">
        <v>107.67</v>
      </c>
      <c r="I1634">
        <v>106.22529400000001</v>
      </c>
      <c r="J1634">
        <v>149.09</v>
      </c>
      <c r="K1634">
        <v>34</v>
      </c>
      <c r="L1634" s="2">
        <v>50</v>
      </c>
      <c r="M1634">
        <v>1</v>
      </c>
      <c r="N1634" s="2">
        <v>17</v>
      </c>
      <c r="O1634">
        <v>1805.83</v>
      </c>
      <c r="P1634">
        <v>1</v>
      </c>
      <c r="Q1634">
        <v>16</v>
      </c>
      <c r="R1634">
        <v>14.9</v>
      </c>
      <c r="S1634">
        <v>6</v>
      </c>
      <c r="T1634">
        <v>8</v>
      </c>
      <c r="U1634" s="2">
        <v>1192.72</v>
      </c>
      <c r="V1634">
        <v>0</v>
      </c>
      <c r="W1634" t="s">
        <v>29</v>
      </c>
      <c r="X1634" t="str">
        <f>IF(Table2[[#This Row],[Qty available]]&gt;Table2[[#This Row],[Qty on hand]],"Check","OK")</f>
        <v>OK</v>
      </c>
    </row>
    <row r="1635" spans="1:24" x14ac:dyDescent="0.3">
      <c r="A1635" t="s">
        <v>197</v>
      </c>
      <c r="B1635" t="s">
        <v>198</v>
      </c>
      <c r="C1635" t="s">
        <v>25</v>
      </c>
      <c r="D1635" t="s">
        <v>26</v>
      </c>
      <c r="E1635" t="s">
        <v>66</v>
      </c>
      <c r="F1635" s="1" t="s">
        <v>30</v>
      </c>
      <c r="G1635" s="2">
        <v>99.43</v>
      </c>
      <c r="H1635">
        <v>108.31</v>
      </c>
      <c r="I1635">
        <v>106.76928599999999</v>
      </c>
      <c r="J1635">
        <v>149.09</v>
      </c>
      <c r="K1635">
        <v>34</v>
      </c>
      <c r="L1635" s="2">
        <v>31</v>
      </c>
      <c r="M1635">
        <v>6</v>
      </c>
      <c r="N1635" s="2">
        <v>14</v>
      </c>
      <c r="O1635">
        <v>1494.77</v>
      </c>
      <c r="P1635">
        <v>2</v>
      </c>
      <c r="Q1635">
        <v>12</v>
      </c>
      <c r="R1635">
        <v>10.220000000000001</v>
      </c>
      <c r="S1635">
        <v>3</v>
      </c>
      <c r="T1635">
        <v>9</v>
      </c>
      <c r="U1635" s="2">
        <v>1341.81</v>
      </c>
      <c r="V1635">
        <v>0</v>
      </c>
      <c r="W1635" t="s">
        <v>29</v>
      </c>
      <c r="X1635" t="str">
        <f>IF(Table2[[#This Row],[Qty available]]&gt;Table2[[#This Row],[Qty on hand]],"Check","OK")</f>
        <v>OK</v>
      </c>
    </row>
    <row r="1636" spans="1:24" x14ac:dyDescent="0.3">
      <c r="A1636" t="s">
        <v>197</v>
      </c>
      <c r="B1636" t="s">
        <v>198</v>
      </c>
      <c r="C1636" t="s">
        <v>25</v>
      </c>
      <c r="D1636" t="s">
        <v>26</v>
      </c>
      <c r="E1636" t="s">
        <v>66</v>
      </c>
      <c r="F1636" s="1" t="s">
        <v>31</v>
      </c>
      <c r="G1636" s="2">
        <v>98.6</v>
      </c>
      <c r="H1636">
        <v>107.41</v>
      </c>
      <c r="I1636">
        <v>106.77</v>
      </c>
      <c r="J1636">
        <v>149.09</v>
      </c>
      <c r="K1636">
        <v>34</v>
      </c>
      <c r="M1636">
        <v>0</v>
      </c>
      <c r="N1636" s="2">
        <v>5</v>
      </c>
      <c r="O1636">
        <v>533.85</v>
      </c>
      <c r="P1636">
        <v>1</v>
      </c>
      <c r="Q1636">
        <v>4</v>
      </c>
      <c r="R1636">
        <v>2.5</v>
      </c>
      <c r="S1636">
        <v>5</v>
      </c>
      <c r="T1636">
        <v>9</v>
      </c>
      <c r="U1636" s="2">
        <v>1341.81</v>
      </c>
      <c r="V1636">
        <v>0</v>
      </c>
      <c r="W1636" t="s">
        <v>29</v>
      </c>
      <c r="X1636" t="str">
        <f>IF(Table2[[#This Row],[Qty available]]&gt;Table2[[#This Row],[Qty on hand]],"Check","OK")</f>
        <v>OK</v>
      </c>
    </row>
    <row r="1637" spans="1:24" x14ac:dyDescent="0.3">
      <c r="A1637" t="s">
        <v>197</v>
      </c>
      <c r="B1637" t="s">
        <v>198</v>
      </c>
      <c r="C1637" t="s">
        <v>25</v>
      </c>
      <c r="D1637" t="s">
        <v>26</v>
      </c>
      <c r="E1637" t="s">
        <v>66</v>
      </c>
      <c r="F1637" s="1" t="s">
        <v>32</v>
      </c>
      <c r="G1637" s="2">
        <v>99.89</v>
      </c>
      <c r="H1637">
        <v>108.81</v>
      </c>
      <c r="I1637">
        <v>108.417727</v>
      </c>
      <c r="J1637">
        <v>149.09</v>
      </c>
      <c r="K1637">
        <v>34</v>
      </c>
      <c r="L1637" s="2">
        <v>29</v>
      </c>
      <c r="M1637">
        <v>21</v>
      </c>
      <c r="N1637" s="2">
        <v>22</v>
      </c>
      <c r="O1637">
        <v>2385.19</v>
      </c>
      <c r="P1637">
        <v>2</v>
      </c>
      <c r="Q1637">
        <v>20</v>
      </c>
      <c r="R1637">
        <v>13.14</v>
      </c>
      <c r="S1637">
        <v>1</v>
      </c>
      <c r="T1637">
        <v>4</v>
      </c>
      <c r="U1637" s="2">
        <v>596.36</v>
      </c>
      <c r="V1637">
        <v>0</v>
      </c>
      <c r="W1637" t="s">
        <v>29</v>
      </c>
      <c r="X1637" t="str">
        <f>IF(Table2[[#This Row],[Qty available]]&gt;Table2[[#This Row],[Qty on hand]],"Check","OK")</f>
        <v>OK</v>
      </c>
    </row>
    <row r="1638" spans="1:24" x14ac:dyDescent="0.3">
      <c r="A1638" t="s">
        <v>197</v>
      </c>
      <c r="B1638" t="s">
        <v>198</v>
      </c>
      <c r="C1638" t="s">
        <v>25</v>
      </c>
      <c r="D1638" t="s">
        <v>26</v>
      </c>
      <c r="E1638" t="s">
        <v>66</v>
      </c>
      <c r="F1638" s="1" t="s">
        <v>33</v>
      </c>
      <c r="G1638" s="2">
        <v>98.81</v>
      </c>
      <c r="H1638">
        <v>107.63</v>
      </c>
      <c r="I1638">
        <v>108.4175</v>
      </c>
      <c r="J1638">
        <v>149.09</v>
      </c>
      <c r="K1638">
        <v>34</v>
      </c>
      <c r="M1638">
        <v>0</v>
      </c>
      <c r="N1638" s="2">
        <v>16</v>
      </c>
      <c r="O1638">
        <v>1734.68</v>
      </c>
      <c r="P1638">
        <v>1</v>
      </c>
      <c r="Q1638">
        <v>15</v>
      </c>
      <c r="R1638">
        <v>11.07</v>
      </c>
      <c r="S1638">
        <v>19</v>
      </c>
      <c r="T1638">
        <v>6</v>
      </c>
      <c r="U1638" s="2">
        <v>894.54</v>
      </c>
      <c r="V1638">
        <v>0</v>
      </c>
      <c r="W1638" t="s">
        <v>29</v>
      </c>
      <c r="X1638" t="str">
        <f>IF(Table2[[#This Row],[Qty available]]&gt;Table2[[#This Row],[Qty on hand]],"Check","OK")</f>
        <v>OK</v>
      </c>
    </row>
    <row r="1639" spans="1:24" x14ac:dyDescent="0.3">
      <c r="A1639" t="s">
        <v>197</v>
      </c>
      <c r="B1639" t="s">
        <v>198</v>
      </c>
      <c r="C1639" t="s">
        <v>25</v>
      </c>
      <c r="D1639" t="s">
        <v>26</v>
      </c>
      <c r="E1639" t="s">
        <v>66</v>
      </c>
      <c r="F1639" s="1" t="s">
        <v>34</v>
      </c>
      <c r="G1639" s="2">
        <v>100.76</v>
      </c>
      <c r="H1639">
        <v>109.76</v>
      </c>
      <c r="I1639">
        <v>108.41727299999999</v>
      </c>
      <c r="J1639">
        <v>153.72</v>
      </c>
      <c r="K1639">
        <v>34</v>
      </c>
      <c r="M1639">
        <v>0</v>
      </c>
      <c r="N1639" s="2">
        <v>11</v>
      </c>
      <c r="O1639">
        <v>1192.5899999999999</v>
      </c>
      <c r="P1639">
        <v>1</v>
      </c>
      <c r="Q1639">
        <v>10</v>
      </c>
      <c r="R1639">
        <v>9.43</v>
      </c>
      <c r="S1639">
        <v>8</v>
      </c>
      <c r="T1639">
        <v>5</v>
      </c>
      <c r="U1639" s="2">
        <v>768.6</v>
      </c>
      <c r="V1639">
        <v>0</v>
      </c>
      <c r="W1639" t="s">
        <v>29</v>
      </c>
      <c r="X1639" t="str">
        <f>IF(Table2[[#This Row],[Qty available]]&gt;Table2[[#This Row],[Qty on hand]],"Check","OK")</f>
        <v>OK</v>
      </c>
    </row>
    <row r="1640" spans="1:24" x14ac:dyDescent="0.3">
      <c r="A1640" t="s">
        <v>197</v>
      </c>
      <c r="B1640" t="s">
        <v>198</v>
      </c>
      <c r="C1640" t="s">
        <v>25</v>
      </c>
      <c r="D1640" t="s">
        <v>26</v>
      </c>
      <c r="E1640" t="s">
        <v>66</v>
      </c>
      <c r="F1640" s="1" t="s">
        <v>35</v>
      </c>
      <c r="G1640" s="2">
        <v>100.64</v>
      </c>
      <c r="H1640">
        <v>109.63</v>
      </c>
      <c r="I1640">
        <v>109.17</v>
      </c>
      <c r="J1640">
        <v>153.72</v>
      </c>
      <c r="K1640">
        <v>34</v>
      </c>
      <c r="L1640" s="2">
        <v>31</v>
      </c>
      <c r="M1640">
        <v>18</v>
      </c>
      <c r="N1640" s="2">
        <v>24</v>
      </c>
      <c r="O1640">
        <v>2620.08</v>
      </c>
      <c r="P1640">
        <v>1</v>
      </c>
      <c r="Q1640">
        <v>23</v>
      </c>
      <c r="R1640">
        <v>19.29</v>
      </c>
      <c r="S1640">
        <v>26</v>
      </c>
      <c r="T1640">
        <v>5</v>
      </c>
      <c r="U1640" s="2">
        <v>768.6</v>
      </c>
      <c r="V1640">
        <v>0</v>
      </c>
      <c r="W1640" t="s">
        <v>29</v>
      </c>
      <c r="X1640" t="str">
        <f>IF(Table2[[#This Row],[Qty available]]&gt;Table2[[#This Row],[Qty on hand]],"Check","OK")</f>
        <v>OK</v>
      </c>
    </row>
    <row r="1641" spans="1:24" x14ac:dyDescent="0.3">
      <c r="A1641" t="s">
        <v>197</v>
      </c>
      <c r="B1641" t="s">
        <v>198</v>
      </c>
      <c r="C1641" t="s">
        <v>25</v>
      </c>
      <c r="D1641" t="s">
        <v>26</v>
      </c>
      <c r="E1641" t="s">
        <v>66</v>
      </c>
      <c r="F1641" s="1" t="s">
        <v>36</v>
      </c>
      <c r="G1641" s="2">
        <v>101.73</v>
      </c>
      <c r="H1641">
        <v>110.82</v>
      </c>
      <c r="I1641">
        <v>109.17</v>
      </c>
      <c r="J1641">
        <v>153.72</v>
      </c>
      <c r="K1641">
        <v>34</v>
      </c>
      <c r="M1641">
        <v>0</v>
      </c>
      <c r="N1641" s="2">
        <v>16</v>
      </c>
      <c r="O1641">
        <v>1746.72</v>
      </c>
      <c r="P1641">
        <v>1</v>
      </c>
      <c r="Q1641">
        <v>15</v>
      </c>
      <c r="R1641">
        <v>11.3</v>
      </c>
      <c r="S1641">
        <v>26</v>
      </c>
      <c r="T1641">
        <v>8</v>
      </c>
      <c r="U1641" s="2">
        <v>1229.76</v>
      </c>
      <c r="V1641">
        <v>0</v>
      </c>
      <c r="W1641" t="s">
        <v>29</v>
      </c>
      <c r="X1641" t="str">
        <f>IF(Table2[[#This Row],[Qty available]]&gt;Table2[[#This Row],[Qty on hand]],"Check","OK")</f>
        <v>OK</v>
      </c>
    </row>
    <row r="1642" spans="1:24" x14ac:dyDescent="0.3">
      <c r="A1642" t="s">
        <v>197</v>
      </c>
      <c r="B1642" t="s">
        <v>198</v>
      </c>
      <c r="C1642" t="s">
        <v>25</v>
      </c>
      <c r="D1642" t="s">
        <v>26</v>
      </c>
      <c r="E1642" t="s">
        <v>66</v>
      </c>
      <c r="F1642" s="1" t="s">
        <v>37</v>
      </c>
      <c r="G1642" s="2">
        <v>99.89</v>
      </c>
      <c r="H1642">
        <v>108.81</v>
      </c>
      <c r="I1642">
        <v>109.08428600000001</v>
      </c>
      <c r="J1642">
        <v>153.72</v>
      </c>
      <c r="K1642">
        <v>34</v>
      </c>
      <c r="L1642" s="2">
        <v>61</v>
      </c>
      <c r="M1642">
        <v>5</v>
      </c>
      <c r="N1642" s="2">
        <v>14</v>
      </c>
      <c r="O1642">
        <v>1527.18</v>
      </c>
      <c r="P1642">
        <v>2</v>
      </c>
      <c r="Q1642">
        <v>12</v>
      </c>
      <c r="R1642">
        <v>9.1999999999999993</v>
      </c>
      <c r="S1642">
        <v>9</v>
      </c>
      <c r="T1642">
        <v>7</v>
      </c>
      <c r="U1642" s="2">
        <v>1076.04</v>
      </c>
      <c r="V1642">
        <v>0</v>
      </c>
      <c r="W1642" t="s">
        <v>29</v>
      </c>
      <c r="X1642" t="str">
        <f>IF(Table2[[#This Row],[Qty available]]&gt;Table2[[#This Row],[Qty on hand]],"Check","OK")</f>
        <v>OK</v>
      </c>
    </row>
    <row r="1643" spans="1:24" x14ac:dyDescent="0.3">
      <c r="A1643" t="s">
        <v>197</v>
      </c>
      <c r="B1643" t="s">
        <v>198</v>
      </c>
      <c r="C1643" t="s">
        <v>25</v>
      </c>
      <c r="D1643" t="s">
        <v>26</v>
      </c>
      <c r="E1643" t="s">
        <v>66</v>
      </c>
      <c r="F1643" s="1" t="s">
        <v>38</v>
      </c>
      <c r="G1643" s="2">
        <v>100.56</v>
      </c>
      <c r="H1643">
        <v>109.54</v>
      </c>
      <c r="I1643">
        <v>109.22111099999999</v>
      </c>
      <c r="J1643">
        <v>153.72</v>
      </c>
      <c r="K1643">
        <v>34</v>
      </c>
      <c r="L1643" s="2">
        <v>30</v>
      </c>
      <c r="M1643">
        <v>6</v>
      </c>
      <c r="N1643" s="2">
        <v>18</v>
      </c>
      <c r="O1643">
        <v>1965.98</v>
      </c>
      <c r="P1643">
        <v>1</v>
      </c>
      <c r="Q1643">
        <v>17</v>
      </c>
      <c r="R1643">
        <v>13.76</v>
      </c>
      <c r="S1643">
        <v>1</v>
      </c>
      <c r="T1643">
        <v>2</v>
      </c>
      <c r="U1643" s="2">
        <v>307.44</v>
      </c>
      <c r="V1643">
        <v>0</v>
      </c>
      <c r="W1643" t="s">
        <v>29</v>
      </c>
      <c r="X1643" t="str">
        <f>IF(Table2[[#This Row],[Qty available]]&gt;Table2[[#This Row],[Qty on hand]],"Check","OK")</f>
        <v>OK</v>
      </c>
    </row>
    <row r="1644" spans="1:24" x14ac:dyDescent="0.3">
      <c r="A1644" t="s">
        <v>197</v>
      </c>
      <c r="B1644" t="s">
        <v>198</v>
      </c>
      <c r="C1644" t="s">
        <v>25</v>
      </c>
      <c r="D1644" t="s">
        <v>26</v>
      </c>
      <c r="E1644" t="s">
        <v>66</v>
      </c>
      <c r="F1644" s="1" t="s">
        <v>39</v>
      </c>
      <c r="G1644" s="2">
        <v>100.28</v>
      </c>
      <c r="H1644">
        <v>109.24</v>
      </c>
      <c r="I1644">
        <v>109.221429</v>
      </c>
      <c r="J1644">
        <v>153.72</v>
      </c>
      <c r="K1644">
        <v>34</v>
      </c>
      <c r="M1644">
        <v>0</v>
      </c>
      <c r="N1644" s="2">
        <v>14</v>
      </c>
      <c r="O1644">
        <v>1529.1</v>
      </c>
      <c r="P1644">
        <v>1</v>
      </c>
      <c r="Q1644">
        <v>13</v>
      </c>
      <c r="R1644">
        <v>14.15</v>
      </c>
      <c r="S1644">
        <v>11</v>
      </c>
      <c r="T1644">
        <v>4</v>
      </c>
      <c r="U1644" s="2">
        <v>614.88</v>
      </c>
      <c r="V1644">
        <v>0</v>
      </c>
      <c r="W1644" t="s">
        <v>29</v>
      </c>
      <c r="X1644" t="str">
        <f>IF(Table2[[#This Row],[Qty available]]&gt;Table2[[#This Row],[Qty on hand]],"Check","OK")</f>
        <v>OK</v>
      </c>
    </row>
    <row r="1645" spans="1:24" x14ac:dyDescent="0.3">
      <c r="A1645" t="s">
        <v>197</v>
      </c>
      <c r="B1645" t="s">
        <v>198</v>
      </c>
      <c r="C1645" t="s">
        <v>25</v>
      </c>
      <c r="D1645" t="s">
        <v>26</v>
      </c>
      <c r="E1645" t="s">
        <v>66</v>
      </c>
      <c r="F1645" s="1" t="s">
        <v>40</v>
      </c>
      <c r="G1645" s="2">
        <v>99.95</v>
      </c>
      <c r="H1645">
        <v>108.88</v>
      </c>
      <c r="I1645">
        <v>109.179</v>
      </c>
      <c r="J1645">
        <v>153.72</v>
      </c>
      <c r="K1645">
        <v>34</v>
      </c>
      <c r="L1645" s="2">
        <v>33</v>
      </c>
      <c r="M1645">
        <v>2</v>
      </c>
      <c r="N1645" s="2">
        <v>10</v>
      </c>
      <c r="O1645">
        <v>1091.79</v>
      </c>
      <c r="P1645">
        <v>1</v>
      </c>
      <c r="Q1645">
        <v>9</v>
      </c>
      <c r="R1645">
        <v>10.95</v>
      </c>
      <c r="S1645">
        <v>5</v>
      </c>
      <c r="T1645">
        <v>6</v>
      </c>
      <c r="U1645" s="2">
        <v>922.32</v>
      </c>
      <c r="V1645">
        <v>0</v>
      </c>
      <c r="W1645" t="s">
        <v>29</v>
      </c>
      <c r="X1645" t="str">
        <f>IF(Table2[[#This Row],[Qty available]]&gt;Table2[[#This Row],[Qty on hand]],"Check","OK")</f>
        <v>OK</v>
      </c>
    </row>
    <row r="1646" spans="1:24" x14ac:dyDescent="0.3">
      <c r="A1646" t="s">
        <v>197</v>
      </c>
      <c r="B1646" t="s">
        <v>198</v>
      </c>
      <c r="C1646" t="s">
        <v>25</v>
      </c>
      <c r="D1646" t="s">
        <v>26</v>
      </c>
      <c r="E1646" t="s">
        <v>66</v>
      </c>
      <c r="F1646" s="1" t="s">
        <v>41</v>
      </c>
      <c r="G1646" s="2">
        <v>103.22</v>
      </c>
      <c r="H1646">
        <v>112.44</v>
      </c>
      <c r="I1646">
        <v>110.957778</v>
      </c>
      <c r="J1646">
        <v>153.72</v>
      </c>
      <c r="K1646">
        <v>34</v>
      </c>
      <c r="L1646" s="2">
        <v>32</v>
      </c>
      <c r="M1646">
        <v>12</v>
      </c>
      <c r="N1646" s="2">
        <v>18</v>
      </c>
      <c r="O1646">
        <v>1997.24</v>
      </c>
      <c r="P1646">
        <v>1</v>
      </c>
      <c r="Q1646">
        <v>17</v>
      </c>
      <c r="R1646">
        <v>16.899999999999999</v>
      </c>
      <c r="S1646">
        <v>18</v>
      </c>
      <c r="T1646">
        <v>4</v>
      </c>
      <c r="U1646" s="2">
        <v>614.88</v>
      </c>
      <c r="V1646">
        <v>0</v>
      </c>
      <c r="W1646" t="s">
        <v>29</v>
      </c>
      <c r="X1646" t="str">
        <f>IF(Table2[[#This Row],[Qty available]]&gt;Table2[[#This Row],[Qty on hand]],"Check","OK")</f>
        <v>OK</v>
      </c>
    </row>
    <row r="1647" spans="1:24" x14ac:dyDescent="0.3">
      <c r="A1647" t="s">
        <v>197</v>
      </c>
      <c r="B1647" t="s">
        <v>198</v>
      </c>
      <c r="C1647" t="s">
        <v>25</v>
      </c>
      <c r="D1647" t="s">
        <v>26</v>
      </c>
      <c r="E1647" t="s">
        <v>66</v>
      </c>
      <c r="F1647" s="1" t="s">
        <v>42</v>
      </c>
      <c r="G1647" s="2">
        <v>102.14</v>
      </c>
      <c r="H1647">
        <v>111.26</v>
      </c>
      <c r="I1647">
        <v>111.00125</v>
      </c>
      <c r="J1647">
        <v>153.72</v>
      </c>
      <c r="K1647">
        <v>34</v>
      </c>
      <c r="L1647" s="2">
        <v>33</v>
      </c>
      <c r="M1647">
        <v>3</v>
      </c>
      <c r="N1647" s="2">
        <v>16</v>
      </c>
      <c r="O1647">
        <v>1776.02</v>
      </c>
      <c r="P1647">
        <v>2</v>
      </c>
      <c r="Q1647">
        <v>14</v>
      </c>
      <c r="R1647">
        <v>14.02</v>
      </c>
      <c r="S1647">
        <v>0</v>
      </c>
      <c r="T1647">
        <v>5</v>
      </c>
      <c r="U1647" s="2">
        <v>768.6</v>
      </c>
      <c r="V1647">
        <v>0</v>
      </c>
      <c r="W1647" t="s">
        <v>29</v>
      </c>
      <c r="X1647" t="str">
        <f>IF(Table2[[#This Row],[Qty available]]&gt;Table2[[#This Row],[Qty on hand]],"Check","OK")</f>
        <v>OK</v>
      </c>
    </row>
    <row r="1648" spans="1:24" x14ac:dyDescent="0.3">
      <c r="A1648" t="s">
        <v>197</v>
      </c>
      <c r="B1648" t="s">
        <v>198</v>
      </c>
      <c r="C1648" t="s">
        <v>25</v>
      </c>
      <c r="D1648" t="s">
        <v>26</v>
      </c>
      <c r="E1648" t="s">
        <v>66</v>
      </c>
      <c r="F1648" s="1" t="s">
        <v>43</v>
      </c>
      <c r="G1648" s="2">
        <v>101.36</v>
      </c>
      <c r="H1648">
        <v>110.41</v>
      </c>
      <c r="I1648">
        <v>111.00125</v>
      </c>
      <c r="J1648">
        <v>153.72</v>
      </c>
      <c r="K1648">
        <v>34</v>
      </c>
      <c r="M1648">
        <v>0</v>
      </c>
      <c r="N1648" s="2">
        <v>8</v>
      </c>
      <c r="O1648">
        <v>888.01</v>
      </c>
      <c r="P1648">
        <v>1</v>
      </c>
      <c r="Q1648">
        <v>7</v>
      </c>
      <c r="R1648">
        <v>6.12</v>
      </c>
      <c r="S1648">
        <v>2</v>
      </c>
      <c r="T1648">
        <v>8</v>
      </c>
      <c r="U1648" s="2">
        <v>1229.76</v>
      </c>
      <c r="V1648">
        <v>0</v>
      </c>
      <c r="W1648" t="s">
        <v>29</v>
      </c>
      <c r="X1648" t="str">
        <f>IF(Table2[[#This Row],[Qty available]]&gt;Table2[[#This Row],[Qty on hand]],"Check","OK")</f>
        <v>OK</v>
      </c>
    </row>
    <row r="1649" spans="1:24" x14ac:dyDescent="0.3">
      <c r="A1649" t="s">
        <v>197</v>
      </c>
      <c r="B1649" t="s">
        <v>198</v>
      </c>
      <c r="C1649" t="s">
        <v>25</v>
      </c>
      <c r="D1649" t="s">
        <v>26</v>
      </c>
      <c r="E1649" t="s">
        <v>66</v>
      </c>
      <c r="F1649" s="1" t="s">
        <v>44</v>
      </c>
      <c r="G1649" s="2">
        <v>100.01</v>
      </c>
      <c r="H1649">
        <v>108.94</v>
      </c>
      <c r="I1649">
        <v>110.04</v>
      </c>
      <c r="J1649">
        <v>153.72</v>
      </c>
      <c r="K1649">
        <v>34</v>
      </c>
      <c r="L1649" s="2">
        <v>34</v>
      </c>
      <c r="M1649">
        <v>7</v>
      </c>
      <c r="N1649" s="2">
        <v>7</v>
      </c>
      <c r="O1649">
        <v>770.28</v>
      </c>
      <c r="P1649">
        <v>1</v>
      </c>
      <c r="Q1649">
        <v>6</v>
      </c>
      <c r="R1649">
        <v>4.38</v>
      </c>
      <c r="S1649">
        <v>3</v>
      </c>
      <c r="T1649">
        <v>8</v>
      </c>
      <c r="U1649" s="2">
        <v>1229.76</v>
      </c>
      <c r="V1649">
        <v>0</v>
      </c>
      <c r="W1649" t="s">
        <v>29</v>
      </c>
      <c r="X1649" t="str">
        <f>IF(Table2[[#This Row],[Qty available]]&gt;Table2[[#This Row],[Qty on hand]],"Check","OK")</f>
        <v>OK</v>
      </c>
    </row>
    <row r="1650" spans="1:24" x14ac:dyDescent="0.3">
      <c r="A1650" t="s">
        <v>197</v>
      </c>
      <c r="B1650" t="s">
        <v>198</v>
      </c>
      <c r="C1650" t="s">
        <v>25</v>
      </c>
      <c r="D1650" t="s">
        <v>26</v>
      </c>
      <c r="E1650" t="s">
        <v>66</v>
      </c>
      <c r="F1650" s="1" t="s">
        <v>45</v>
      </c>
      <c r="G1650" s="2">
        <v>100.02</v>
      </c>
      <c r="H1650">
        <v>108.95</v>
      </c>
      <c r="I1650">
        <v>109.426875</v>
      </c>
      <c r="J1650">
        <v>153.72</v>
      </c>
      <c r="K1650">
        <v>34</v>
      </c>
      <c r="L1650" s="2">
        <v>33</v>
      </c>
      <c r="M1650">
        <v>9</v>
      </c>
      <c r="N1650" s="2">
        <v>16</v>
      </c>
      <c r="O1650">
        <v>1750.83</v>
      </c>
      <c r="P1650">
        <v>1</v>
      </c>
      <c r="Q1650">
        <v>15</v>
      </c>
      <c r="R1650">
        <v>13.14</v>
      </c>
      <c r="S1650">
        <v>34</v>
      </c>
      <c r="T1650">
        <v>0</v>
      </c>
      <c r="U1650" s="2">
        <v>0</v>
      </c>
      <c r="V1650">
        <v>0</v>
      </c>
      <c r="W1650" t="s">
        <v>29</v>
      </c>
      <c r="X1650" t="str">
        <f>IF(Table2[[#This Row],[Qty available]]&gt;Table2[[#This Row],[Qty on hand]],"Check","OK")</f>
        <v>OK</v>
      </c>
    </row>
    <row r="1651" spans="1:24" x14ac:dyDescent="0.3">
      <c r="A1651" t="s">
        <v>197</v>
      </c>
      <c r="B1651" t="s">
        <v>198</v>
      </c>
      <c r="C1651" t="s">
        <v>25</v>
      </c>
      <c r="D1651" t="s">
        <v>26</v>
      </c>
      <c r="E1651" t="s">
        <v>66</v>
      </c>
      <c r="F1651" s="1" t="s">
        <v>46</v>
      </c>
      <c r="G1651" s="2">
        <v>102.42</v>
      </c>
      <c r="H1651">
        <v>111.57</v>
      </c>
      <c r="I1651">
        <v>110.3</v>
      </c>
      <c r="J1651">
        <v>158.49</v>
      </c>
      <c r="K1651">
        <v>34</v>
      </c>
      <c r="L1651" s="2">
        <v>44</v>
      </c>
      <c r="M1651">
        <v>11</v>
      </c>
      <c r="N1651" s="2">
        <v>27</v>
      </c>
      <c r="O1651">
        <v>2978.1</v>
      </c>
      <c r="P1651">
        <v>1</v>
      </c>
      <c r="Q1651">
        <v>26</v>
      </c>
      <c r="R1651">
        <v>43.39</v>
      </c>
      <c r="S1651">
        <v>62</v>
      </c>
      <c r="T1651">
        <v>0</v>
      </c>
      <c r="U1651" s="2">
        <v>0</v>
      </c>
      <c r="V1651">
        <v>0</v>
      </c>
      <c r="W1651" t="s">
        <v>29</v>
      </c>
      <c r="X1651" t="str">
        <f>IF(Table2[[#This Row],[Qty available]]&gt;Table2[[#This Row],[Qty on hand]],"Check","OK")</f>
        <v>OK</v>
      </c>
    </row>
    <row r="1652" spans="1:24" x14ac:dyDescent="0.3">
      <c r="A1652" t="s">
        <v>197</v>
      </c>
      <c r="B1652" t="s">
        <v>198</v>
      </c>
      <c r="C1652" t="s">
        <v>25</v>
      </c>
      <c r="D1652" t="s">
        <v>26</v>
      </c>
      <c r="E1652" t="s">
        <v>66</v>
      </c>
      <c r="F1652" s="1" t="s">
        <v>47</v>
      </c>
      <c r="G1652" s="2">
        <v>99.88</v>
      </c>
      <c r="H1652">
        <v>108.8</v>
      </c>
      <c r="I1652">
        <v>109.894595</v>
      </c>
      <c r="J1652">
        <v>158.49</v>
      </c>
      <c r="K1652">
        <v>34</v>
      </c>
      <c r="L1652" s="2">
        <v>33</v>
      </c>
      <c r="M1652">
        <v>10</v>
      </c>
      <c r="N1652" s="2">
        <v>37</v>
      </c>
      <c r="O1652">
        <v>4066.1</v>
      </c>
      <c r="P1652">
        <v>1</v>
      </c>
      <c r="Q1652">
        <v>36</v>
      </c>
      <c r="S1652">
        <v>93</v>
      </c>
      <c r="T1652">
        <v>0</v>
      </c>
      <c r="U1652" s="2">
        <v>0</v>
      </c>
      <c r="V1652">
        <v>0</v>
      </c>
      <c r="W1652" t="s">
        <v>29</v>
      </c>
      <c r="X1652" t="str">
        <f>IF(Table2[[#This Row],[Qty available]]&gt;Table2[[#This Row],[Qty on hand]],"Check","OK")</f>
        <v>OK</v>
      </c>
    </row>
    <row r="1653" spans="1:24" x14ac:dyDescent="0.3">
      <c r="A1653" t="s">
        <v>197</v>
      </c>
      <c r="B1653" t="s">
        <v>198</v>
      </c>
      <c r="C1653" t="s">
        <v>25</v>
      </c>
      <c r="D1653" t="s">
        <v>26</v>
      </c>
      <c r="E1653" t="s">
        <v>66</v>
      </c>
      <c r="F1653" s="1" t="s">
        <v>48</v>
      </c>
      <c r="G1653" s="2">
        <v>106.11</v>
      </c>
      <c r="H1653">
        <v>115.59</v>
      </c>
      <c r="I1653">
        <v>109.894595</v>
      </c>
      <c r="J1653">
        <v>158.49</v>
      </c>
      <c r="K1653">
        <v>34</v>
      </c>
      <c r="M1653">
        <v>0</v>
      </c>
      <c r="N1653" s="2">
        <v>37</v>
      </c>
      <c r="O1653">
        <v>4066.1</v>
      </c>
      <c r="P1653">
        <v>2</v>
      </c>
      <c r="Q1653">
        <v>35</v>
      </c>
      <c r="S1653">
        <v>123</v>
      </c>
      <c r="T1653">
        <v>0</v>
      </c>
      <c r="U1653" s="2">
        <v>0</v>
      </c>
      <c r="V1653">
        <v>0</v>
      </c>
      <c r="W1653" t="s">
        <v>29</v>
      </c>
      <c r="X1653" t="str">
        <f>IF(Table2[[#This Row],[Qty available]]&gt;Table2[[#This Row],[Qty on hand]],"Check","OK")</f>
        <v>OK</v>
      </c>
    </row>
    <row r="1654" spans="1:24" x14ac:dyDescent="0.3">
      <c r="A1654" t="s">
        <v>197</v>
      </c>
      <c r="B1654" t="s">
        <v>198</v>
      </c>
      <c r="C1654" t="s">
        <v>25</v>
      </c>
      <c r="D1654" t="s">
        <v>26</v>
      </c>
      <c r="E1654" t="s">
        <v>66</v>
      </c>
      <c r="F1654" s="1" t="s">
        <v>49</v>
      </c>
      <c r="G1654" s="2">
        <v>105.68</v>
      </c>
      <c r="H1654">
        <v>115.12</v>
      </c>
      <c r="I1654">
        <v>109.894595</v>
      </c>
      <c r="J1654">
        <v>158.49</v>
      </c>
      <c r="K1654">
        <v>34</v>
      </c>
      <c r="M1654">
        <v>0</v>
      </c>
      <c r="N1654" s="2">
        <v>37</v>
      </c>
      <c r="O1654">
        <v>4066.1</v>
      </c>
      <c r="P1654">
        <v>1</v>
      </c>
      <c r="Q1654">
        <v>36</v>
      </c>
      <c r="S1654">
        <v>154</v>
      </c>
      <c r="T1654">
        <v>0</v>
      </c>
      <c r="U1654" s="2">
        <v>0</v>
      </c>
      <c r="V1654">
        <v>0</v>
      </c>
      <c r="W1654" t="s">
        <v>29</v>
      </c>
      <c r="X1654" t="str">
        <f>IF(Table2[[#This Row],[Qty available]]&gt;Table2[[#This Row],[Qty on hand]],"Check","OK")</f>
        <v>OK</v>
      </c>
    </row>
    <row r="1655" spans="1:24" x14ac:dyDescent="0.3">
      <c r="A1655" t="s">
        <v>197</v>
      </c>
      <c r="B1655" t="s">
        <v>198</v>
      </c>
      <c r="C1655" t="s">
        <v>25</v>
      </c>
      <c r="D1655" t="s">
        <v>26</v>
      </c>
      <c r="E1655" t="s">
        <v>66</v>
      </c>
      <c r="F1655" s="1" t="s">
        <v>50</v>
      </c>
      <c r="G1655" s="2">
        <v>103.88</v>
      </c>
      <c r="H1655">
        <v>113.16</v>
      </c>
      <c r="I1655">
        <v>109.894595</v>
      </c>
      <c r="J1655">
        <v>158.49</v>
      </c>
      <c r="K1655">
        <v>34</v>
      </c>
      <c r="M1655">
        <v>0</v>
      </c>
      <c r="N1655" s="2">
        <v>37</v>
      </c>
      <c r="O1655">
        <v>4066.1</v>
      </c>
      <c r="P1655">
        <v>2</v>
      </c>
      <c r="Q1655">
        <v>35</v>
      </c>
      <c r="S1655">
        <v>184</v>
      </c>
      <c r="T1655">
        <v>0</v>
      </c>
      <c r="U1655" s="2">
        <v>0</v>
      </c>
      <c r="V1655">
        <v>0</v>
      </c>
      <c r="W1655" t="s">
        <v>29</v>
      </c>
      <c r="X1655" t="str">
        <f>IF(Table2[[#This Row],[Qty available]]&gt;Table2[[#This Row],[Qty on hand]],"Check","OK")</f>
        <v>OK</v>
      </c>
    </row>
    <row r="1656" spans="1:24" x14ac:dyDescent="0.3">
      <c r="A1656" t="s">
        <v>197</v>
      </c>
      <c r="B1656" t="s">
        <v>198</v>
      </c>
      <c r="C1656" t="s">
        <v>25</v>
      </c>
      <c r="D1656" t="s">
        <v>26</v>
      </c>
      <c r="E1656" t="s">
        <v>66</v>
      </c>
      <c r="F1656" s="1" t="s">
        <v>51</v>
      </c>
      <c r="G1656" s="2">
        <v>105.17</v>
      </c>
      <c r="H1656">
        <v>114.56</v>
      </c>
      <c r="I1656">
        <v>109.894595</v>
      </c>
      <c r="J1656">
        <v>158.49</v>
      </c>
      <c r="K1656">
        <v>34</v>
      </c>
      <c r="M1656">
        <v>0</v>
      </c>
      <c r="N1656" s="2">
        <v>37</v>
      </c>
      <c r="O1656">
        <v>4066.1</v>
      </c>
      <c r="P1656">
        <v>0</v>
      </c>
      <c r="Q1656">
        <v>37</v>
      </c>
      <c r="S1656">
        <v>215</v>
      </c>
      <c r="T1656">
        <v>0</v>
      </c>
      <c r="U1656" s="2">
        <v>0</v>
      </c>
      <c r="V1656">
        <v>0</v>
      </c>
      <c r="W1656" t="s">
        <v>29</v>
      </c>
      <c r="X1656" t="str">
        <f>IF(Table2[[#This Row],[Qty available]]&gt;Table2[[#This Row],[Qty on hand]],"Check","OK")</f>
        <v>OK</v>
      </c>
    </row>
    <row r="1657" spans="1:24" x14ac:dyDescent="0.3">
      <c r="A1657" t="s">
        <v>197</v>
      </c>
      <c r="B1657" t="s">
        <v>198</v>
      </c>
      <c r="C1657" t="s">
        <v>25</v>
      </c>
      <c r="D1657" t="s">
        <v>26</v>
      </c>
      <c r="E1657" t="s">
        <v>66</v>
      </c>
      <c r="F1657" s="1" t="s">
        <v>52</v>
      </c>
      <c r="G1657" s="2">
        <v>103.8</v>
      </c>
      <c r="H1657">
        <v>113.07</v>
      </c>
      <c r="I1657">
        <v>109.894595</v>
      </c>
      <c r="J1657">
        <v>158.49</v>
      </c>
      <c r="K1657">
        <v>34</v>
      </c>
      <c r="M1657">
        <v>0</v>
      </c>
      <c r="N1657" s="2">
        <v>37</v>
      </c>
      <c r="O1657">
        <v>4066.1</v>
      </c>
      <c r="P1657">
        <v>2</v>
      </c>
      <c r="Q1657">
        <v>35</v>
      </c>
      <c r="S1657">
        <v>246</v>
      </c>
      <c r="T1657">
        <v>0</v>
      </c>
      <c r="U1657" s="2">
        <v>0</v>
      </c>
      <c r="V1657">
        <v>0</v>
      </c>
      <c r="W1657" t="s">
        <v>29</v>
      </c>
      <c r="X1657" t="str">
        <f>IF(Table2[[#This Row],[Qty available]]&gt;Table2[[#This Row],[Qty on hand]],"Check","OK")</f>
        <v>OK</v>
      </c>
    </row>
    <row r="1658" spans="1:24" x14ac:dyDescent="0.3">
      <c r="A1658" t="s">
        <v>199</v>
      </c>
      <c r="B1658" t="s">
        <v>200</v>
      </c>
      <c r="C1658" t="s">
        <v>57</v>
      </c>
      <c r="D1658" t="s">
        <v>58</v>
      </c>
      <c r="E1658" t="s">
        <v>66</v>
      </c>
      <c r="F1658" s="1" t="s">
        <v>28</v>
      </c>
      <c r="G1658" s="2">
        <v>17.920000000000002</v>
      </c>
      <c r="H1658">
        <v>17.920000000000002</v>
      </c>
      <c r="I1658">
        <v>17.856808999999998</v>
      </c>
      <c r="J1658">
        <v>25.14</v>
      </c>
      <c r="K1658">
        <v>21</v>
      </c>
      <c r="L1658" s="2">
        <v>18</v>
      </c>
      <c r="M1658">
        <v>126</v>
      </c>
      <c r="N1658" s="2">
        <v>141</v>
      </c>
      <c r="O1658">
        <v>2517.81</v>
      </c>
      <c r="P1658">
        <v>70</v>
      </c>
      <c r="Q1658">
        <v>71</v>
      </c>
      <c r="R1658">
        <v>2.61</v>
      </c>
      <c r="S1658">
        <v>0</v>
      </c>
      <c r="T1658">
        <v>269</v>
      </c>
      <c r="U1658" s="2">
        <v>6762.66</v>
      </c>
      <c r="V1658">
        <v>0</v>
      </c>
      <c r="W1658" t="s">
        <v>29</v>
      </c>
      <c r="X1658" t="str">
        <f>IF(Table2[[#This Row],[Qty available]]&gt;Table2[[#This Row],[Qty on hand]],"Check","OK")</f>
        <v>OK</v>
      </c>
    </row>
    <row r="1659" spans="1:24" x14ac:dyDescent="0.3">
      <c r="A1659" t="s">
        <v>199</v>
      </c>
      <c r="B1659" t="s">
        <v>200</v>
      </c>
      <c r="C1659" t="s">
        <v>57</v>
      </c>
      <c r="D1659" t="s">
        <v>58</v>
      </c>
      <c r="E1659" t="s">
        <v>66</v>
      </c>
      <c r="F1659" s="1" t="s">
        <v>30</v>
      </c>
      <c r="G1659" s="2">
        <v>17.78</v>
      </c>
      <c r="H1659">
        <v>17.78</v>
      </c>
      <c r="I1659">
        <v>17.794502000000001</v>
      </c>
      <c r="J1659">
        <v>25.14</v>
      </c>
      <c r="K1659">
        <v>21</v>
      </c>
      <c r="L1659" s="2">
        <v>31</v>
      </c>
      <c r="M1659">
        <v>606</v>
      </c>
      <c r="N1659" s="2">
        <v>542</v>
      </c>
      <c r="O1659">
        <v>9644.6200000000008</v>
      </c>
      <c r="P1659">
        <v>53</v>
      </c>
      <c r="Q1659">
        <v>489</v>
      </c>
      <c r="R1659">
        <v>9.56</v>
      </c>
      <c r="S1659">
        <v>3</v>
      </c>
      <c r="T1659">
        <v>205</v>
      </c>
      <c r="U1659" s="2">
        <v>5153.7</v>
      </c>
      <c r="V1659">
        <v>0</v>
      </c>
      <c r="W1659" t="s">
        <v>29</v>
      </c>
      <c r="X1659" t="str">
        <f>IF(Table2[[#This Row],[Qty available]]&gt;Table2[[#This Row],[Qty on hand]],"Check","OK")</f>
        <v>OK</v>
      </c>
    </row>
    <row r="1660" spans="1:24" x14ac:dyDescent="0.3">
      <c r="A1660" t="s">
        <v>199</v>
      </c>
      <c r="B1660" t="s">
        <v>200</v>
      </c>
      <c r="C1660" t="s">
        <v>57</v>
      </c>
      <c r="D1660" t="s">
        <v>58</v>
      </c>
      <c r="E1660" t="s">
        <v>66</v>
      </c>
      <c r="F1660" s="1" t="s">
        <v>31</v>
      </c>
      <c r="G1660" s="2">
        <v>17.96</v>
      </c>
      <c r="H1660">
        <v>17.96</v>
      </c>
      <c r="I1660">
        <v>17.838625</v>
      </c>
      <c r="J1660">
        <v>25.14</v>
      </c>
      <c r="K1660">
        <v>21</v>
      </c>
      <c r="L1660" s="2">
        <v>27</v>
      </c>
      <c r="M1660">
        <v>197</v>
      </c>
      <c r="N1660" s="2">
        <v>611</v>
      </c>
      <c r="O1660">
        <v>10899.4</v>
      </c>
      <c r="P1660">
        <v>70</v>
      </c>
      <c r="Q1660">
        <v>541</v>
      </c>
      <c r="R1660">
        <v>13.19</v>
      </c>
      <c r="S1660">
        <v>2</v>
      </c>
      <c r="T1660">
        <v>128</v>
      </c>
      <c r="U1660" s="2">
        <v>3217.92</v>
      </c>
      <c r="V1660">
        <v>0</v>
      </c>
      <c r="W1660" t="s">
        <v>29</v>
      </c>
      <c r="X1660" t="str">
        <f>IF(Table2[[#This Row],[Qty available]]&gt;Table2[[#This Row],[Qty on hand]],"Check","OK")</f>
        <v>OK</v>
      </c>
    </row>
    <row r="1661" spans="1:24" x14ac:dyDescent="0.3">
      <c r="A1661" t="s">
        <v>199</v>
      </c>
      <c r="B1661" t="s">
        <v>200</v>
      </c>
      <c r="C1661" t="s">
        <v>57</v>
      </c>
      <c r="D1661" t="s">
        <v>58</v>
      </c>
      <c r="E1661" t="s">
        <v>66</v>
      </c>
      <c r="F1661" s="1" t="s">
        <v>32</v>
      </c>
      <c r="G1661" s="2">
        <v>17.95</v>
      </c>
      <c r="H1661">
        <v>17.95</v>
      </c>
      <c r="I1661">
        <v>17.838626000000001</v>
      </c>
      <c r="J1661">
        <v>25.14</v>
      </c>
      <c r="K1661">
        <v>21</v>
      </c>
      <c r="M1661">
        <v>0</v>
      </c>
      <c r="N1661" s="2">
        <v>422</v>
      </c>
      <c r="O1661">
        <v>7527.9</v>
      </c>
      <c r="P1661">
        <v>26</v>
      </c>
      <c r="Q1661">
        <v>396</v>
      </c>
      <c r="R1661">
        <v>10.63</v>
      </c>
      <c r="S1661">
        <v>3</v>
      </c>
      <c r="T1661">
        <v>189</v>
      </c>
      <c r="U1661" s="2">
        <v>4751.46</v>
      </c>
      <c r="V1661">
        <v>0</v>
      </c>
      <c r="W1661" t="s">
        <v>29</v>
      </c>
      <c r="X1661" t="str">
        <f>IF(Table2[[#This Row],[Qty available]]&gt;Table2[[#This Row],[Qty on hand]],"Check","OK")</f>
        <v>OK</v>
      </c>
    </row>
    <row r="1662" spans="1:24" x14ac:dyDescent="0.3">
      <c r="A1662" t="s">
        <v>199</v>
      </c>
      <c r="B1662" t="s">
        <v>200</v>
      </c>
      <c r="C1662" t="s">
        <v>57</v>
      </c>
      <c r="D1662" t="s">
        <v>58</v>
      </c>
      <c r="E1662" t="s">
        <v>66</v>
      </c>
      <c r="F1662" s="1" t="s">
        <v>33</v>
      </c>
      <c r="G1662" s="2">
        <v>18.3</v>
      </c>
      <c r="H1662">
        <v>18.3</v>
      </c>
      <c r="I1662">
        <v>17.838585999999999</v>
      </c>
      <c r="J1662">
        <v>25.14</v>
      </c>
      <c r="K1662">
        <v>21</v>
      </c>
      <c r="M1662">
        <v>0</v>
      </c>
      <c r="N1662" s="2">
        <v>99</v>
      </c>
      <c r="O1662">
        <v>1766.02</v>
      </c>
      <c r="P1662">
        <v>88</v>
      </c>
      <c r="Q1662">
        <v>11</v>
      </c>
      <c r="R1662">
        <v>2.0299999999999998</v>
      </c>
      <c r="S1662">
        <v>0</v>
      </c>
      <c r="T1662">
        <v>323</v>
      </c>
      <c r="U1662" s="2">
        <v>8120.22</v>
      </c>
      <c r="V1662">
        <v>0</v>
      </c>
      <c r="W1662" t="s">
        <v>29</v>
      </c>
      <c r="X1662" t="str">
        <f>IF(Table2[[#This Row],[Qty available]]&gt;Table2[[#This Row],[Qty on hand]],"Check","OK")</f>
        <v>OK</v>
      </c>
    </row>
    <row r="1663" spans="1:24" x14ac:dyDescent="0.3">
      <c r="A1663" t="s">
        <v>199</v>
      </c>
      <c r="B1663" t="s">
        <v>200</v>
      </c>
      <c r="C1663" t="s">
        <v>57</v>
      </c>
      <c r="D1663" t="s">
        <v>58</v>
      </c>
      <c r="E1663" t="s">
        <v>66</v>
      </c>
      <c r="F1663" s="1" t="s">
        <v>34</v>
      </c>
      <c r="G1663" s="2">
        <v>18.59</v>
      </c>
      <c r="H1663">
        <v>18.59</v>
      </c>
      <c r="I1663">
        <v>18.416606999999999</v>
      </c>
      <c r="J1663">
        <v>26.63</v>
      </c>
      <c r="K1663">
        <v>21</v>
      </c>
      <c r="L1663" s="2">
        <v>20</v>
      </c>
      <c r="M1663">
        <v>330</v>
      </c>
      <c r="N1663" s="2">
        <v>280</v>
      </c>
      <c r="O1663">
        <v>5156.6499999999996</v>
      </c>
      <c r="P1663">
        <v>44</v>
      </c>
      <c r="Q1663">
        <v>236</v>
      </c>
      <c r="R1663">
        <v>5.45</v>
      </c>
      <c r="S1663">
        <v>0</v>
      </c>
      <c r="T1663">
        <v>149</v>
      </c>
      <c r="U1663" s="2">
        <v>3967.87</v>
      </c>
      <c r="V1663">
        <v>0</v>
      </c>
      <c r="W1663" t="s">
        <v>29</v>
      </c>
      <c r="X1663" t="str">
        <f>IF(Table2[[#This Row],[Qty available]]&gt;Table2[[#This Row],[Qty on hand]],"Check","OK")</f>
        <v>OK</v>
      </c>
    </row>
    <row r="1664" spans="1:24" x14ac:dyDescent="0.3">
      <c r="A1664" t="s">
        <v>199</v>
      </c>
      <c r="B1664" t="s">
        <v>200</v>
      </c>
      <c r="C1664" t="s">
        <v>57</v>
      </c>
      <c r="D1664" t="s">
        <v>58</v>
      </c>
      <c r="E1664" t="s">
        <v>66</v>
      </c>
      <c r="F1664" s="1" t="s">
        <v>35</v>
      </c>
      <c r="G1664" s="2">
        <v>18.95</v>
      </c>
      <c r="H1664">
        <v>18.95</v>
      </c>
      <c r="I1664">
        <v>18.679919999999999</v>
      </c>
      <c r="J1664">
        <v>26.63</v>
      </c>
      <c r="K1664">
        <v>21</v>
      </c>
      <c r="L1664" s="2">
        <v>18</v>
      </c>
      <c r="M1664">
        <v>273</v>
      </c>
      <c r="N1664" s="2">
        <v>377</v>
      </c>
      <c r="O1664">
        <v>7042.33</v>
      </c>
      <c r="P1664">
        <v>61</v>
      </c>
      <c r="Q1664">
        <v>316</v>
      </c>
      <c r="R1664">
        <v>7.48</v>
      </c>
      <c r="S1664">
        <v>0</v>
      </c>
      <c r="T1664">
        <v>176</v>
      </c>
      <c r="U1664" s="2">
        <v>4686.88</v>
      </c>
      <c r="V1664">
        <v>0</v>
      </c>
      <c r="W1664" t="s">
        <v>29</v>
      </c>
      <c r="X1664" t="str">
        <f>IF(Table2[[#This Row],[Qty available]]&gt;Table2[[#This Row],[Qty on hand]],"Check","OK")</f>
        <v>OK</v>
      </c>
    </row>
    <row r="1665" spans="1:24" x14ac:dyDescent="0.3">
      <c r="A1665" t="s">
        <v>199</v>
      </c>
      <c r="B1665" t="s">
        <v>200</v>
      </c>
      <c r="C1665" t="s">
        <v>57</v>
      </c>
      <c r="D1665" t="s">
        <v>58</v>
      </c>
      <c r="E1665" t="s">
        <v>66</v>
      </c>
      <c r="F1665" s="1" t="s">
        <v>36</v>
      </c>
      <c r="G1665" s="2">
        <v>18.88</v>
      </c>
      <c r="H1665">
        <v>18.88</v>
      </c>
      <c r="I1665">
        <v>18.770849999999999</v>
      </c>
      <c r="J1665">
        <v>26.63</v>
      </c>
      <c r="K1665">
        <v>21</v>
      </c>
      <c r="L1665" s="2">
        <v>28</v>
      </c>
      <c r="M1665">
        <v>314</v>
      </c>
      <c r="N1665" s="2">
        <v>341</v>
      </c>
      <c r="O1665">
        <v>6400.86</v>
      </c>
      <c r="P1665">
        <v>61</v>
      </c>
      <c r="Q1665">
        <v>280</v>
      </c>
      <c r="R1665">
        <v>6.42</v>
      </c>
      <c r="S1665">
        <v>0</v>
      </c>
      <c r="T1665">
        <v>350</v>
      </c>
      <c r="U1665" s="2">
        <v>9320.5</v>
      </c>
      <c r="V1665">
        <v>0</v>
      </c>
      <c r="W1665" t="s">
        <v>29</v>
      </c>
      <c r="X1665" t="str">
        <f>IF(Table2[[#This Row],[Qty available]]&gt;Table2[[#This Row],[Qty on hand]],"Check","OK")</f>
        <v>OK</v>
      </c>
    </row>
    <row r="1666" spans="1:24" x14ac:dyDescent="0.3">
      <c r="A1666" t="s">
        <v>199</v>
      </c>
      <c r="B1666" t="s">
        <v>200</v>
      </c>
      <c r="C1666" t="s">
        <v>57</v>
      </c>
      <c r="D1666" t="s">
        <v>58</v>
      </c>
      <c r="E1666" t="s">
        <v>66</v>
      </c>
      <c r="F1666" s="1" t="s">
        <v>37</v>
      </c>
      <c r="G1666" s="2">
        <v>18.579999999999998</v>
      </c>
      <c r="H1666">
        <v>18.579999999999998</v>
      </c>
      <c r="I1666">
        <v>18.690645</v>
      </c>
      <c r="J1666">
        <v>26.63</v>
      </c>
      <c r="K1666">
        <v>21</v>
      </c>
      <c r="L1666" s="2">
        <v>20</v>
      </c>
      <c r="M1666">
        <v>247</v>
      </c>
      <c r="N1666" s="2">
        <v>93</v>
      </c>
      <c r="O1666">
        <v>1738.23</v>
      </c>
      <c r="P1666">
        <v>53</v>
      </c>
      <c r="Q1666">
        <v>40</v>
      </c>
      <c r="R1666">
        <v>1.2</v>
      </c>
      <c r="S1666">
        <v>1</v>
      </c>
      <c r="T1666">
        <v>495</v>
      </c>
      <c r="U1666" s="2">
        <v>13181.85</v>
      </c>
      <c r="V1666">
        <v>0</v>
      </c>
      <c r="W1666" t="s">
        <v>29</v>
      </c>
      <c r="X1666" t="str">
        <f>IF(Table2[[#This Row],[Qty available]]&gt;Table2[[#This Row],[Qty on hand]],"Check","OK")</f>
        <v>OK</v>
      </c>
    </row>
    <row r="1667" spans="1:24" x14ac:dyDescent="0.3">
      <c r="A1667" t="s">
        <v>199</v>
      </c>
      <c r="B1667" t="s">
        <v>200</v>
      </c>
      <c r="C1667" t="s">
        <v>57</v>
      </c>
      <c r="D1667" t="s">
        <v>58</v>
      </c>
      <c r="E1667" t="s">
        <v>66</v>
      </c>
      <c r="F1667" s="1" t="s">
        <v>38</v>
      </c>
      <c r="G1667" s="2">
        <v>18.329999999999998</v>
      </c>
      <c r="H1667">
        <v>18.329999999999998</v>
      </c>
      <c r="I1667">
        <v>18.433783999999999</v>
      </c>
      <c r="J1667">
        <v>26.63</v>
      </c>
      <c r="K1667">
        <v>21</v>
      </c>
      <c r="L1667" s="2">
        <v>20</v>
      </c>
      <c r="M1667">
        <v>230</v>
      </c>
      <c r="N1667" s="2">
        <v>74</v>
      </c>
      <c r="O1667">
        <v>1364.1</v>
      </c>
      <c r="P1667">
        <v>74</v>
      </c>
      <c r="Q1667">
        <v>0</v>
      </c>
      <c r="R1667">
        <v>0.88</v>
      </c>
      <c r="S1667">
        <v>0</v>
      </c>
      <c r="T1667">
        <v>249</v>
      </c>
      <c r="U1667" s="2">
        <v>6630.87</v>
      </c>
      <c r="V1667">
        <v>0</v>
      </c>
      <c r="W1667" t="s">
        <v>29</v>
      </c>
      <c r="X1667" t="str">
        <f>IF(Table2[[#This Row],[Qty available]]&gt;Table2[[#This Row],[Qty on hand]],"Check","OK")</f>
        <v>OK</v>
      </c>
    </row>
    <row r="1668" spans="1:24" x14ac:dyDescent="0.3">
      <c r="A1668" t="s">
        <v>199</v>
      </c>
      <c r="B1668" t="s">
        <v>200</v>
      </c>
      <c r="C1668" t="s">
        <v>57</v>
      </c>
      <c r="D1668" t="s">
        <v>58</v>
      </c>
      <c r="E1668" t="s">
        <v>66</v>
      </c>
      <c r="F1668" s="1" t="s">
        <v>39</v>
      </c>
      <c r="G1668" s="2">
        <v>18.71</v>
      </c>
      <c r="H1668">
        <v>18.71</v>
      </c>
      <c r="I1668">
        <v>18.677257000000001</v>
      </c>
      <c r="J1668">
        <v>26.63</v>
      </c>
      <c r="K1668">
        <v>21</v>
      </c>
      <c r="L1668" s="2">
        <v>19</v>
      </c>
      <c r="M1668">
        <v>550</v>
      </c>
      <c r="N1668" s="2">
        <v>350</v>
      </c>
      <c r="O1668">
        <v>6537.04</v>
      </c>
      <c r="P1668">
        <v>35</v>
      </c>
      <c r="Q1668">
        <v>315</v>
      </c>
      <c r="R1668">
        <v>4.5199999999999996</v>
      </c>
      <c r="S1668">
        <v>1</v>
      </c>
      <c r="T1668">
        <v>274</v>
      </c>
      <c r="U1668" s="2">
        <v>7296.62</v>
      </c>
      <c r="V1668">
        <v>0</v>
      </c>
      <c r="W1668" t="s">
        <v>29</v>
      </c>
      <c r="X1668" t="str">
        <f>IF(Table2[[#This Row],[Qty available]]&gt;Table2[[#This Row],[Qty on hand]],"Check","OK")</f>
        <v>OK</v>
      </c>
    </row>
    <row r="1669" spans="1:24" x14ac:dyDescent="0.3">
      <c r="A1669" t="s">
        <v>199</v>
      </c>
      <c r="B1669" t="s">
        <v>200</v>
      </c>
      <c r="C1669" t="s">
        <v>57</v>
      </c>
      <c r="D1669" t="s">
        <v>58</v>
      </c>
      <c r="E1669" t="s">
        <v>66</v>
      </c>
      <c r="F1669" s="1" t="s">
        <v>40</v>
      </c>
      <c r="G1669" s="2">
        <v>18.559999999999999</v>
      </c>
      <c r="H1669">
        <v>18.559999999999999</v>
      </c>
      <c r="I1669">
        <v>18.677253</v>
      </c>
      <c r="J1669">
        <v>26.63</v>
      </c>
      <c r="K1669">
        <v>21</v>
      </c>
      <c r="M1669">
        <v>0</v>
      </c>
      <c r="N1669" s="2">
        <v>182</v>
      </c>
      <c r="O1669">
        <v>3399.26</v>
      </c>
      <c r="P1669">
        <v>26</v>
      </c>
      <c r="Q1669">
        <v>156</v>
      </c>
      <c r="R1669">
        <v>3.46</v>
      </c>
      <c r="S1669">
        <v>2</v>
      </c>
      <c r="T1669">
        <v>168</v>
      </c>
      <c r="U1669" s="2">
        <v>4473.84</v>
      </c>
      <c r="V1669">
        <v>0</v>
      </c>
      <c r="W1669" t="s">
        <v>29</v>
      </c>
      <c r="X1669" t="str">
        <f>IF(Table2[[#This Row],[Qty available]]&gt;Table2[[#This Row],[Qty on hand]],"Check","OK")</f>
        <v>OK</v>
      </c>
    </row>
    <row r="1670" spans="1:24" x14ac:dyDescent="0.3">
      <c r="A1670" t="s">
        <v>199</v>
      </c>
      <c r="B1670" t="s">
        <v>200</v>
      </c>
      <c r="C1670" t="s">
        <v>57</v>
      </c>
      <c r="D1670" t="s">
        <v>58</v>
      </c>
      <c r="E1670" t="s">
        <v>66</v>
      </c>
      <c r="F1670" s="1" t="s">
        <v>41</v>
      </c>
      <c r="G1670" s="2">
        <v>18.61</v>
      </c>
      <c r="H1670">
        <v>18.61</v>
      </c>
      <c r="I1670">
        <v>18.630984000000002</v>
      </c>
      <c r="J1670">
        <v>26.63</v>
      </c>
      <c r="K1670">
        <v>21</v>
      </c>
      <c r="L1670" s="2">
        <v>20</v>
      </c>
      <c r="M1670">
        <v>401</v>
      </c>
      <c r="N1670" s="2">
        <v>437</v>
      </c>
      <c r="O1670">
        <v>8141.74</v>
      </c>
      <c r="P1670">
        <v>79</v>
      </c>
      <c r="Q1670">
        <v>358</v>
      </c>
      <c r="R1670">
        <v>9.77</v>
      </c>
      <c r="S1670">
        <v>1</v>
      </c>
      <c r="T1670">
        <v>146</v>
      </c>
      <c r="U1670" s="2">
        <v>3887.98</v>
      </c>
      <c r="V1670">
        <v>0</v>
      </c>
      <c r="W1670" t="s">
        <v>29</v>
      </c>
      <c r="X1670" t="str">
        <f>IF(Table2[[#This Row],[Qty available]]&gt;Table2[[#This Row],[Qty on hand]],"Check","OK")</f>
        <v>OK</v>
      </c>
    </row>
    <row r="1671" spans="1:24" x14ac:dyDescent="0.3">
      <c r="A1671" t="s">
        <v>199</v>
      </c>
      <c r="B1671" t="s">
        <v>200</v>
      </c>
      <c r="C1671" t="s">
        <v>57</v>
      </c>
      <c r="D1671" t="s">
        <v>58</v>
      </c>
      <c r="E1671" t="s">
        <v>66</v>
      </c>
      <c r="F1671" s="1" t="s">
        <v>42</v>
      </c>
      <c r="G1671" s="2">
        <v>18.23</v>
      </c>
      <c r="H1671">
        <v>18.23</v>
      </c>
      <c r="I1671">
        <v>18.556325000000001</v>
      </c>
      <c r="J1671">
        <v>26.63</v>
      </c>
      <c r="K1671">
        <v>21</v>
      </c>
      <c r="L1671" s="2">
        <v>20</v>
      </c>
      <c r="M1671">
        <v>100</v>
      </c>
      <c r="N1671" s="2">
        <v>400</v>
      </c>
      <c r="O1671">
        <v>7422.53</v>
      </c>
      <c r="P1671">
        <v>70</v>
      </c>
      <c r="Q1671">
        <v>330</v>
      </c>
      <c r="R1671">
        <v>11.66</v>
      </c>
      <c r="S1671">
        <v>1</v>
      </c>
      <c r="T1671">
        <v>137</v>
      </c>
      <c r="U1671" s="2">
        <v>3648.31</v>
      </c>
      <c r="V1671">
        <v>0</v>
      </c>
      <c r="W1671" t="s">
        <v>29</v>
      </c>
      <c r="X1671" t="str">
        <f>IF(Table2[[#This Row],[Qty available]]&gt;Table2[[#This Row],[Qty on hand]],"Check","OK")</f>
        <v>OK</v>
      </c>
    </row>
    <row r="1672" spans="1:24" x14ac:dyDescent="0.3">
      <c r="A1672" t="s">
        <v>199</v>
      </c>
      <c r="B1672" t="s">
        <v>200</v>
      </c>
      <c r="C1672" t="s">
        <v>57</v>
      </c>
      <c r="D1672" t="s">
        <v>58</v>
      </c>
      <c r="E1672" t="s">
        <v>66</v>
      </c>
      <c r="F1672" s="1" t="s">
        <v>43</v>
      </c>
      <c r="G1672" s="2">
        <v>18.579999999999998</v>
      </c>
      <c r="H1672">
        <v>18.579999999999998</v>
      </c>
      <c r="I1672">
        <v>18.563475</v>
      </c>
      <c r="J1672">
        <v>26.63</v>
      </c>
      <c r="K1672">
        <v>21</v>
      </c>
      <c r="L1672" s="2">
        <v>25</v>
      </c>
      <c r="M1672">
        <v>173</v>
      </c>
      <c r="N1672" s="2">
        <v>259</v>
      </c>
      <c r="O1672">
        <v>4807.9399999999996</v>
      </c>
      <c r="P1672">
        <v>53</v>
      </c>
      <c r="Q1672">
        <v>206</v>
      </c>
      <c r="R1672">
        <v>5.64</v>
      </c>
      <c r="S1672">
        <v>3</v>
      </c>
      <c r="T1672">
        <v>314</v>
      </c>
      <c r="U1672" s="2">
        <v>8361.82</v>
      </c>
      <c r="V1672">
        <v>0</v>
      </c>
      <c r="W1672" t="s">
        <v>29</v>
      </c>
      <c r="X1672" t="str">
        <f>IF(Table2[[#This Row],[Qty available]]&gt;Table2[[#This Row],[Qty on hand]],"Check","OK")</f>
        <v>OK</v>
      </c>
    </row>
    <row r="1673" spans="1:24" x14ac:dyDescent="0.3">
      <c r="A1673" t="s">
        <v>199</v>
      </c>
      <c r="B1673" t="s">
        <v>200</v>
      </c>
      <c r="C1673" t="s">
        <v>57</v>
      </c>
      <c r="D1673" t="s">
        <v>58</v>
      </c>
      <c r="E1673" t="s">
        <v>66</v>
      </c>
      <c r="F1673" s="1" t="s">
        <v>44</v>
      </c>
      <c r="G1673" s="2">
        <v>18.55</v>
      </c>
      <c r="H1673">
        <v>18.55</v>
      </c>
      <c r="I1673">
        <v>18.563500000000001</v>
      </c>
      <c r="J1673">
        <v>26.63</v>
      </c>
      <c r="K1673">
        <v>21</v>
      </c>
      <c r="M1673">
        <v>0</v>
      </c>
      <c r="N1673" s="2">
        <v>60</v>
      </c>
      <c r="O1673">
        <v>1113.81</v>
      </c>
      <c r="P1673">
        <v>60</v>
      </c>
      <c r="Q1673">
        <v>0</v>
      </c>
      <c r="R1673">
        <v>1.21</v>
      </c>
      <c r="S1673">
        <v>2</v>
      </c>
      <c r="T1673">
        <v>199</v>
      </c>
      <c r="U1673" s="2">
        <v>5299.37</v>
      </c>
      <c r="V1673">
        <v>0</v>
      </c>
      <c r="W1673" t="s">
        <v>29</v>
      </c>
      <c r="X1673" t="str">
        <f>IF(Table2[[#This Row],[Qty available]]&gt;Table2[[#This Row],[Qty on hand]],"Check","OK")</f>
        <v>OK</v>
      </c>
    </row>
    <row r="1674" spans="1:24" x14ac:dyDescent="0.3">
      <c r="A1674" t="s">
        <v>199</v>
      </c>
      <c r="B1674" t="s">
        <v>200</v>
      </c>
      <c r="C1674" t="s">
        <v>57</v>
      </c>
      <c r="D1674" t="s">
        <v>58</v>
      </c>
      <c r="E1674" t="s">
        <v>66</v>
      </c>
      <c r="F1674" s="1" t="s">
        <v>45</v>
      </c>
      <c r="G1674" s="2">
        <v>19.28</v>
      </c>
      <c r="H1674">
        <v>19.28</v>
      </c>
      <c r="I1674">
        <v>19.213857000000001</v>
      </c>
      <c r="J1674">
        <v>26.63</v>
      </c>
      <c r="K1674">
        <v>21</v>
      </c>
      <c r="L1674" s="2">
        <v>37</v>
      </c>
      <c r="M1674">
        <v>590</v>
      </c>
      <c r="N1674" s="2">
        <v>407</v>
      </c>
      <c r="O1674">
        <v>7820.04</v>
      </c>
      <c r="P1674">
        <v>79</v>
      </c>
      <c r="Q1674">
        <v>328</v>
      </c>
      <c r="R1674">
        <v>7.08</v>
      </c>
      <c r="S1674">
        <v>0</v>
      </c>
      <c r="T1674">
        <v>243</v>
      </c>
      <c r="U1674" s="2">
        <v>6471.09</v>
      </c>
      <c r="V1674">
        <v>0</v>
      </c>
      <c r="W1674" t="s">
        <v>29</v>
      </c>
      <c r="X1674" t="str">
        <f>IF(Table2[[#This Row],[Qty available]]&gt;Table2[[#This Row],[Qty on hand]],"Check","OK")</f>
        <v>OK</v>
      </c>
    </row>
    <row r="1675" spans="1:24" x14ac:dyDescent="0.3">
      <c r="A1675" t="s">
        <v>199</v>
      </c>
      <c r="B1675" t="s">
        <v>200</v>
      </c>
      <c r="C1675" t="s">
        <v>57</v>
      </c>
      <c r="D1675" t="s">
        <v>58</v>
      </c>
      <c r="E1675" t="s">
        <v>66</v>
      </c>
      <c r="F1675" s="1" t="s">
        <v>46</v>
      </c>
      <c r="G1675" s="2">
        <v>18.93</v>
      </c>
      <c r="H1675">
        <v>18.93</v>
      </c>
      <c r="I1675">
        <v>19.213792999999999</v>
      </c>
      <c r="J1675">
        <v>28.2</v>
      </c>
      <c r="K1675">
        <v>21</v>
      </c>
      <c r="M1675">
        <v>0</v>
      </c>
      <c r="N1675" s="2">
        <v>58</v>
      </c>
      <c r="O1675">
        <v>1114.4000000000001</v>
      </c>
      <c r="P1675">
        <v>58</v>
      </c>
      <c r="Q1675">
        <v>0</v>
      </c>
      <c r="R1675">
        <v>0.94</v>
      </c>
      <c r="S1675">
        <v>4</v>
      </c>
      <c r="T1675">
        <v>349</v>
      </c>
      <c r="U1675" s="2">
        <v>9841.7999999999993</v>
      </c>
      <c r="V1675">
        <v>0</v>
      </c>
      <c r="W1675" t="s">
        <v>29</v>
      </c>
      <c r="X1675" t="str">
        <f>IF(Table2[[#This Row],[Qty available]]&gt;Table2[[#This Row],[Qty on hand]],"Check","OK")</f>
        <v>OK</v>
      </c>
    </row>
    <row r="1676" spans="1:24" x14ac:dyDescent="0.3">
      <c r="A1676" t="s">
        <v>199</v>
      </c>
      <c r="B1676" t="s">
        <v>200</v>
      </c>
      <c r="C1676" t="s">
        <v>57</v>
      </c>
      <c r="D1676" t="s">
        <v>58</v>
      </c>
      <c r="E1676" t="s">
        <v>66</v>
      </c>
      <c r="F1676" s="1" t="s">
        <v>47</v>
      </c>
      <c r="G1676" s="2">
        <v>19.010000000000002</v>
      </c>
      <c r="H1676">
        <v>19.010000000000002</v>
      </c>
      <c r="I1676">
        <v>19.030242999999999</v>
      </c>
      <c r="J1676">
        <v>28.2</v>
      </c>
      <c r="K1676">
        <v>21</v>
      </c>
      <c r="L1676" s="2">
        <v>18</v>
      </c>
      <c r="M1676">
        <v>526</v>
      </c>
      <c r="N1676" s="2">
        <v>371</v>
      </c>
      <c r="O1676">
        <v>7060.22</v>
      </c>
      <c r="P1676">
        <v>26</v>
      </c>
      <c r="Q1676">
        <v>345</v>
      </c>
      <c r="R1676">
        <v>5.93</v>
      </c>
      <c r="S1676">
        <v>0</v>
      </c>
      <c r="T1676">
        <v>213</v>
      </c>
      <c r="U1676" s="2">
        <v>6006.6</v>
      </c>
      <c r="V1676">
        <v>0</v>
      </c>
      <c r="W1676" t="s">
        <v>29</v>
      </c>
      <c r="X1676" t="str">
        <f>IF(Table2[[#This Row],[Qty available]]&gt;Table2[[#This Row],[Qty on hand]],"Check","OK")</f>
        <v>OK</v>
      </c>
    </row>
    <row r="1677" spans="1:24" x14ac:dyDescent="0.3">
      <c r="A1677" t="s">
        <v>199</v>
      </c>
      <c r="B1677" t="s">
        <v>200</v>
      </c>
      <c r="C1677" t="s">
        <v>57</v>
      </c>
      <c r="D1677" t="s">
        <v>58</v>
      </c>
      <c r="E1677" t="s">
        <v>66</v>
      </c>
      <c r="F1677" s="1" t="s">
        <v>48</v>
      </c>
      <c r="G1677" s="2">
        <v>19.16</v>
      </c>
      <c r="H1677">
        <v>19.16</v>
      </c>
      <c r="I1677">
        <v>19.030242999999999</v>
      </c>
      <c r="J1677">
        <v>28.2</v>
      </c>
      <c r="K1677">
        <v>21</v>
      </c>
      <c r="M1677">
        <v>0</v>
      </c>
      <c r="N1677" s="2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371</v>
      </c>
      <c r="U1677" s="2">
        <v>10462.200000000001</v>
      </c>
      <c r="V1677">
        <v>23</v>
      </c>
      <c r="W1677" t="s">
        <v>59</v>
      </c>
      <c r="X1677" t="str">
        <f>IF(Table2[[#This Row],[Qty available]]&gt;Table2[[#This Row],[Qty on hand]],"Check","OK")</f>
        <v>OK</v>
      </c>
    </row>
    <row r="1678" spans="1:24" x14ac:dyDescent="0.3">
      <c r="A1678" t="s">
        <v>199</v>
      </c>
      <c r="B1678" t="s">
        <v>200</v>
      </c>
      <c r="C1678" t="s">
        <v>57</v>
      </c>
      <c r="D1678" t="s">
        <v>58</v>
      </c>
      <c r="E1678" t="s">
        <v>66</v>
      </c>
      <c r="F1678" s="1" t="s">
        <v>49</v>
      </c>
      <c r="G1678" s="2">
        <v>19.27</v>
      </c>
      <c r="H1678">
        <v>19.27</v>
      </c>
      <c r="I1678">
        <v>19.27</v>
      </c>
      <c r="J1678">
        <v>28.2</v>
      </c>
      <c r="K1678">
        <v>21</v>
      </c>
      <c r="L1678" s="2">
        <v>21</v>
      </c>
      <c r="M1678">
        <v>573</v>
      </c>
      <c r="N1678" s="2">
        <v>390</v>
      </c>
      <c r="O1678">
        <v>7515.3</v>
      </c>
      <c r="P1678">
        <v>53</v>
      </c>
      <c r="Q1678">
        <v>337</v>
      </c>
      <c r="R1678">
        <v>6.68</v>
      </c>
      <c r="S1678">
        <v>2</v>
      </c>
      <c r="T1678">
        <v>183</v>
      </c>
      <c r="U1678" s="2">
        <v>5160.6000000000004</v>
      </c>
      <c r="V1678">
        <v>0</v>
      </c>
      <c r="W1678" t="s">
        <v>29</v>
      </c>
      <c r="X1678" t="str">
        <f>IF(Table2[[#This Row],[Qty available]]&gt;Table2[[#This Row],[Qty on hand]],"Check","OK")</f>
        <v>OK</v>
      </c>
    </row>
    <row r="1679" spans="1:24" x14ac:dyDescent="0.3">
      <c r="A1679" t="s">
        <v>199</v>
      </c>
      <c r="B1679" t="s">
        <v>200</v>
      </c>
      <c r="C1679" t="s">
        <v>57</v>
      </c>
      <c r="D1679" t="s">
        <v>58</v>
      </c>
      <c r="E1679" t="s">
        <v>66</v>
      </c>
      <c r="F1679" s="1" t="s">
        <v>50</v>
      </c>
      <c r="G1679" s="2">
        <v>19.23</v>
      </c>
      <c r="H1679">
        <v>19.23</v>
      </c>
      <c r="I1679">
        <v>19.256482999999999</v>
      </c>
      <c r="J1679">
        <v>28.2</v>
      </c>
      <c r="K1679">
        <v>21</v>
      </c>
      <c r="L1679" s="2">
        <v>25</v>
      </c>
      <c r="M1679">
        <v>199</v>
      </c>
      <c r="N1679" s="2">
        <v>563</v>
      </c>
      <c r="O1679">
        <v>10841.4</v>
      </c>
      <c r="P1679">
        <v>61</v>
      </c>
      <c r="Q1679">
        <v>502</v>
      </c>
      <c r="R1679">
        <v>12.62</v>
      </c>
      <c r="S1679">
        <v>0</v>
      </c>
      <c r="T1679">
        <v>26</v>
      </c>
      <c r="U1679" s="2">
        <v>733.2</v>
      </c>
      <c r="V1679">
        <v>0</v>
      </c>
      <c r="W1679" t="s">
        <v>29</v>
      </c>
      <c r="X1679" t="str">
        <f>IF(Table2[[#This Row],[Qty available]]&gt;Table2[[#This Row],[Qty on hand]],"Check","OK")</f>
        <v>OK</v>
      </c>
    </row>
    <row r="1680" spans="1:24" x14ac:dyDescent="0.3">
      <c r="A1680" t="s">
        <v>199</v>
      </c>
      <c r="B1680" t="s">
        <v>200</v>
      </c>
      <c r="C1680" t="s">
        <v>57</v>
      </c>
      <c r="D1680" t="s">
        <v>58</v>
      </c>
      <c r="E1680" t="s">
        <v>66</v>
      </c>
      <c r="F1680" s="1" t="s">
        <v>51</v>
      </c>
      <c r="G1680" s="2">
        <v>19.28</v>
      </c>
      <c r="H1680">
        <v>19.28</v>
      </c>
      <c r="I1680">
        <v>19.260726999999999</v>
      </c>
      <c r="J1680">
        <v>28.2</v>
      </c>
      <c r="K1680">
        <v>21</v>
      </c>
      <c r="L1680" s="2">
        <v>19</v>
      </c>
      <c r="M1680">
        <v>124</v>
      </c>
      <c r="N1680" s="2">
        <v>440</v>
      </c>
      <c r="O1680">
        <v>8474.7199999999993</v>
      </c>
      <c r="P1680">
        <v>79</v>
      </c>
      <c r="Q1680">
        <v>361</v>
      </c>
      <c r="R1680">
        <v>12.68</v>
      </c>
      <c r="S1680">
        <v>0</v>
      </c>
      <c r="T1680">
        <v>247</v>
      </c>
      <c r="U1680" s="2">
        <v>6965.4</v>
      </c>
      <c r="V1680">
        <v>0</v>
      </c>
      <c r="W1680" t="s">
        <v>29</v>
      </c>
      <c r="X1680" t="str">
        <f>IF(Table2[[#This Row],[Qty available]]&gt;Table2[[#This Row],[Qty on hand]],"Check","OK")</f>
        <v>OK</v>
      </c>
    </row>
    <row r="1681" spans="1:24" x14ac:dyDescent="0.3">
      <c r="A1681" t="s">
        <v>199</v>
      </c>
      <c r="B1681" t="s">
        <v>200</v>
      </c>
      <c r="C1681" t="s">
        <v>57</v>
      </c>
      <c r="D1681" t="s">
        <v>58</v>
      </c>
      <c r="E1681" t="s">
        <v>66</v>
      </c>
      <c r="F1681" s="1" t="s">
        <v>52</v>
      </c>
      <c r="G1681" s="2">
        <v>19.14</v>
      </c>
      <c r="H1681">
        <v>19.14</v>
      </c>
      <c r="I1681">
        <v>19.204543999999999</v>
      </c>
      <c r="J1681">
        <v>28.2</v>
      </c>
      <c r="K1681">
        <v>21</v>
      </c>
      <c r="L1681" s="2">
        <v>18</v>
      </c>
      <c r="M1681">
        <v>383</v>
      </c>
      <c r="N1681" s="2">
        <v>570</v>
      </c>
      <c r="O1681">
        <v>10946.59</v>
      </c>
      <c r="P1681">
        <v>44</v>
      </c>
      <c r="Q1681">
        <v>526</v>
      </c>
      <c r="R1681">
        <v>14.24</v>
      </c>
      <c r="S1681">
        <v>1</v>
      </c>
      <c r="T1681">
        <v>253</v>
      </c>
      <c r="U1681" s="2">
        <v>7134.6</v>
      </c>
      <c r="V1681">
        <v>0</v>
      </c>
      <c r="W1681" t="s">
        <v>29</v>
      </c>
      <c r="X1681" t="str">
        <f>IF(Table2[[#This Row],[Qty available]]&gt;Table2[[#This Row],[Qty on hand]],"Check","OK")</f>
        <v>OK</v>
      </c>
    </row>
    <row r="1682" spans="1:24" x14ac:dyDescent="0.3">
      <c r="A1682" t="s">
        <v>201</v>
      </c>
      <c r="B1682" t="s">
        <v>202</v>
      </c>
      <c r="C1682" t="s">
        <v>57</v>
      </c>
      <c r="D1682" t="s">
        <v>58</v>
      </c>
      <c r="E1682" t="s">
        <v>66</v>
      </c>
      <c r="F1682" s="1" t="s">
        <v>28</v>
      </c>
      <c r="G1682" s="2">
        <v>40.07</v>
      </c>
      <c r="H1682">
        <v>40.07</v>
      </c>
      <c r="I1682">
        <v>40.321492999999997</v>
      </c>
      <c r="J1682">
        <v>55.49</v>
      </c>
      <c r="K1682">
        <v>38</v>
      </c>
      <c r="L1682" s="2">
        <v>57</v>
      </c>
      <c r="M1682">
        <v>54</v>
      </c>
      <c r="N1682" s="2">
        <v>67</v>
      </c>
      <c r="O1682">
        <v>2701.54</v>
      </c>
      <c r="P1682">
        <v>5</v>
      </c>
      <c r="Q1682">
        <v>62</v>
      </c>
      <c r="R1682">
        <v>9.08</v>
      </c>
      <c r="S1682">
        <v>3</v>
      </c>
      <c r="T1682">
        <v>22</v>
      </c>
      <c r="U1682" s="2">
        <v>1220.78</v>
      </c>
      <c r="V1682">
        <v>0</v>
      </c>
      <c r="W1682" t="s">
        <v>29</v>
      </c>
      <c r="X1682" t="str">
        <f>IF(Table2[[#This Row],[Qty available]]&gt;Table2[[#This Row],[Qty on hand]],"Check","OK")</f>
        <v>OK</v>
      </c>
    </row>
    <row r="1683" spans="1:24" x14ac:dyDescent="0.3">
      <c r="A1683" t="s">
        <v>201</v>
      </c>
      <c r="B1683" t="s">
        <v>202</v>
      </c>
      <c r="C1683" t="s">
        <v>57</v>
      </c>
      <c r="D1683" t="s">
        <v>58</v>
      </c>
      <c r="E1683" t="s">
        <v>66</v>
      </c>
      <c r="F1683" s="1" t="s">
        <v>30</v>
      </c>
      <c r="G1683" s="2">
        <v>40.18</v>
      </c>
      <c r="H1683">
        <v>40.18</v>
      </c>
      <c r="I1683">
        <v>40.292856999999998</v>
      </c>
      <c r="J1683">
        <v>55.49</v>
      </c>
      <c r="K1683">
        <v>38</v>
      </c>
      <c r="L1683" s="2">
        <v>59</v>
      </c>
      <c r="M1683">
        <v>17</v>
      </c>
      <c r="N1683" s="2">
        <v>56</v>
      </c>
      <c r="O1683">
        <v>2256.4</v>
      </c>
      <c r="P1683">
        <v>2</v>
      </c>
      <c r="Q1683">
        <v>54</v>
      </c>
      <c r="R1683">
        <v>8.18</v>
      </c>
      <c r="S1683">
        <v>14</v>
      </c>
      <c r="T1683">
        <v>28</v>
      </c>
      <c r="U1683" s="2">
        <v>1553.72</v>
      </c>
      <c r="V1683">
        <v>0</v>
      </c>
      <c r="W1683" t="s">
        <v>29</v>
      </c>
      <c r="X1683" t="str">
        <f>IF(Table2[[#This Row],[Qty available]]&gt;Table2[[#This Row],[Qty on hand]],"Check","OK")</f>
        <v>OK</v>
      </c>
    </row>
    <row r="1684" spans="1:24" x14ac:dyDescent="0.3">
      <c r="A1684" t="s">
        <v>201</v>
      </c>
      <c r="B1684" t="s">
        <v>202</v>
      </c>
      <c r="C1684" t="s">
        <v>57</v>
      </c>
      <c r="D1684" t="s">
        <v>58</v>
      </c>
      <c r="E1684" t="s">
        <v>66</v>
      </c>
      <c r="F1684" s="1" t="s">
        <v>31</v>
      </c>
      <c r="G1684" s="2">
        <v>40.01</v>
      </c>
      <c r="H1684">
        <v>40.01</v>
      </c>
      <c r="I1684">
        <v>40.224145999999998</v>
      </c>
      <c r="J1684">
        <v>55.49</v>
      </c>
      <c r="K1684">
        <v>38</v>
      </c>
      <c r="L1684" s="2">
        <v>33</v>
      </c>
      <c r="M1684">
        <v>18</v>
      </c>
      <c r="N1684" s="2">
        <v>41</v>
      </c>
      <c r="O1684">
        <v>1649.19</v>
      </c>
      <c r="P1684">
        <v>9</v>
      </c>
      <c r="Q1684">
        <v>32</v>
      </c>
      <c r="R1684">
        <v>6.42</v>
      </c>
      <c r="S1684">
        <v>0</v>
      </c>
      <c r="T1684">
        <v>33</v>
      </c>
      <c r="U1684" s="2">
        <v>1831.17</v>
      </c>
      <c r="V1684">
        <v>0</v>
      </c>
      <c r="W1684" t="s">
        <v>29</v>
      </c>
      <c r="X1684" t="str">
        <f>IF(Table2[[#This Row],[Qty available]]&gt;Table2[[#This Row],[Qty on hand]],"Check","OK")</f>
        <v>OK</v>
      </c>
    </row>
    <row r="1685" spans="1:24" x14ac:dyDescent="0.3">
      <c r="A1685" t="s">
        <v>201</v>
      </c>
      <c r="B1685" t="s">
        <v>202</v>
      </c>
      <c r="C1685" t="s">
        <v>57</v>
      </c>
      <c r="D1685" t="s">
        <v>58</v>
      </c>
      <c r="E1685" t="s">
        <v>66</v>
      </c>
      <c r="F1685" s="1" t="s">
        <v>32</v>
      </c>
      <c r="G1685" s="2">
        <v>40.89</v>
      </c>
      <c r="H1685">
        <v>40.89</v>
      </c>
      <c r="I1685">
        <v>40.602682999999999</v>
      </c>
      <c r="J1685">
        <v>55.49</v>
      </c>
      <c r="K1685">
        <v>38</v>
      </c>
      <c r="L1685" s="2">
        <v>47</v>
      </c>
      <c r="M1685">
        <v>54</v>
      </c>
      <c r="N1685" s="2">
        <v>82</v>
      </c>
      <c r="O1685">
        <v>3329.42</v>
      </c>
      <c r="P1685">
        <v>4</v>
      </c>
      <c r="Q1685">
        <v>78</v>
      </c>
      <c r="R1685">
        <v>14.56</v>
      </c>
      <c r="S1685">
        <v>0</v>
      </c>
      <c r="T1685">
        <v>13</v>
      </c>
      <c r="U1685" s="2">
        <v>721.37</v>
      </c>
      <c r="V1685">
        <v>0</v>
      </c>
      <c r="W1685" t="s">
        <v>29</v>
      </c>
      <c r="X1685" t="str">
        <f>IF(Table2[[#This Row],[Qty available]]&gt;Table2[[#This Row],[Qty on hand]],"Check","OK")</f>
        <v>OK</v>
      </c>
    </row>
    <row r="1686" spans="1:24" x14ac:dyDescent="0.3">
      <c r="A1686" t="s">
        <v>201</v>
      </c>
      <c r="B1686" t="s">
        <v>202</v>
      </c>
      <c r="C1686" t="s">
        <v>57</v>
      </c>
      <c r="D1686" t="s">
        <v>58</v>
      </c>
      <c r="E1686" t="s">
        <v>66</v>
      </c>
      <c r="F1686" s="1" t="s">
        <v>33</v>
      </c>
      <c r="G1686" s="2">
        <v>42.34</v>
      </c>
      <c r="H1686">
        <v>42.34</v>
      </c>
      <c r="I1686">
        <v>41.227044999999997</v>
      </c>
      <c r="J1686">
        <v>55.49</v>
      </c>
      <c r="K1686">
        <v>38</v>
      </c>
      <c r="L1686" s="2">
        <v>36</v>
      </c>
      <c r="M1686">
        <v>46</v>
      </c>
      <c r="N1686" s="2">
        <v>88</v>
      </c>
      <c r="O1686">
        <v>3627.98</v>
      </c>
      <c r="P1686">
        <v>6</v>
      </c>
      <c r="Q1686">
        <v>82</v>
      </c>
      <c r="R1686">
        <v>13.45</v>
      </c>
      <c r="S1686">
        <v>3</v>
      </c>
      <c r="T1686">
        <v>40</v>
      </c>
      <c r="U1686" s="2">
        <v>2219.6</v>
      </c>
      <c r="V1686">
        <v>0</v>
      </c>
      <c r="W1686" t="s">
        <v>29</v>
      </c>
      <c r="X1686" t="str">
        <f>IF(Table2[[#This Row],[Qty available]]&gt;Table2[[#This Row],[Qty on hand]],"Check","OK")</f>
        <v>OK</v>
      </c>
    </row>
    <row r="1687" spans="1:24" x14ac:dyDescent="0.3">
      <c r="A1687" t="s">
        <v>201</v>
      </c>
      <c r="B1687" t="s">
        <v>202</v>
      </c>
      <c r="C1687" t="s">
        <v>57</v>
      </c>
      <c r="D1687" t="s">
        <v>58</v>
      </c>
      <c r="E1687" t="s">
        <v>66</v>
      </c>
      <c r="F1687" s="1" t="s">
        <v>34</v>
      </c>
      <c r="G1687" s="2">
        <v>42.14</v>
      </c>
      <c r="H1687">
        <v>42.14</v>
      </c>
      <c r="I1687">
        <v>41.227058999999997</v>
      </c>
      <c r="J1687">
        <v>58.1</v>
      </c>
      <c r="K1687">
        <v>38</v>
      </c>
      <c r="M1687">
        <v>0</v>
      </c>
      <c r="N1687" s="2">
        <v>51</v>
      </c>
      <c r="O1687">
        <v>2102.58</v>
      </c>
      <c r="P1687">
        <v>8</v>
      </c>
      <c r="Q1687">
        <v>43</v>
      </c>
      <c r="R1687">
        <v>7.29</v>
      </c>
      <c r="S1687">
        <v>1</v>
      </c>
      <c r="T1687">
        <v>37</v>
      </c>
      <c r="U1687" s="2">
        <v>2149.6999999999998</v>
      </c>
      <c r="V1687">
        <v>0</v>
      </c>
      <c r="W1687" t="s">
        <v>29</v>
      </c>
      <c r="X1687" t="str">
        <f>IF(Table2[[#This Row],[Qty available]]&gt;Table2[[#This Row],[Qty on hand]],"Check","OK")</f>
        <v>OK</v>
      </c>
    </row>
    <row r="1688" spans="1:24" x14ac:dyDescent="0.3">
      <c r="A1688" t="s">
        <v>201</v>
      </c>
      <c r="B1688" t="s">
        <v>202</v>
      </c>
      <c r="C1688" t="s">
        <v>57</v>
      </c>
      <c r="D1688" t="s">
        <v>58</v>
      </c>
      <c r="E1688" t="s">
        <v>66</v>
      </c>
      <c r="F1688" s="1" t="s">
        <v>35</v>
      </c>
      <c r="G1688" s="2">
        <v>41.2</v>
      </c>
      <c r="H1688">
        <v>41.2</v>
      </c>
      <c r="I1688">
        <v>41.222307999999998</v>
      </c>
      <c r="J1688">
        <v>58.1</v>
      </c>
      <c r="K1688">
        <v>38</v>
      </c>
      <c r="L1688" s="2">
        <v>54</v>
      </c>
      <c r="M1688">
        <v>11</v>
      </c>
      <c r="N1688" s="2">
        <v>26</v>
      </c>
      <c r="O1688">
        <v>1071.78</v>
      </c>
      <c r="P1688">
        <v>9</v>
      </c>
      <c r="Q1688">
        <v>17</v>
      </c>
      <c r="R1688">
        <v>2.96</v>
      </c>
      <c r="S1688">
        <v>0</v>
      </c>
      <c r="T1688">
        <v>36</v>
      </c>
      <c r="U1688" s="2">
        <v>2091.6</v>
      </c>
      <c r="V1688">
        <v>0</v>
      </c>
      <c r="W1688" t="s">
        <v>29</v>
      </c>
      <c r="X1688" t="str">
        <f>IF(Table2[[#This Row],[Qty available]]&gt;Table2[[#This Row],[Qty on hand]],"Check","OK")</f>
        <v>OK</v>
      </c>
    </row>
    <row r="1689" spans="1:24" x14ac:dyDescent="0.3">
      <c r="A1689" t="s">
        <v>201</v>
      </c>
      <c r="B1689" t="s">
        <v>202</v>
      </c>
      <c r="C1689" t="s">
        <v>57</v>
      </c>
      <c r="D1689" t="s">
        <v>58</v>
      </c>
      <c r="E1689" t="s">
        <v>66</v>
      </c>
      <c r="F1689" s="1" t="s">
        <v>36</v>
      </c>
      <c r="G1689" s="2">
        <v>41.54</v>
      </c>
      <c r="H1689">
        <v>41.54</v>
      </c>
      <c r="I1689">
        <v>41.466904999999997</v>
      </c>
      <c r="J1689">
        <v>58.1</v>
      </c>
      <c r="K1689">
        <v>38</v>
      </c>
      <c r="L1689" s="2">
        <v>52</v>
      </c>
      <c r="M1689">
        <v>87</v>
      </c>
      <c r="N1689" s="2">
        <v>84</v>
      </c>
      <c r="O1689">
        <v>3483.22</v>
      </c>
      <c r="P1689">
        <v>4</v>
      </c>
      <c r="Q1689">
        <v>80</v>
      </c>
      <c r="R1689">
        <v>10.47</v>
      </c>
      <c r="S1689">
        <v>7</v>
      </c>
      <c r="T1689">
        <v>29</v>
      </c>
      <c r="U1689" s="2">
        <v>1684.9</v>
      </c>
      <c r="V1689">
        <v>0</v>
      </c>
      <c r="W1689" t="s">
        <v>29</v>
      </c>
      <c r="X1689" t="str">
        <f>IF(Table2[[#This Row],[Qty available]]&gt;Table2[[#This Row],[Qty on hand]],"Check","OK")</f>
        <v>OK</v>
      </c>
    </row>
    <row r="1690" spans="1:24" x14ac:dyDescent="0.3">
      <c r="A1690" t="s">
        <v>201</v>
      </c>
      <c r="B1690" t="s">
        <v>202</v>
      </c>
      <c r="C1690" t="s">
        <v>57</v>
      </c>
      <c r="D1690" t="s">
        <v>58</v>
      </c>
      <c r="E1690" t="s">
        <v>66</v>
      </c>
      <c r="F1690" s="1" t="s">
        <v>37</v>
      </c>
      <c r="G1690" s="2">
        <v>41.51</v>
      </c>
      <c r="H1690">
        <v>41.51</v>
      </c>
      <c r="I1690">
        <v>41.483564999999999</v>
      </c>
      <c r="J1690">
        <v>58.1</v>
      </c>
      <c r="K1690">
        <v>38</v>
      </c>
      <c r="L1690" s="2">
        <v>34</v>
      </c>
      <c r="M1690">
        <v>53</v>
      </c>
      <c r="N1690" s="2">
        <v>115</v>
      </c>
      <c r="O1690">
        <v>4770.6099999999997</v>
      </c>
      <c r="P1690">
        <v>2</v>
      </c>
      <c r="Q1690">
        <v>113</v>
      </c>
      <c r="R1690">
        <v>17.37</v>
      </c>
      <c r="S1690">
        <v>0</v>
      </c>
      <c r="T1690">
        <v>22</v>
      </c>
      <c r="U1690" s="2">
        <v>1278.2</v>
      </c>
      <c r="V1690">
        <v>0</v>
      </c>
      <c r="W1690" t="s">
        <v>29</v>
      </c>
      <c r="X1690" t="str">
        <f>IF(Table2[[#This Row],[Qty available]]&gt;Table2[[#This Row],[Qty on hand]],"Check","OK")</f>
        <v>OK</v>
      </c>
    </row>
    <row r="1691" spans="1:24" x14ac:dyDescent="0.3">
      <c r="A1691" t="s">
        <v>201</v>
      </c>
      <c r="B1691" t="s">
        <v>202</v>
      </c>
      <c r="C1691" t="s">
        <v>57</v>
      </c>
      <c r="D1691" t="s">
        <v>58</v>
      </c>
      <c r="E1691" t="s">
        <v>66</v>
      </c>
      <c r="F1691" s="1" t="s">
        <v>38</v>
      </c>
      <c r="G1691" s="2">
        <v>42.49</v>
      </c>
      <c r="H1691">
        <v>42.49</v>
      </c>
      <c r="I1691">
        <v>41.483556</v>
      </c>
      <c r="J1691">
        <v>58.1</v>
      </c>
      <c r="K1691">
        <v>38</v>
      </c>
      <c r="M1691">
        <v>0</v>
      </c>
      <c r="N1691" s="2">
        <v>90</v>
      </c>
      <c r="O1691">
        <v>3733.52</v>
      </c>
      <c r="P1691">
        <v>2</v>
      </c>
      <c r="Q1691">
        <v>88</v>
      </c>
      <c r="R1691">
        <v>15.39</v>
      </c>
      <c r="S1691">
        <v>1</v>
      </c>
      <c r="T1691">
        <v>25</v>
      </c>
      <c r="U1691" s="2">
        <v>1452.5</v>
      </c>
      <c r="V1691">
        <v>0</v>
      </c>
      <c r="W1691" t="s">
        <v>29</v>
      </c>
      <c r="X1691" t="str">
        <f>IF(Table2[[#This Row],[Qty available]]&gt;Table2[[#This Row],[Qty on hand]],"Check","OK")</f>
        <v>OK</v>
      </c>
    </row>
    <row r="1692" spans="1:24" x14ac:dyDescent="0.3">
      <c r="A1692" t="s">
        <v>201</v>
      </c>
      <c r="B1692" t="s">
        <v>202</v>
      </c>
      <c r="C1692" t="s">
        <v>57</v>
      </c>
      <c r="D1692" t="s">
        <v>58</v>
      </c>
      <c r="E1692" t="s">
        <v>66</v>
      </c>
      <c r="F1692" s="1" t="s">
        <v>39</v>
      </c>
      <c r="G1692" s="2">
        <v>41.58</v>
      </c>
      <c r="H1692">
        <v>41.58</v>
      </c>
      <c r="I1692">
        <v>41.483508999999998</v>
      </c>
      <c r="J1692">
        <v>58.1</v>
      </c>
      <c r="K1692">
        <v>38</v>
      </c>
      <c r="M1692">
        <v>0</v>
      </c>
      <c r="N1692" s="2">
        <v>57</v>
      </c>
      <c r="O1692">
        <v>2364.56</v>
      </c>
      <c r="P1692">
        <v>8</v>
      </c>
      <c r="Q1692">
        <v>49</v>
      </c>
      <c r="R1692">
        <v>9.36</v>
      </c>
      <c r="S1692">
        <v>10</v>
      </c>
      <c r="T1692">
        <v>33</v>
      </c>
      <c r="U1692" s="2">
        <v>1917.3</v>
      </c>
      <c r="V1692">
        <v>0</v>
      </c>
      <c r="W1692" t="s">
        <v>29</v>
      </c>
      <c r="X1692" t="str">
        <f>IF(Table2[[#This Row],[Qty available]]&gt;Table2[[#This Row],[Qty on hand]],"Check","OK")</f>
        <v>OK</v>
      </c>
    </row>
    <row r="1693" spans="1:24" x14ac:dyDescent="0.3">
      <c r="A1693" t="s">
        <v>201</v>
      </c>
      <c r="B1693" t="s">
        <v>202</v>
      </c>
      <c r="C1693" t="s">
        <v>57</v>
      </c>
      <c r="D1693" t="s">
        <v>58</v>
      </c>
      <c r="E1693" t="s">
        <v>66</v>
      </c>
      <c r="F1693" s="1" t="s">
        <v>40</v>
      </c>
      <c r="G1693" s="2">
        <v>41.98</v>
      </c>
      <c r="H1693">
        <v>41.98</v>
      </c>
      <c r="I1693">
        <v>41.575749999999999</v>
      </c>
      <c r="J1693">
        <v>58.1</v>
      </c>
      <c r="K1693">
        <v>38</v>
      </c>
      <c r="L1693" s="2">
        <v>37</v>
      </c>
      <c r="M1693">
        <v>13</v>
      </c>
      <c r="N1693" s="2">
        <v>40</v>
      </c>
      <c r="O1693">
        <v>1663.03</v>
      </c>
      <c r="P1693">
        <v>9</v>
      </c>
      <c r="Q1693">
        <v>31</v>
      </c>
      <c r="R1693">
        <v>5.97</v>
      </c>
      <c r="S1693">
        <v>6</v>
      </c>
      <c r="T1693">
        <v>30</v>
      </c>
      <c r="U1693" s="2">
        <v>1743</v>
      </c>
      <c r="V1693">
        <v>0</v>
      </c>
      <c r="W1693" t="s">
        <v>29</v>
      </c>
      <c r="X1693" t="str">
        <f>IF(Table2[[#This Row],[Qty available]]&gt;Table2[[#This Row],[Qty on hand]],"Check","OK")</f>
        <v>OK</v>
      </c>
    </row>
    <row r="1694" spans="1:24" x14ac:dyDescent="0.3">
      <c r="A1694" t="s">
        <v>201</v>
      </c>
      <c r="B1694" t="s">
        <v>202</v>
      </c>
      <c r="C1694" t="s">
        <v>57</v>
      </c>
      <c r="D1694" t="s">
        <v>58</v>
      </c>
      <c r="E1694" t="s">
        <v>66</v>
      </c>
      <c r="F1694" s="1" t="s">
        <v>41</v>
      </c>
      <c r="G1694" s="2">
        <v>41.97</v>
      </c>
      <c r="H1694">
        <v>41.97</v>
      </c>
      <c r="I1694">
        <v>41.822614999999999</v>
      </c>
      <c r="J1694">
        <v>58.1</v>
      </c>
      <c r="K1694">
        <v>38</v>
      </c>
      <c r="L1694" s="2">
        <v>37</v>
      </c>
      <c r="M1694">
        <v>67</v>
      </c>
      <c r="N1694" s="2">
        <v>65</v>
      </c>
      <c r="O1694">
        <v>2718.47</v>
      </c>
      <c r="P1694">
        <v>10</v>
      </c>
      <c r="Q1694">
        <v>55</v>
      </c>
      <c r="R1694">
        <v>8.14</v>
      </c>
      <c r="S1694">
        <v>15</v>
      </c>
      <c r="T1694">
        <v>42</v>
      </c>
      <c r="U1694" s="2">
        <v>2440.1999999999998</v>
      </c>
      <c r="V1694">
        <v>0</v>
      </c>
      <c r="W1694" t="s">
        <v>29</v>
      </c>
      <c r="X1694" t="str">
        <f>IF(Table2[[#This Row],[Qty available]]&gt;Table2[[#This Row],[Qty on hand]],"Check","OK")</f>
        <v>OK</v>
      </c>
    </row>
    <row r="1695" spans="1:24" x14ac:dyDescent="0.3">
      <c r="A1695" t="s">
        <v>201</v>
      </c>
      <c r="B1695" t="s">
        <v>202</v>
      </c>
      <c r="C1695" t="s">
        <v>57</v>
      </c>
      <c r="D1695" t="s">
        <v>58</v>
      </c>
      <c r="E1695" t="s">
        <v>66</v>
      </c>
      <c r="F1695" s="1" t="s">
        <v>42</v>
      </c>
      <c r="G1695" s="2">
        <v>42.23</v>
      </c>
      <c r="H1695">
        <v>42.23</v>
      </c>
      <c r="I1695">
        <v>41.925660000000001</v>
      </c>
      <c r="J1695">
        <v>58.1</v>
      </c>
      <c r="K1695">
        <v>38</v>
      </c>
      <c r="L1695" s="2">
        <v>34</v>
      </c>
      <c r="M1695">
        <v>22</v>
      </c>
      <c r="N1695" s="2">
        <v>53</v>
      </c>
      <c r="O1695">
        <v>2222.06</v>
      </c>
      <c r="P1695">
        <v>2</v>
      </c>
      <c r="Q1695">
        <v>51</v>
      </c>
      <c r="R1695">
        <v>6.57</v>
      </c>
      <c r="S1695">
        <v>1</v>
      </c>
      <c r="T1695">
        <v>34</v>
      </c>
      <c r="U1695" s="2">
        <v>1975.4</v>
      </c>
      <c r="V1695">
        <v>0</v>
      </c>
      <c r="W1695" t="s">
        <v>29</v>
      </c>
      <c r="X1695" t="str">
        <f>IF(Table2[[#This Row],[Qty available]]&gt;Table2[[#This Row],[Qty on hand]],"Check","OK")</f>
        <v>OK</v>
      </c>
    </row>
    <row r="1696" spans="1:24" x14ac:dyDescent="0.3">
      <c r="A1696" t="s">
        <v>201</v>
      </c>
      <c r="B1696" t="s">
        <v>202</v>
      </c>
      <c r="C1696" t="s">
        <v>57</v>
      </c>
      <c r="D1696" t="s">
        <v>58</v>
      </c>
      <c r="E1696" t="s">
        <v>66</v>
      </c>
      <c r="F1696" s="1" t="s">
        <v>43</v>
      </c>
      <c r="G1696" s="2">
        <v>41.64</v>
      </c>
      <c r="H1696">
        <v>41.64</v>
      </c>
      <c r="I1696">
        <v>41.859318000000002</v>
      </c>
      <c r="J1696">
        <v>58.1</v>
      </c>
      <c r="K1696">
        <v>38</v>
      </c>
      <c r="L1696" s="2">
        <v>33</v>
      </c>
      <c r="M1696">
        <v>16</v>
      </c>
      <c r="N1696" s="2">
        <v>44</v>
      </c>
      <c r="O1696">
        <v>1841.81</v>
      </c>
      <c r="P1696">
        <v>8</v>
      </c>
      <c r="Q1696">
        <v>36</v>
      </c>
      <c r="R1696">
        <v>5.66</v>
      </c>
      <c r="S1696">
        <v>1</v>
      </c>
      <c r="T1696">
        <v>25</v>
      </c>
      <c r="U1696" s="2">
        <v>1452.5</v>
      </c>
      <c r="V1696">
        <v>0</v>
      </c>
      <c r="W1696" t="s">
        <v>29</v>
      </c>
      <c r="X1696" t="str">
        <f>IF(Table2[[#This Row],[Qty available]]&gt;Table2[[#This Row],[Qty on hand]],"Check","OK")</f>
        <v>OK</v>
      </c>
    </row>
    <row r="1697" spans="1:24" x14ac:dyDescent="0.3">
      <c r="A1697" t="s">
        <v>201</v>
      </c>
      <c r="B1697" t="s">
        <v>202</v>
      </c>
      <c r="C1697" t="s">
        <v>57</v>
      </c>
      <c r="D1697" t="s">
        <v>58</v>
      </c>
      <c r="E1697" t="s">
        <v>66</v>
      </c>
      <c r="F1697" s="1" t="s">
        <v>44</v>
      </c>
      <c r="G1697" s="2">
        <v>42.22</v>
      </c>
      <c r="H1697">
        <v>42.22</v>
      </c>
      <c r="I1697">
        <v>42.102432</v>
      </c>
      <c r="J1697">
        <v>58.1</v>
      </c>
      <c r="K1697">
        <v>38</v>
      </c>
      <c r="L1697" s="2">
        <v>33</v>
      </c>
      <c r="M1697">
        <v>91</v>
      </c>
      <c r="N1697" s="2">
        <v>111</v>
      </c>
      <c r="O1697">
        <v>4673.37</v>
      </c>
      <c r="P1697">
        <v>10</v>
      </c>
      <c r="Q1697">
        <v>101</v>
      </c>
      <c r="R1697">
        <v>17.579999999999998</v>
      </c>
      <c r="S1697">
        <v>7</v>
      </c>
      <c r="T1697">
        <v>24</v>
      </c>
      <c r="U1697" s="2">
        <v>1394.4</v>
      </c>
      <c r="V1697">
        <v>0</v>
      </c>
      <c r="W1697" t="s">
        <v>29</v>
      </c>
      <c r="X1697" t="str">
        <f>IF(Table2[[#This Row],[Qty available]]&gt;Table2[[#This Row],[Qty on hand]],"Check","OK")</f>
        <v>OK</v>
      </c>
    </row>
    <row r="1698" spans="1:24" x14ac:dyDescent="0.3">
      <c r="A1698" t="s">
        <v>201</v>
      </c>
      <c r="B1698" t="s">
        <v>202</v>
      </c>
      <c r="C1698" t="s">
        <v>57</v>
      </c>
      <c r="D1698" t="s">
        <v>58</v>
      </c>
      <c r="E1698" t="s">
        <v>66</v>
      </c>
      <c r="F1698" s="1" t="s">
        <v>45</v>
      </c>
      <c r="G1698" s="2">
        <v>43.89</v>
      </c>
      <c r="H1698">
        <v>43.89</v>
      </c>
      <c r="I1698">
        <v>42.102381000000001</v>
      </c>
      <c r="J1698">
        <v>58.1</v>
      </c>
      <c r="K1698">
        <v>38</v>
      </c>
      <c r="M1698">
        <v>0</v>
      </c>
      <c r="N1698" s="2">
        <v>84</v>
      </c>
      <c r="O1698">
        <v>3536.6</v>
      </c>
      <c r="P1698">
        <v>9</v>
      </c>
      <c r="Q1698">
        <v>75</v>
      </c>
      <c r="R1698">
        <v>14.53</v>
      </c>
      <c r="S1698">
        <v>4</v>
      </c>
      <c r="T1698">
        <v>27</v>
      </c>
      <c r="U1698" s="2">
        <v>1568.7</v>
      </c>
      <c r="V1698">
        <v>0</v>
      </c>
      <c r="W1698" t="s">
        <v>29</v>
      </c>
      <c r="X1698" t="str">
        <f>IF(Table2[[#This Row],[Qty available]]&gt;Table2[[#This Row],[Qty on hand]],"Check","OK")</f>
        <v>OK</v>
      </c>
    </row>
    <row r="1699" spans="1:24" x14ac:dyDescent="0.3">
      <c r="A1699" t="s">
        <v>201</v>
      </c>
      <c r="B1699" t="s">
        <v>202</v>
      </c>
      <c r="C1699" t="s">
        <v>57</v>
      </c>
      <c r="D1699" t="s">
        <v>58</v>
      </c>
      <c r="E1699" t="s">
        <v>66</v>
      </c>
      <c r="F1699" s="1" t="s">
        <v>46</v>
      </c>
      <c r="G1699" s="2">
        <v>44.36</v>
      </c>
      <c r="H1699">
        <v>44.36</v>
      </c>
      <c r="I1699">
        <v>42.636000000000003</v>
      </c>
      <c r="J1699">
        <v>60.84</v>
      </c>
      <c r="K1699">
        <v>38</v>
      </c>
      <c r="L1699" s="2">
        <v>33</v>
      </c>
      <c r="M1699">
        <v>26</v>
      </c>
      <c r="N1699" s="2">
        <v>90</v>
      </c>
      <c r="O1699">
        <v>3837.24</v>
      </c>
      <c r="P1699">
        <v>9</v>
      </c>
      <c r="Q1699">
        <v>81</v>
      </c>
      <c r="R1699">
        <v>16.3</v>
      </c>
      <c r="S1699">
        <v>3</v>
      </c>
      <c r="T1699">
        <v>20</v>
      </c>
      <c r="U1699" s="2">
        <v>1216.8</v>
      </c>
      <c r="V1699">
        <v>0</v>
      </c>
      <c r="W1699" t="s">
        <v>29</v>
      </c>
      <c r="X1699" t="str">
        <f>IF(Table2[[#This Row],[Qty available]]&gt;Table2[[#This Row],[Qty on hand]],"Check","OK")</f>
        <v>OK</v>
      </c>
    </row>
    <row r="1700" spans="1:24" x14ac:dyDescent="0.3">
      <c r="A1700" t="s">
        <v>201</v>
      </c>
      <c r="B1700" t="s">
        <v>202</v>
      </c>
      <c r="C1700" t="s">
        <v>57</v>
      </c>
      <c r="D1700" t="s">
        <v>58</v>
      </c>
      <c r="E1700" t="s">
        <v>66</v>
      </c>
      <c r="F1700" s="1" t="s">
        <v>47</v>
      </c>
      <c r="G1700" s="2">
        <v>43.5</v>
      </c>
      <c r="H1700">
        <v>43.5</v>
      </c>
      <c r="I1700">
        <v>42.635956999999998</v>
      </c>
      <c r="J1700">
        <v>60.84</v>
      </c>
      <c r="K1700">
        <v>38</v>
      </c>
      <c r="M1700">
        <v>0</v>
      </c>
      <c r="N1700" s="2">
        <v>47</v>
      </c>
      <c r="O1700">
        <v>2003.89</v>
      </c>
      <c r="P1700">
        <v>4</v>
      </c>
      <c r="Q1700">
        <v>43</v>
      </c>
      <c r="R1700">
        <v>6.71</v>
      </c>
      <c r="S1700">
        <v>1</v>
      </c>
      <c r="T1700">
        <v>43</v>
      </c>
      <c r="U1700" s="2">
        <v>2616.12</v>
      </c>
      <c r="V1700">
        <v>0</v>
      </c>
      <c r="W1700" t="s">
        <v>29</v>
      </c>
      <c r="X1700" t="str">
        <f>IF(Table2[[#This Row],[Qty available]]&gt;Table2[[#This Row],[Qty on hand]],"Check","OK")</f>
        <v>OK</v>
      </c>
    </row>
    <row r="1701" spans="1:24" x14ac:dyDescent="0.3">
      <c r="A1701" t="s">
        <v>201</v>
      </c>
      <c r="B1701" t="s">
        <v>202</v>
      </c>
      <c r="C1701" t="s">
        <v>57</v>
      </c>
      <c r="D1701" t="s">
        <v>58</v>
      </c>
      <c r="E1701" t="s">
        <v>66</v>
      </c>
      <c r="F1701" s="1" t="s">
        <v>48</v>
      </c>
      <c r="G1701" s="2">
        <v>43.91</v>
      </c>
      <c r="H1701">
        <v>43.91</v>
      </c>
      <c r="I1701">
        <v>43.179696999999997</v>
      </c>
      <c r="J1701">
        <v>60.84</v>
      </c>
      <c r="K1701">
        <v>38</v>
      </c>
      <c r="L1701" s="2">
        <v>35</v>
      </c>
      <c r="M1701">
        <v>35</v>
      </c>
      <c r="N1701" s="2">
        <v>66</v>
      </c>
      <c r="O1701">
        <v>2849.86</v>
      </c>
      <c r="P1701">
        <v>10</v>
      </c>
      <c r="Q1701">
        <v>56</v>
      </c>
      <c r="R1701">
        <v>10.62</v>
      </c>
      <c r="S1701">
        <v>1</v>
      </c>
      <c r="T1701">
        <v>16</v>
      </c>
      <c r="U1701" s="2">
        <v>973.44</v>
      </c>
      <c r="V1701">
        <v>0</v>
      </c>
      <c r="W1701" t="s">
        <v>29</v>
      </c>
      <c r="X1701" t="str">
        <f>IF(Table2[[#This Row],[Qty available]]&gt;Table2[[#This Row],[Qty on hand]],"Check","OK")</f>
        <v>OK</v>
      </c>
    </row>
    <row r="1702" spans="1:24" x14ac:dyDescent="0.3">
      <c r="A1702" t="s">
        <v>201</v>
      </c>
      <c r="B1702" t="s">
        <v>202</v>
      </c>
      <c r="C1702" t="s">
        <v>57</v>
      </c>
      <c r="D1702" t="s">
        <v>58</v>
      </c>
      <c r="E1702" t="s">
        <v>66</v>
      </c>
      <c r="F1702" s="1" t="s">
        <v>49</v>
      </c>
      <c r="G1702" s="2">
        <v>43.56</v>
      </c>
      <c r="H1702">
        <v>43.56</v>
      </c>
      <c r="I1702">
        <v>43.381942000000002</v>
      </c>
      <c r="J1702">
        <v>60.84</v>
      </c>
      <c r="K1702">
        <v>38</v>
      </c>
      <c r="L1702" s="2">
        <v>34</v>
      </c>
      <c r="M1702">
        <v>75</v>
      </c>
      <c r="N1702" s="2">
        <v>103</v>
      </c>
      <c r="O1702">
        <v>4468.34</v>
      </c>
      <c r="P1702">
        <v>2</v>
      </c>
      <c r="Q1702">
        <v>101</v>
      </c>
      <c r="R1702">
        <v>13.96</v>
      </c>
      <c r="S1702">
        <v>4</v>
      </c>
      <c r="T1702">
        <v>38</v>
      </c>
      <c r="U1702" s="2">
        <v>2311.92</v>
      </c>
      <c r="V1702">
        <v>0</v>
      </c>
      <c r="W1702" t="s">
        <v>29</v>
      </c>
      <c r="X1702" t="str">
        <f>IF(Table2[[#This Row],[Qty available]]&gt;Table2[[#This Row],[Qty on hand]],"Check","OK")</f>
        <v>OK</v>
      </c>
    </row>
    <row r="1703" spans="1:24" x14ac:dyDescent="0.3">
      <c r="A1703" t="s">
        <v>201</v>
      </c>
      <c r="B1703" t="s">
        <v>202</v>
      </c>
      <c r="C1703" t="s">
        <v>57</v>
      </c>
      <c r="D1703" t="s">
        <v>58</v>
      </c>
      <c r="E1703" t="s">
        <v>66</v>
      </c>
      <c r="F1703" s="1" t="s">
        <v>50</v>
      </c>
      <c r="G1703" s="2">
        <v>43.54</v>
      </c>
      <c r="H1703">
        <v>43.54</v>
      </c>
      <c r="I1703">
        <v>43.381943999999997</v>
      </c>
      <c r="J1703">
        <v>60.84</v>
      </c>
      <c r="K1703">
        <v>38</v>
      </c>
      <c r="M1703">
        <v>0</v>
      </c>
      <c r="N1703" s="2">
        <v>72</v>
      </c>
      <c r="O1703">
        <v>3123.5</v>
      </c>
      <c r="P1703">
        <v>2</v>
      </c>
      <c r="Q1703">
        <v>70</v>
      </c>
      <c r="R1703">
        <v>11.01</v>
      </c>
      <c r="S1703">
        <v>13</v>
      </c>
      <c r="T1703">
        <v>31</v>
      </c>
      <c r="U1703" s="2">
        <v>1886.04</v>
      </c>
      <c r="V1703">
        <v>0</v>
      </c>
      <c r="W1703" t="s">
        <v>29</v>
      </c>
      <c r="X1703" t="str">
        <f>IF(Table2[[#This Row],[Qty available]]&gt;Table2[[#This Row],[Qty on hand]],"Check","OK")</f>
        <v>OK</v>
      </c>
    </row>
    <row r="1704" spans="1:24" x14ac:dyDescent="0.3">
      <c r="A1704" t="s">
        <v>201</v>
      </c>
      <c r="B1704" t="s">
        <v>202</v>
      </c>
      <c r="C1704" t="s">
        <v>57</v>
      </c>
      <c r="D1704" t="s">
        <v>58</v>
      </c>
      <c r="E1704" t="s">
        <v>66</v>
      </c>
      <c r="F1704" s="1" t="s">
        <v>51</v>
      </c>
      <c r="G1704" s="2">
        <v>42.77</v>
      </c>
      <c r="H1704">
        <v>42.77</v>
      </c>
      <c r="I1704">
        <v>43.382044999999998</v>
      </c>
      <c r="J1704">
        <v>60.84</v>
      </c>
      <c r="K1704">
        <v>38</v>
      </c>
      <c r="M1704">
        <v>0</v>
      </c>
      <c r="N1704" s="2">
        <v>44</v>
      </c>
      <c r="O1704">
        <v>1908.81</v>
      </c>
      <c r="P1704">
        <v>5</v>
      </c>
      <c r="Q1704">
        <v>39</v>
      </c>
      <c r="R1704">
        <v>5.96</v>
      </c>
      <c r="S1704">
        <v>17</v>
      </c>
      <c r="T1704">
        <v>28</v>
      </c>
      <c r="U1704" s="2">
        <v>1703.52</v>
      </c>
      <c r="V1704">
        <v>0</v>
      </c>
      <c r="W1704" t="s">
        <v>29</v>
      </c>
      <c r="X1704" t="str">
        <f>IF(Table2[[#This Row],[Qty available]]&gt;Table2[[#This Row],[Qty on hand]],"Check","OK")</f>
        <v>OK</v>
      </c>
    </row>
    <row r="1705" spans="1:24" x14ac:dyDescent="0.3">
      <c r="A1705" t="s">
        <v>201</v>
      </c>
      <c r="B1705" t="s">
        <v>202</v>
      </c>
      <c r="C1705" t="s">
        <v>57</v>
      </c>
      <c r="D1705" t="s">
        <v>58</v>
      </c>
      <c r="E1705" t="s">
        <v>66</v>
      </c>
      <c r="F1705" s="1" t="s">
        <v>52</v>
      </c>
      <c r="G1705" s="2">
        <v>43.87</v>
      </c>
      <c r="H1705">
        <v>43.87</v>
      </c>
      <c r="I1705">
        <v>43.631486000000002</v>
      </c>
      <c r="J1705">
        <v>60.84</v>
      </c>
      <c r="K1705">
        <v>38</v>
      </c>
      <c r="L1705" s="2">
        <v>34</v>
      </c>
      <c r="M1705">
        <v>46</v>
      </c>
      <c r="N1705" s="2">
        <v>74</v>
      </c>
      <c r="O1705">
        <v>3228.73</v>
      </c>
      <c r="P1705">
        <v>8</v>
      </c>
      <c r="Q1705">
        <v>66</v>
      </c>
      <c r="R1705">
        <v>12.97</v>
      </c>
      <c r="S1705">
        <v>0</v>
      </c>
      <c r="T1705">
        <v>16</v>
      </c>
      <c r="U1705" s="2">
        <v>973.44</v>
      </c>
      <c r="V1705">
        <v>0</v>
      </c>
      <c r="W1705" t="s">
        <v>29</v>
      </c>
      <c r="X1705" t="str">
        <f>IF(Table2[[#This Row],[Qty available]]&gt;Table2[[#This Row],[Qty on hand]],"Check","OK")</f>
        <v>OK</v>
      </c>
    </row>
    <row r="1706" spans="1:24" x14ac:dyDescent="0.3">
      <c r="A1706" t="s">
        <v>203</v>
      </c>
      <c r="B1706" t="s">
        <v>204</v>
      </c>
      <c r="C1706" t="s">
        <v>25</v>
      </c>
      <c r="D1706" t="s">
        <v>26</v>
      </c>
      <c r="E1706" t="s">
        <v>66</v>
      </c>
      <c r="F1706" s="1" t="s">
        <v>28</v>
      </c>
      <c r="G1706" s="2">
        <v>6.41</v>
      </c>
      <c r="H1706">
        <v>6.82</v>
      </c>
      <c r="I1706">
        <v>6.8223089999999997</v>
      </c>
      <c r="J1706">
        <v>9.2100000000000009</v>
      </c>
      <c r="K1706">
        <v>36</v>
      </c>
      <c r="L1706" s="2">
        <v>58</v>
      </c>
      <c r="M1706">
        <v>484</v>
      </c>
      <c r="N1706" s="2">
        <v>2599</v>
      </c>
      <c r="O1706">
        <v>17731.18</v>
      </c>
      <c r="P1706">
        <v>101</v>
      </c>
      <c r="Q1706">
        <v>2498</v>
      </c>
      <c r="R1706">
        <v>25.4</v>
      </c>
      <c r="S1706">
        <v>1</v>
      </c>
      <c r="T1706">
        <v>457</v>
      </c>
      <c r="U1706" s="2">
        <v>4208.97</v>
      </c>
      <c r="V1706">
        <v>0</v>
      </c>
      <c r="W1706" t="s">
        <v>29</v>
      </c>
      <c r="X1706" t="str">
        <f>IF(Table2[[#This Row],[Qty available]]&gt;Table2[[#This Row],[Qty on hand]],"Check","OK")</f>
        <v>OK</v>
      </c>
    </row>
    <row r="1707" spans="1:24" x14ac:dyDescent="0.3">
      <c r="A1707" t="s">
        <v>203</v>
      </c>
      <c r="B1707" t="s">
        <v>204</v>
      </c>
      <c r="C1707" t="s">
        <v>25</v>
      </c>
      <c r="D1707" t="s">
        <v>26</v>
      </c>
      <c r="E1707" t="s">
        <v>66</v>
      </c>
      <c r="F1707" s="1" t="s">
        <v>30</v>
      </c>
      <c r="G1707" s="2">
        <v>6.44</v>
      </c>
      <c r="H1707">
        <v>6.86</v>
      </c>
      <c r="I1707">
        <v>6.8248499999999996</v>
      </c>
      <c r="J1707">
        <v>9.2100000000000009</v>
      </c>
      <c r="K1707">
        <v>36</v>
      </c>
      <c r="L1707" s="2">
        <v>33</v>
      </c>
      <c r="M1707">
        <v>188</v>
      </c>
      <c r="N1707" s="2">
        <v>2402</v>
      </c>
      <c r="O1707">
        <v>16393.29</v>
      </c>
      <c r="P1707">
        <v>151</v>
      </c>
      <c r="Q1707">
        <v>2251</v>
      </c>
      <c r="R1707">
        <v>28.14</v>
      </c>
      <c r="S1707">
        <v>8</v>
      </c>
      <c r="T1707">
        <v>385</v>
      </c>
      <c r="U1707" s="2">
        <v>3545.85</v>
      </c>
      <c r="V1707">
        <v>0</v>
      </c>
      <c r="W1707" t="s">
        <v>29</v>
      </c>
      <c r="X1707" t="str">
        <f>IF(Table2[[#This Row],[Qty available]]&gt;Table2[[#This Row],[Qty on hand]],"Check","OK")</f>
        <v>OK</v>
      </c>
    </row>
    <row r="1708" spans="1:24" x14ac:dyDescent="0.3">
      <c r="A1708" t="s">
        <v>203</v>
      </c>
      <c r="B1708" t="s">
        <v>204</v>
      </c>
      <c r="C1708" t="s">
        <v>25</v>
      </c>
      <c r="D1708" t="s">
        <v>26</v>
      </c>
      <c r="E1708" t="s">
        <v>66</v>
      </c>
      <c r="F1708" s="1" t="s">
        <v>31</v>
      </c>
      <c r="G1708" s="2">
        <v>6.28</v>
      </c>
      <c r="H1708">
        <v>6.69</v>
      </c>
      <c r="I1708">
        <v>6.7764689999999996</v>
      </c>
      <c r="J1708">
        <v>9.2100000000000009</v>
      </c>
      <c r="K1708">
        <v>36</v>
      </c>
      <c r="L1708" s="2">
        <v>53</v>
      </c>
      <c r="M1708">
        <v>1344</v>
      </c>
      <c r="N1708" s="2">
        <v>3342</v>
      </c>
      <c r="O1708">
        <v>22646.959999999999</v>
      </c>
      <c r="P1708">
        <v>252</v>
      </c>
      <c r="Q1708">
        <v>3090</v>
      </c>
      <c r="R1708">
        <v>34.869999999999997</v>
      </c>
      <c r="S1708">
        <v>1</v>
      </c>
      <c r="T1708">
        <v>404</v>
      </c>
      <c r="U1708" s="2">
        <v>3720.84</v>
      </c>
      <c r="V1708">
        <v>0</v>
      </c>
      <c r="W1708" t="s">
        <v>29</v>
      </c>
      <c r="X1708" t="str">
        <f>IF(Table2[[#This Row],[Qty available]]&gt;Table2[[#This Row],[Qty on hand]],"Check","OK")</f>
        <v>OK</v>
      </c>
    </row>
    <row r="1709" spans="1:24" x14ac:dyDescent="0.3">
      <c r="A1709" t="s">
        <v>203</v>
      </c>
      <c r="B1709" t="s">
        <v>204</v>
      </c>
      <c r="C1709" t="s">
        <v>25</v>
      </c>
      <c r="D1709" t="s">
        <v>26</v>
      </c>
      <c r="E1709" t="s">
        <v>66</v>
      </c>
      <c r="F1709" s="1" t="s">
        <v>32</v>
      </c>
      <c r="G1709" s="2">
        <v>6.38</v>
      </c>
      <c r="H1709">
        <v>6.79</v>
      </c>
      <c r="I1709">
        <v>6.7764709999999999</v>
      </c>
      <c r="J1709">
        <v>9.2100000000000009</v>
      </c>
      <c r="K1709">
        <v>36</v>
      </c>
      <c r="M1709">
        <v>0</v>
      </c>
      <c r="N1709" s="2">
        <v>2202</v>
      </c>
      <c r="O1709">
        <v>14921.79</v>
      </c>
      <c r="P1709">
        <v>252</v>
      </c>
      <c r="Q1709">
        <v>1950</v>
      </c>
      <c r="R1709">
        <v>15</v>
      </c>
      <c r="S1709">
        <v>1</v>
      </c>
      <c r="T1709">
        <v>1140</v>
      </c>
      <c r="U1709" s="2">
        <v>10499.4</v>
      </c>
      <c r="V1709">
        <v>0</v>
      </c>
      <c r="W1709" t="s">
        <v>29</v>
      </c>
      <c r="X1709" t="str">
        <f>IF(Table2[[#This Row],[Qty available]]&gt;Table2[[#This Row],[Qty on hand]],"Check","OK")</f>
        <v>OK</v>
      </c>
    </row>
    <row r="1710" spans="1:24" x14ac:dyDescent="0.3">
      <c r="A1710" t="s">
        <v>203</v>
      </c>
      <c r="B1710" t="s">
        <v>204</v>
      </c>
      <c r="C1710" t="s">
        <v>25</v>
      </c>
      <c r="D1710" t="s">
        <v>26</v>
      </c>
      <c r="E1710" t="s">
        <v>66</v>
      </c>
      <c r="F1710" s="1" t="s">
        <v>33</v>
      </c>
      <c r="G1710" s="2">
        <v>6.29</v>
      </c>
      <c r="H1710">
        <v>6.7</v>
      </c>
      <c r="I1710">
        <v>6.7740150000000003</v>
      </c>
      <c r="J1710">
        <v>9.2100000000000009</v>
      </c>
      <c r="K1710">
        <v>36</v>
      </c>
      <c r="L1710" s="2">
        <v>34</v>
      </c>
      <c r="M1710">
        <v>73</v>
      </c>
      <c r="N1710" s="2">
        <v>1574</v>
      </c>
      <c r="O1710">
        <v>10662.3</v>
      </c>
      <c r="P1710">
        <v>101</v>
      </c>
      <c r="Q1710">
        <v>1473</v>
      </c>
      <c r="R1710">
        <v>9.2100000000000009</v>
      </c>
      <c r="S1710">
        <v>1</v>
      </c>
      <c r="T1710">
        <v>701</v>
      </c>
      <c r="U1710" s="2">
        <v>6456.21</v>
      </c>
      <c r="V1710">
        <v>0</v>
      </c>
      <c r="W1710" t="s">
        <v>29</v>
      </c>
      <c r="X1710" t="str">
        <f>IF(Table2[[#This Row],[Qty available]]&gt;Table2[[#This Row],[Qty on hand]],"Check","OK")</f>
        <v>OK</v>
      </c>
    </row>
    <row r="1711" spans="1:24" x14ac:dyDescent="0.3">
      <c r="A1711" t="s">
        <v>203</v>
      </c>
      <c r="B1711" t="s">
        <v>204</v>
      </c>
      <c r="C1711" t="s">
        <v>25</v>
      </c>
      <c r="D1711" t="s">
        <v>26</v>
      </c>
      <c r="E1711" t="s">
        <v>66</v>
      </c>
      <c r="F1711" s="1" t="s">
        <v>34</v>
      </c>
      <c r="G1711" s="2">
        <v>6.27</v>
      </c>
      <c r="H1711">
        <v>6.68</v>
      </c>
      <c r="I1711">
        <v>6.7163130000000004</v>
      </c>
      <c r="J1711">
        <v>9.73</v>
      </c>
      <c r="K1711">
        <v>36</v>
      </c>
      <c r="L1711" s="2">
        <v>35</v>
      </c>
      <c r="M1711">
        <v>2501</v>
      </c>
      <c r="N1711" s="2">
        <v>2520</v>
      </c>
      <c r="O1711">
        <v>16925.11</v>
      </c>
      <c r="P1711">
        <v>101</v>
      </c>
      <c r="Q1711">
        <v>2419</v>
      </c>
      <c r="R1711">
        <v>9.5399999999999991</v>
      </c>
      <c r="S1711">
        <v>0</v>
      </c>
      <c r="T1711">
        <v>1555</v>
      </c>
      <c r="U1711" s="2">
        <v>15130.15</v>
      </c>
      <c r="V1711">
        <v>0</v>
      </c>
      <c r="W1711" t="s">
        <v>29</v>
      </c>
      <c r="X1711" t="str">
        <f>IF(Table2[[#This Row],[Qty available]]&gt;Table2[[#This Row],[Qty on hand]],"Check","OK")</f>
        <v>OK</v>
      </c>
    </row>
    <row r="1712" spans="1:24" x14ac:dyDescent="0.3">
      <c r="A1712" t="s">
        <v>203</v>
      </c>
      <c r="B1712" t="s">
        <v>204</v>
      </c>
      <c r="C1712" t="s">
        <v>25</v>
      </c>
      <c r="D1712" t="s">
        <v>26</v>
      </c>
      <c r="E1712" t="s">
        <v>66</v>
      </c>
      <c r="F1712" s="1" t="s">
        <v>35</v>
      </c>
      <c r="G1712" s="2">
        <v>6.36</v>
      </c>
      <c r="H1712">
        <v>6.77</v>
      </c>
      <c r="I1712">
        <v>6.7163149999999998</v>
      </c>
      <c r="J1712">
        <v>9.73</v>
      </c>
      <c r="K1712">
        <v>36</v>
      </c>
      <c r="M1712">
        <v>0</v>
      </c>
      <c r="N1712" s="2">
        <v>2182</v>
      </c>
      <c r="O1712">
        <v>14655</v>
      </c>
      <c r="P1712">
        <v>177</v>
      </c>
      <c r="Q1712">
        <v>2005</v>
      </c>
      <c r="R1712">
        <v>10.82</v>
      </c>
      <c r="S1712">
        <v>2</v>
      </c>
      <c r="T1712">
        <v>338</v>
      </c>
      <c r="U1712" s="2">
        <v>3288.74</v>
      </c>
      <c r="V1712">
        <v>0</v>
      </c>
      <c r="W1712" t="s">
        <v>29</v>
      </c>
      <c r="X1712" t="str">
        <f>IF(Table2[[#This Row],[Qty available]]&gt;Table2[[#This Row],[Qty on hand]],"Check","OK")</f>
        <v>OK</v>
      </c>
    </row>
    <row r="1713" spans="1:24" x14ac:dyDescent="0.3">
      <c r="A1713" t="s">
        <v>203</v>
      </c>
      <c r="B1713" t="s">
        <v>204</v>
      </c>
      <c r="C1713" t="s">
        <v>25</v>
      </c>
      <c r="D1713" t="s">
        <v>26</v>
      </c>
      <c r="E1713" t="s">
        <v>66</v>
      </c>
      <c r="F1713" s="1" t="s">
        <v>36</v>
      </c>
      <c r="G1713" s="2">
        <v>6.53</v>
      </c>
      <c r="H1713">
        <v>6.95</v>
      </c>
      <c r="I1713">
        <v>6.7508999999999997</v>
      </c>
      <c r="J1713">
        <v>9.73</v>
      </c>
      <c r="K1713">
        <v>36</v>
      </c>
      <c r="L1713" s="2">
        <v>32</v>
      </c>
      <c r="M1713">
        <v>379</v>
      </c>
      <c r="N1713" s="2">
        <v>1777</v>
      </c>
      <c r="O1713">
        <v>11996.35</v>
      </c>
      <c r="P1713">
        <v>177</v>
      </c>
      <c r="Q1713">
        <v>1600</v>
      </c>
      <c r="R1713">
        <v>8.44</v>
      </c>
      <c r="S1713">
        <v>0</v>
      </c>
      <c r="T1713">
        <v>784</v>
      </c>
      <c r="U1713" s="2">
        <v>7628.32</v>
      </c>
      <c r="V1713">
        <v>0</v>
      </c>
      <c r="W1713" t="s">
        <v>29</v>
      </c>
      <c r="X1713" t="str">
        <f>IF(Table2[[#This Row],[Qty available]]&gt;Table2[[#This Row],[Qty on hand]],"Check","OK")</f>
        <v>OK</v>
      </c>
    </row>
    <row r="1714" spans="1:24" x14ac:dyDescent="0.3">
      <c r="A1714" t="s">
        <v>203</v>
      </c>
      <c r="B1714" t="s">
        <v>204</v>
      </c>
      <c r="C1714" t="s">
        <v>25</v>
      </c>
      <c r="D1714" t="s">
        <v>26</v>
      </c>
      <c r="E1714" t="s">
        <v>66</v>
      </c>
      <c r="F1714" s="1" t="s">
        <v>37</v>
      </c>
      <c r="G1714" s="2">
        <v>6.48</v>
      </c>
      <c r="H1714">
        <v>6.9</v>
      </c>
      <c r="I1714">
        <v>6.7595890000000001</v>
      </c>
      <c r="J1714">
        <v>9.73</v>
      </c>
      <c r="K1714">
        <v>36</v>
      </c>
      <c r="L1714" s="2">
        <v>54</v>
      </c>
      <c r="M1714">
        <v>110</v>
      </c>
      <c r="N1714" s="2">
        <v>1191</v>
      </c>
      <c r="O1714">
        <v>8050.67</v>
      </c>
      <c r="P1714">
        <v>50</v>
      </c>
      <c r="Q1714">
        <v>1141</v>
      </c>
      <c r="R1714">
        <v>8.61</v>
      </c>
      <c r="S1714">
        <v>0</v>
      </c>
      <c r="T1714">
        <v>696</v>
      </c>
      <c r="U1714" s="2">
        <v>6772.08</v>
      </c>
      <c r="V1714">
        <v>0</v>
      </c>
      <c r="W1714" t="s">
        <v>29</v>
      </c>
      <c r="X1714" t="str">
        <f>IF(Table2[[#This Row],[Qty available]]&gt;Table2[[#This Row],[Qty on hand]],"Check","OK")</f>
        <v>OK</v>
      </c>
    </row>
    <row r="1715" spans="1:24" x14ac:dyDescent="0.3">
      <c r="A1715" t="s">
        <v>203</v>
      </c>
      <c r="B1715" t="s">
        <v>204</v>
      </c>
      <c r="C1715" t="s">
        <v>25</v>
      </c>
      <c r="D1715" t="s">
        <v>26</v>
      </c>
      <c r="E1715" t="s">
        <v>66</v>
      </c>
      <c r="F1715" s="1" t="s">
        <v>38</v>
      </c>
      <c r="G1715" s="2">
        <v>6.62</v>
      </c>
      <c r="H1715">
        <v>7.05</v>
      </c>
      <c r="I1715">
        <v>6.9459439999999999</v>
      </c>
      <c r="J1715">
        <v>9.73</v>
      </c>
      <c r="K1715">
        <v>36</v>
      </c>
      <c r="L1715" s="2">
        <v>33</v>
      </c>
      <c r="M1715">
        <v>2133</v>
      </c>
      <c r="N1715" s="2">
        <v>2490</v>
      </c>
      <c r="O1715">
        <v>17295.400000000001</v>
      </c>
      <c r="P1715">
        <v>76</v>
      </c>
      <c r="Q1715">
        <v>2414</v>
      </c>
      <c r="R1715">
        <v>13.99</v>
      </c>
      <c r="S1715">
        <v>0</v>
      </c>
      <c r="T1715">
        <v>834</v>
      </c>
      <c r="U1715" s="2">
        <v>8114.82</v>
      </c>
      <c r="V1715">
        <v>0</v>
      </c>
      <c r="W1715" t="s">
        <v>29</v>
      </c>
      <c r="X1715" t="str">
        <f>IF(Table2[[#This Row],[Qty available]]&gt;Table2[[#This Row],[Qty on hand]],"Check","OK")</f>
        <v>OK</v>
      </c>
    </row>
    <row r="1716" spans="1:24" x14ac:dyDescent="0.3">
      <c r="A1716" t="s">
        <v>203</v>
      </c>
      <c r="B1716" t="s">
        <v>204</v>
      </c>
      <c r="C1716" t="s">
        <v>25</v>
      </c>
      <c r="D1716" t="s">
        <v>26</v>
      </c>
      <c r="E1716" t="s">
        <v>66</v>
      </c>
      <c r="F1716" s="1" t="s">
        <v>39</v>
      </c>
      <c r="G1716" s="2">
        <v>6.64</v>
      </c>
      <c r="H1716">
        <v>7.07</v>
      </c>
      <c r="I1716">
        <v>7.0095850000000004</v>
      </c>
      <c r="J1716">
        <v>9.73</v>
      </c>
      <c r="K1716">
        <v>36</v>
      </c>
      <c r="L1716" s="2">
        <v>31</v>
      </c>
      <c r="M1716">
        <v>2623</v>
      </c>
      <c r="N1716" s="2">
        <v>4575</v>
      </c>
      <c r="O1716">
        <v>32068.85</v>
      </c>
      <c r="P1716">
        <v>50</v>
      </c>
      <c r="Q1716">
        <v>4525</v>
      </c>
      <c r="R1716">
        <v>29.08</v>
      </c>
      <c r="S1716">
        <v>0</v>
      </c>
      <c r="T1716">
        <v>538</v>
      </c>
      <c r="U1716" s="2">
        <v>5234.74</v>
      </c>
      <c r="V1716">
        <v>0</v>
      </c>
      <c r="W1716" t="s">
        <v>29</v>
      </c>
      <c r="X1716" t="str">
        <f>IF(Table2[[#This Row],[Qty available]]&gt;Table2[[#This Row],[Qty on hand]],"Check","OK")</f>
        <v>OK</v>
      </c>
    </row>
    <row r="1717" spans="1:24" x14ac:dyDescent="0.3">
      <c r="A1717" t="s">
        <v>203</v>
      </c>
      <c r="B1717" t="s">
        <v>204</v>
      </c>
      <c r="C1717" t="s">
        <v>25</v>
      </c>
      <c r="D1717" t="s">
        <v>26</v>
      </c>
      <c r="E1717" t="s">
        <v>66</v>
      </c>
      <c r="F1717" s="1" t="s">
        <v>40</v>
      </c>
      <c r="G1717" s="2">
        <v>6.5</v>
      </c>
      <c r="H1717">
        <v>6.92</v>
      </c>
      <c r="I1717">
        <v>7.0095840000000003</v>
      </c>
      <c r="J1717">
        <v>9.73</v>
      </c>
      <c r="K1717">
        <v>36</v>
      </c>
      <c r="M1717">
        <v>0</v>
      </c>
      <c r="N1717" s="2">
        <v>3556</v>
      </c>
      <c r="O1717">
        <v>24926.080000000002</v>
      </c>
      <c r="P1717">
        <v>151</v>
      </c>
      <c r="Q1717">
        <v>3405</v>
      </c>
      <c r="R1717">
        <v>19.55</v>
      </c>
      <c r="S1717">
        <v>1</v>
      </c>
      <c r="T1717">
        <v>1019</v>
      </c>
      <c r="U1717" s="2">
        <v>9914.8700000000008</v>
      </c>
      <c r="V1717">
        <v>0</v>
      </c>
      <c r="W1717" t="s">
        <v>29</v>
      </c>
      <c r="X1717" t="str">
        <f>IF(Table2[[#This Row],[Qty available]]&gt;Table2[[#This Row],[Qty on hand]],"Check","OK")</f>
        <v>OK</v>
      </c>
    </row>
    <row r="1718" spans="1:24" x14ac:dyDescent="0.3">
      <c r="A1718" t="s">
        <v>203</v>
      </c>
      <c r="B1718" t="s">
        <v>204</v>
      </c>
      <c r="C1718" t="s">
        <v>25</v>
      </c>
      <c r="D1718" t="s">
        <v>26</v>
      </c>
      <c r="E1718" t="s">
        <v>66</v>
      </c>
      <c r="F1718" s="1" t="s">
        <v>41</v>
      </c>
      <c r="G1718" s="2">
        <v>6.66</v>
      </c>
      <c r="H1718">
        <v>7.09</v>
      </c>
      <c r="I1718">
        <v>7.0095830000000001</v>
      </c>
      <c r="J1718">
        <v>9.73</v>
      </c>
      <c r="K1718">
        <v>36</v>
      </c>
      <c r="M1718">
        <v>0</v>
      </c>
      <c r="N1718" s="2">
        <v>2683</v>
      </c>
      <c r="O1718">
        <v>18806.71</v>
      </c>
      <c r="P1718">
        <v>76</v>
      </c>
      <c r="Q1718">
        <v>2607</v>
      </c>
      <c r="R1718">
        <v>14.51</v>
      </c>
      <c r="S1718">
        <v>0</v>
      </c>
      <c r="T1718">
        <v>873</v>
      </c>
      <c r="U1718" s="2">
        <v>8494.2900000000009</v>
      </c>
      <c r="V1718">
        <v>0</v>
      </c>
      <c r="W1718" t="s">
        <v>29</v>
      </c>
      <c r="X1718" t="str">
        <f>IF(Table2[[#This Row],[Qty available]]&gt;Table2[[#This Row],[Qty on hand]],"Check","OK")</f>
        <v>OK</v>
      </c>
    </row>
    <row r="1719" spans="1:24" x14ac:dyDescent="0.3">
      <c r="A1719" t="s">
        <v>203</v>
      </c>
      <c r="B1719" t="s">
        <v>204</v>
      </c>
      <c r="C1719" t="s">
        <v>25</v>
      </c>
      <c r="D1719" t="s">
        <v>26</v>
      </c>
      <c r="E1719" t="s">
        <v>66</v>
      </c>
      <c r="F1719" s="1" t="s">
        <v>42</v>
      </c>
      <c r="G1719" s="2">
        <v>6.54</v>
      </c>
      <c r="H1719">
        <v>6.96</v>
      </c>
      <c r="I1719">
        <v>7.0083399999999996</v>
      </c>
      <c r="J1719">
        <v>9.73</v>
      </c>
      <c r="K1719">
        <v>36</v>
      </c>
      <c r="L1719" s="2">
        <v>58</v>
      </c>
      <c r="M1719">
        <v>69</v>
      </c>
      <c r="N1719" s="2">
        <v>1639</v>
      </c>
      <c r="O1719">
        <v>11486.67</v>
      </c>
      <c r="P1719">
        <v>50</v>
      </c>
      <c r="Q1719">
        <v>1589</v>
      </c>
      <c r="R1719">
        <v>7.17</v>
      </c>
      <c r="S1719">
        <v>0</v>
      </c>
      <c r="T1719">
        <v>1113</v>
      </c>
      <c r="U1719" s="2">
        <v>10829.49</v>
      </c>
      <c r="V1719">
        <v>0</v>
      </c>
      <c r="W1719" t="s">
        <v>29</v>
      </c>
      <c r="X1719" t="str">
        <f>IF(Table2[[#This Row],[Qty available]]&gt;Table2[[#This Row],[Qty on hand]],"Check","OK")</f>
        <v>OK</v>
      </c>
    </row>
    <row r="1720" spans="1:24" x14ac:dyDescent="0.3">
      <c r="A1720" t="s">
        <v>203</v>
      </c>
      <c r="B1720" t="s">
        <v>204</v>
      </c>
      <c r="C1720" t="s">
        <v>25</v>
      </c>
      <c r="D1720" t="s">
        <v>26</v>
      </c>
      <c r="E1720" t="s">
        <v>66</v>
      </c>
      <c r="F1720" s="1" t="s">
        <v>43</v>
      </c>
      <c r="G1720" s="2">
        <v>6.64</v>
      </c>
      <c r="H1720">
        <v>7.07</v>
      </c>
      <c r="I1720">
        <v>7.0292190000000003</v>
      </c>
      <c r="J1720">
        <v>9.73</v>
      </c>
      <c r="K1720">
        <v>36</v>
      </c>
      <c r="L1720" s="2">
        <v>57</v>
      </c>
      <c r="M1720">
        <v>839</v>
      </c>
      <c r="N1720" s="2">
        <v>1894</v>
      </c>
      <c r="O1720">
        <v>13313.34</v>
      </c>
      <c r="P1720">
        <v>227</v>
      </c>
      <c r="Q1720">
        <v>1667</v>
      </c>
      <c r="R1720">
        <v>9.58</v>
      </c>
      <c r="S1720">
        <v>1</v>
      </c>
      <c r="T1720">
        <v>584</v>
      </c>
      <c r="U1720" s="2">
        <v>5682.32</v>
      </c>
      <c r="V1720">
        <v>0</v>
      </c>
      <c r="W1720" t="s">
        <v>29</v>
      </c>
      <c r="X1720" t="str">
        <f>IF(Table2[[#This Row],[Qty available]]&gt;Table2[[#This Row],[Qty on hand]],"Check","OK")</f>
        <v>OK</v>
      </c>
    </row>
    <row r="1721" spans="1:24" x14ac:dyDescent="0.3">
      <c r="A1721" t="s">
        <v>203</v>
      </c>
      <c r="B1721" t="s">
        <v>204</v>
      </c>
      <c r="C1721" t="s">
        <v>25</v>
      </c>
      <c r="D1721" t="s">
        <v>26</v>
      </c>
      <c r="E1721" t="s">
        <v>66</v>
      </c>
      <c r="F1721" s="1" t="s">
        <v>44</v>
      </c>
      <c r="G1721" s="2">
        <v>6.53</v>
      </c>
      <c r="H1721">
        <v>6.95</v>
      </c>
      <c r="I1721">
        <v>7.003431</v>
      </c>
      <c r="J1721">
        <v>9.73</v>
      </c>
      <c r="K1721">
        <v>36</v>
      </c>
      <c r="L1721" s="2">
        <v>55</v>
      </c>
      <c r="M1721">
        <v>914</v>
      </c>
      <c r="N1721" s="2">
        <v>1734</v>
      </c>
      <c r="O1721">
        <v>12143.95</v>
      </c>
      <c r="P1721">
        <v>50</v>
      </c>
      <c r="Q1721">
        <v>1684</v>
      </c>
      <c r="R1721">
        <v>8.2200000000000006</v>
      </c>
      <c r="S1721">
        <v>2</v>
      </c>
      <c r="T1721">
        <v>1074</v>
      </c>
      <c r="U1721" s="2">
        <v>10450.02</v>
      </c>
      <c r="V1721">
        <v>0</v>
      </c>
      <c r="W1721" t="s">
        <v>29</v>
      </c>
      <c r="X1721" t="str">
        <f>IF(Table2[[#This Row],[Qty available]]&gt;Table2[[#This Row],[Qty on hand]],"Check","OK")</f>
        <v>OK</v>
      </c>
    </row>
    <row r="1722" spans="1:24" x14ac:dyDescent="0.3">
      <c r="A1722" t="s">
        <v>203</v>
      </c>
      <c r="B1722" t="s">
        <v>204</v>
      </c>
      <c r="C1722" t="s">
        <v>25</v>
      </c>
      <c r="D1722" t="s">
        <v>26</v>
      </c>
      <c r="E1722" t="s">
        <v>66</v>
      </c>
      <c r="F1722" s="1" t="s">
        <v>45</v>
      </c>
      <c r="G1722" s="2">
        <v>6.64</v>
      </c>
      <c r="H1722">
        <v>7.07</v>
      </c>
      <c r="I1722">
        <v>7.0208589999999997</v>
      </c>
      <c r="J1722">
        <v>9.73</v>
      </c>
      <c r="K1722">
        <v>36</v>
      </c>
      <c r="L1722" s="2">
        <v>32</v>
      </c>
      <c r="M1722">
        <v>615</v>
      </c>
      <c r="N1722" s="2">
        <v>1466</v>
      </c>
      <c r="O1722">
        <v>10292.58</v>
      </c>
      <c r="P1722">
        <v>151</v>
      </c>
      <c r="Q1722">
        <v>1315</v>
      </c>
      <c r="R1722">
        <v>7.58</v>
      </c>
      <c r="S1722">
        <v>0</v>
      </c>
      <c r="T1722">
        <v>883</v>
      </c>
      <c r="U1722" s="2">
        <v>8591.59</v>
      </c>
      <c r="V1722">
        <v>0</v>
      </c>
      <c r="W1722" t="s">
        <v>29</v>
      </c>
      <c r="X1722" t="str">
        <f>IF(Table2[[#This Row],[Qty available]]&gt;Table2[[#This Row],[Qty on hand]],"Check","OK")</f>
        <v>OK</v>
      </c>
    </row>
    <row r="1723" spans="1:24" x14ac:dyDescent="0.3">
      <c r="A1723" t="s">
        <v>203</v>
      </c>
      <c r="B1723" t="s">
        <v>204</v>
      </c>
      <c r="C1723" t="s">
        <v>25</v>
      </c>
      <c r="D1723" t="s">
        <v>26</v>
      </c>
      <c r="E1723" t="s">
        <v>66</v>
      </c>
      <c r="F1723" s="1" t="s">
        <v>46</v>
      </c>
      <c r="G1723" s="2">
        <v>6.64</v>
      </c>
      <c r="H1723">
        <v>7.07</v>
      </c>
      <c r="I1723">
        <v>7.0465030000000004</v>
      </c>
      <c r="J1723">
        <v>10.28</v>
      </c>
      <c r="K1723">
        <v>36</v>
      </c>
      <c r="L1723" s="2">
        <v>47</v>
      </c>
      <c r="M1723">
        <v>1600</v>
      </c>
      <c r="N1723" s="2">
        <v>2459</v>
      </c>
      <c r="O1723">
        <v>17327.349999999999</v>
      </c>
      <c r="P1723">
        <v>50</v>
      </c>
      <c r="Q1723">
        <v>2409</v>
      </c>
      <c r="R1723">
        <v>12.33</v>
      </c>
      <c r="S1723">
        <v>2</v>
      </c>
      <c r="T1723">
        <v>607</v>
      </c>
      <c r="U1723" s="2">
        <v>6239.96</v>
      </c>
      <c r="V1723">
        <v>0</v>
      </c>
      <c r="W1723" t="s">
        <v>29</v>
      </c>
      <c r="X1723" t="str">
        <f>IF(Table2[[#This Row],[Qty available]]&gt;Table2[[#This Row],[Qty on hand]],"Check","OK")</f>
        <v>OK</v>
      </c>
    </row>
    <row r="1724" spans="1:24" x14ac:dyDescent="0.3">
      <c r="A1724" t="s">
        <v>203</v>
      </c>
      <c r="B1724" t="s">
        <v>204</v>
      </c>
      <c r="C1724" t="s">
        <v>25</v>
      </c>
      <c r="D1724" t="s">
        <v>26</v>
      </c>
      <c r="E1724" t="s">
        <v>66</v>
      </c>
      <c r="F1724" s="1" t="s">
        <v>47</v>
      </c>
      <c r="G1724" s="2">
        <v>6.49</v>
      </c>
      <c r="H1724">
        <v>6.91</v>
      </c>
      <c r="I1724">
        <v>7.0183109999999997</v>
      </c>
      <c r="J1724">
        <v>10.28</v>
      </c>
      <c r="K1724">
        <v>36</v>
      </c>
      <c r="L1724" s="2">
        <v>33</v>
      </c>
      <c r="M1724">
        <v>640</v>
      </c>
      <c r="N1724" s="2">
        <v>1664</v>
      </c>
      <c r="O1724">
        <v>11678.47</v>
      </c>
      <c r="P1724">
        <v>227</v>
      </c>
      <c r="Q1724">
        <v>1437</v>
      </c>
      <c r="R1724">
        <v>7.31</v>
      </c>
      <c r="S1724">
        <v>1</v>
      </c>
      <c r="T1724">
        <v>1435</v>
      </c>
      <c r="U1724" s="2">
        <v>14751.8</v>
      </c>
      <c r="V1724">
        <v>0</v>
      </c>
      <c r="W1724" t="s">
        <v>29</v>
      </c>
      <c r="X1724" t="str">
        <f>IF(Table2[[#This Row],[Qty available]]&gt;Table2[[#This Row],[Qty on hand]],"Check","OK")</f>
        <v>OK</v>
      </c>
    </row>
    <row r="1725" spans="1:24" x14ac:dyDescent="0.3">
      <c r="A1725" t="s">
        <v>203</v>
      </c>
      <c r="B1725" t="s">
        <v>204</v>
      </c>
      <c r="C1725" t="s">
        <v>25</v>
      </c>
      <c r="D1725" t="s">
        <v>26</v>
      </c>
      <c r="E1725" t="s">
        <v>66</v>
      </c>
      <c r="F1725" s="1" t="s">
        <v>48</v>
      </c>
      <c r="G1725" s="2">
        <v>6.65</v>
      </c>
      <c r="H1725">
        <v>7.08</v>
      </c>
      <c r="I1725">
        <v>7.0409699999999997</v>
      </c>
      <c r="J1725">
        <v>10.28</v>
      </c>
      <c r="K1725">
        <v>36</v>
      </c>
      <c r="L1725" s="2">
        <v>35</v>
      </c>
      <c r="M1725">
        <v>966</v>
      </c>
      <c r="N1725" s="2">
        <v>1804</v>
      </c>
      <c r="O1725">
        <v>12701.91</v>
      </c>
      <c r="P1725">
        <v>76</v>
      </c>
      <c r="Q1725">
        <v>1728</v>
      </c>
      <c r="R1725">
        <v>8</v>
      </c>
      <c r="S1725">
        <v>0</v>
      </c>
      <c r="T1725">
        <v>826</v>
      </c>
      <c r="U1725" s="2">
        <v>8491.2800000000007</v>
      </c>
      <c r="V1725">
        <v>0</v>
      </c>
      <c r="W1725" t="s">
        <v>29</v>
      </c>
      <c r="X1725" t="str">
        <f>IF(Table2[[#This Row],[Qty available]]&gt;Table2[[#This Row],[Qty on hand]],"Check","OK")</f>
        <v>OK</v>
      </c>
    </row>
    <row r="1726" spans="1:24" x14ac:dyDescent="0.3">
      <c r="A1726" t="s">
        <v>203</v>
      </c>
      <c r="B1726" t="s">
        <v>204</v>
      </c>
      <c r="C1726" t="s">
        <v>25</v>
      </c>
      <c r="D1726" t="s">
        <v>26</v>
      </c>
      <c r="E1726" t="s">
        <v>66</v>
      </c>
      <c r="F1726" s="1" t="s">
        <v>49</v>
      </c>
      <c r="G1726" s="2">
        <v>6.77</v>
      </c>
      <c r="H1726">
        <v>7.21</v>
      </c>
      <c r="I1726">
        <v>7.1259499999999996</v>
      </c>
      <c r="J1726">
        <v>10.28</v>
      </c>
      <c r="K1726">
        <v>36</v>
      </c>
      <c r="L1726" s="2">
        <v>31</v>
      </c>
      <c r="M1726">
        <v>1824</v>
      </c>
      <c r="N1726" s="2">
        <v>2859</v>
      </c>
      <c r="O1726">
        <v>20373.09</v>
      </c>
      <c r="P1726">
        <v>202</v>
      </c>
      <c r="Q1726">
        <v>2657</v>
      </c>
      <c r="R1726">
        <v>12.4</v>
      </c>
      <c r="S1726">
        <v>1</v>
      </c>
      <c r="T1726">
        <v>769</v>
      </c>
      <c r="U1726" s="2">
        <v>7905.32</v>
      </c>
      <c r="V1726">
        <v>0</v>
      </c>
      <c r="W1726" t="s">
        <v>29</v>
      </c>
      <c r="X1726" t="str">
        <f>IF(Table2[[#This Row],[Qty available]]&gt;Table2[[#This Row],[Qty on hand]],"Check","OK")</f>
        <v>OK</v>
      </c>
    </row>
    <row r="1727" spans="1:24" x14ac:dyDescent="0.3">
      <c r="A1727" t="s">
        <v>203</v>
      </c>
      <c r="B1727" t="s">
        <v>204</v>
      </c>
      <c r="C1727" t="s">
        <v>25</v>
      </c>
      <c r="D1727" t="s">
        <v>26</v>
      </c>
      <c r="E1727" t="s">
        <v>66</v>
      </c>
      <c r="F1727" s="1" t="s">
        <v>50</v>
      </c>
      <c r="G1727" s="2">
        <v>6.87</v>
      </c>
      <c r="H1727">
        <v>7.31</v>
      </c>
      <c r="I1727">
        <v>7.1259499999999996</v>
      </c>
      <c r="J1727">
        <v>10.28</v>
      </c>
      <c r="K1727">
        <v>36</v>
      </c>
      <c r="M1727">
        <v>0</v>
      </c>
      <c r="N1727" s="2">
        <v>2089</v>
      </c>
      <c r="O1727">
        <v>14886.11</v>
      </c>
      <c r="P1727">
        <v>227</v>
      </c>
      <c r="Q1727">
        <v>1862</v>
      </c>
      <c r="R1727">
        <v>11.48</v>
      </c>
      <c r="S1727">
        <v>1</v>
      </c>
      <c r="T1727">
        <v>770</v>
      </c>
      <c r="U1727" s="2">
        <v>7915.6</v>
      </c>
      <c r="V1727">
        <v>0</v>
      </c>
      <c r="W1727" t="s">
        <v>29</v>
      </c>
      <c r="X1727" t="str">
        <f>IF(Table2[[#This Row],[Qty available]]&gt;Table2[[#This Row],[Qty on hand]],"Check","OK")</f>
        <v>OK</v>
      </c>
    </row>
    <row r="1728" spans="1:24" x14ac:dyDescent="0.3">
      <c r="A1728" t="s">
        <v>203</v>
      </c>
      <c r="B1728" t="s">
        <v>204</v>
      </c>
      <c r="C1728" t="s">
        <v>25</v>
      </c>
      <c r="D1728" t="s">
        <v>26</v>
      </c>
      <c r="E1728" t="s">
        <v>66</v>
      </c>
      <c r="F1728" s="1" t="s">
        <v>51</v>
      </c>
      <c r="G1728" s="2">
        <v>6.79</v>
      </c>
      <c r="H1728">
        <v>7.23</v>
      </c>
      <c r="I1728">
        <v>7.1259509999999997</v>
      </c>
      <c r="J1728">
        <v>10.28</v>
      </c>
      <c r="K1728">
        <v>36</v>
      </c>
      <c r="M1728">
        <v>0</v>
      </c>
      <c r="N1728" s="2">
        <v>1504</v>
      </c>
      <c r="O1728">
        <v>10717.43</v>
      </c>
      <c r="P1728">
        <v>252</v>
      </c>
      <c r="Q1728">
        <v>1252</v>
      </c>
      <c r="R1728">
        <v>9.31</v>
      </c>
      <c r="S1728">
        <v>2</v>
      </c>
      <c r="T1728">
        <v>585</v>
      </c>
      <c r="U1728" s="2">
        <v>6013.8</v>
      </c>
      <c r="V1728">
        <v>0</v>
      </c>
      <c r="W1728" t="s">
        <v>29</v>
      </c>
      <c r="X1728" t="str">
        <f>IF(Table2[[#This Row],[Qty available]]&gt;Table2[[#This Row],[Qty on hand]],"Check","OK")</f>
        <v>OK</v>
      </c>
    </row>
    <row r="1729" spans="1:24" x14ac:dyDescent="0.3">
      <c r="A1729" t="s">
        <v>203</v>
      </c>
      <c r="B1729" t="s">
        <v>204</v>
      </c>
      <c r="C1729" t="s">
        <v>25</v>
      </c>
      <c r="D1729" t="s">
        <v>26</v>
      </c>
      <c r="E1729" t="s">
        <v>66</v>
      </c>
      <c r="F1729" s="1" t="s">
        <v>52</v>
      </c>
      <c r="G1729" s="2">
        <v>6.71</v>
      </c>
      <c r="H1729">
        <v>7.14</v>
      </c>
      <c r="I1729">
        <v>7.1332930000000001</v>
      </c>
      <c r="J1729">
        <v>10.28</v>
      </c>
      <c r="K1729">
        <v>36</v>
      </c>
      <c r="L1729" s="2">
        <v>36</v>
      </c>
      <c r="M1729">
        <v>1647</v>
      </c>
      <c r="N1729" s="2">
        <v>1913</v>
      </c>
      <c r="O1729">
        <v>13645.99</v>
      </c>
      <c r="P1729">
        <v>252</v>
      </c>
      <c r="Q1729">
        <v>1661</v>
      </c>
      <c r="R1729">
        <v>9.6999999999999993</v>
      </c>
      <c r="S1729">
        <v>0</v>
      </c>
      <c r="T1729">
        <v>1238</v>
      </c>
      <c r="U1729" s="2">
        <v>12726.64</v>
      </c>
      <c r="V1729">
        <v>0</v>
      </c>
      <c r="W1729" t="s">
        <v>29</v>
      </c>
      <c r="X1729" t="str">
        <f>IF(Table2[[#This Row],[Qty available]]&gt;Table2[[#This Row],[Qty on hand]],"Check","OK")</f>
        <v>OK</v>
      </c>
    </row>
    <row r="1730" spans="1:24" x14ac:dyDescent="0.3">
      <c r="A1730" t="s">
        <v>205</v>
      </c>
      <c r="B1730" t="s">
        <v>206</v>
      </c>
      <c r="C1730" t="s">
        <v>69</v>
      </c>
      <c r="D1730" t="s">
        <v>70</v>
      </c>
      <c r="E1730" t="s">
        <v>66</v>
      </c>
      <c r="F1730" s="1" t="s">
        <v>28</v>
      </c>
      <c r="G1730" s="2">
        <v>59.19</v>
      </c>
      <c r="H1730">
        <v>59.19</v>
      </c>
      <c r="I1730">
        <v>59.475714000000004</v>
      </c>
      <c r="J1730">
        <v>82.95</v>
      </c>
      <c r="K1730">
        <v>40</v>
      </c>
      <c r="M1730">
        <v>0</v>
      </c>
      <c r="N1730" s="2">
        <v>0</v>
      </c>
      <c r="O1730">
        <v>0</v>
      </c>
      <c r="P1730">
        <v>0</v>
      </c>
      <c r="Q1730">
        <v>0</v>
      </c>
      <c r="R1730">
        <v>0</v>
      </c>
      <c r="S1730">
        <v>2</v>
      </c>
      <c r="T1730">
        <v>21</v>
      </c>
      <c r="U1730" s="2">
        <v>1741.95</v>
      </c>
      <c r="V1730">
        <v>61</v>
      </c>
      <c r="W1730" t="s">
        <v>59</v>
      </c>
      <c r="X1730" t="str">
        <f>IF(Table2[[#This Row],[Qty available]]&gt;Table2[[#This Row],[Qty on hand]],"Check","OK")</f>
        <v>OK</v>
      </c>
    </row>
    <row r="1731" spans="1:24" x14ac:dyDescent="0.3">
      <c r="A1731" t="s">
        <v>205</v>
      </c>
      <c r="B1731" t="s">
        <v>206</v>
      </c>
      <c r="C1731" t="s">
        <v>69</v>
      </c>
      <c r="D1731" t="s">
        <v>70</v>
      </c>
      <c r="E1731" t="s">
        <v>66</v>
      </c>
      <c r="F1731" s="1" t="s">
        <v>30</v>
      </c>
      <c r="G1731" s="2">
        <v>60.01</v>
      </c>
      <c r="H1731">
        <v>60.01</v>
      </c>
      <c r="I1731">
        <v>60.01</v>
      </c>
      <c r="J1731">
        <v>82.95</v>
      </c>
      <c r="K1731">
        <v>40</v>
      </c>
      <c r="L1731" s="2">
        <v>62</v>
      </c>
      <c r="M1731">
        <v>106</v>
      </c>
      <c r="N1731" s="2">
        <v>36</v>
      </c>
      <c r="O1731">
        <v>2160.36</v>
      </c>
      <c r="P1731">
        <v>25</v>
      </c>
      <c r="Q1731">
        <v>11</v>
      </c>
      <c r="R1731">
        <v>1.54</v>
      </c>
      <c r="S1731">
        <v>0</v>
      </c>
      <c r="T1731">
        <v>70</v>
      </c>
      <c r="U1731" s="2">
        <v>5806.5</v>
      </c>
      <c r="V1731">
        <v>0</v>
      </c>
      <c r="W1731" t="s">
        <v>29</v>
      </c>
      <c r="X1731" t="str">
        <f>IF(Table2[[#This Row],[Qty available]]&gt;Table2[[#This Row],[Qty on hand]],"Check","OK")</f>
        <v>OK</v>
      </c>
    </row>
    <row r="1732" spans="1:24" x14ac:dyDescent="0.3">
      <c r="A1732" t="s">
        <v>205</v>
      </c>
      <c r="B1732" t="s">
        <v>206</v>
      </c>
      <c r="C1732" t="s">
        <v>69</v>
      </c>
      <c r="D1732" t="s">
        <v>70</v>
      </c>
      <c r="E1732" t="s">
        <v>66</v>
      </c>
      <c r="F1732" s="1" t="s">
        <v>31</v>
      </c>
      <c r="G1732" s="2">
        <v>58.84</v>
      </c>
      <c r="H1732">
        <v>58.84</v>
      </c>
      <c r="I1732">
        <v>58.994286000000002</v>
      </c>
      <c r="J1732">
        <v>82.95</v>
      </c>
      <c r="K1732">
        <v>40</v>
      </c>
      <c r="L1732" s="2">
        <v>34</v>
      </c>
      <c r="M1732">
        <v>237</v>
      </c>
      <c r="N1732" s="2">
        <v>56</v>
      </c>
      <c r="O1732">
        <v>3303.68</v>
      </c>
      <c r="P1732">
        <v>22</v>
      </c>
      <c r="Q1732">
        <v>34</v>
      </c>
      <c r="R1732">
        <v>2.36</v>
      </c>
      <c r="S1732">
        <v>0</v>
      </c>
      <c r="T1732">
        <v>217</v>
      </c>
      <c r="U1732" s="2">
        <v>18000.150000000001</v>
      </c>
      <c r="V1732">
        <v>0</v>
      </c>
      <c r="W1732" t="s">
        <v>29</v>
      </c>
      <c r="X1732" t="str">
        <f>IF(Table2[[#This Row],[Qty available]]&gt;Table2[[#This Row],[Qty on hand]],"Check","OK")</f>
        <v>OK</v>
      </c>
    </row>
    <row r="1733" spans="1:24" x14ac:dyDescent="0.3">
      <c r="A1733" t="s">
        <v>205</v>
      </c>
      <c r="B1733" t="s">
        <v>206</v>
      </c>
      <c r="C1733" t="s">
        <v>69</v>
      </c>
      <c r="D1733" t="s">
        <v>70</v>
      </c>
      <c r="E1733" t="s">
        <v>66</v>
      </c>
      <c r="F1733" s="1" t="s">
        <v>32</v>
      </c>
      <c r="G1733" s="2">
        <v>61.27</v>
      </c>
      <c r="H1733">
        <v>61.27</v>
      </c>
      <c r="I1733">
        <v>60.067692000000001</v>
      </c>
      <c r="J1733">
        <v>82.95</v>
      </c>
      <c r="K1733">
        <v>40</v>
      </c>
      <c r="L1733" s="2">
        <v>37</v>
      </c>
      <c r="M1733">
        <v>50</v>
      </c>
      <c r="N1733" s="2">
        <v>13</v>
      </c>
      <c r="O1733">
        <v>780.88</v>
      </c>
      <c r="P1733">
        <v>13</v>
      </c>
      <c r="Q1733">
        <v>0</v>
      </c>
      <c r="R1733">
        <v>0.45</v>
      </c>
      <c r="S1733">
        <v>0</v>
      </c>
      <c r="T1733">
        <v>93</v>
      </c>
      <c r="U1733" s="2">
        <v>7714.35</v>
      </c>
      <c r="V1733">
        <v>0</v>
      </c>
      <c r="W1733" t="s">
        <v>29</v>
      </c>
      <c r="X1733" t="str">
        <f>IF(Table2[[#This Row],[Qty available]]&gt;Table2[[#This Row],[Qty on hand]],"Check","OK")</f>
        <v>OK</v>
      </c>
    </row>
    <row r="1734" spans="1:24" x14ac:dyDescent="0.3">
      <c r="A1734" t="s">
        <v>205</v>
      </c>
      <c r="B1734" t="s">
        <v>206</v>
      </c>
      <c r="C1734" t="s">
        <v>69</v>
      </c>
      <c r="D1734" t="s">
        <v>70</v>
      </c>
      <c r="E1734" t="s">
        <v>66</v>
      </c>
      <c r="F1734" s="1" t="s">
        <v>33</v>
      </c>
      <c r="G1734" s="2">
        <v>60.72</v>
      </c>
      <c r="H1734">
        <v>60.72</v>
      </c>
      <c r="I1734">
        <v>60.691806</v>
      </c>
      <c r="J1734">
        <v>82.95</v>
      </c>
      <c r="K1734">
        <v>40</v>
      </c>
      <c r="L1734" s="2">
        <v>34</v>
      </c>
      <c r="M1734">
        <v>288</v>
      </c>
      <c r="N1734" s="2">
        <v>144</v>
      </c>
      <c r="O1734">
        <v>8739.6200000000008</v>
      </c>
      <c r="P1734">
        <v>18</v>
      </c>
      <c r="Q1734">
        <v>126</v>
      </c>
      <c r="R1734">
        <v>4.05</v>
      </c>
      <c r="S1734">
        <v>7</v>
      </c>
      <c r="T1734">
        <v>157</v>
      </c>
      <c r="U1734" s="2">
        <v>13023.15</v>
      </c>
      <c r="V1734">
        <v>0</v>
      </c>
      <c r="W1734" t="s">
        <v>29</v>
      </c>
      <c r="X1734" t="str">
        <f>IF(Table2[[#This Row],[Qty available]]&gt;Table2[[#This Row],[Qty on hand]],"Check","OK")</f>
        <v>OK</v>
      </c>
    </row>
    <row r="1735" spans="1:24" x14ac:dyDescent="0.3">
      <c r="A1735" t="s">
        <v>205</v>
      </c>
      <c r="B1735" t="s">
        <v>206</v>
      </c>
      <c r="C1735" t="s">
        <v>69</v>
      </c>
      <c r="D1735" t="s">
        <v>70</v>
      </c>
      <c r="E1735" t="s">
        <v>66</v>
      </c>
      <c r="F1735" s="1" t="s">
        <v>34</v>
      </c>
      <c r="G1735" s="2">
        <v>61.63</v>
      </c>
      <c r="H1735">
        <v>61.63</v>
      </c>
      <c r="I1735">
        <v>61.062399999999997</v>
      </c>
      <c r="J1735">
        <v>86.53</v>
      </c>
      <c r="K1735">
        <v>40</v>
      </c>
      <c r="L1735" s="2">
        <v>52</v>
      </c>
      <c r="M1735">
        <v>94</v>
      </c>
      <c r="N1735" s="2">
        <v>100</v>
      </c>
      <c r="O1735">
        <v>6106.24</v>
      </c>
      <c r="P1735">
        <v>18</v>
      </c>
      <c r="Q1735">
        <v>82</v>
      </c>
      <c r="R1735">
        <v>3.31</v>
      </c>
      <c r="S1735">
        <v>0</v>
      </c>
      <c r="T1735">
        <v>138</v>
      </c>
      <c r="U1735" s="2">
        <v>11941.14</v>
      </c>
      <c r="V1735">
        <v>0</v>
      </c>
      <c r="W1735" t="s">
        <v>29</v>
      </c>
      <c r="X1735" t="str">
        <f>IF(Table2[[#This Row],[Qty available]]&gt;Table2[[#This Row],[Qty on hand]],"Check","OK")</f>
        <v>OK</v>
      </c>
    </row>
    <row r="1736" spans="1:24" x14ac:dyDescent="0.3">
      <c r="A1736" t="s">
        <v>205</v>
      </c>
      <c r="B1736" t="s">
        <v>206</v>
      </c>
      <c r="C1736" t="s">
        <v>69</v>
      </c>
      <c r="D1736" t="s">
        <v>70</v>
      </c>
      <c r="E1736" t="s">
        <v>66</v>
      </c>
      <c r="F1736" s="1" t="s">
        <v>35</v>
      </c>
      <c r="G1736" s="2">
        <v>60.52</v>
      </c>
      <c r="H1736">
        <v>60.52</v>
      </c>
      <c r="I1736">
        <v>60.844814999999997</v>
      </c>
      <c r="J1736">
        <v>86.53</v>
      </c>
      <c r="K1736">
        <v>40</v>
      </c>
      <c r="L1736" s="2">
        <v>35</v>
      </c>
      <c r="M1736">
        <v>67</v>
      </c>
      <c r="N1736" s="2">
        <v>81</v>
      </c>
      <c r="O1736">
        <v>4928.43</v>
      </c>
      <c r="P1736">
        <v>29</v>
      </c>
      <c r="Q1736">
        <v>52</v>
      </c>
      <c r="R1736">
        <v>2.73</v>
      </c>
      <c r="S1736">
        <v>4</v>
      </c>
      <c r="T1736">
        <v>86</v>
      </c>
      <c r="U1736" s="2">
        <v>7441.58</v>
      </c>
      <c r="V1736">
        <v>0</v>
      </c>
      <c r="W1736" t="s">
        <v>29</v>
      </c>
      <c r="X1736" t="str">
        <f>IF(Table2[[#This Row],[Qty available]]&gt;Table2[[#This Row],[Qty on hand]],"Check","OK")</f>
        <v>OK</v>
      </c>
    </row>
    <row r="1737" spans="1:24" x14ac:dyDescent="0.3">
      <c r="A1737" t="s">
        <v>205</v>
      </c>
      <c r="B1737" t="s">
        <v>206</v>
      </c>
      <c r="C1737" t="s">
        <v>69</v>
      </c>
      <c r="D1737" t="s">
        <v>70</v>
      </c>
      <c r="E1737" t="s">
        <v>66</v>
      </c>
      <c r="F1737" s="1" t="s">
        <v>36</v>
      </c>
      <c r="G1737" s="2">
        <v>59.62</v>
      </c>
      <c r="H1737">
        <v>59.62</v>
      </c>
      <c r="I1737">
        <v>60.066881000000002</v>
      </c>
      <c r="J1737">
        <v>86.53</v>
      </c>
      <c r="K1737">
        <v>40</v>
      </c>
      <c r="L1737" s="2">
        <v>39</v>
      </c>
      <c r="M1737">
        <v>141</v>
      </c>
      <c r="N1737" s="2">
        <v>109</v>
      </c>
      <c r="O1737">
        <v>6547.29</v>
      </c>
      <c r="P1737">
        <v>29</v>
      </c>
      <c r="Q1737">
        <v>80</v>
      </c>
      <c r="R1737">
        <v>4.1100000000000003</v>
      </c>
      <c r="S1737">
        <v>0</v>
      </c>
      <c r="T1737">
        <v>113</v>
      </c>
      <c r="U1737" s="2">
        <v>9777.89</v>
      </c>
      <c r="V1737">
        <v>0</v>
      </c>
      <c r="W1737" t="s">
        <v>29</v>
      </c>
      <c r="X1737" t="str">
        <f>IF(Table2[[#This Row],[Qty available]]&gt;Table2[[#This Row],[Qty on hand]],"Check","OK")</f>
        <v>OK</v>
      </c>
    </row>
    <row r="1738" spans="1:24" x14ac:dyDescent="0.3">
      <c r="A1738" t="s">
        <v>205</v>
      </c>
      <c r="B1738" t="s">
        <v>206</v>
      </c>
      <c r="C1738" t="s">
        <v>69</v>
      </c>
      <c r="D1738" t="s">
        <v>70</v>
      </c>
      <c r="E1738" t="s">
        <v>66</v>
      </c>
      <c r="F1738" s="1" t="s">
        <v>37</v>
      </c>
      <c r="G1738" s="2">
        <v>60.88</v>
      </c>
      <c r="H1738">
        <v>60.88</v>
      </c>
      <c r="I1738">
        <v>60.455956999999998</v>
      </c>
      <c r="J1738">
        <v>86.53</v>
      </c>
      <c r="K1738">
        <v>40</v>
      </c>
      <c r="L1738" s="2">
        <v>38</v>
      </c>
      <c r="M1738">
        <v>100</v>
      </c>
      <c r="N1738" s="2">
        <v>94</v>
      </c>
      <c r="O1738">
        <v>5682.86</v>
      </c>
      <c r="P1738">
        <v>29</v>
      </c>
      <c r="Q1738">
        <v>65</v>
      </c>
      <c r="R1738">
        <v>3.93</v>
      </c>
      <c r="S1738">
        <v>0</v>
      </c>
      <c r="T1738">
        <v>115</v>
      </c>
      <c r="U1738" s="2">
        <v>9950.9500000000007</v>
      </c>
      <c r="V1738">
        <v>0</v>
      </c>
      <c r="W1738" t="s">
        <v>29</v>
      </c>
      <c r="X1738" t="str">
        <f>IF(Table2[[#This Row],[Qty available]]&gt;Table2[[#This Row],[Qty on hand]],"Check","OK")</f>
        <v>OK</v>
      </c>
    </row>
    <row r="1739" spans="1:24" x14ac:dyDescent="0.3">
      <c r="A1739" t="s">
        <v>205</v>
      </c>
      <c r="B1739" t="s">
        <v>206</v>
      </c>
      <c r="C1739" t="s">
        <v>69</v>
      </c>
      <c r="D1739" t="s">
        <v>70</v>
      </c>
      <c r="E1739" t="s">
        <v>66</v>
      </c>
      <c r="F1739" s="1" t="s">
        <v>38</v>
      </c>
      <c r="G1739" s="2">
        <v>60.88</v>
      </c>
      <c r="H1739">
        <v>60.88</v>
      </c>
      <c r="I1739">
        <v>60.736097999999998</v>
      </c>
      <c r="J1739">
        <v>86.53</v>
      </c>
      <c r="K1739">
        <v>40</v>
      </c>
      <c r="L1739" s="2">
        <v>39</v>
      </c>
      <c r="M1739">
        <v>183</v>
      </c>
      <c r="N1739" s="2">
        <v>123</v>
      </c>
      <c r="O1739">
        <v>7470.54</v>
      </c>
      <c r="P1739">
        <v>33</v>
      </c>
      <c r="Q1739">
        <v>90</v>
      </c>
      <c r="R1739">
        <v>4.1900000000000004</v>
      </c>
      <c r="S1739">
        <v>8</v>
      </c>
      <c r="T1739">
        <v>154</v>
      </c>
      <c r="U1739" s="2">
        <v>13325.62</v>
      </c>
      <c r="V1739">
        <v>0</v>
      </c>
      <c r="W1739" t="s">
        <v>29</v>
      </c>
      <c r="X1739" t="str">
        <f>IF(Table2[[#This Row],[Qty available]]&gt;Table2[[#This Row],[Qty on hand]],"Check","OK")</f>
        <v>OK</v>
      </c>
    </row>
    <row r="1740" spans="1:24" x14ac:dyDescent="0.3">
      <c r="A1740" t="s">
        <v>205</v>
      </c>
      <c r="B1740" t="s">
        <v>206</v>
      </c>
      <c r="C1740" t="s">
        <v>69</v>
      </c>
      <c r="D1740" t="s">
        <v>70</v>
      </c>
      <c r="E1740" t="s">
        <v>66</v>
      </c>
      <c r="F1740" s="1" t="s">
        <v>39</v>
      </c>
      <c r="G1740" s="2">
        <v>59.62</v>
      </c>
      <c r="H1740">
        <v>59.62</v>
      </c>
      <c r="I1740">
        <v>60.413558999999999</v>
      </c>
      <c r="J1740">
        <v>86.53</v>
      </c>
      <c r="K1740">
        <v>40</v>
      </c>
      <c r="L1740" s="2">
        <v>40</v>
      </c>
      <c r="M1740">
        <v>50</v>
      </c>
      <c r="N1740" s="2">
        <v>59</v>
      </c>
      <c r="O1740">
        <v>3564.4</v>
      </c>
      <c r="P1740">
        <v>15</v>
      </c>
      <c r="Q1740">
        <v>44</v>
      </c>
      <c r="R1740">
        <v>2.02</v>
      </c>
      <c r="S1740">
        <v>9</v>
      </c>
      <c r="T1740">
        <v>114</v>
      </c>
      <c r="U1740" s="2">
        <v>9864.42</v>
      </c>
      <c r="V1740">
        <v>0</v>
      </c>
      <c r="W1740" t="s">
        <v>29</v>
      </c>
      <c r="X1740" t="str">
        <f>IF(Table2[[#This Row],[Qty available]]&gt;Table2[[#This Row],[Qty on hand]],"Check","OK")</f>
        <v>OK</v>
      </c>
    </row>
    <row r="1741" spans="1:24" x14ac:dyDescent="0.3">
      <c r="A1741" t="s">
        <v>205</v>
      </c>
      <c r="B1741" t="s">
        <v>206</v>
      </c>
      <c r="C1741" t="s">
        <v>69</v>
      </c>
      <c r="D1741" t="s">
        <v>70</v>
      </c>
      <c r="E1741" t="s">
        <v>66</v>
      </c>
      <c r="F1741" s="1" t="s">
        <v>40</v>
      </c>
      <c r="G1741" s="2">
        <v>61.76</v>
      </c>
      <c r="H1741">
        <v>61.76</v>
      </c>
      <c r="I1741">
        <v>61.470073999999997</v>
      </c>
      <c r="J1741">
        <v>86.53</v>
      </c>
      <c r="K1741">
        <v>40</v>
      </c>
      <c r="L1741" s="2">
        <v>57</v>
      </c>
      <c r="M1741">
        <v>215</v>
      </c>
      <c r="N1741" s="2">
        <v>136</v>
      </c>
      <c r="O1741">
        <v>8359.93</v>
      </c>
      <c r="P1741">
        <v>25</v>
      </c>
      <c r="Q1741">
        <v>111</v>
      </c>
      <c r="R1741">
        <v>4.4000000000000004</v>
      </c>
      <c r="S1741">
        <v>1</v>
      </c>
      <c r="T1741">
        <v>138</v>
      </c>
      <c r="U1741" s="2">
        <v>11941.14</v>
      </c>
      <c r="V1741">
        <v>0</v>
      </c>
      <c r="W1741" t="s">
        <v>29</v>
      </c>
      <c r="X1741" t="str">
        <f>IF(Table2[[#This Row],[Qty available]]&gt;Table2[[#This Row],[Qty on hand]],"Check","OK")</f>
        <v>OK</v>
      </c>
    </row>
    <row r="1742" spans="1:24" x14ac:dyDescent="0.3">
      <c r="A1742" t="s">
        <v>205</v>
      </c>
      <c r="B1742" t="s">
        <v>206</v>
      </c>
      <c r="C1742" t="s">
        <v>69</v>
      </c>
      <c r="D1742" t="s">
        <v>70</v>
      </c>
      <c r="E1742" t="s">
        <v>66</v>
      </c>
      <c r="F1742" s="1" t="s">
        <v>41</v>
      </c>
      <c r="G1742" s="2">
        <v>61.81</v>
      </c>
      <c r="H1742">
        <v>61.81</v>
      </c>
      <c r="I1742">
        <v>61.470101999999997</v>
      </c>
      <c r="J1742">
        <v>86.53</v>
      </c>
      <c r="K1742">
        <v>40</v>
      </c>
      <c r="M1742">
        <v>0</v>
      </c>
      <c r="N1742" s="2">
        <v>98</v>
      </c>
      <c r="O1742">
        <v>6024.07</v>
      </c>
      <c r="P1742">
        <v>11</v>
      </c>
      <c r="Q1742">
        <v>87</v>
      </c>
      <c r="R1742">
        <v>4.4400000000000004</v>
      </c>
      <c r="S1742">
        <v>12</v>
      </c>
      <c r="T1742">
        <v>38</v>
      </c>
      <c r="U1742" s="2">
        <v>3288.14</v>
      </c>
      <c r="V1742">
        <v>0</v>
      </c>
      <c r="W1742" t="s">
        <v>29</v>
      </c>
      <c r="X1742" t="str">
        <f>IF(Table2[[#This Row],[Qty available]]&gt;Table2[[#This Row],[Qty on hand]],"Check","OK")</f>
        <v>OK</v>
      </c>
    </row>
    <row r="1743" spans="1:24" x14ac:dyDescent="0.3">
      <c r="A1743" t="s">
        <v>205</v>
      </c>
      <c r="B1743" t="s">
        <v>206</v>
      </c>
      <c r="C1743" t="s">
        <v>69</v>
      </c>
      <c r="D1743" t="s">
        <v>70</v>
      </c>
      <c r="E1743" t="s">
        <v>66</v>
      </c>
      <c r="F1743" s="1" t="s">
        <v>42</v>
      </c>
      <c r="G1743" s="2">
        <v>59.84</v>
      </c>
      <c r="H1743">
        <v>59.84</v>
      </c>
      <c r="I1743">
        <v>60.218567999999998</v>
      </c>
      <c r="J1743">
        <v>86.53</v>
      </c>
      <c r="K1743">
        <v>40</v>
      </c>
      <c r="L1743" s="2">
        <v>47</v>
      </c>
      <c r="M1743">
        <v>324</v>
      </c>
      <c r="N1743" s="2">
        <v>377</v>
      </c>
      <c r="O1743">
        <v>22702.400000000001</v>
      </c>
      <c r="P1743">
        <v>7</v>
      </c>
      <c r="Q1743">
        <v>370</v>
      </c>
      <c r="R1743">
        <v>22.42</v>
      </c>
      <c r="S1743">
        <v>1</v>
      </c>
      <c r="T1743">
        <v>45</v>
      </c>
      <c r="U1743" s="2">
        <v>3893.85</v>
      </c>
      <c r="V1743">
        <v>0</v>
      </c>
      <c r="W1743" t="s">
        <v>29</v>
      </c>
      <c r="X1743" t="str">
        <f>IF(Table2[[#This Row],[Qty available]]&gt;Table2[[#This Row],[Qty on hand]],"Check","OK")</f>
        <v>OK</v>
      </c>
    </row>
    <row r="1744" spans="1:24" x14ac:dyDescent="0.3">
      <c r="A1744" t="s">
        <v>205</v>
      </c>
      <c r="B1744" t="s">
        <v>206</v>
      </c>
      <c r="C1744" t="s">
        <v>69</v>
      </c>
      <c r="D1744" t="s">
        <v>70</v>
      </c>
      <c r="E1744" t="s">
        <v>66</v>
      </c>
      <c r="F1744" s="1" t="s">
        <v>43</v>
      </c>
      <c r="G1744" s="2">
        <v>60.28</v>
      </c>
      <c r="H1744">
        <v>60.28</v>
      </c>
      <c r="I1744">
        <v>60.218563000000003</v>
      </c>
      <c r="J1744">
        <v>86.53</v>
      </c>
      <c r="K1744">
        <v>40</v>
      </c>
      <c r="M1744">
        <v>0</v>
      </c>
      <c r="N1744" s="2">
        <v>341</v>
      </c>
      <c r="O1744">
        <v>20534.53</v>
      </c>
      <c r="P1744">
        <v>29</v>
      </c>
      <c r="Q1744">
        <v>312</v>
      </c>
      <c r="R1744">
        <v>37.25</v>
      </c>
      <c r="S1744">
        <v>9</v>
      </c>
      <c r="T1744">
        <v>36</v>
      </c>
      <c r="U1744" s="2">
        <v>3115.08</v>
      </c>
      <c r="V1744">
        <v>0</v>
      </c>
      <c r="W1744" t="s">
        <v>29</v>
      </c>
      <c r="X1744" t="str">
        <f>IF(Table2[[#This Row],[Qty available]]&gt;Table2[[#This Row],[Qty on hand]],"Check","OK")</f>
        <v>OK</v>
      </c>
    </row>
    <row r="1745" spans="1:24" x14ac:dyDescent="0.3">
      <c r="A1745" t="s">
        <v>205</v>
      </c>
      <c r="B1745" t="s">
        <v>206</v>
      </c>
      <c r="C1745" t="s">
        <v>69</v>
      </c>
      <c r="D1745" t="s">
        <v>70</v>
      </c>
      <c r="E1745" t="s">
        <v>66</v>
      </c>
      <c r="F1745" s="1" t="s">
        <v>44</v>
      </c>
      <c r="G1745" s="2">
        <v>61.18</v>
      </c>
      <c r="H1745">
        <v>61.18</v>
      </c>
      <c r="I1745">
        <v>60.218556</v>
      </c>
      <c r="J1745">
        <v>86.53</v>
      </c>
      <c r="K1745">
        <v>40</v>
      </c>
      <c r="M1745">
        <v>0</v>
      </c>
      <c r="N1745" s="2">
        <v>277</v>
      </c>
      <c r="O1745">
        <v>16680.54</v>
      </c>
      <c r="P1745">
        <v>18</v>
      </c>
      <c r="Q1745">
        <v>259</v>
      </c>
      <c r="R1745">
        <v>25.11</v>
      </c>
      <c r="S1745">
        <v>2</v>
      </c>
      <c r="T1745">
        <v>64</v>
      </c>
      <c r="U1745" s="2">
        <v>5537.92</v>
      </c>
      <c r="V1745">
        <v>0</v>
      </c>
      <c r="W1745" t="s">
        <v>29</v>
      </c>
      <c r="X1745" t="str">
        <f>IF(Table2[[#This Row],[Qty available]]&gt;Table2[[#This Row],[Qty on hand]],"Check","OK")</f>
        <v>OK</v>
      </c>
    </row>
    <row r="1746" spans="1:24" x14ac:dyDescent="0.3">
      <c r="A1746" t="s">
        <v>205</v>
      </c>
      <c r="B1746" t="s">
        <v>206</v>
      </c>
      <c r="C1746" t="s">
        <v>69</v>
      </c>
      <c r="D1746" t="s">
        <v>70</v>
      </c>
      <c r="E1746" t="s">
        <v>66</v>
      </c>
      <c r="F1746" s="1" t="s">
        <v>45</v>
      </c>
      <c r="G1746" s="2">
        <v>62.73</v>
      </c>
      <c r="H1746">
        <v>62.73</v>
      </c>
      <c r="I1746">
        <v>60.602553999999998</v>
      </c>
      <c r="J1746">
        <v>86.53</v>
      </c>
      <c r="K1746">
        <v>40</v>
      </c>
      <c r="L1746" s="2">
        <v>36</v>
      </c>
      <c r="M1746">
        <v>50</v>
      </c>
      <c r="N1746" s="2">
        <v>325</v>
      </c>
      <c r="O1746">
        <v>19695.830000000002</v>
      </c>
      <c r="P1746">
        <v>18</v>
      </c>
      <c r="Q1746">
        <v>307</v>
      </c>
      <c r="R1746">
        <v>41.88</v>
      </c>
      <c r="S1746">
        <v>17</v>
      </c>
      <c r="T1746">
        <v>2</v>
      </c>
      <c r="U1746" s="2">
        <v>173.06</v>
      </c>
      <c r="V1746">
        <v>0</v>
      </c>
      <c r="W1746" t="s">
        <v>29</v>
      </c>
      <c r="X1746" t="str">
        <f>IF(Table2[[#This Row],[Qty available]]&gt;Table2[[#This Row],[Qty on hand]],"Check","OK")</f>
        <v>OK</v>
      </c>
    </row>
    <row r="1747" spans="1:24" x14ac:dyDescent="0.3">
      <c r="A1747" t="s">
        <v>205</v>
      </c>
      <c r="B1747" t="s">
        <v>206</v>
      </c>
      <c r="C1747" t="s">
        <v>69</v>
      </c>
      <c r="D1747" t="s">
        <v>70</v>
      </c>
      <c r="E1747" t="s">
        <v>66</v>
      </c>
      <c r="F1747" s="1" t="s">
        <v>46</v>
      </c>
      <c r="G1747" s="2">
        <v>61.65</v>
      </c>
      <c r="H1747">
        <v>61.65</v>
      </c>
      <c r="I1747">
        <v>61.061028999999998</v>
      </c>
      <c r="J1747">
        <v>90.26</v>
      </c>
      <c r="K1747">
        <v>40</v>
      </c>
      <c r="L1747" s="2">
        <v>47</v>
      </c>
      <c r="M1747">
        <v>253</v>
      </c>
      <c r="N1747" s="2">
        <v>476</v>
      </c>
      <c r="O1747">
        <v>29065.05</v>
      </c>
      <c r="P1747">
        <v>36</v>
      </c>
      <c r="Q1747">
        <v>440</v>
      </c>
      <c r="R1747">
        <v>36.43</v>
      </c>
      <c r="S1747">
        <v>2</v>
      </c>
      <c r="T1747">
        <v>102</v>
      </c>
      <c r="U1747" s="2">
        <v>9206.52</v>
      </c>
      <c r="V1747">
        <v>0</v>
      </c>
      <c r="W1747" t="s">
        <v>29</v>
      </c>
      <c r="X1747" t="str">
        <f>IF(Table2[[#This Row],[Qty available]]&gt;Table2[[#This Row],[Qty on hand]],"Check","OK")</f>
        <v>OK</v>
      </c>
    </row>
    <row r="1748" spans="1:24" x14ac:dyDescent="0.3">
      <c r="A1748" t="s">
        <v>205</v>
      </c>
      <c r="B1748" t="s">
        <v>206</v>
      </c>
      <c r="C1748" t="s">
        <v>69</v>
      </c>
      <c r="D1748" t="s">
        <v>70</v>
      </c>
      <c r="E1748" t="s">
        <v>66</v>
      </c>
      <c r="F1748" s="1" t="s">
        <v>47</v>
      </c>
      <c r="G1748" s="2">
        <v>62.71</v>
      </c>
      <c r="H1748">
        <v>62.71</v>
      </c>
      <c r="I1748">
        <v>61.061024000000003</v>
      </c>
      <c r="J1748">
        <v>90.26</v>
      </c>
      <c r="K1748">
        <v>40</v>
      </c>
      <c r="M1748">
        <v>0</v>
      </c>
      <c r="N1748" s="2">
        <v>381</v>
      </c>
      <c r="O1748">
        <v>23264.25</v>
      </c>
      <c r="P1748">
        <v>25</v>
      </c>
      <c r="Q1748">
        <v>356</v>
      </c>
      <c r="R1748">
        <v>24.62</v>
      </c>
      <c r="S1748">
        <v>0</v>
      </c>
      <c r="T1748">
        <v>95</v>
      </c>
      <c r="U1748" s="2">
        <v>8574.7000000000007</v>
      </c>
      <c r="V1748">
        <v>0</v>
      </c>
      <c r="W1748" t="s">
        <v>29</v>
      </c>
      <c r="X1748" t="str">
        <f>IF(Table2[[#This Row],[Qty available]]&gt;Table2[[#This Row],[Qty on hand]],"Check","OK")</f>
        <v>OK</v>
      </c>
    </row>
    <row r="1749" spans="1:24" x14ac:dyDescent="0.3">
      <c r="A1749" t="s">
        <v>205</v>
      </c>
      <c r="B1749" t="s">
        <v>206</v>
      </c>
      <c r="C1749" t="s">
        <v>69</v>
      </c>
      <c r="D1749" t="s">
        <v>70</v>
      </c>
      <c r="E1749" t="s">
        <v>66</v>
      </c>
      <c r="F1749" s="1" t="s">
        <v>48</v>
      </c>
      <c r="G1749" s="2">
        <v>62.21</v>
      </c>
      <c r="H1749">
        <v>62.21</v>
      </c>
      <c r="I1749">
        <v>61.061028</v>
      </c>
      <c r="J1749">
        <v>90.26</v>
      </c>
      <c r="K1749">
        <v>40</v>
      </c>
      <c r="M1749">
        <v>0</v>
      </c>
      <c r="N1749" s="2">
        <v>282</v>
      </c>
      <c r="O1749">
        <v>17219.21</v>
      </c>
      <c r="P1749">
        <v>7</v>
      </c>
      <c r="Q1749">
        <v>275</v>
      </c>
      <c r="R1749">
        <v>12.11</v>
      </c>
      <c r="S1749">
        <v>1</v>
      </c>
      <c r="T1749">
        <v>99</v>
      </c>
      <c r="U1749" s="2">
        <v>8935.74</v>
      </c>
      <c r="V1749">
        <v>0</v>
      </c>
      <c r="W1749" t="s">
        <v>29</v>
      </c>
      <c r="X1749" t="str">
        <f>IF(Table2[[#This Row],[Qty available]]&gt;Table2[[#This Row],[Qty on hand]],"Check","OK")</f>
        <v>OK</v>
      </c>
    </row>
    <row r="1750" spans="1:24" x14ac:dyDescent="0.3">
      <c r="A1750" t="s">
        <v>205</v>
      </c>
      <c r="B1750" t="s">
        <v>206</v>
      </c>
      <c r="C1750" t="s">
        <v>69</v>
      </c>
      <c r="D1750" t="s">
        <v>70</v>
      </c>
      <c r="E1750" t="s">
        <v>66</v>
      </c>
      <c r="F1750" s="1" t="s">
        <v>49</v>
      </c>
      <c r="G1750" s="2">
        <v>62.93</v>
      </c>
      <c r="H1750">
        <v>62.93</v>
      </c>
      <c r="I1750">
        <v>61.061030000000002</v>
      </c>
      <c r="J1750">
        <v>90.26</v>
      </c>
      <c r="K1750">
        <v>40</v>
      </c>
      <c r="M1750">
        <v>0</v>
      </c>
      <c r="N1750" s="2">
        <v>165</v>
      </c>
      <c r="O1750">
        <v>10075.07</v>
      </c>
      <c r="P1750">
        <v>11</v>
      </c>
      <c r="Q1750">
        <v>154</v>
      </c>
      <c r="R1750">
        <v>6.97</v>
      </c>
      <c r="S1750">
        <v>6</v>
      </c>
      <c r="T1750">
        <v>117</v>
      </c>
      <c r="U1750" s="2">
        <v>10560.42</v>
      </c>
      <c r="V1750">
        <v>0</v>
      </c>
      <c r="W1750" t="s">
        <v>29</v>
      </c>
      <c r="X1750" t="str">
        <f>IF(Table2[[#This Row],[Qty available]]&gt;Table2[[#This Row],[Qty on hand]],"Check","OK")</f>
        <v>OK</v>
      </c>
    </row>
    <row r="1751" spans="1:24" x14ac:dyDescent="0.3">
      <c r="A1751" t="s">
        <v>205</v>
      </c>
      <c r="B1751" t="s">
        <v>206</v>
      </c>
      <c r="C1751" t="s">
        <v>69</v>
      </c>
      <c r="D1751" t="s">
        <v>70</v>
      </c>
      <c r="E1751" t="s">
        <v>66</v>
      </c>
      <c r="F1751" s="1" t="s">
        <v>50</v>
      </c>
      <c r="G1751" s="2">
        <v>61.06</v>
      </c>
      <c r="H1751">
        <v>61.06</v>
      </c>
      <c r="I1751">
        <v>61.060495000000003</v>
      </c>
      <c r="J1751">
        <v>90.26</v>
      </c>
      <c r="K1751">
        <v>40</v>
      </c>
      <c r="L1751" s="2">
        <v>36</v>
      </c>
      <c r="M1751">
        <v>166</v>
      </c>
      <c r="N1751" s="2">
        <v>222</v>
      </c>
      <c r="O1751">
        <v>13555.43</v>
      </c>
      <c r="P1751">
        <v>7</v>
      </c>
      <c r="Q1751">
        <v>215</v>
      </c>
      <c r="R1751">
        <v>8.8800000000000008</v>
      </c>
      <c r="S1751">
        <v>5</v>
      </c>
      <c r="T1751">
        <v>109</v>
      </c>
      <c r="U1751" s="2">
        <v>9838.34</v>
      </c>
      <c r="V1751">
        <v>0</v>
      </c>
      <c r="W1751" t="s">
        <v>29</v>
      </c>
      <c r="X1751" t="str">
        <f>IF(Table2[[#This Row],[Qty available]]&gt;Table2[[#This Row],[Qty on hand]],"Check","OK")</f>
        <v>OK</v>
      </c>
    </row>
    <row r="1752" spans="1:24" x14ac:dyDescent="0.3">
      <c r="A1752" t="s">
        <v>205</v>
      </c>
      <c r="B1752" t="s">
        <v>206</v>
      </c>
      <c r="C1752" t="s">
        <v>69</v>
      </c>
      <c r="D1752" t="s">
        <v>70</v>
      </c>
      <c r="E1752" t="s">
        <v>66</v>
      </c>
      <c r="F1752" s="1" t="s">
        <v>51</v>
      </c>
      <c r="G1752" s="2">
        <v>62.95</v>
      </c>
      <c r="H1752">
        <v>62.95</v>
      </c>
      <c r="I1752">
        <v>61.060499999999998</v>
      </c>
      <c r="J1752">
        <v>90.26</v>
      </c>
      <c r="K1752">
        <v>40</v>
      </c>
      <c r="M1752">
        <v>0</v>
      </c>
      <c r="N1752" s="2">
        <v>140</v>
      </c>
      <c r="O1752">
        <v>8548.4699999999993</v>
      </c>
      <c r="P1752">
        <v>25</v>
      </c>
      <c r="Q1752">
        <v>115</v>
      </c>
      <c r="R1752">
        <v>5.97</v>
      </c>
      <c r="S1752">
        <v>2</v>
      </c>
      <c r="T1752">
        <v>82</v>
      </c>
      <c r="U1752" s="2">
        <v>7401.32</v>
      </c>
      <c r="V1752">
        <v>0</v>
      </c>
      <c r="W1752" t="s">
        <v>29</v>
      </c>
      <c r="X1752" t="str">
        <f>IF(Table2[[#This Row],[Qty available]]&gt;Table2[[#This Row],[Qty on hand]],"Check","OK")</f>
        <v>OK</v>
      </c>
    </row>
    <row r="1753" spans="1:24" x14ac:dyDescent="0.3">
      <c r="A1753" t="s">
        <v>205</v>
      </c>
      <c r="B1753" t="s">
        <v>206</v>
      </c>
      <c r="C1753" t="s">
        <v>69</v>
      </c>
      <c r="D1753" t="s">
        <v>70</v>
      </c>
      <c r="E1753" t="s">
        <v>66</v>
      </c>
      <c r="F1753" s="1" t="s">
        <v>52</v>
      </c>
      <c r="G1753" s="2">
        <v>61.11</v>
      </c>
      <c r="H1753">
        <v>61.11</v>
      </c>
      <c r="I1753">
        <v>61.082040999999997</v>
      </c>
      <c r="J1753">
        <v>90.26</v>
      </c>
      <c r="K1753">
        <v>40</v>
      </c>
      <c r="L1753" s="2">
        <v>40</v>
      </c>
      <c r="M1753">
        <v>108</v>
      </c>
      <c r="N1753" s="2">
        <v>196</v>
      </c>
      <c r="O1753">
        <v>11972.08</v>
      </c>
      <c r="P1753">
        <v>22</v>
      </c>
      <c r="Q1753">
        <v>174</v>
      </c>
      <c r="R1753">
        <v>10.6</v>
      </c>
      <c r="S1753">
        <v>1</v>
      </c>
      <c r="T1753">
        <v>52</v>
      </c>
      <c r="U1753" s="2">
        <v>4693.5200000000004</v>
      </c>
      <c r="V1753">
        <v>0</v>
      </c>
      <c r="W1753" t="s">
        <v>29</v>
      </c>
      <c r="X1753" t="str">
        <f>IF(Table2[[#This Row],[Qty available]]&gt;Table2[[#This Row],[Qty on hand]],"Check","OK")</f>
        <v>OK</v>
      </c>
    </row>
    <row r="1754" spans="1:24" x14ac:dyDescent="0.3">
      <c r="A1754" t="s">
        <v>207</v>
      </c>
      <c r="B1754" t="s">
        <v>208</v>
      </c>
      <c r="C1754" t="s">
        <v>25</v>
      </c>
      <c r="D1754" t="s">
        <v>26</v>
      </c>
      <c r="E1754" t="s">
        <v>66</v>
      </c>
      <c r="F1754" s="1" t="s">
        <v>28</v>
      </c>
      <c r="G1754" s="2">
        <v>14.54</v>
      </c>
      <c r="H1754">
        <v>14.54</v>
      </c>
      <c r="I1754">
        <v>14.636631</v>
      </c>
      <c r="J1754">
        <v>20.16</v>
      </c>
      <c r="K1754">
        <v>18</v>
      </c>
      <c r="L1754" s="2">
        <v>15</v>
      </c>
      <c r="M1754">
        <v>155</v>
      </c>
      <c r="N1754" s="2">
        <v>282</v>
      </c>
      <c r="O1754">
        <v>4127.53</v>
      </c>
      <c r="P1754">
        <v>7</v>
      </c>
      <c r="Q1754">
        <v>275</v>
      </c>
      <c r="R1754">
        <v>11.55</v>
      </c>
      <c r="S1754">
        <v>2</v>
      </c>
      <c r="T1754">
        <v>187</v>
      </c>
      <c r="U1754" s="2">
        <v>3769.92</v>
      </c>
      <c r="V1754">
        <v>0</v>
      </c>
      <c r="W1754" t="s">
        <v>29</v>
      </c>
      <c r="X1754" t="str">
        <f>IF(Table2[[#This Row],[Qty available]]&gt;Table2[[#This Row],[Qty on hand]],"Check","OK")</f>
        <v>OK</v>
      </c>
    </row>
    <row r="1755" spans="1:24" x14ac:dyDescent="0.3">
      <c r="A1755" t="s">
        <v>207</v>
      </c>
      <c r="B1755" t="s">
        <v>208</v>
      </c>
      <c r="C1755" t="s">
        <v>25</v>
      </c>
      <c r="D1755" t="s">
        <v>26</v>
      </c>
      <c r="E1755" t="s">
        <v>66</v>
      </c>
      <c r="F1755" s="1" t="s">
        <v>30</v>
      </c>
      <c r="G1755" s="2">
        <v>14.37</v>
      </c>
      <c r="H1755">
        <v>14.37</v>
      </c>
      <c r="I1755">
        <v>14.572120999999999</v>
      </c>
      <c r="J1755">
        <v>20.16</v>
      </c>
      <c r="K1755">
        <v>18</v>
      </c>
      <c r="L1755" s="2">
        <v>16</v>
      </c>
      <c r="M1755">
        <v>90</v>
      </c>
      <c r="N1755" s="2">
        <v>330</v>
      </c>
      <c r="O1755">
        <v>4808.8</v>
      </c>
      <c r="P1755">
        <v>15</v>
      </c>
      <c r="Q1755">
        <v>315</v>
      </c>
      <c r="R1755">
        <v>16</v>
      </c>
      <c r="S1755">
        <v>0</v>
      </c>
      <c r="T1755">
        <v>42</v>
      </c>
      <c r="U1755" s="2">
        <v>846.72</v>
      </c>
      <c r="V1755">
        <v>0</v>
      </c>
      <c r="W1755" t="s">
        <v>29</v>
      </c>
      <c r="X1755" t="str">
        <f>IF(Table2[[#This Row],[Qty available]]&gt;Table2[[#This Row],[Qty on hand]],"Check","OK")</f>
        <v>OK</v>
      </c>
    </row>
    <row r="1756" spans="1:24" x14ac:dyDescent="0.3">
      <c r="A1756" t="s">
        <v>207</v>
      </c>
      <c r="B1756" t="s">
        <v>208</v>
      </c>
      <c r="C1756" t="s">
        <v>25</v>
      </c>
      <c r="D1756" t="s">
        <v>26</v>
      </c>
      <c r="E1756" t="s">
        <v>66</v>
      </c>
      <c r="F1756" s="1" t="s">
        <v>31</v>
      </c>
      <c r="G1756" s="2">
        <v>14.6</v>
      </c>
      <c r="H1756">
        <v>14.6</v>
      </c>
      <c r="I1756">
        <v>14.572122999999999</v>
      </c>
      <c r="J1756">
        <v>20.16</v>
      </c>
      <c r="K1756">
        <v>18</v>
      </c>
      <c r="M1756">
        <v>0</v>
      </c>
      <c r="N1756" s="2">
        <v>179</v>
      </c>
      <c r="O1756">
        <v>2608.41</v>
      </c>
      <c r="P1756">
        <v>7</v>
      </c>
      <c r="Q1756">
        <v>172</v>
      </c>
      <c r="R1756">
        <v>6.12</v>
      </c>
      <c r="S1756">
        <v>1</v>
      </c>
      <c r="T1756">
        <v>151</v>
      </c>
      <c r="U1756" s="2">
        <v>3044.16</v>
      </c>
      <c r="V1756">
        <v>0</v>
      </c>
      <c r="W1756" t="s">
        <v>29</v>
      </c>
      <c r="X1756" t="str">
        <f>IF(Table2[[#This Row],[Qty available]]&gt;Table2[[#This Row],[Qty on hand]],"Check","OK")</f>
        <v>OK</v>
      </c>
    </row>
    <row r="1757" spans="1:24" x14ac:dyDescent="0.3">
      <c r="A1757" t="s">
        <v>207</v>
      </c>
      <c r="B1757" t="s">
        <v>208</v>
      </c>
      <c r="C1757" t="s">
        <v>25</v>
      </c>
      <c r="D1757" t="s">
        <v>26</v>
      </c>
      <c r="E1757" t="s">
        <v>66</v>
      </c>
      <c r="F1757" s="1" t="s">
        <v>32</v>
      </c>
      <c r="G1757" s="2">
        <v>14.42</v>
      </c>
      <c r="H1757">
        <v>14.42</v>
      </c>
      <c r="I1757">
        <v>14.572151</v>
      </c>
      <c r="J1757">
        <v>20.16</v>
      </c>
      <c r="K1757">
        <v>18</v>
      </c>
      <c r="M1757">
        <v>0</v>
      </c>
      <c r="N1757" s="2">
        <v>93</v>
      </c>
      <c r="O1757">
        <v>1355.21</v>
      </c>
      <c r="P1757">
        <v>7</v>
      </c>
      <c r="Q1757">
        <v>86</v>
      </c>
      <c r="R1757">
        <v>4.38</v>
      </c>
      <c r="S1757">
        <v>1</v>
      </c>
      <c r="T1757">
        <v>86</v>
      </c>
      <c r="U1757" s="2">
        <v>1733.76</v>
      </c>
      <c r="V1757">
        <v>0</v>
      </c>
      <c r="W1757" t="s">
        <v>29</v>
      </c>
      <c r="X1757" t="str">
        <f>IF(Table2[[#This Row],[Qty available]]&gt;Table2[[#This Row],[Qty on hand]],"Check","OK")</f>
        <v>OK</v>
      </c>
    </row>
    <row r="1758" spans="1:24" x14ac:dyDescent="0.3">
      <c r="A1758" t="s">
        <v>207</v>
      </c>
      <c r="B1758" t="s">
        <v>208</v>
      </c>
      <c r="C1758" t="s">
        <v>25</v>
      </c>
      <c r="D1758" t="s">
        <v>26</v>
      </c>
      <c r="E1758" t="s">
        <v>66</v>
      </c>
      <c r="F1758" s="1" t="s">
        <v>33</v>
      </c>
      <c r="G1758" s="2">
        <v>14.81</v>
      </c>
      <c r="H1758">
        <v>14.81</v>
      </c>
      <c r="I1758">
        <v>14.740437</v>
      </c>
      <c r="J1758">
        <v>20.16</v>
      </c>
      <c r="K1758">
        <v>18</v>
      </c>
      <c r="L1758" s="2">
        <v>32</v>
      </c>
      <c r="M1758">
        <v>225</v>
      </c>
      <c r="N1758" s="2">
        <v>183</v>
      </c>
      <c r="O1758">
        <v>2697.5</v>
      </c>
      <c r="P1758">
        <v>25</v>
      </c>
      <c r="Q1758">
        <v>158</v>
      </c>
      <c r="R1758">
        <v>6.47</v>
      </c>
      <c r="S1758">
        <v>8</v>
      </c>
      <c r="T1758">
        <v>135</v>
      </c>
      <c r="U1758" s="2">
        <v>2721.6</v>
      </c>
      <c r="V1758">
        <v>0</v>
      </c>
      <c r="W1758" t="s">
        <v>29</v>
      </c>
      <c r="X1758" t="str">
        <f>IF(Table2[[#This Row],[Qty available]]&gt;Table2[[#This Row],[Qty on hand]],"Check","OK")</f>
        <v>OK</v>
      </c>
    </row>
    <row r="1759" spans="1:24" x14ac:dyDescent="0.3">
      <c r="A1759" t="s">
        <v>207</v>
      </c>
      <c r="B1759" t="s">
        <v>208</v>
      </c>
      <c r="C1759" t="s">
        <v>25</v>
      </c>
      <c r="D1759" t="s">
        <v>26</v>
      </c>
      <c r="E1759" t="s">
        <v>66</v>
      </c>
      <c r="F1759" s="1" t="s">
        <v>34</v>
      </c>
      <c r="G1759" s="2">
        <v>14.56</v>
      </c>
      <c r="H1759">
        <v>14.56</v>
      </c>
      <c r="I1759">
        <v>14.650475999999999</v>
      </c>
      <c r="J1759">
        <v>20.75</v>
      </c>
      <c r="K1759">
        <v>18</v>
      </c>
      <c r="L1759" s="2">
        <v>16</v>
      </c>
      <c r="M1759">
        <v>182</v>
      </c>
      <c r="N1759" s="2">
        <v>315</v>
      </c>
      <c r="O1759">
        <v>4614.8999999999996</v>
      </c>
      <c r="P1759">
        <v>22</v>
      </c>
      <c r="Q1759">
        <v>293</v>
      </c>
      <c r="R1759">
        <v>14.94</v>
      </c>
      <c r="S1759">
        <v>2</v>
      </c>
      <c r="T1759">
        <v>50</v>
      </c>
      <c r="U1759" s="2">
        <v>1037.5</v>
      </c>
      <c r="V1759">
        <v>0</v>
      </c>
      <c r="W1759" t="s">
        <v>29</v>
      </c>
      <c r="X1759" t="str">
        <f>IF(Table2[[#This Row],[Qty available]]&gt;Table2[[#This Row],[Qty on hand]],"Check","OK")</f>
        <v>OK</v>
      </c>
    </row>
    <row r="1760" spans="1:24" x14ac:dyDescent="0.3">
      <c r="A1760" t="s">
        <v>207</v>
      </c>
      <c r="B1760" t="s">
        <v>208</v>
      </c>
      <c r="C1760" t="s">
        <v>25</v>
      </c>
      <c r="D1760" t="s">
        <v>26</v>
      </c>
      <c r="E1760" t="s">
        <v>66</v>
      </c>
      <c r="F1760" s="1" t="s">
        <v>35</v>
      </c>
      <c r="G1760" s="2">
        <v>14.76</v>
      </c>
      <c r="H1760">
        <v>14.76</v>
      </c>
      <c r="I1760">
        <v>14.650506999999999</v>
      </c>
      <c r="J1760">
        <v>20.75</v>
      </c>
      <c r="K1760">
        <v>18</v>
      </c>
      <c r="M1760">
        <v>0</v>
      </c>
      <c r="N1760" s="2">
        <v>138</v>
      </c>
      <c r="O1760">
        <v>2021.77</v>
      </c>
      <c r="P1760">
        <v>7</v>
      </c>
      <c r="Q1760">
        <v>131</v>
      </c>
      <c r="R1760">
        <v>4.9000000000000004</v>
      </c>
      <c r="S1760">
        <v>1</v>
      </c>
      <c r="T1760">
        <v>177</v>
      </c>
      <c r="U1760" s="2">
        <v>3672.75</v>
      </c>
      <c r="V1760">
        <v>0</v>
      </c>
      <c r="W1760" t="s">
        <v>29</v>
      </c>
      <c r="X1760" t="str">
        <f>IF(Table2[[#This Row],[Qty available]]&gt;Table2[[#This Row],[Qty on hand]],"Check","OK")</f>
        <v>OK</v>
      </c>
    </row>
    <row r="1761" spans="1:24" x14ac:dyDescent="0.3">
      <c r="A1761" t="s">
        <v>207</v>
      </c>
      <c r="B1761" t="s">
        <v>208</v>
      </c>
      <c r="C1761" t="s">
        <v>25</v>
      </c>
      <c r="D1761" t="s">
        <v>26</v>
      </c>
      <c r="E1761" t="s">
        <v>66</v>
      </c>
      <c r="F1761" s="1" t="s">
        <v>36</v>
      </c>
      <c r="G1761" s="2">
        <v>14.97</v>
      </c>
      <c r="H1761">
        <v>14.97</v>
      </c>
      <c r="I1761">
        <v>14.824956</v>
      </c>
      <c r="J1761">
        <v>20.75</v>
      </c>
      <c r="K1761">
        <v>18</v>
      </c>
      <c r="L1761" s="2">
        <v>17</v>
      </c>
      <c r="M1761">
        <v>166</v>
      </c>
      <c r="N1761" s="2">
        <v>226</v>
      </c>
      <c r="O1761">
        <v>3350.44</v>
      </c>
      <c r="P1761">
        <v>11</v>
      </c>
      <c r="Q1761">
        <v>215</v>
      </c>
      <c r="R1761">
        <v>9.42</v>
      </c>
      <c r="S1761">
        <v>1</v>
      </c>
      <c r="T1761">
        <v>78</v>
      </c>
      <c r="U1761" s="2">
        <v>1618.5</v>
      </c>
      <c r="V1761">
        <v>0</v>
      </c>
      <c r="W1761" t="s">
        <v>29</v>
      </c>
      <c r="X1761" t="str">
        <f>IF(Table2[[#This Row],[Qty available]]&gt;Table2[[#This Row],[Qty on hand]],"Check","OK")</f>
        <v>OK</v>
      </c>
    </row>
    <row r="1762" spans="1:24" x14ac:dyDescent="0.3">
      <c r="A1762" t="s">
        <v>207</v>
      </c>
      <c r="B1762" t="s">
        <v>208</v>
      </c>
      <c r="C1762" t="s">
        <v>25</v>
      </c>
      <c r="D1762" t="s">
        <v>26</v>
      </c>
      <c r="E1762" t="s">
        <v>66</v>
      </c>
      <c r="F1762" s="1" t="s">
        <v>37</v>
      </c>
      <c r="G1762" s="2">
        <v>15.29</v>
      </c>
      <c r="H1762">
        <v>15.29</v>
      </c>
      <c r="I1762">
        <v>14.913311</v>
      </c>
      <c r="J1762">
        <v>20.75</v>
      </c>
      <c r="K1762">
        <v>18</v>
      </c>
      <c r="L1762" s="2">
        <v>30</v>
      </c>
      <c r="M1762">
        <v>53</v>
      </c>
      <c r="N1762" s="2">
        <v>148</v>
      </c>
      <c r="O1762">
        <v>2207.17</v>
      </c>
      <c r="P1762">
        <v>25</v>
      </c>
      <c r="Q1762">
        <v>123</v>
      </c>
      <c r="R1762">
        <v>5.04</v>
      </c>
      <c r="S1762">
        <v>4</v>
      </c>
      <c r="T1762">
        <v>131</v>
      </c>
      <c r="U1762" s="2">
        <v>2718.25</v>
      </c>
      <c r="V1762">
        <v>0</v>
      </c>
      <c r="W1762" t="s">
        <v>29</v>
      </c>
      <c r="X1762" t="str">
        <f>IF(Table2[[#This Row],[Qty available]]&gt;Table2[[#This Row],[Qty on hand]],"Check","OK")</f>
        <v>OK</v>
      </c>
    </row>
    <row r="1763" spans="1:24" x14ac:dyDescent="0.3">
      <c r="A1763" t="s">
        <v>207</v>
      </c>
      <c r="B1763" t="s">
        <v>208</v>
      </c>
      <c r="C1763" t="s">
        <v>25</v>
      </c>
      <c r="D1763" t="s">
        <v>26</v>
      </c>
      <c r="E1763" t="s">
        <v>66</v>
      </c>
      <c r="F1763" s="1" t="s">
        <v>38</v>
      </c>
      <c r="G1763" s="2">
        <v>14.9</v>
      </c>
      <c r="H1763">
        <v>14.9</v>
      </c>
      <c r="I1763">
        <v>14.905637</v>
      </c>
      <c r="J1763">
        <v>20.75</v>
      </c>
      <c r="K1763">
        <v>18</v>
      </c>
      <c r="L1763" s="2">
        <v>17</v>
      </c>
      <c r="M1763">
        <v>202</v>
      </c>
      <c r="N1763" s="2">
        <v>204</v>
      </c>
      <c r="O1763">
        <v>3040.75</v>
      </c>
      <c r="P1763">
        <v>33</v>
      </c>
      <c r="Q1763">
        <v>171</v>
      </c>
      <c r="R1763">
        <v>7.47</v>
      </c>
      <c r="S1763">
        <v>5</v>
      </c>
      <c r="T1763">
        <v>146</v>
      </c>
      <c r="U1763" s="2">
        <v>3029.5</v>
      </c>
      <c r="V1763">
        <v>0</v>
      </c>
      <c r="W1763" t="s">
        <v>29</v>
      </c>
      <c r="X1763" t="str">
        <f>IF(Table2[[#This Row],[Qty available]]&gt;Table2[[#This Row],[Qty on hand]],"Check","OK")</f>
        <v>OK</v>
      </c>
    </row>
    <row r="1764" spans="1:24" x14ac:dyDescent="0.3">
      <c r="A1764" t="s">
        <v>207</v>
      </c>
      <c r="B1764" t="s">
        <v>208</v>
      </c>
      <c r="C1764" t="s">
        <v>25</v>
      </c>
      <c r="D1764" t="s">
        <v>26</v>
      </c>
      <c r="E1764" t="s">
        <v>66</v>
      </c>
      <c r="F1764" s="1" t="s">
        <v>39</v>
      </c>
      <c r="G1764" s="2">
        <v>14.99</v>
      </c>
      <c r="H1764">
        <v>14.99</v>
      </c>
      <c r="I1764">
        <v>14.953856</v>
      </c>
      <c r="J1764">
        <v>20.75</v>
      </c>
      <c r="K1764">
        <v>18</v>
      </c>
      <c r="L1764" s="2">
        <v>16</v>
      </c>
      <c r="M1764">
        <v>272</v>
      </c>
      <c r="N1764" s="2">
        <v>402</v>
      </c>
      <c r="O1764">
        <v>6011.45</v>
      </c>
      <c r="P1764">
        <v>25</v>
      </c>
      <c r="Q1764">
        <v>377</v>
      </c>
      <c r="R1764">
        <v>15.05</v>
      </c>
      <c r="S1764">
        <v>3</v>
      </c>
      <c r="T1764">
        <v>74</v>
      </c>
      <c r="U1764" s="2">
        <v>1535.5</v>
      </c>
      <c r="V1764">
        <v>0</v>
      </c>
      <c r="W1764" t="s">
        <v>29</v>
      </c>
      <c r="X1764" t="str">
        <f>IF(Table2[[#This Row],[Qty available]]&gt;Table2[[#This Row],[Qty on hand]],"Check","OK")</f>
        <v>OK</v>
      </c>
    </row>
    <row r="1765" spans="1:24" x14ac:dyDescent="0.3">
      <c r="A1765" t="s">
        <v>207</v>
      </c>
      <c r="B1765" t="s">
        <v>208</v>
      </c>
      <c r="C1765" t="s">
        <v>25</v>
      </c>
      <c r="D1765" t="s">
        <v>26</v>
      </c>
      <c r="E1765" t="s">
        <v>66</v>
      </c>
      <c r="F1765" s="1" t="s">
        <v>40</v>
      </c>
      <c r="G1765" s="2">
        <v>15.18</v>
      </c>
      <c r="H1765">
        <v>15.18</v>
      </c>
      <c r="I1765">
        <v>14.963020999999999</v>
      </c>
      <c r="J1765">
        <v>20.75</v>
      </c>
      <c r="K1765">
        <v>18</v>
      </c>
      <c r="L1765" s="2">
        <v>16</v>
      </c>
      <c r="M1765">
        <v>17</v>
      </c>
      <c r="N1765" s="2">
        <v>331</v>
      </c>
      <c r="O1765">
        <v>4952.76</v>
      </c>
      <c r="P1765">
        <v>11</v>
      </c>
      <c r="Q1765">
        <v>320</v>
      </c>
      <c r="R1765">
        <v>14.12</v>
      </c>
      <c r="S1765">
        <v>0</v>
      </c>
      <c r="T1765">
        <v>88</v>
      </c>
      <c r="U1765" s="2">
        <v>1826</v>
      </c>
      <c r="V1765">
        <v>0</v>
      </c>
      <c r="W1765" t="s">
        <v>29</v>
      </c>
      <c r="X1765" t="str">
        <f>IF(Table2[[#This Row],[Qty available]]&gt;Table2[[#This Row],[Qty on hand]],"Check","OK")</f>
        <v>OK</v>
      </c>
    </row>
    <row r="1766" spans="1:24" x14ac:dyDescent="0.3">
      <c r="A1766" t="s">
        <v>207</v>
      </c>
      <c r="B1766" t="s">
        <v>208</v>
      </c>
      <c r="C1766" t="s">
        <v>25</v>
      </c>
      <c r="D1766" t="s">
        <v>26</v>
      </c>
      <c r="E1766" t="s">
        <v>66</v>
      </c>
      <c r="F1766" s="1" t="s">
        <v>41</v>
      </c>
      <c r="G1766" s="2">
        <v>15.17</v>
      </c>
      <c r="H1766">
        <v>15.17</v>
      </c>
      <c r="I1766">
        <v>15.018753</v>
      </c>
      <c r="J1766">
        <v>20.75</v>
      </c>
      <c r="K1766">
        <v>18</v>
      </c>
      <c r="L1766" s="2">
        <v>16</v>
      </c>
      <c r="M1766">
        <v>122</v>
      </c>
      <c r="N1766" s="2">
        <v>369</v>
      </c>
      <c r="O1766">
        <v>5541.92</v>
      </c>
      <c r="P1766">
        <v>36</v>
      </c>
      <c r="Q1766">
        <v>333</v>
      </c>
      <c r="R1766">
        <v>19.71</v>
      </c>
      <c r="S1766">
        <v>3</v>
      </c>
      <c r="T1766">
        <v>84</v>
      </c>
      <c r="U1766" s="2">
        <v>1743</v>
      </c>
      <c r="V1766">
        <v>0</v>
      </c>
      <c r="W1766" t="s">
        <v>29</v>
      </c>
      <c r="X1766" t="str">
        <f>IF(Table2[[#This Row],[Qty available]]&gt;Table2[[#This Row],[Qty on hand]],"Check","OK")</f>
        <v>OK</v>
      </c>
    </row>
    <row r="1767" spans="1:24" x14ac:dyDescent="0.3">
      <c r="A1767" t="s">
        <v>207</v>
      </c>
      <c r="B1767" t="s">
        <v>208</v>
      </c>
      <c r="C1767" t="s">
        <v>25</v>
      </c>
      <c r="D1767" t="s">
        <v>26</v>
      </c>
      <c r="E1767" t="s">
        <v>66</v>
      </c>
      <c r="F1767" s="1" t="s">
        <v>42</v>
      </c>
      <c r="G1767" s="2">
        <v>15.25</v>
      </c>
      <c r="H1767">
        <v>15.25</v>
      </c>
      <c r="I1767">
        <v>15.018769000000001</v>
      </c>
      <c r="J1767">
        <v>20.75</v>
      </c>
      <c r="K1767">
        <v>18</v>
      </c>
      <c r="M1767">
        <v>0</v>
      </c>
      <c r="N1767" s="2">
        <v>260</v>
      </c>
      <c r="O1767">
        <v>3904.88</v>
      </c>
      <c r="P1767">
        <v>11</v>
      </c>
      <c r="Q1767">
        <v>249</v>
      </c>
      <c r="R1767">
        <v>12.16</v>
      </c>
      <c r="S1767">
        <v>1</v>
      </c>
      <c r="T1767">
        <v>109</v>
      </c>
      <c r="U1767" s="2">
        <v>2261.75</v>
      </c>
      <c r="V1767">
        <v>0</v>
      </c>
      <c r="W1767" t="s">
        <v>29</v>
      </c>
      <c r="X1767" t="str">
        <f>IF(Table2[[#This Row],[Qty available]]&gt;Table2[[#This Row],[Qty on hand]],"Check","OK")</f>
        <v>OK</v>
      </c>
    </row>
    <row r="1768" spans="1:24" x14ac:dyDescent="0.3">
      <c r="A1768" t="s">
        <v>207</v>
      </c>
      <c r="B1768" t="s">
        <v>208</v>
      </c>
      <c r="C1768" t="s">
        <v>25</v>
      </c>
      <c r="D1768" t="s">
        <v>26</v>
      </c>
      <c r="E1768" t="s">
        <v>66</v>
      </c>
      <c r="F1768" s="1" t="s">
        <v>43</v>
      </c>
      <c r="G1768" s="2">
        <v>14.83</v>
      </c>
      <c r="H1768">
        <v>14.83</v>
      </c>
      <c r="I1768">
        <v>14.993579</v>
      </c>
      <c r="J1768">
        <v>20.75</v>
      </c>
      <c r="K1768">
        <v>18</v>
      </c>
      <c r="L1768" s="2">
        <v>18</v>
      </c>
      <c r="M1768">
        <v>40</v>
      </c>
      <c r="N1768" s="2">
        <v>190</v>
      </c>
      <c r="O1768">
        <v>2848.78</v>
      </c>
      <c r="P1768">
        <v>15</v>
      </c>
      <c r="Q1768">
        <v>175</v>
      </c>
      <c r="R1768">
        <v>8.15</v>
      </c>
      <c r="S1768">
        <v>3</v>
      </c>
      <c r="T1768">
        <v>110</v>
      </c>
      <c r="U1768" s="2">
        <v>2282.5</v>
      </c>
      <c r="V1768">
        <v>0</v>
      </c>
      <c r="W1768" t="s">
        <v>29</v>
      </c>
      <c r="X1768" t="str">
        <f>IF(Table2[[#This Row],[Qty available]]&gt;Table2[[#This Row],[Qty on hand]],"Check","OK")</f>
        <v>OK</v>
      </c>
    </row>
    <row r="1769" spans="1:24" x14ac:dyDescent="0.3">
      <c r="A1769" t="s">
        <v>207</v>
      </c>
      <c r="B1769" t="s">
        <v>208</v>
      </c>
      <c r="C1769" t="s">
        <v>25</v>
      </c>
      <c r="D1769" t="s">
        <v>26</v>
      </c>
      <c r="E1769" t="s">
        <v>66</v>
      </c>
      <c r="F1769" s="1" t="s">
        <v>44</v>
      </c>
      <c r="G1769" s="2">
        <v>15.27</v>
      </c>
      <c r="H1769">
        <v>15.27</v>
      </c>
      <c r="I1769">
        <v>15.122038</v>
      </c>
      <c r="J1769">
        <v>20.75</v>
      </c>
      <c r="K1769">
        <v>18</v>
      </c>
      <c r="L1769" s="2">
        <v>26</v>
      </c>
      <c r="M1769">
        <v>165</v>
      </c>
      <c r="N1769" s="2">
        <v>265</v>
      </c>
      <c r="O1769">
        <v>4007.34</v>
      </c>
      <c r="P1769">
        <v>36</v>
      </c>
      <c r="Q1769">
        <v>229</v>
      </c>
      <c r="R1769">
        <v>11.27</v>
      </c>
      <c r="S1769">
        <v>9</v>
      </c>
      <c r="T1769">
        <v>90</v>
      </c>
      <c r="U1769" s="2">
        <v>1867.5</v>
      </c>
      <c r="V1769">
        <v>0</v>
      </c>
      <c r="W1769" t="s">
        <v>29</v>
      </c>
      <c r="X1769" t="str">
        <f>IF(Table2[[#This Row],[Qty available]]&gt;Table2[[#This Row],[Qty on hand]],"Check","OK")</f>
        <v>OK</v>
      </c>
    </row>
    <row r="1770" spans="1:24" x14ac:dyDescent="0.3">
      <c r="A1770" t="s">
        <v>207</v>
      </c>
      <c r="B1770" t="s">
        <v>208</v>
      </c>
      <c r="C1770" t="s">
        <v>25</v>
      </c>
      <c r="D1770" t="s">
        <v>26</v>
      </c>
      <c r="E1770" t="s">
        <v>66</v>
      </c>
      <c r="F1770" s="1" t="s">
        <v>45</v>
      </c>
      <c r="G1770" s="2">
        <v>14.9</v>
      </c>
      <c r="H1770">
        <v>14.9</v>
      </c>
      <c r="I1770">
        <v>15.052833</v>
      </c>
      <c r="J1770">
        <v>20.75</v>
      </c>
      <c r="K1770">
        <v>18</v>
      </c>
      <c r="L1770" s="2">
        <v>28</v>
      </c>
      <c r="M1770">
        <v>120</v>
      </c>
      <c r="N1770" s="2">
        <v>240</v>
      </c>
      <c r="O1770">
        <v>3612.68</v>
      </c>
      <c r="P1770">
        <v>36</v>
      </c>
      <c r="Q1770">
        <v>204</v>
      </c>
      <c r="R1770">
        <v>9.14</v>
      </c>
      <c r="S1770">
        <v>1</v>
      </c>
      <c r="T1770">
        <v>145</v>
      </c>
      <c r="U1770" s="2">
        <v>3008.75</v>
      </c>
      <c r="V1770">
        <v>0</v>
      </c>
      <c r="W1770" t="s">
        <v>29</v>
      </c>
      <c r="X1770" t="str">
        <f>IF(Table2[[#This Row],[Qty available]]&gt;Table2[[#This Row],[Qty on hand]],"Check","OK")</f>
        <v>OK</v>
      </c>
    </row>
    <row r="1771" spans="1:24" x14ac:dyDescent="0.3">
      <c r="A1771" t="s">
        <v>207</v>
      </c>
      <c r="B1771" t="s">
        <v>208</v>
      </c>
      <c r="C1771" t="s">
        <v>25</v>
      </c>
      <c r="D1771" t="s">
        <v>26</v>
      </c>
      <c r="E1771" t="s">
        <v>66</v>
      </c>
      <c r="F1771" s="1" t="s">
        <v>46</v>
      </c>
      <c r="G1771" s="2">
        <v>15.02</v>
      </c>
      <c r="H1771">
        <v>15.02</v>
      </c>
      <c r="I1771">
        <v>15.041195999999999</v>
      </c>
      <c r="J1771">
        <v>21.35</v>
      </c>
      <c r="K1771">
        <v>18</v>
      </c>
      <c r="L1771" s="2">
        <v>16</v>
      </c>
      <c r="M1771">
        <v>132</v>
      </c>
      <c r="N1771" s="2">
        <v>276</v>
      </c>
      <c r="O1771">
        <v>4151.37</v>
      </c>
      <c r="P1771">
        <v>18</v>
      </c>
      <c r="Q1771">
        <v>258</v>
      </c>
      <c r="R1771">
        <v>10.72</v>
      </c>
      <c r="S1771">
        <v>1</v>
      </c>
      <c r="T1771">
        <v>96</v>
      </c>
      <c r="U1771" s="2">
        <v>2049.6</v>
      </c>
      <c r="V1771">
        <v>0</v>
      </c>
      <c r="W1771" t="s">
        <v>29</v>
      </c>
      <c r="X1771" t="str">
        <f>IF(Table2[[#This Row],[Qty available]]&gt;Table2[[#This Row],[Qty on hand]],"Check","OK")</f>
        <v>OK</v>
      </c>
    </row>
    <row r="1772" spans="1:24" x14ac:dyDescent="0.3">
      <c r="A1772" t="s">
        <v>207</v>
      </c>
      <c r="B1772" t="s">
        <v>208</v>
      </c>
      <c r="C1772" t="s">
        <v>25</v>
      </c>
      <c r="D1772" t="s">
        <v>26</v>
      </c>
      <c r="E1772" t="s">
        <v>66</v>
      </c>
      <c r="F1772" s="1" t="s">
        <v>47</v>
      </c>
      <c r="G1772" s="2">
        <v>14.86</v>
      </c>
      <c r="H1772">
        <v>14.86</v>
      </c>
      <c r="I1772">
        <v>15.014829000000001</v>
      </c>
      <c r="J1772">
        <v>21.35</v>
      </c>
      <c r="K1772">
        <v>18</v>
      </c>
      <c r="L1772" s="2">
        <v>31</v>
      </c>
      <c r="M1772">
        <v>47</v>
      </c>
      <c r="N1772" s="2">
        <v>205</v>
      </c>
      <c r="O1772">
        <v>3078.04</v>
      </c>
      <c r="P1772">
        <v>33</v>
      </c>
      <c r="Q1772">
        <v>172</v>
      </c>
      <c r="R1772">
        <v>7.34</v>
      </c>
      <c r="S1772">
        <v>4</v>
      </c>
      <c r="T1772">
        <v>118</v>
      </c>
      <c r="U1772" s="2">
        <v>2519.3000000000002</v>
      </c>
      <c r="V1772">
        <v>0</v>
      </c>
      <c r="W1772" t="s">
        <v>29</v>
      </c>
      <c r="X1772" t="str">
        <f>IF(Table2[[#This Row],[Qty available]]&gt;Table2[[#This Row],[Qty on hand]],"Check","OK")</f>
        <v>OK</v>
      </c>
    </row>
    <row r="1773" spans="1:24" x14ac:dyDescent="0.3">
      <c r="A1773" t="s">
        <v>207</v>
      </c>
      <c r="B1773" t="s">
        <v>208</v>
      </c>
      <c r="C1773" t="s">
        <v>25</v>
      </c>
      <c r="D1773" t="s">
        <v>26</v>
      </c>
      <c r="E1773" t="s">
        <v>66</v>
      </c>
      <c r="F1773" s="1" t="s">
        <v>48</v>
      </c>
      <c r="G1773" s="2">
        <v>15.78</v>
      </c>
      <c r="H1773">
        <v>15.78</v>
      </c>
      <c r="I1773">
        <v>15.139766</v>
      </c>
      <c r="J1773">
        <v>21.35</v>
      </c>
      <c r="K1773">
        <v>18</v>
      </c>
      <c r="L1773" s="2">
        <v>22</v>
      </c>
      <c r="M1773">
        <v>40</v>
      </c>
      <c r="N1773" s="2">
        <v>128</v>
      </c>
      <c r="O1773">
        <v>1937.89</v>
      </c>
      <c r="P1773">
        <v>7</v>
      </c>
      <c r="Q1773">
        <v>121</v>
      </c>
      <c r="R1773">
        <v>4.92</v>
      </c>
      <c r="S1773">
        <v>5</v>
      </c>
      <c r="T1773">
        <v>117</v>
      </c>
      <c r="U1773" s="2">
        <v>2497.9499999999998</v>
      </c>
      <c r="V1773">
        <v>0</v>
      </c>
      <c r="W1773" t="s">
        <v>29</v>
      </c>
      <c r="X1773" t="str">
        <f>IF(Table2[[#This Row],[Qty available]]&gt;Table2[[#This Row],[Qty on hand]],"Check","OK")</f>
        <v>OK</v>
      </c>
    </row>
    <row r="1774" spans="1:24" x14ac:dyDescent="0.3">
      <c r="A1774" t="s">
        <v>207</v>
      </c>
      <c r="B1774" t="s">
        <v>208</v>
      </c>
      <c r="C1774" t="s">
        <v>25</v>
      </c>
      <c r="D1774" t="s">
        <v>26</v>
      </c>
      <c r="E1774" t="s">
        <v>66</v>
      </c>
      <c r="F1774" s="1" t="s">
        <v>49</v>
      </c>
      <c r="G1774" s="2">
        <v>15.47</v>
      </c>
      <c r="H1774">
        <v>15.47</v>
      </c>
      <c r="I1774">
        <v>15.335817</v>
      </c>
      <c r="J1774">
        <v>21.35</v>
      </c>
      <c r="K1774">
        <v>18</v>
      </c>
      <c r="L1774" s="2">
        <v>17</v>
      </c>
      <c r="M1774">
        <v>187</v>
      </c>
      <c r="N1774" s="2">
        <v>251</v>
      </c>
      <c r="O1774">
        <v>3849.29</v>
      </c>
      <c r="P1774">
        <v>11</v>
      </c>
      <c r="Q1774">
        <v>240</v>
      </c>
      <c r="R1774">
        <v>11.03</v>
      </c>
      <c r="S1774">
        <v>1</v>
      </c>
      <c r="T1774">
        <v>64</v>
      </c>
      <c r="U1774" s="2">
        <v>1366.4</v>
      </c>
      <c r="V1774">
        <v>0</v>
      </c>
      <c r="W1774" t="s">
        <v>29</v>
      </c>
      <c r="X1774" t="str">
        <f>IF(Table2[[#This Row],[Qty available]]&gt;Table2[[#This Row],[Qty on hand]],"Check","OK")</f>
        <v>OK</v>
      </c>
    </row>
    <row r="1775" spans="1:24" x14ac:dyDescent="0.3">
      <c r="A1775" t="s">
        <v>207</v>
      </c>
      <c r="B1775" t="s">
        <v>208</v>
      </c>
      <c r="C1775" t="s">
        <v>25</v>
      </c>
      <c r="D1775" t="s">
        <v>26</v>
      </c>
      <c r="E1775" t="s">
        <v>66</v>
      </c>
      <c r="F1775" s="1" t="s">
        <v>50</v>
      </c>
      <c r="G1775" s="2">
        <v>15.49</v>
      </c>
      <c r="H1775">
        <v>15.49</v>
      </c>
      <c r="I1775">
        <v>15.391268999999999</v>
      </c>
      <c r="J1775">
        <v>21.35</v>
      </c>
      <c r="K1775">
        <v>18</v>
      </c>
      <c r="L1775" s="2">
        <v>16</v>
      </c>
      <c r="M1775">
        <v>141</v>
      </c>
      <c r="N1775" s="2">
        <v>260</v>
      </c>
      <c r="O1775">
        <v>4001.73</v>
      </c>
      <c r="P1775">
        <v>29</v>
      </c>
      <c r="Q1775">
        <v>231</v>
      </c>
      <c r="R1775">
        <v>10.8</v>
      </c>
      <c r="S1775">
        <v>1</v>
      </c>
      <c r="T1775">
        <v>132</v>
      </c>
      <c r="U1775" s="2">
        <v>2818.2</v>
      </c>
      <c r="V1775">
        <v>0</v>
      </c>
      <c r="W1775" t="s">
        <v>29</v>
      </c>
      <c r="X1775" t="str">
        <f>IF(Table2[[#This Row],[Qty available]]&gt;Table2[[#This Row],[Qty on hand]],"Check","OK")</f>
        <v>OK</v>
      </c>
    </row>
    <row r="1776" spans="1:24" x14ac:dyDescent="0.3">
      <c r="A1776" t="s">
        <v>207</v>
      </c>
      <c r="B1776" t="s">
        <v>208</v>
      </c>
      <c r="C1776" t="s">
        <v>25</v>
      </c>
      <c r="D1776" t="s">
        <v>26</v>
      </c>
      <c r="E1776" t="s">
        <v>66</v>
      </c>
      <c r="F1776" s="1" t="s">
        <v>51</v>
      </c>
      <c r="G1776" s="2">
        <v>15.43</v>
      </c>
      <c r="H1776">
        <v>15.43</v>
      </c>
      <c r="I1776">
        <v>15.399673999999999</v>
      </c>
      <c r="J1776">
        <v>21.35</v>
      </c>
      <c r="K1776">
        <v>18</v>
      </c>
      <c r="L1776" s="2">
        <v>17</v>
      </c>
      <c r="M1776">
        <v>72</v>
      </c>
      <c r="N1776" s="2">
        <v>184</v>
      </c>
      <c r="O1776">
        <v>2833.54</v>
      </c>
      <c r="P1776">
        <v>29</v>
      </c>
      <c r="Q1776">
        <v>155</v>
      </c>
      <c r="R1776">
        <v>7.03</v>
      </c>
      <c r="S1776">
        <v>1</v>
      </c>
      <c r="T1776">
        <v>148</v>
      </c>
      <c r="U1776" s="2">
        <v>3159.8</v>
      </c>
      <c r="V1776">
        <v>0</v>
      </c>
      <c r="W1776" t="s">
        <v>29</v>
      </c>
      <c r="X1776" t="str">
        <f>IF(Table2[[#This Row],[Qty available]]&gt;Table2[[#This Row],[Qty on hand]],"Check","OK")</f>
        <v>OK</v>
      </c>
    </row>
    <row r="1777" spans="1:24" x14ac:dyDescent="0.3">
      <c r="A1777" t="s">
        <v>207</v>
      </c>
      <c r="B1777" t="s">
        <v>208</v>
      </c>
      <c r="C1777" t="s">
        <v>25</v>
      </c>
      <c r="D1777" t="s">
        <v>26</v>
      </c>
      <c r="E1777" t="s">
        <v>66</v>
      </c>
      <c r="F1777" s="1" t="s">
        <v>52</v>
      </c>
      <c r="G1777" s="2">
        <v>15.38</v>
      </c>
      <c r="H1777">
        <v>15.38</v>
      </c>
      <c r="I1777">
        <v>15.388375999999999</v>
      </c>
      <c r="J1777">
        <v>21.35</v>
      </c>
      <c r="K1777">
        <v>18</v>
      </c>
      <c r="L1777" s="2">
        <v>17</v>
      </c>
      <c r="M1777">
        <v>249</v>
      </c>
      <c r="N1777" s="2">
        <v>314</v>
      </c>
      <c r="O1777">
        <v>4831.95</v>
      </c>
      <c r="P1777">
        <v>33</v>
      </c>
      <c r="Q1777">
        <v>281</v>
      </c>
      <c r="R1777">
        <v>10.34</v>
      </c>
      <c r="S1777">
        <v>0</v>
      </c>
      <c r="T1777">
        <v>119</v>
      </c>
      <c r="U1777" s="2">
        <v>2540.65</v>
      </c>
      <c r="V1777">
        <v>0</v>
      </c>
      <c r="W1777" t="s">
        <v>29</v>
      </c>
      <c r="X1777" t="str">
        <f>IF(Table2[[#This Row],[Qty available]]&gt;Table2[[#This Row],[Qty on hand]],"Check","OK")</f>
        <v>OK</v>
      </c>
    </row>
    <row r="1778" spans="1:24" x14ac:dyDescent="0.3">
      <c r="A1778" t="s">
        <v>209</v>
      </c>
      <c r="B1778" t="s">
        <v>210</v>
      </c>
      <c r="C1778" t="s">
        <v>25</v>
      </c>
      <c r="D1778" t="s">
        <v>26</v>
      </c>
      <c r="E1778" t="s">
        <v>27</v>
      </c>
      <c r="F1778" s="1" t="s">
        <v>28</v>
      </c>
      <c r="G1778" s="2">
        <v>229.94</v>
      </c>
      <c r="H1778">
        <v>229.94</v>
      </c>
      <c r="I1778">
        <v>233.419524</v>
      </c>
      <c r="J1778">
        <v>312.7</v>
      </c>
      <c r="K1778">
        <v>20</v>
      </c>
      <c r="L1778" s="2">
        <v>19</v>
      </c>
      <c r="M1778">
        <v>22</v>
      </c>
      <c r="N1778" s="2">
        <v>21</v>
      </c>
      <c r="O1778">
        <v>4901.8100000000004</v>
      </c>
      <c r="P1778">
        <v>4</v>
      </c>
      <c r="Q1778">
        <v>17</v>
      </c>
      <c r="R1778">
        <v>5.52</v>
      </c>
      <c r="S1778">
        <v>4</v>
      </c>
      <c r="T1778">
        <v>23</v>
      </c>
      <c r="U1778" s="2">
        <v>7192.1</v>
      </c>
      <c r="V1778">
        <v>0</v>
      </c>
      <c r="W1778" t="s">
        <v>29</v>
      </c>
      <c r="X1778" t="str">
        <f>IF(Table2[[#This Row],[Qty available]]&gt;Table2[[#This Row],[Qty on hand]],"Check","OK")</f>
        <v>OK</v>
      </c>
    </row>
    <row r="1779" spans="1:24" x14ac:dyDescent="0.3">
      <c r="A1779" t="s">
        <v>209</v>
      </c>
      <c r="B1779" t="s">
        <v>210</v>
      </c>
      <c r="C1779" t="s">
        <v>25</v>
      </c>
      <c r="D1779" t="s">
        <v>26</v>
      </c>
      <c r="E1779" t="s">
        <v>27</v>
      </c>
      <c r="F1779" s="1" t="s">
        <v>30</v>
      </c>
      <c r="G1779" s="2">
        <v>229.15</v>
      </c>
      <c r="H1779">
        <v>229.15</v>
      </c>
      <c r="I1779">
        <v>230.28491199999999</v>
      </c>
      <c r="J1779">
        <v>312.7</v>
      </c>
      <c r="K1779">
        <v>20</v>
      </c>
      <c r="L1779" s="2">
        <v>19</v>
      </c>
      <c r="M1779">
        <v>58</v>
      </c>
      <c r="N1779" s="2">
        <v>57</v>
      </c>
      <c r="O1779">
        <v>13126.24</v>
      </c>
      <c r="P1779">
        <v>6</v>
      </c>
      <c r="Q1779">
        <v>51</v>
      </c>
      <c r="R1779">
        <v>11.35</v>
      </c>
      <c r="S1779">
        <v>7</v>
      </c>
      <c r="T1779">
        <v>22</v>
      </c>
      <c r="U1779" s="2">
        <v>6879.4</v>
      </c>
      <c r="V1779">
        <v>0</v>
      </c>
      <c r="W1779" t="s">
        <v>29</v>
      </c>
      <c r="X1779" t="str">
        <f>IF(Table2[[#This Row],[Qty available]]&gt;Table2[[#This Row],[Qty on hand]],"Check","OK")</f>
        <v>OK</v>
      </c>
    </row>
    <row r="1780" spans="1:24" x14ac:dyDescent="0.3">
      <c r="A1780" t="s">
        <v>209</v>
      </c>
      <c r="B1780" t="s">
        <v>210</v>
      </c>
      <c r="C1780" t="s">
        <v>25</v>
      </c>
      <c r="D1780" t="s">
        <v>26</v>
      </c>
      <c r="E1780" t="s">
        <v>27</v>
      </c>
      <c r="F1780" s="1" t="s">
        <v>31</v>
      </c>
      <c r="G1780" s="2">
        <v>235.14</v>
      </c>
      <c r="H1780">
        <v>235.14</v>
      </c>
      <c r="I1780">
        <v>230.284828</v>
      </c>
      <c r="J1780">
        <v>312.7</v>
      </c>
      <c r="K1780">
        <v>20</v>
      </c>
      <c r="M1780">
        <v>0</v>
      </c>
      <c r="N1780" s="2">
        <v>29</v>
      </c>
      <c r="O1780">
        <v>6678.26</v>
      </c>
      <c r="P1780">
        <v>6</v>
      </c>
      <c r="Q1780">
        <v>23</v>
      </c>
      <c r="R1780">
        <v>5.16</v>
      </c>
      <c r="S1780">
        <v>7</v>
      </c>
      <c r="T1780">
        <v>28</v>
      </c>
      <c r="U1780" s="2">
        <v>8755.6</v>
      </c>
      <c r="V1780">
        <v>0</v>
      </c>
      <c r="W1780" t="s">
        <v>29</v>
      </c>
      <c r="X1780" t="str">
        <f>IF(Table2[[#This Row],[Qty available]]&gt;Table2[[#This Row],[Qty on hand]],"Check","OK")</f>
        <v>OK</v>
      </c>
    </row>
    <row r="1781" spans="1:24" x14ac:dyDescent="0.3">
      <c r="A1781" t="s">
        <v>209</v>
      </c>
      <c r="B1781" t="s">
        <v>210</v>
      </c>
      <c r="C1781" t="s">
        <v>25</v>
      </c>
      <c r="D1781" t="s">
        <v>26</v>
      </c>
      <c r="E1781" t="s">
        <v>27</v>
      </c>
      <c r="F1781" s="1" t="s">
        <v>32</v>
      </c>
      <c r="G1781" s="2">
        <v>237.22</v>
      </c>
      <c r="H1781">
        <v>237.22</v>
      </c>
      <c r="I1781">
        <v>234.12589299999999</v>
      </c>
      <c r="J1781">
        <v>312.7</v>
      </c>
      <c r="K1781">
        <v>20</v>
      </c>
      <c r="L1781" s="2">
        <v>17</v>
      </c>
      <c r="M1781">
        <v>36</v>
      </c>
      <c r="N1781" s="2">
        <v>56</v>
      </c>
      <c r="O1781">
        <v>13111.05</v>
      </c>
      <c r="P1781">
        <v>2</v>
      </c>
      <c r="Q1781">
        <v>54</v>
      </c>
      <c r="R1781">
        <v>12.47</v>
      </c>
      <c r="S1781">
        <v>9</v>
      </c>
      <c r="T1781">
        <v>9</v>
      </c>
      <c r="U1781" s="2">
        <v>2814.3</v>
      </c>
      <c r="V1781">
        <v>0</v>
      </c>
      <c r="W1781" t="s">
        <v>29</v>
      </c>
      <c r="X1781" t="str">
        <f>IF(Table2[[#This Row],[Qty available]]&gt;Table2[[#This Row],[Qty on hand]],"Check","OK")</f>
        <v>OK</v>
      </c>
    </row>
    <row r="1782" spans="1:24" x14ac:dyDescent="0.3">
      <c r="A1782" t="s">
        <v>209</v>
      </c>
      <c r="B1782" t="s">
        <v>210</v>
      </c>
      <c r="C1782" t="s">
        <v>25</v>
      </c>
      <c r="D1782" t="s">
        <v>26</v>
      </c>
      <c r="E1782" t="s">
        <v>27</v>
      </c>
      <c r="F1782" s="1" t="s">
        <v>33</v>
      </c>
      <c r="G1782" s="2">
        <v>235.65</v>
      </c>
      <c r="H1782">
        <v>235.65</v>
      </c>
      <c r="I1782">
        <v>234.12586999999999</v>
      </c>
      <c r="J1782">
        <v>312.7</v>
      </c>
      <c r="K1782">
        <v>20</v>
      </c>
      <c r="M1782">
        <v>0</v>
      </c>
      <c r="N1782" s="2">
        <v>46</v>
      </c>
      <c r="O1782">
        <v>10769.79</v>
      </c>
      <c r="P1782">
        <v>4</v>
      </c>
      <c r="Q1782">
        <v>42</v>
      </c>
      <c r="R1782">
        <v>12.86</v>
      </c>
      <c r="S1782">
        <v>2</v>
      </c>
      <c r="T1782">
        <v>10</v>
      </c>
      <c r="U1782" s="2">
        <v>3127</v>
      </c>
      <c r="V1782">
        <v>0</v>
      </c>
      <c r="W1782" t="s">
        <v>29</v>
      </c>
      <c r="X1782" t="str">
        <f>IF(Table2[[#This Row],[Qty available]]&gt;Table2[[#This Row],[Qty on hand]],"Check","OK")</f>
        <v>OK</v>
      </c>
    </row>
    <row r="1783" spans="1:24" x14ac:dyDescent="0.3">
      <c r="A1783" t="s">
        <v>209</v>
      </c>
      <c r="B1783" t="s">
        <v>210</v>
      </c>
      <c r="C1783" t="s">
        <v>25</v>
      </c>
      <c r="D1783" t="s">
        <v>26</v>
      </c>
      <c r="E1783" t="s">
        <v>27</v>
      </c>
      <c r="F1783" s="1" t="s">
        <v>34</v>
      </c>
      <c r="G1783" s="2">
        <v>236.93</v>
      </c>
      <c r="H1783">
        <v>236.93</v>
      </c>
      <c r="I1783">
        <v>234.6266</v>
      </c>
      <c r="J1783">
        <v>329.77</v>
      </c>
      <c r="K1783">
        <v>20</v>
      </c>
      <c r="L1783" s="2">
        <v>18</v>
      </c>
      <c r="M1783">
        <v>10</v>
      </c>
      <c r="N1783" s="2">
        <v>50</v>
      </c>
      <c r="O1783">
        <v>11731.33</v>
      </c>
      <c r="P1783">
        <v>2</v>
      </c>
      <c r="Q1783">
        <v>48</v>
      </c>
      <c r="R1783">
        <v>25.71</v>
      </c>
      <c r="S1783">
        <v>5</v>
      </c>
      <c r="T1783">
        <v>6</v>
      </c>
      <c r="U1783" s="2">
        <v>1978.62</v>
      </c>
      <c r="V1783">
        <v>0</v>
      </c>
      <c r="W1783" t="s">
        <v>29</v>
      </c>
      <c r="X1783" t="str">
        <f>IF(Table2[[#This Row],[Qty available]]&gt;Table2[[#This Row],[Qty on hand]],"Check","OK")</f>
        <v>OK</v>
      </c>
    </row>
    <row r="1784" spans="1:24" x14ac:dyDescent="0.3">
      <c r="A1784" t="s">
        <v>209</v>
      </c>
      <c r="B1784" t="s">
        <v>210</v>
      </c>
      <c r="C1784" t="s">
        <v>25</v>
      </c>
      <c r="D1784" t="s">
        <v>26</v>
      </c>
      <c r="E1784" t="s">
        <v>27</v>
      </c>
      <c r="F1784" s="1" t="s">
        <v>35</v>
      </c>
      <c r="G1784" s="2">
        <v>235.46</v>
      </c>
      <c r="H1784">
        <v>235.46</v>
      </c>
      <c r="I1784">
        <v>234.765556</v>
      </c>
      <c r="J1784">
        <v>329.77</v>
      </c>
      <c r="K1784">
        <v>20</v>
      </c>
      <c r="L1784" s="2">
        <v>25</v>
      </c>
      <c r="M1784">
        <v>10</v>
      </c>
      <c r="N1784" s="2">
        <v>36</v>
      </c>
      <c r="O1784">
        <v>8451.56</v>
      </c>
      <c r="P1784">
        <v>3</v>
      </c>
      <c r="Q1784">
        <v>33</v>
      </c>
      <c r="R1784">
        <v>11.57</v>
      </c>
      <c r="S1784">
        <v>2</v>
      </c>
      <c r="T1784">
        <v>24</v>
      </c>
      <c r="U1784" s="2">
        <v>7914.48</v>
      </c>
      <c r="V1784">
        <v>0</v>
      </c>
      <c r="W1784" t="s">
        <v>29</v>
      </c>
      <c r="X1784" t="str">
        <f>IF(Table2[[#This Row],[Qty available]]&gt;Table2[[#This Row],[Qty on hand]],"Check","OK")</f>
        <v>OK</v>
      </c>
    </row>
    <row r="1785" spans="1:24" x14ac:dyDescent="0.3">
      <c r="A1785" t="s">
        <v>209</v>
      </c>
      <c r="B1785" t="s">
        <v>210</v>
      </c>
      <c r="C1785" t="s">
        <v>25</v>
      </c>
      <c r="D1785" t="s">
        <v>26</v>
      </c>
      <c r="E1785" t="s">
        <v>27</v>
      </c>
      <c r="F1785" s="1" t="s">
        <v>36</v>
      </c>
      <c r="G1785" s="2">
        <v>244.06</v>
      </c>
      <c r="H1785">
        <v>244.06</v>
      </c>
      <c r="I1785">
        <v>234.76541700000001</v>
      </c>
      <c r="J1785">
        <v>329.77</v>
      </c>
      <c r="K1785">
        <v>20</v>
      </c>
      <c r="M1785">
        <v>0</v>
      </c>
      <c r="N1785" s="2">
        <v>24</v>
      </c>
      <c r="O1785">
        <v>5634.37</v>
      </c>
      <c r="P1785">
        <v>5</v>
      </c>
      <c r="Q1785">
        <v>19</v>
      </c>
      <c r="R1785">
        <v>7.27</v>
      </c>
      <c r="S1785">
        <v>2</v>
      </c>
      <c r="T1785">
        <v>12</v>
      </c>
      <c r="U1785" s="2">
        <v>3957.24</v>
      </c>
      <c r="V1785">
        <v>0</v>
      </c>
      <c r="W1785" t="s">
        <v>29</v>
      </c>
      <c r="X1785" t="str">
        <f>IF(Table2[[#This Row],[Qty available]]&gt;Table2[[#This Row],[Qty on hand]],"Check","OK")</f>
        <v>OK</v>
      </c>
    </row>
    <row r="1786" spans="1:24" x14ac:dyDescent="0.3">
      <c r="A1786" t="s">
        <v>209</v>
      </c>
      <c r="B1786" t="s">
        <v>210</v>
      </c>
      <c r="C1786" t="s">
        <v>25</v>
      </c>
      <c r="D1786" t="s">
        <v>26</v>
      </c>
      <c r="E1786" t="s">
        <v>27</v>
      </c>
      <c r="F1786" s="1" t="s">
        <v>37</v>
      </c>
      <c r="G1786" s="2">
        <v>238.06</v>
      </c>
      <c r="H1786">
        <v>238.06</v>
      </c>
      <c r="I1786">
        <v>236.86189200000001</v>
      </c>
      <c r="J1786">
        <v>329.77</v>
      </c>
      <c r="K1786">
        <v>20</v>
      </c>
      <c r="L1786" s="2">
        <v>19</v>
      </c>
      <c r="M1786">
        <v>42</v>
      </c>
      <c r="N1786" s="2">
        <v>37</v>
      </c>
      <c r="O1786">
        <v>8763.89</v>
      </c>
      <c r="P1786">
        <v>6</v>
      </c>
      <c r="Q1786">
        <v>31</v>
      </c>
      <c r="R1786">
        <v>7.48</v>
      </c>
      <c r="S1786">
        <v>1</v>
      </c>
      <c r="T1786">
        <v>29</v>
      </c>
      <c r="U1786" s="2">
        <v>9563.33</v>
      </c>
      <c r="V1786">
        <v>0</v>
      </c>
      <c r="W1786" t="s">
        <v>29</v>
      </c>
      <c r="X1786" t="str">
        <f>IF(Table2[[#This Row],[Qty available]]&gt;Table2[[#This Row],[Qty on hand]],"Check","OK")</f>
        <v>OK</v>
      </c>
    </row>
    <row r="1787" spans="1:24" x14ac:dyDescent="0.3">
      <c r="A1787" t="s">
        <v>209</v>
      </c>
      <c r="B1787" t="s">
        <v>210</v>
      </c>
      <c r="C1787" t="s">
        <v>25</v>
      </c>
      <c r="D1787" t="s">
        <v>26</v>
      </c>
      <c r="E1787" t="s">
        <v>27</v>
      </c>
      <c r="F1787" s="1" t="s">
        <v>38</v>
      </c>
      <c r="G1787" s="2">
        <v>239.58</v>
      </c>
      <c r="H1787">
        <v>239.58</v>
      </c>
      <c r="I1787">
        <v>237.75153800000001</v>
      </c>
      <c r="J1787">
        <v>329.77</v>
      </c>
      <c r="K1787">
        <v>20</v>
      </c>
      <c r="L1787" s="2">
        <v>19</v>
      </c>
      <c r="M1787">
        <v>18</v>
      </c>
      <c r="N1787" s="2">
        <v>39</v>
      </c>
      <c r="O1787">
        <v>9272.31</v>
      </c>
      <c r="P1787">
        <v>1</v>
      </c>
      <c r="Q1787">
        <v>38</v>
      </c>
      <c r="R1787">
        <v>8.89</v>
      </c>
      <c r="S1787">
        <v>6</v>
      </c>
      <c r="T1787">
        <v>16</v>
      </c>
      <c r="U1787" s="2">
        <v>5276.32</v>
      </c>
      <c r="V1787">
        <v>0</v>
      </c>
      <c r="W1787" t="s">
        <v>29</v>
      </c>
      <c r="X1787" t="str">
        <f>IF(Table2[[#This Row],[Qty available]]&gt;Table2[[#This Row],[Qty on hand]],"Check","OK")</f>
        <v>OK</v>
      </c>
    </row>
    <row r="1788" spans="1:24" x14ac:dyDescent="0.3">
      <c r="A1788" t="s">
        <v>209</v>
      </c>
      <c r="B1788" t="s">
        <v>210</v>
      </c>
      <c r="C1788" t="s">
        <v>25</v>
      </c>
      <c r="D1788" t="s">
        <v>26</v>
      </c>
      <c r="E1788" t="s">
        <v>27</v>
      </c>
      <c r="F1788" s="1" t="s">
        <v>39</v>
      </c>
      <c r="G1788" s="2">
        <v>239.02</v>
      </c>
      <c r="H1788">
        <v>239.02</v>
      </c>
      <c r="I1788">
        <v>238.0104</v>
      </c>
      <c r="J1788">
        <v>329.77</v>
      </c>
      <c r="K1788">
        <v>20</v>
      </c>
      <c r="L1788" s="2">
        <v>25</v>
      </c>
      <c r="M1788">
        <v>10</v>
      </c>
      <c r="N1788" s="2">
        <v>25</v>
      </c>
      <c r="O1788">
        <v>5950.26</v>
      </c>
      <c r="P1788">
        <v>2</v>
      </c>
      <c r="Q1788">
        <v>23</v>
      </c>
      <c r="R1788">
        <v>4.76</v>
      </c>
      <c r="S1788">
        <v>8</v>
      </c>
      <c r="T1788">
        <v>24</v>
      </c>
      <c r="U1788" s="2">
        <v>7914.48</v>
      </c>
      <c r="V1788">
        <v>0</v>
      </c>
      <c r="W1788" t="s">
        <v>29</v>
      </c>
      <c r="X1788" t="str">
        <f>IF(Table2[[#This Row],[Qty available]]&gt;Table2[[#This Row],[Qty on hand]],"Check","OK")</f>
        <v>OK</v>
      </c>
    </row>
    <row r="1789" spans="1:24" x14ac:dyDescent="0.3">
      <c r="A1789" t="s">
        <v>209</v>
      </c>
      <c r="B1789" t="s">
        <v>210</v>
      </c>
      <c r="C1789" t="s">
        <v>25</v>
      </c>
      <c r="D1789" t="s">
        <v>26</v>
      </c>
      <c r="E1789" t="s">
        <v>27</v>
      </c>
      <c r="F1789" s="1" t="s">
        <v>40</v>
      </c>
      <c r="G1789" s="2">
        <v>238.31</v>
      </c>
      <c r="H1789">
        <v>238.31</v>
      </c>
      <c r="I1789">
        <v>238.166</v>
      </c>
      <c r="J1789">
        <v>329.77</v>
      </c>
      <c r="K1789">
        <v>20</v>
      </c>
      <c r="L1789" s="2">
        <v>18</v>
      </c>
      <c r="M1789">
        <v>27</v>
      </c>
      <c r="N1789" s="2">
        <v>30</v>
      </c>
      <c r="O1789">
        <v>7144.98</v>
      </c>
      <c r="P1789">
        <v>2</v>
      </c>
      <c r="Q1789">
        <v>28</v>
      </c>
      <c r="R1789">
        <v>6.36</v>
      </c>
      <c r="S1789">
        <v>5</v>
      </c>
      <c r="T1789">
        <v>22</v>
      </c>
      <c r="U1789" s="2">
        <v>7254.94</v>
      </c>
      <c r="V1789">
        <v>0</v>
      </c>
      <c r="W1789" t="s">
        <v>29</v>
      </c>
      <c r="X1789" t="str">
        <f>IF(Table2[[#This Row],[Qty available]]&gt;Table2[[#This Row],[Qty on hand]],"Check","OK")</f>
        <v>OK</v>
      </c>
    </row>
    <row r="1790" spans="1:24" x14ac:dyDescent="0.3">
      <c r="A1790" t="s">
        <v>209</v>
      </c>
      <c r="B1790" t="s">
        <v>210</v>
      </c>
      <c r="C1790" t="s">
        <v>25</v>
      </c>
      <c r="D1790" t="s">
        <v>26</v>
      </c>
      <c r="E1790" t="s">
        <v>27</v>
      </c>
      <c r="F1790" s="1" t="s">
        <v>41</v>
      </c>
      <c r="G1790" s="2">
        <v>239.77</v>
      </c>
      <c r="H1790">
        <v>239.77</v>
      </c>
      <c r="I1790">
        <v>238.72399999999999</v>
      </c>
      <c r="J1790">
        <v>329.77</v>
      </c>
      <c r="K1790">
        <v>20</v>
      </c>
      <c r="L1790" s="2">
        <v>17</v>
      </c>
      <c r="M1790">
        <v>16</v>
      </c>
      <c r="N1790" s="2">
        <v>35</v>
      </c>
      <c r="O1790">
        <v>8355.34</v>
      </c>
      <c r="P1790">
        <v>2</v>
      </c>
      <c r="Q1790">
        <v>33</v>
      </c>
      <c r="R1790">
        <v>8.07</v>
      </c>
      <c r="S1790">
        <v>3</v>
      </c>
      <c r="T1790">
        <v>11</v>
      </c>
      <c r="U1790" s="2">
        <v>3627.47</v>
      </c>
      <c r="V1790">
        <v>0</v>
      </c>
      <c r="W1790" t="s">
        <v>29</v>
      </c>
      <c r="X1790" t="str">
        <f>IF(Table2[[#This Row],[Qty available]]&gt;Table2[[#This Row],[Qty on hand]],"Check","OK")</f>
        <v>OK</v>
      </c>
    </row>
    <row r="1791" spans="1:24" x14ac:dyDescent="0.3">
      <c r="A1791" t="s">
        <v>209</v>
      </c>
      <c r="B1791" t="s">
        <v>210</v>
      </c>
      <c r="C1791" t="s">
        <v>25</v>
      </c>
      <c r="D1791" t="s">
        <v>26</v>
      </c>
      <c r="E1791" t="s">
        <v>27</v>
      </c>
      <c r="F1791" s="1" t="s">
        <v>42</v>
      </c>
      <c r="G1791" s="2">
        <v>241.34</v>
      </c>
      <c r="H1791">
        <v>241.34</v>
      </c>
      <c r="I1791">
        <v>239.305172</v>
      </c>
      <c r="J1791">
        <v>329.77</v>
      </c>
      <c r="K1791">
        <v>20</v>
      </c>
      <c r="L1791" s="2">
        <v>19</v>
      </c>
      <c r="M1791">
        <v>10</v>
      </c>
      <c r="N1791" s="2">
        <v>29</v>
      </c>
      <c r="O1791">
        <v>6939.85</v>
      </c>
      <c r="P1791">
        <v>5</v>
      </c>
      <c r="Q1791">
        <v>24</v>
      </c>
      <c r="R1791">
        <v>7.78</v>
      </c>
      <c r="S1791">
        <v>12</v>
      </c>
      <c r="T1791">
        <v>16</v>
      </c>
      <c r="U1791" s="2">
        <v>5276.32</v>
      </c>
      <c r="V1791">
        <v>0</v>
      </c>
      <c r="W1791" t="s">
        <v>29</v>
      </c>
      <c r="X1791" t="str">
        <f>IF(Table2[[#This Row],[Qty available]]&gt;Table2[[#This Row],[Qty on hand]],"Check","OK")</f>
        <v>OK</v>
      </c>
    </row>
    <row r="1792" spans="1:24" x14ac:dyDescent="0.3">
      <c r="A1792" t="s">
        <v>209</v>
      </c>
      <c r="B1792" t="s">
        <v>210</v>
      </c>
      <c r="C1792" t="s">
        <v>25</v>
      </c>
      <c r="D1792" t="s">
        <v>26</v>
      </c>
      <c r="E1792" t="s">
        <v>27</v>
      </c>
      <c r="F1792" s="1" t="s">
        <v>43</v>
      </c>
      <c r="G1792" s="2">
        <v>242.88</v>
      </c>
      <c r="H1792">
        <v>242.88</v>
      </c>
      <c r="I1792">
        <v>239.30500000000001</v>
      </c>
      <c r="J1792">
        <v>329.77</v>
      </c>
      <c r="K1792">
        <v>20</v>
      </c>
      <c r="M1792">
        <v>0</v>
      </c>
      <c r="N1792" s="2">
        <v>12</v>
      </c>
      <c r="O1792">
        <v>2871.66</v>
      </c>
      <c r="P1792">
        <v>4</v>
      </c>
      <c r="Q1792">
        <v>8</v>
      </c>
      <c r="R1792">
        <v>3.55</v>
      </c>
      <c r="S1792">
        <v>8</v>
      </c>
      <c r="T1792">
        <v>17</v>
      </c>
      <c r="U1792" s="2">
        <v>5606.09</v>
      </c>
      <c r="V1792">
        <v>0</v>
      </c>
      <c r="W1792" t="s">
        <v>29</v>
      </c>
      <c r="X1792" t="str">
        <f>IF(Table2[[#This Row],[Qty available]]&gt;Table2[[#This Row],[Qty on hand]],"Check","OK")</f>
        <v>OK</v>
      </c>
    </row>
    <row r="1793" spans="1:24" x14ac:dyDescent="0.3">
      <c r="A1793" t="s">
        <v>209</v>
      </c>
      <c r="B1793" t="s">
        <v>210</v>
      </c>
      <c r="C1793" t="s">
        <v>25</v>
      </c>
      <c r="D1793" t="s">
        <v>26</v>
      </c>
      <c r="E1793" t="s">
        <v>27</v>
      </c>
      <c r="F1793" s="1" t="s">
        <v>44</v>
      </c>
      <c r="G1793" s="2">
        <v>243.2</v>
      </c>
      <c r="H1793">
        <v>243.2</v>
      </c>
      <c r="I1793">
        <v>242.38</v>
      </c>
      <c r="J1793">
        <v>329.77</v>
      </c>
      <c r="K1793">
        <v>20</v>
      </c>
      <c r="L1793" s="2">
        <v>17</v>
      </c>
      <c r="M1793">
        <v>45</v>
      </c>
      <c r="N1793" s="2">
        <v>38</v>
      </c>
      <c r="O1793">
        <v>9210.44</v>
      </c>
      <c r="P1793">
        <v>6</v>
      </c>
      <c r="Q1793">
        <v>32</v>
      </c>
      <c r="R1793">
        <v>9.6</v>
      </c>
      <c r="S1793">
        <v>3</v>
      </c>
      <c r="T1793">
        <v>19</v>
      </c>
      <c r="U1793" s="2">
        <v>6265.63</v>
      </c>
      <c r="V1793">
        <v>0</v>
      </c>
      <c r="W1793" t="s">
        <v>29</v>
      </c>
      <c r="X1793" t="str">
        <f>IF(Table2[[#This Row],[Qty available]]&gt;Table2[[#This Row],[Qty on hand]],"Check","OK")</f>
        <v>OK</v>
      </c>
    </row>
    <row r="1794" spans="1:24" x14ac:dyDescent="0.3">
      <c r="A1794" t="s">
        <v>209</v>
      </c>
      <c r="B1794" t="s">
        <v>210</v>
      </c>
      <c r="C1794" t="s">
        <v>25</v>
      </c>
      <c r="D1794" t="s">
        <v>26</v>
      </c>
      <c r="E1794" t="s">
        <v>27</v>
      </c>
      <c r="F1794" s="1" t="s">
        <v>45</v>
      </c>
      <c r="G1794" s="2">
        <v>237.44</v>
      </c>
      <c r="H1794">
        <v>237.44</v>
      </c>
      <c r="I1794">
        <v>241.05</v>
      </c>
      <c r="J1794">
        <v>329.77</v>
      </c>
      <c r="K1794">
        <v>20</v>
      </c>
      <c r="L1794" s="2">
        <v>19</v>
      </c>
      <c r="M1794">
        <v>14</v>
      </c>
      <c r="N1794" s="2">
        <v>30</v>
      </c>
      <c r="O1794">
        <v>7231.5</v>
      </c>
      <c r="P1794">
        <v>2</v>
      </c>
      <c r="Q1794">
        <v>28</v>
      </c>
      <c r="R1794">
        <v>6.8</v>
      </c>
      <c r="S1794">
        <v>3</v>
      </c>
      <c r="T1794">
        <v>22</v>
      </c>
      <c r="U1794" s="2">
        <v>7254.94</v>
      </c>
      <c r="V1794">
        <v>0</v>
      </c>
      <c r="W1794" t="s">
        <v>29</v>
      </c>
      <c r="X1794" t="str">
        <f>IF(Table2[[#This Row],[Qty available]]&gt;Table2[[#This Row],[Qty on hand]],"Check","OK")</f>
        <v>OK</v>
      </c>
    </row>
    <row r="1795" spans="1:24" x14ac:dyDescent="0.3">
      <c r="A1795" t="s">
        <v>209</v>
      </c>
      <c r="B1795" t="s">
        <v>210</v>
      </c>
      <c r="C1795" t="s">
        <v>25</v>
      </c>
      <c r="D1795" t="s">
        <v>26</v>
      </c>
      <c r="E1795" t="s">
        <v>27</v>
      </c>
      <c r="F1795" s="1" t="s">
        <v>46</v>
      </c>
      <c r="G1795" s="2">
        <v>242.21</v>
      </c>
      <c r="H1795">
        <v>242.21</v>
      </c>
      <c r="I1795">
        <v>241.34</v>
      </c>
      <c r="J1795">
        <v>347.77</v>
      </c>
      <c r="K1795">
        <v>20</v>
      </c>
      <c r="L1795" s="2">
        <v>19</v>
      </c>
      <c r="M1795">
        <v>10</v>
      </c>
      <c r="N1795" s="2">
        <v>29</v>
      </c>
      <c r="O1795">
        <v>6998.86</v>
      </c>
      <c r="P1795">
        <v>1</v>
      </c>
      <c r="Q1795">
        <v>28</v>
      </c>
      <c r="R1795">
        <v>7.17</v>
      </c>
      <c r="S1795">
        <v>12</v>
      </c>
      <c r="T1795">
        <v>11</v>
      </c>
      <c r="U1795" s="2">
        <v>3825.47</v>
      </c>
      <c r="V1795">
        <v>0</v>
      </c>
      <c r="W1795" t="s">
        <v>29</v>
      </c>
      <c r="X1795" t="str">
        <f>IF(Table2[[#This Row],[Qty available]]&gt;Table2[[#This Row],[Qty on hand]],"Check","OK")</f>
        <v>OK</v>
      </c>
    </row>
    <row r="1796" spans="1:24" x14ac:dyDescent="0.3">
      <c r="A1796" t="s">
        <v>209</v>
      </c>
      <c r="B1796" t="s">
        <v>210</v>
      </c>
      <c r="C1796" t="s">
        <v>25</v>
      </c>
      <c r="D1796" t="s">
        <v>26</v>
      </c>
      <c r="E1796" t="s">
        <v>27</v>
      </c>
      <c r="F1796" s="1" t="s">
        <v>47</v>
      </c>
      <c r="G1796" s="2">
        <v>238.73</v>
      </c>
      <c r="H1796">
        <v>238.73</v>
      </c>
      <c r="I1796">
        <v>241.34</v>
      </c>
      <c r="J1796">
        <v>347.77</v>
      </c>
      <c r="K1796">
        <v>20</v>
      </c>
      <c r="M1796">
        <v>0</v>
      </c>
      <c r="N1796" s="2">
        <v>18</v>
      </c>
      <c r="O1796">
        <v>4344.12</v>
      </c>
      <c r="P1796">
        <v>5</v>
      </c>
      <c r="Q1796">
        <v>13</v>
      </c>
      <c r="R1796">
        <v>5.26</v>
      </c>
      <c r="S1796">
        <v>10</v>
      </c>
      <c r="T1796">
        <v>11</v>
      </c>
      <c r="U1796" s="2">
        <v>3825.47</v>
      </c>
      <c r="V1796">
        <v>0</v>
      </c>
      <c r="W1796" t="s">
        <v>29</v>
      </c>
      <c r="X1796" t="str">
        <f>IF(Table2[[#This Row],[Qty available]]&gt;Table2[[#This Row],[Qty on hand]],"Check","OK")</f>
        <v>OK</v>
      </c>
    </row>
    <row r="1797" spans="1:24" x14ac:dyDescent="0.3">
      <c r="A1797" t="s">
        <v>209</v>
      </c>
      <c r="B1797" t="s">
        <v>210</v>
      </c>
      <c r="C1797" t="s">
        <v>25</v>
      </c>
      <c r="D1797" t="s">
        <v>26</v>
      </c>
      <c r="E1797" t="s">
        <v>27</v>
      </c>
      <c r="F1797" s="1" t="s">
        <v>48</v>
      </c>
      <c r="G1797" s="2">
        <v>246.36</v>
      </c>
      <c r="H1797">
        <v>246.36</v>
      </c>
      <c r="I1797">
        <v>244.62227300000001</v>
      </c>
      <c r="J1797">
        <v>347.77</v>
      </c>
      <c r="K1797">
        <v>20</v>
      </c>
      <c r="L1797" s="2">
        <v>19</v>
      </c>
      <c r="M1797">
        <v>34</v>
      </c>
      <c r="N1797" s="2">
        <v>44</v>
      </c>
      <c r="O1797">
        <v>10763.38</v>
      </c>
      <c r="P1797">
        <v>3</v>
      </c>
      <c r="Q1797">
        <v>41</v>
      </c>
      <c r="R1797">
        <v>18.649999999999999</v>
      </c>
      <c r="S1797">
        <v>17</v>
      </c>
      <c r="T1797">
        <v>8</v>
      </c>
      <c r="U1797" s="2">
        <v>2782.16</v>
      </c>
      <c r="V1797">
        <v>0</v>
      </c>
      <c r="W1797" t="s">
        <v>29</v>
      </c>
      <c r="X1797" t="str">
        <f>IF(Table2[[#This Row],[Qty available]]&gt;Table2[[#This Row],[Qty on hand]],"Check","OK")</f>
        <v>OK</v>
      </c>
    </row>
    <row r="1798" spans="1:24" x14ac:dyDescent="0.3">
      <c r="A1798" t="s">
        <v>209</v>
      </c>
      <c r="B1798" t="s">
        <v>210</v>
      </c>
      <c r="C1798" t="s">
        <v>25</v>
      </c>
      <c r="D1798" t="s">
        <v>26</v>
      </c>
      <c r="E1798" t="s">
        <v>27</v>
      </c>
      <c r="F1798" s="1" t="s">
        <v>49</v>
      </c>
      <c r="G1798" s="2">
        <v>242.89</v>
      </c>
      <c r="H1798">
        <v>242.89</v>
      </c>
      <c r="I1798">
        <v>244.622083</v>
      </c>
      <c r="J1798">
        <v>347.77</v>
      </c>
      <c r="K1798">
        <v>20</v>
      </c>
      <c r="M1798">
        <v>0</v>
      </c>
      <c r="N1798" s="2">
        <v>24</v>
      </c>
      <c r="O1798">
        <v>5870.93</v>
      </c>
      <c r="P1798">
        <v>2</v>
      </c>
      <c r="Q1798">
        <v>22</v>
      </c>
      <c r="R1798">
        <v>8.09</v>
      </c>
      <c r="S1798">
        <v>4</v>
      </c>
      <c r="T1798">
        <v>20</v>
      </c>
      <c r="U1798" s="2">
        <v>6955.4</v>
      </c>
      <c r="V1798">
        <v>0</v>
      </c>
      <c r="W1798" t="s">
        <v>29</v>
      </c>
      <c r="X1798" t="str">
        <f>IF(Table2[[#This Row],[Qty available]]&gt;Table2[[#This Row],[Qty on hand]],"Check","OK")</f>
        <v>OK</v>
      </c>
    </row>
    <row r="1799" spans="1:24" x14ac:dyDescent="0.3">
      <c r="A1799" t="s">
        <v>209</v>
      </c>
      <c r="B1799" t="s">
        <v>210</v>
      </c>
      <c r="C1799" t="s">
        <v>25</v>
      </c>
      <c r="D1799" t="s">
        <v>26</v>
      </c>
      <c r="E1799" t="s">
        <v>27</v>
      </c>
      <c r="F1799" s="1" t="s">
        <v>50</v>
      </c>
      <c r="G1799" s="2">
        <v>242.89</v>
      </c>
      <c r="H1799">
        <v>242.89</v>
      </c>
      <c r="I1799">
        <v>243.59450000000001</v>
      </c>
      <c r="J1799">
        <v>347.77</v>
      </c>
      <c r="K1799">
        <v>20</v>
      </c>
      <c r="L1799" s="2">
        <v>18</v>
      </c>
      <c r="M1799">
        <v>35</v>
      </c>
      <c r="N1799" s="2">
        <v>40</v>
      </c>
      <c r="O1799">
        <v>9743.7800000000007</v>
      </c>
      <c r="P1799">
        <v>5</v>
      </c>
      <c r="Q1799">
        <v>35</v>
      </c>
      <c r="R1799">
        <v>11.06</v>
      </c>
      <c r="S1799">
        <v>2</v>
      </c>
      <c r="T1799">
        <v>19</v>
      </c>
      <c r="U1799" s="2">
        <v>6607.63</v>
      </c>
      <c r="V1799">
        <v>0</v>
      </c>
      <c r="W1799" t="s">
        <v>29</v>
      </c>
      <c r="X1799" t="str">
        <f>IF(Table2[[#This Row],[Qty available]]&gt;Table2[[#This Row],[Qty on hand]],"Check","OK")</f>
        <v>OK</v>
      </c>
    </row>
    <row r="1800" spans="1:24" x14ac:dyDescent="0.3">
      <c r="A1800" t="s">
        <v>209</v>
      </c>
      <c r="B1800" t="s">
        <v>210</v>
      </c>
      <c r="C1800" t="s">
        <v>25</v>
      </c>
      <c r="D1800" t="s">
        <v>26</v>
      </c>
      <c r="E1800" t="s">
        <v>27</v>
      </c>
      <c r="F1800" s="1" t="s">
        <v>51</v>
      </c>
      <c r="G1800" s="2">
        <v>243.71</v>
      </c>
      <c r="H1800">
        <v>243.71</v>
      </c>
      <c r="I1800">
        <v>243.62285700000001</v>
      </c>
      <c r="J1800">
        <v>347.77</v>
      </c>
      <c r="K1800">
        <v>20</v>
      </c>
      <c r="L1800" s="2">
        <v>19</v>
      </c>
      <c r="M1800">
        <v>13</v>
      </c>
      <c r="N1800" s="2">
        <v>35</v>
      </c>
      <c r="O1800">
        <v>8526.7999999999993</v>
      </c>
      <c r="P1800">
        <v>4</v>
      </c>
      <c r="Q1800">
        <v>31</v>
      </c>
      <c r="R1800">
        <v>8.07</v>
      </c>
      <c r="S1800">
        <v>18</v>
      </c>
      <c r="T1800">
        <v>18</v>
      </c>
      <c r="U1800" s="2">
        <v>6259.86</v>
      </c>
      <c r="V1800">
        <v>0</v>
      </c>
      <c r="W1800" t="s">
        <v>29</v>
      </c>
      <c r="X1800" t="str">
        <f>IF(Table2[[#This Row],[Qty available]]&gt;Table2[[#This Row],[Qty on hand]],"Check","OK")</f>
        <v>OK</v>
      </c>
    </row>
    <row r="1801" spans="1:24" x14ac:dyDescent="0.3">
      <c r="A1801" t="s">
        <v>209</v>
      </c>
      <c r="B1801" t="s">
        <v>210</v>
      </c>
      <c r="C1801" t="s">
        <v>25</v>
      </c>
      <c r="D1801" t="s">
        <v>26</v>
      </c>
      <c r="E1801" t="s">
        <v>27</v>
      </c>
      <c r="F1801" s="1" t="s">
        <v>52</v>
      </c>
      <c r="G1801" s="2">
        <v>251.91</v>
      </c>
      <c r="H1801">
        <v>251.91</v>
      </c>
      <c r="I1801">
        <v>243.62307699999999</v>
      </c>
      <c r="J1801">
        <v>347.77</v>
      </c>
      <c r="K1801">
        <v>20</v>
      </c>
      <c r="M1801">
        <v>0</v>
      </c>
      <c r="N1801" s="2">
        <v>13</v>
      </c>
      <c r="O1801">
        <v>3167.1</v>
      </c>
      <c r="P1801">
        <v>1</v>
      </c>
      <c r="Q1801">
        <v>12</v>
      </c>
      <c r="R1801">
        <v>2.9</v>
      </c>
      <c r="S1801">
        <v>18</v>
      </c>
      <c r="T1801">
        <v>22</v>
      </c>
      <c r="U1801" s="2">
        <v>7650.94</v>
      </c>
      <c r="V1801">
        <v>0</v>
      </c>
      <c r="W1801" t="s">
        <v>29</v>
      </c>
      <c r="X1801" t="str">
        <f>IF(Table2[[#This Row],[Qty available]]&gt;Table2[[#This Row],[Qty on hand]],"Check","OK")</f>
        <v>OK</v>
      </c>
    </row>
    <row r="1802" spans="1:24" x14ac:dyDescent="0.3">
      <c r="A1802" t="s">
        <v>211</v>
      </c>
      <c r="B1802" t="s">
        <v>212</v>
      </c>
      <c r="C1802" t="s">
        <v>91</v>
      </c>
      <c r="D1802" t="s">
        <v>92</v>
      </c>
      <c r="E1802" t="s">
        <v>66</v>
      </c>
      <c r="F1802" s="1" t="s">
        <v>28</v>
      </c>
      <c r="G1802" s="2">
        <v>88.05</v>
      </c>
      <c r="H1802">
        <v>88.05</v>
      </c>
      <c r="I1802">
        <v>87.949883999999997</v>
      </c>
      <c r="J1802">
        <v>116.7</v>
      </c>
      <c r="K1802">
        <v>39</v>
      </c>
      <c r="L1802" s="2">
        <v>39</v>
      </c>
      <c r="M1802">
        <v>42</v>
      </c>
      <c r="N1802" s="2">
        <v>86</v>
      </c>
      <c r="O1802">
        <v>7563.69</v>
      </c>
      <c r="P1802">
        <v>10</v>
      </c>
      <c r="Q1802">
        <v>76</v>
      </c>
      <c r="R1802">
        <v>7.85</v>
      </c>
      <c r="S1802">
        <v>0</v>
      </c>
      <c r="T1802">
        <v>20</v>
      </c>
      <c r="U1802" s="2">
        <v>2334</v>
      </c>
      <c r="V1802">
        <v>0</v>
      </c>
      <c r="W1802" t="s">
        <v>29</v>
      </c>
      <c r="X1802" t="str">
        <f>IF(Table2[[#This Row],[Qty available]]&gt;Table2[[#This Row],[Qty on hand]],"Check","OK")</f>
        <v>OK</v>
      </c>
    </row>
    <row r="1803" spans="1:24" x14ac:dyDescent="0.3">
      <c r="A1803" t="s">
        <v>211</v>
      </c>
      <c r="B1803" t="s">
        <v>212</v>
      </c>
      <c r="C1803" t="s">
        <v>91</v>
      </c>
      <c r="D1803" t="s">
        <v>92</v>
      </c>
      <c r="E1803" t="s">
        <v>66</v>
      </c>
      <c r="F1803" s="1" t="s">
        <v>30</v>
      </c>
      <c r="G1803" s="2">
        <v>93.28</v>
      </c>
      <c r="H1803">
        <v>93.28</v>
      </c>
      <c r="I1803">
        <v>90.733407</v>
      </c>
      <c r="J1803">
        <v>116.7</v>
      </c>
      <c r="K1803">
        <v>39</v>
      </c>
      <c r="L1803" s="2">
        <v>36</v>
      </c>
      <c r="M1803">
        <v>94</v>
      </c>
      <c r="N1803" s="2">
        <v>135</v>
      </c>
      <c r="O1803">
        <v>12249.01</v>
      </c>
      <c r="P1803">
        <v>8</v>
      </c>
      <c r="Q1803">
        <v>127</v>
      </c>
      <c r="R1803">
        <v>14.43</v>
      </c>
      <c r="S1803">
        <v>2</v>
      </c>
      <c r="T1803">
        <v>45</v>
      </c>
      <c r="U1803" s="2">
        <v>5251.5</v>
      </c>
      <c r="V1803">
        <v>0</v>
      </c>
      <c r="W1803" t="s">
        <v>29</v>
      </c>
      <c r="X1803" t="str">
        <f>IF(Table2[[#This Row],[Qty available]]&gt;Table2[[#This Row],[Qty on hand]],"Check","OK")</f>
        <v>OK</v>
      </c>
    </row>
    <row r="1804" spans="1:24" x14ac:dyDescent="0.3">
      <c r="A1804" t="s">
        <v>211</v>
      </c>
      <c r="B1804" t="s">
        <v>212</v>
      </c>
      <c r="C1804" t="s">
        <v>91</v>
      </c>
      <c r="D1804" t="s">
        <v>92</v>
      </c>
      <c r="E1804" t="s">
        <v>66</v>
      </c>
      <c r="F1804" s="1" t="s">
        <v>31</v>
      </c>
      <c r="G1804" s="2">
        <v>92.35</v>
      </c>
      <c r="H1804">
        <v>92.35</v>
      </c>
      <c r="I1804">
        <v>91.116983000000005</v>
      </c>
      <c r="J1804">
        <v>116.7</v>
      </c>
      <c r="K1804">
        <v>39</v>
      </c>
      <c r="L1804" s="2">
        <v>39</v>
      </c>
      <c r="M1804">
        <v>42</v>
      </c>
      <c r="N1804" s="2">
        <v>116</v>
      </c>
      <c r="O1804">
        <v>10569.57</v>
      </c>
      <c r="P1804">
        <v>8</v>
      </c>
      <c r="Q1804">
        <v>108</v>
      </c>
      <c r="R1804">
        <v>11.97</v>
      </c>
      <c r="S1804">
        <v>2</v>
      </c>
      <c r="T1804">
        <v>61</v>
      </c>
      <c r="U1804" s="2">
        <v>7118.7</v>
      </c>
      <c r="V1804">
        <v>0</v>
      </c>
      <c r="W1804" t="s">
        <v>29</v>
      </c>
      <c r="X1804" t="str">
        <f>IF(Table2[[#This Row],[Qty available]]&gt;Table2[[#This Row],[Qty on hand]],"Check","OK")</f>
        <v>OK</v>
      </c>
    </row>
    <row r="1805" spans="1:24" x14ac:dyDescent="0.3">
      <c r="A1805" t="s">
        <v>211</v>
      </c>
      <c r="B1805" t="s">
        <v>212</v>
      </c>
      <c r="C1805" t="s">
        <v>91</v>
      </c>
      <c r="D1805" t="s">
        <v>92</v>
      </c>
      <c r="E1805" t="s">
        <v>66</v>
      </c>
      <c r="F1805" s="1" t="s">
        <v>32</v>
      </c>
      <c r="G1805" s="2">
        <v>90.52</v>
      </c>
      <c r="H1805">
        <v>90.52</v>
      </c>
      <c r="I1805">
        <v>91.116940999999997</v>
      </c>
      <c r="J1805">
        <v>116.7</v>
      </c>
      <c r="K1805">
        <v>39</v>
      </c>
      <c r="M1805">
        <v>0</v>
      </c>
      <c r="N1805" s="2">
        <v>85</v>
      </c>
      <c r="O1805">
        <v>7744.94</v>
      </c>
      <c r="P1805">
        <v>10</v>
      </c>
      <c r="Q1805">
        <v>75</v>
      </c>
      <c r="R1805">
        <v>8.15</v>
      </c>
      <c r="S1805">
        <v>7</v>
      </c>
      <c r="T1805">
        <v>31</v>
      </c>
      <c r="U1805" s="2">
        <v>3617.7</v>
      </c>
      <c r="V1805">
        <v>0</v>
      </c>
      <c r="W1805" t="s">
        <v>29</v>
      </c>
      <c r="X1805" t="str">
        <f>IF(Table2[[#This Row],[Qty available]]&gt;Table2[[#This Row],[Qty on hand]],"Check","OK")</f>
        <v>OK</v>
      </c>
    </row>
    <row r="1806" spans="1:24" x14ac:dyDescent="0.3">
      <c r="A1806" t="s">
        <v>211</v>
      </c>
      <c r="B1806" t="s">
        <v>212</v>
      </c>
      <c r="C1806" t="s">
        <v>91</v>
      </c>
      <c r="D1806" t="s">
        <v>92</v>
      </c>
      <c r="E1806" t="s">
        <v>66</v>
      </c>
      <c r="F1806" s="1" t="s">
        <v>33</v>
      </c>
      <c r="G1806" s="2">
        <v>91.1</v>
      </c>
      <c r="H1806">
        <v>91.1</v>
      </c>
      <c r="I1806">
        <v>91.111340999999996</v>
      </c>
      <c r="J1806">
        <v>116.7</v>
      </c>
      <c r="K1806">
        <v>39</v>
      </c>
      <c r="L1806" s="2">
        <v>36</v>
      </c>
      <c r="M1806">
        <v>42</v>
      </c>
      <c r="N1806" s="2">
        <v>82</v>
      </c>
      <c r="O1806">
        <v>7471.13</v>
      </c>
      <c r="P1806">
        <v>6</v>
      </c>
      <c r="Q1806">
        <v>76</v>
      </c>
      <c r="R1806">
        <v>7.87</v>
      </c>
      <c r="S1806">
        <v>4</v>
      </c>
      <c r="T1806">
        <v>45</v>
      </c>
      <c r="U1806" s="2">
        <v>5251.5</v>
      </c>
      <c r="V1806">
        <v>0</v>
      </c>
      <c r="W1806" t="s">
        <v>29</v>
      </c>
      <c r="X1806" t="str">
        <f>IF(Table2[[#This Row],[Qty available]]&gt;Table2[[#This Row],[Qty on hand]],"Check","OK")</f>
        <v>OK</v>
      </c>
    </row>
    <row r="1807" spans="1:24" x14ac:dyDescent="0.3">
      <c r="A1807" t="s">
        <v>211</v>
      </c>
      <c r="B1807" t="s">
        <v>212</v>
      </c>
      <c r="C1807" t="s">
        <v>91</v>
      </c>
      <c r="D1807" t="s">
        <v>92</v>
      </c>
      <c r="E1807" t="s">
        <v>66</v>
      </c>
      <c r="F1807" s="1" t="s">
        <v>34</v>
      </c>
      <c r="G1807" s="2">
        <v>92.79</v>
      </c>
      <c r="H1807">
        <v>92.79</v>
      </c>
      <c r="I1807">
        <v>91.777917000000002</v>
      </c>
      <c r="J1807">
        <v>120.75</v>
      </c>
      <c r="K1807">
        <v>39</v>
      </c>
      <c r="L1807" s="2">
        <v>38</v>
      </c>
      <c r="M1807">
        <v>54</v>
      </c>
      <c r="N1807" s="2">
        <v>96</v>
      </c>
      <c r="O1807">
        <v>8810.68</v>
      </c>
      <c r="P1807">
        <v>4</v>
      </c>
      <c r="Q1807">
        <v>92</v>
      </c>
      <c r="R1807">
        <v>10.64</v>
      </c>
      <c r="S1807">
        <v>10</v>
      </c>
      <c r="T1807">
        <v>40</v>
      </c>
      <c r="U1807" s="2">
        <v>4830</v>
      </c>
      <c r="V1807">
        <v>0</v>
      </c>
      <c r="W1807" t="s">
        <v>29</v>
      </c>
      <c r="X1807" t="str">
        <f>IF(Table2[[#This Row],[Qty available]]&gt;Table2[[#This Row],[Qty on hand]],"Check","OK")</f>
        <v>OK</v>
      </c>
    </row>
    <row r="1808" spans="1:24" x14ac:dyDescent="0.3">
      <c r="A1808" t="s">
        <v>211</v>
      </c>
      <c r="B1808" t="s">
        <v>212</v>
      </c>
      <c r="C1808" t="s">
        <v>91</v>
      </c>
      <c r="D1808" t="s">
        <v>92</v>
      </c>
      <c r="E1808" t="s">
        <v>66</v>
      </c>
      <c r="F1808" s="1" t="s">
        <v>35</v>
      </c>
      <c r="G1808" s="2">
        <v>92.41</v>
      </c>
      <c r="H1808">
        <v>92.41</v>
      </c>
      <c r="I1808">
        <v>92.085487999999998</v>
      </c>
      <c r="J1808">
        <v>120.75</v>
      </c>
      <c r="K1808">
        <v>39</v>
      </c>
      <c r="L1808" s="2">
        <v>35</v>
      </c>
      <c r="M1808">
        <v>91</v>
      </c>
      <c r="N1808" s="2">
        <v>164</v>
      </c>
      <c r="O1808">
        <v>15102.02</v>
      </c>
      <c r="P1808">
        <v>11</v>
      </c>
      <c r="Q1808">
        <v>153</v>
      </c>
      <c r="R1808">
        <v>19.52</v>
      </c>
      <c r="S1808">
        <v>8</v>
      </c>
      <c r="T1808">
        <v>23</v>
      </c>
      <c r="U1808" s="2">
        <v>2777.25</v>
      </c>
      <c r="V1808">
        <v>0</v>
      </c>
      <c r="W1808" t="s">
        <v>29</v>
      </c>
      <c r="X1808" t="str">
        <f>IF(Table2[[#This Row],[Qty available]]&gt;Table2[[#This Row],[Qty on hand]],"Check","OK")</f>
        <v>OK</v>
      </c>
    </row>
    <row r="1809" spans="1:24" x14ac:dyDescent="0.3">
      <c r="A1809" t="s">
        <v>211</v>
      </c>
      <c r="B1809" t="s">
        <v>212</v>
      </c>
      <c r="C1809" t="s">
        <v>91</v>
      </c>
      <c r="D1809" t="s">
        <v>92</v>
      </c>
      <c r="E1809" t="s">
        <v>66</v>
      </c>
      <c r="F1809" s="1" t="s">
        <v>36</v>
      </c>
      <c r="G1809" s="2">
        <v>91.59</v>
      </c>
      <c r="H1809">
        <v>91.59</v>
      </c>
      <c r="I1809">
        <v>91.984493000000001</v>
      </c>
      <c r="J1809">
        <v>120.75</v>
      </c>
      <c r="K1809">
        <v>39</v>
      </c>
      <c r="L1809" s="2">
        <v>36</v>
      </c>
      <c r="M1809">
        <v>42</v>
      </c>
      <c r="N1809" s="2">
        <v>138</v>
      </c>
      <c r="O1809">
        <v>12693.86</v>
      </c>
      <c r="P1809">
        <v>8</v>
      </c>
      <c r="Q1809">
        <v>130</v>
      </c>
      <c r="R1809">
        <v>13.39</v>
      </c>
      <c r="S1809">
        <v>0</v>
      </c>
      <c r="T1809">
        <v>68</v>
      </c>
      <c r="U1809" s="2">
        <v>8211</v>
      </c>
      <c r="V1809">
        <v>0</v>
      </c>
      <c r="W1809" t="s">
        <v>29</v>
      </c>
      <c r="X1809" t="str">
        <f>IF(Table2[[#This Row],[Qty available]]&gt;Table2[[#This Row],[Qty on hand]],"Check","OK")</f>
        <v>OK</v>
      </c>
    </row>
    <row r="1810" spans="1:24" x14ac:dyDescent="0.3">
      <c r="A1810" t="s">
        <v>211</v>
      </c>
      <c r="B1810" t="s">
        <v>212</v>
      </c>
      <c r="C1810" t="s">
        <v>91</v>
      </c>
      <c r="D1810" t="s">
        <v>92</v>
      </c>
      <c r="E1810" t="s">
        <v>66</v>
      </c>
      <c r="F1810" s="1" t="s">
        <v>37</v>
      </c>
      <c r="G1810" s="2">
        <v>90.64</v>
      </c>
      <c r="H1810">
        <v>90.64</v>
      </c>
      <c r="I1810">
        <v>91.984536000000006</v>
      </c>
      <c r="J1810">
        <v>120.75</v>
      </c>
      <c r="K1810">
        <v>39</v>
      </c>
      <c r="M1810">
        <v>0</v>
      </c>
      <c r="N1810" s="2">
        <v>97</v>
      </c>
      <c r="O1810">
        <v>8922.5</v>
      </c>
      <c r="P1810">
        <v>11</v>
      </c>
      <c r="Q1810">
        <v>86</v>
      </c>
      <c r="R1810">
        <v>9.66</v>
      </c>
      <c r="S1810">
        <v>0</v>
      </c>
      <c r="T1810">
        <v>41</v>
      </c>
      <c r="U1810" s="2">
        <v>4950.75</v>
      </c>
      <c r="V1810">
        <v>0</v>
      </c>
      <c r="W1810" t="s">
        <v>29</v>
      </c>
      <c r="X1810" t="str">
        <f>IF(Table2[[#This Row],[Qty available]]&gt;Table2[[#This Row],[Qty on hand]],"Check","OK")</f>
        <v>OK</v>
      </c>
    </row>
    <row r="1811" spans="1:24" x14ac:dyDescent="0.3">
      <c r="A1811" t="s">
        <v>211</v>
      </c>
      <c r="B1811" t="s">
        <v>212</v>
      </c>
      <c r="C1811" t="s">
        <v>91</v>
      </c>
      <c r="D1811" t="s">
        <v>92</v>
      </c>
      <c r="E1811" t="s">
        <v>66</v>
      </c>
      <c r="F1811" s="1" t="s">
        <v>38</v>
      </c>
      <c r="G1811" s="2">
        <v>91.73</v>
      </c>
      <c r="H1811">
        <v>91.73</v>
      </c>
      <c r="I1811">
        <v>91.984515999999999</v>
      </c>
      <c r="J1811">
        <v>120.75</v>
      </c>
      <c r="K1811">
        <v>39</v>
      </c>
      <c r="M1811">
        <v>0</v>
      </c>
      <c r="N1811" s="2">
        <v>62</v>
      </c>
      <c r="O1811">
        <v>5703.04</v>
      </c>
      <c r="P1811">
        <v>13</v>
      </c>
      <c r="Q1811">
        <v>49</v>
      </c>
      <c r="R1811">
        <v>5.6</v>
      </c>
      <c r="S1811">
        <v>1</v>
      </c>
      <c r="T1811">
        <v>35</v>
      </c>
      <c r="U1811" s="2">
        <v>4226.25</v>
      </c>
      <c r="V1811">
        <v>0</v>
      </c>
      <c r="W1811" t="s">
        <v>29</v>
      </c>
      <c r="X1811" t="str">
        <f>IF(Table2[[#This Row],[Qty available]]&gt;Table2[[#This Row],[Qty on hand]],"Check","OK")</f>
        <v>OK</v>
      </c>
    </row>
    <row r="1812" spans="1:24" x14ac:dyDescent="0.3">
      <c r="A1812" t="s">
        <v>211</v>
      </c>
      <c r="B1812" t="s">
        <v>212</v>
      </c>
      <c r="C1812" t="s">
        <v>91</v>
      </c>
      <c r="D1812" t="s">
        <v>92</v>
      </c>
      <c r="E1812" t="s">
        <v>66</v>
      </c>
      <c r="F1812" s="1" t="s">
        <v>39</v>
      </c>
      <c r="G1812" s="2">
        <v>92.27</v>
      </c>
      <c r="H1812">
        <v>92.27</v>
      </c>
      <c r="I1812">
        <v>92.099783000000002</v>
      </c>
      <c r="J1812">
        <v>120.75</v>
      </c>
      <c r="K1812">
        <v>39</v>
      </c>
      <c r="L1812" s="2">
        <v>63</v>
      </c>
      <c r="M1812">
        <v>42</v>
      </c>
      <c r="N1812" s="2">
        <v>46</v>
      </c>
      <c r="O1812">
        <v>4236.59</v>
      </c>
      <c r="P1812">
        <v>3</v>
      </c>
      <c r="Q1812">
        <v>43</v>
      </c>
      <c r="R1812">
        <v>4.51</v>
      </c>
      <c r="S1812">
        <v>9</v>
      </c>
      <c r="T1812">
        <v>58</v>
      </c>
      <c r="U1812" s="2">
        <v>7003.5</v>
      </c>
      <c r="V1812">
        <v>0</v>
      </c>
      <c r="W1812" t="s">
        <v>29</v>
      </c>
      <c r="X1812" t="str">
        <f>IF(Table2[[#This Row],[Qty available]]&gt;Table2[[#This Row],[Qty on hand]],"Check","OK")</f>
        <v>OK</v>
      </c>
    </row>
    <row r="1813" spans="1:24" x14ac:dyDescent="0.3">
      <c r="A1813" t="s">
        <v>211</v>
      </c>
      <c r="B1813" t="s">
        <v>212</v>
      </c>
      <c r="C1813" t="s">
        <v>91</v>
      </c>
      <c r="D1813" t="s">
        <v>92</v>
      </c>
      <c r="E1813" t="s">
        <v>66</v>
      </c>
      <c r="F1813" s="1" t="s">
        <v>40</v>
      </c>
      <c r="G1813" s="2">
        <v>91.24</v>
      </c>
      <c r="H1813">
        <v>91.24</v>
      </c>
      <c r="I1813">
        <v>91.491868999999994</v>
      </c>
      <c r="J1813">
        <v>120.75</v>
      </c>
      <c r="K1813">
        <v>39</v>
      </c>
      <c r="L1813" s="2">
        <v>36</v>
      </c>
      <c r="M1813">
        <v>111</v>
      </c>
      <c r="N1813" s="2">
        <v>107</v>
      </c>
      <c r="O1813">
        <v>9789.6299999999992</v>
      </c>
      <c r="P1813">
        <v>11</v>
      </c>
      <c r="Q1813">
        <v>96</v>
      </c>
      <c r="R1813">
        <v>9.83</v>
      </c>
      <c r="S1813">
        <v>3</v>
      </c>
      <c r="T1813">
        <v>50</v>
      </c>
      <c r="U1813" s="2">
        <v>6037.5</v>
      </c>
      <c r="V1813">
        <v>0</v>
      </c>
      <c r="W1813" t="s">
        <v>29</v>
      </c>
      <c r="X1813" t="str">
        <f>IF(Table2[[#This Row],[Qty available]]&gt;Table2[[#This Row],[Qty on hand]],"Check","OK")</f>
        <v>OK</v>
      </c>
    </row>
    <row r="1814" spans="1:24" x14ac:dyDescent="0.3">
      <c r="A1814" t="s">
        <v>211</v>
      </c>
      <c r="B1814" t="s">
        <v>212</v>
      </c>
      <c r="C1814" t="s">
        <v>91</v>
      </c>
      <c r="D1814" t="s">
        <v>92</v>
      </c>
      <c r="E1814" t="s">
        <v>66</v>
      </c>
      <c r="F1814" s="1" t="s">
        <v>41</v>
      </c>
      <c r="G1814" s="2">
        <v>92.83</v>
      </c>
      <c r="H1814">
        <v>92.83</v>
      </c>
      <c r="I1814">
        <v>91.869043000000005</v>
      </c>
      <c r="J1814">
        <v>120.75</v>
      </c>
      <c r="K1814">
        <v>39</v>
      </c>
      <c r="L1814" s="2">
        <v>35</v>
      </c>
      <c r="M1814">
        <v>42</v>
      </c>
      <c r="N1814" s="2">
        <v>94</v>
      </c>
      <c r="O1814">
        <v>8635.69</v>
      </c>
      <c r="P1814">
        <v>13</v>
      </c>
      <c r="Q1814">
        <v>81</v>
      </c>
      <c r="R1814">
        <v>7.58</v>
      </c>
      <c r="S1814">
        <v>0</v>
      </c>
      <c r="T1814">
        <v>55</v>
      </c>
      <c r="U1814" s="2">
        <v>6641.25</v>
      </c>
      <c r="V1814">
        <v>0</v>
      </c>
      <c r="W1814" t="s">
        <v>29</v>
      </c>
      <c r="X1814" t="str">
        <f>IF(Table2[[#This Row],[Qty available]]&gt;Table2[[#This Row],[Qty on hand]],"Check","OK")</f>
        <v>OK</v>
      </c>
    </row>
    <row r="1815" spans="1:24" x14ac:dyDescent="0.3">
      <c r="A1815" t="s">
        <v>211</v>
      </c>
      <c r="B1815" t="s">
        <v>212</v>
      </c>
      <c r="C1815" t="s">
        <v>91</v>
      </c>
      <c r="D1815" t="s">
        <v>92</v>
      </c>
      <c r="E1815" t="s">
        <v>66</v>
      </c>
      <c r="F1815" s="1" t="s">
        <v>42</v>
      </c>
      <c r="G1815" s="2">
        <v>98.69</v>
      </c>
      <c r="H1815">
        <v>98.69</v>
      </c>
      <c r="I1815">
        <v>95.333071000000004</v>
      </c>
      <c r="J1815">
        <v>120.75</v>
      </c>
      <c r="K1815">
        <v>39</v>
      </c>
      <c r="L1815" s="2">
        <v>35</v>
      </c>
      <c r="M1815">
        <v>97</v>
      </c>
      <c r="N1815" s="2">
        <v>140</v>
      </c>
      <c r="O1815">
        <v>13346.63</v>
      </c>
      <c r="P1815">
        <v>10</v>
      </c>
      <c r="Q1815">
        <v>130</v>
      </c>
      <c r="R1815">
        <v>11.79</v>
      </c>
      <c r="S1815">
        <v>3</v>
      </c>
      <c r="T1815">
        <v>51</v>
      </c>
      <c r="U1815" s="2">
        <v>6158.25</v>
      </c>
      <c r="V1815">
        <v>0</v>
      </c>
      <c r="W1815" t="s">
        <v>29</v>
      </c>
      <c r="X1815" t="str">
        <f>IF(Table2[[#This Row],[Qty available]]&gt;Table2[[#This Row],[Qty on hand]],"Check","OK")</f>
        <v>OK</v>
      </c>
    </row>
    <row r="1816" spans="1:24" x14ac:dyDescent="0.3">
      <c r="A1816" t="s">
        <v>211</v>
      </c>
      <c r="B1816" t="s">
        <v>212</v>
      </c>
      <c r="C1816" t="s">
        <v>91</v>
      </c>
      <c r="D1816" t="s">
        <v>92</v>
      </c>
      <c r="E1816" t="s">
        <v>66</v>
      </c>
      <c r="F1816" s="1" t="s">
        <v>43</v>
      </c>
      <c r="G1816" s="2">
        <v>95.89</v>
      </c>
      <c r="H1816">
        <v>95.89</v>
      </c>
      <c r="I1816">
        <v>95.333108999999993</v>
      </c>
      <c r="J1816">
        <v>120.75</v>
      </c>
      <c r="K1816">
        <v>39</v>
      </c>
      <c r="M1816">
        <v>0</v>
      </c>
      <c r="N1816" s="2">
        <v>119</v>
      </c>
      <c r="O1816">
        <v>11344.64</v>
      </c>
      <c r="P1816">
        <v>13</v>
      </c>
      <c r="Q1816">
        <v>106</v>
      </c>
      <c r="R1816">
        <v>12.18</v>
      </c>
      <c r="S1816">
        <v>4</v>
      </c>
      <c r="T1816">
        <v>21</v>
      </c>
      <c r="U1816" s="2">
        <v>2535.75</v>
      </c>
      <c r="V1816">
        <v>0</v>
      </c>
      <c r="W1816" t="s">
        <v>29</v>
      </c>
      <c r="X1816" t="str">
        <f>IF(Table2[[#This Row],[Qty available]]&gt;Table2[[#This Row],[Qty on hand]],"Check","OK")</f>
        <v>OK</v>
      </c>
    </row>
    <row r="1817" spans="1:24" x14ac:dyDescent="0.3">
      <c r="A1817" t="s">
        <v>211</v>
      </c>
      <c r="B1817" t="s">
        <v>212</v>
      </c>
      <c r="C1817" t="s">
        <v>91</v>
      </c>
      <c r="D1817" t="s">
        <v>92</v>
      </c>
      <c r="E1817" t="s">
        <v>66</v>
      </c>
      <c r="F1817" s="1" t="s">
        <v>44</v>
      </c>
      <c r="G1817" s="2">
        <v>97.4</v>
      </c>
      <c r="H1817">
        <v>97.4</v>
      </c>
      <c r="I1817">
        <v>95.872236999999998</v>
      </c>
      <c r="J1817">
        <v>120.75</v>
      </c>
      <c r="K1817">
        <v>39</v>
      </c>
      <c r="L1817" s="2">
        <v>34</v>
      </c>
      <c r="M1817">
        <v>42</v>
      </c>
      <c r="N1817" s="2">
        <v>76</v>
      </c>
      <c r="O1817">
        <v>7286.29</v>
      </c>
      <c r="P1817">
        <v>14</v>
      </c>
      <c r="Q1817">
        <v>62</v>
      </c>
      <c r="R1817">
        <v>6.36</v>
      </c>
      <c r="S1817">
        <v>0</v>
      </c>
      <c r="T1817">
        <v>85</v>
      </c>
      <c r="U1817" s="2">
        <v>10263.75</v>
      </c>
      <c r="V1817">
        <v>0</v>
      </c>
      <c r="W1817" t="s">
        <v>29</v>
      </c>
      <c r="X1817" t="str">
        <f>IF(Table2[[#This Row],[Qty available]]&gt;Table2[[#This Row],[Qty on hand]],"Check","OK")</f>
        <v>OK</v>
      </c>
    </row>
    <row r="1818" spans="1:24" x14ac:dyDescent="0.3">
      <c r="A1818" t="s">
        <v>211</v>
      </c>
      <c r="B1818" t="s">
        <v>212</v>
      </c>
      <c r="C1818" t="s">
        <v>91</v>
      </c>
      <c r="D1818" t="s">
        <v>92</v>
      </c>
      <c r="E1818" t="s">
        <v>66</v>
      </c>
      <c r="F1818" s="1" t="s">
        <v>45</v>
      </c>
      <c r="G1818" s="2">
        <v>98.82</v>
      </c>
      <c r="H1818">
        <v>98.82</v>
      </c>
      <c r="I1818">
        <v>96.921391999999997</v>
      </c>
      <c r="J1818">
        <v>120.75</v>
      </c>
      <c r="K1818">
        <v>39</v>
      </c>
      <c r="L1818" s="2">
        <v>38</v>
      </c>
      <c r="M1818">
        <v>42</v>
      </c>
      <c r="N1818" s="2">
        <v>79</v>
      </c>
      <c r="O1818">
        <v>7656.79</v>
      </c>
      <c r="P1818">
        <v>3</v>
      </c>
      <c r="Q1818">
        <v>76</v>
      </c>
      <c r="R1818">
        <v>7.16</v>
      </c>
      <c r="S1818">
        <v>4</v>
      </c>
      <c r="T1818">
        <v>39</v>
      </c>
      <c r="U1818" s="2">
        <v>4709.25</v>
      </c>
      <c r="V1818">
        <v>0</v>
      </c>
      <c r="W1818" t="s">
        <v>29</v>
      </c>
      <c r="X1818" t="str">
        <f>IF(Table2[[#This Row],[Qty available]]&gt;Table2[[#This Row],[Qty on hand]],"Check","OK")</f>
        <v>OK</v>
      </c>
    </row>
    <row r="1819" spans="1:24" x14ac:dyDescent="0.3">
      <c r="A1819" t="s">
        <v>211</v>
      </c>
      <c r="B1819" t="s">
        <v>212</v>
      </c>
      <c r="C1819" t="s">
        <v>91</v>
      </c>
      <c r="D1819" t="s">
        <v>92</v>
      </c>
      <c r="E1819" t="s">
        <v>66</v>
      </c>
      <c r="F1819" s="1" t="s">
        <v>46</v>
      </c>
      <c r="G1819" s="2">
        <v>99.24</v>
      </c>
      <c r="H1819">
        <v>99.24</v>
      </c>
      <c r="I1819">
        <v>97.726207000000002</v>
      </c>
      <c r="J1819">
        <v>124.94</v>
      </c>
      <c r="K1819">
        <v>39</v>
      </c>
      <c r="L1819" s="2">
        <v>36</v>
      </c>
      <c r="M1819">
        <v>42</v>
      </c>
      <c r="N1819" s="2">
        <v>87</v>
      </c>
      <c r="O1819">
        <v>8502.18</v>
      </c>
      <c r="P1819">
        <v>14</v>
      </c>
      <c r="Q1819">
        <v>73</v>
      </c>
      <c r="R1819">
        <v>7.08</v>
      </c>
      <c r="S1819">
        <v>1</v>
      </c>
      <c r="T1819">
        <v>34</v>
      </c>
      <c r="U1819" s="2">
        <v>4247.96</v>
      </c>
      <c r="V1819">
        <v>0</v>
      </c>
      <c r="W1819" t="s">
        <v>29</v>
      </c>
      <c r="X1819" t="str">
        <f>IF(Table2[[#This Row],[Qty available]]&gt;Table2[[#This Row],[Qty on hand]],"Check","OK")</f>
        <v>OK</v>
      </c>
    </row>
    <row r="1820" spans="1:24" x14ac:dyDescent="0.3">
      <c r="A1820" t="s">
        <v>211</v>
      </c>
      <c r="B1820" t="s">
        <v>212</v>
      </c>
      <c r="C1820" t="s">
        <v>91</v>
      </c>
      <c r="D1820" t="s">
        <v>92</v>
      </c>
      <c r="E1820" t="s">
        <v>66</v>
      </c>
      <c r="F1820" s="1" t="s">
        <v>47</v>
      </c>
      <c r="G1820" s="2">
        <v>97.06</v>
      </c>
      <c r="H1820">
        <v>97.06</v>
      </c>
      <c r="I1820">
        <v>97.726249999999993</v>
      </c>
      <c r="J1820">
        <v>124.94</v>
      </c>
      <c r="K1820">
        <v>39</v>
      </c>
      <c r="M1820">
        <v>0</v>
      </c>
      <c r="N1820" s="2">
        <v>32</v>
      </c>
      <c r="O1820">
        <v>3127.24</v>
      </c>
      <c r="P1820">
        <v>13</v>
      </c>
      <c r="Q1820">
        <v>19</v>
      </c>
      <c r="R1820">
        <v>3.21</v>
      </c>
      <c r="S1820">
        <v>1</v>
      </c>
      <c r="T1820">
        <v>55</v>
      </c>
      <c r="U1820" s="2">
        <v>6871.7</v>
      </c>
      <c r="V1820">
        <v>0</v>
      </c>
      <c r="W1820" t="s">
        <v>29</v>
      </c>
      <c r="X1820" t="str">
        <f>IF(Table2[[#This Row],[Qty available]]&gt;Table2[[#This Row],[Qty on hand]],"Check","OK")</f>
        <v>OK</v>
      </c>
    </row>
    <row r="1821" spans="1:24" x14ac:dyDescent="0.3">
      <c r="A1821" t="s">
        <v>211</v>
      </c>
      <c r="B1821" t="s">
        <v>212</v>
      </c>
      <c r="C1821" t="s">
        <v>91</v>
      </c>
      <c r="D1821" t="s">
        <v>92</v>
      </c>
      <c r="E1821" t="s">
        <v>66</v>
      </c>
      <c r="F1821" s="1" t="s">
        <v>48</v>
      </c>
      <c r="G1821" s="2">
        <v>98.05</v>
      </c>
      <c r="H1821">
        <v>98.05</v>
      </c>
      <c r="I1821">
        <v>97.988</v>
      </c>
      <c r="J1821">
        <v>124.94</v>
      </c>
      <c r="K1821">
        <v>39</v>
      </c>
      <c r="L1821" s="2">
        <v>36</v>
      </c>
      <c r="M1821">
        <v>135</v>
      </c>
      <c r="N1821" s="2">
        <v>130</v>
      </c>
      <c r="O1821">
        <v>12738.44</v>
      </c>
      <c r="P1821">
        <v>8</v>
      </c>
      <c r="Q1821">
        <v>122</v>
      </c>
      <c r="R1821">
        <v>13.12</v>
      </c>
      <c r="S1821">
        <v>0</v>
      </c>
      <c r="T1821">
        <v>37</v>
      </c>
      <c r="U1821" s="2">
        <v>4622.78</v>
      </c>
      <c r="V1821">
        <v>0</v>
      </c>
      <c r="W1821" t="s">
        <v>29</v>
      </c>
      <c r="X1821" t="str">
        <f>IF(Table2[[#This Row],[Qty available]]&gt;Table2[[#This Row],[Qty on hand]],"Check","OK")</f>
        <v>OK</v>
      </c>
    </row>
    <row r="1822" spans="1:24" x14ac:dyDescent="0.3">
      <c r="A1822" t="s">
        <v>211</v>
      </c>
      <c r="B1822" t="s">
        <v>212</v>
      </c>
      <c r="C1822" t="s">
        <v>91</v>
      </c>
      <c r="D1822" t="s">
        <v>92</v>
      </c>
      <c r="E1822" t="s">
        <v>66</v>
      </c>
      <c r="F1822" s="1" t="s">
        <v>49</v>
      </c>
      <c r="G1822" s="2">
        <v>98.74</v>
      </c>
      <c r="H1822">
        <v>98.74</v>
      </c>
      <c r="I1822">
        <v>98.171640999999994</v>
      </c>
      <c r="J1822">
        <v>124.94</v>
      </c>
      <c r="K1822">
        <v>39</v>
      </c>
      <c r="L1822" s="2">
        <v>38</v>
      </c>
      <c r="M1822">
        <v>42</v>
      </c>
      <c r="N1822" s="2">
        <v>128</v>
      </c>
      <c r="O1822">
        <v>12565.97</v>
      </c>
      <c r="P1822">
        <v>10</v>
      </c>
      <c r="Q1822">
        <v>118</v>
      </c>
      <c r="R1822">
        <v>12.37</v>
      </c>
      <c r="S1822">
        <v>0</v>
      </c>
      <c r="T1822">
        <v>44</v>
      </c>
      <c r="U1822" s="2">
        <v>5497.36</v>
      </c>
      <c r="V1822">
        <v>0</v>
      </c>
      <c r="W1822" t="s">
        <v>29</v>
      </c>
      <c r="X1822" t="str">
        <f>IF(Table2[[#This Row],[Qty available]]&gt;Table2[[#This Row],[Qty on hand]],"Check","OK")</f>
        <v>OK</v>
      </c>
    </row>
    <row r="1823" spans="1:24" x14ac:dyDescent="0.3">
      <c r="A1823" t="s">
        <v>211</v>
      </c>
      <c r="B1823" t="s">
        <v>212</v>
      </c>
      <c r="C1823" t="s">
        <v>91</v>
      </c>
      <c r="D1823" t="s">
        <v>92</v>
      </c>
      <c r="E1823" t="s">
        <v>66</v>
      </c>
      <c r="F1823" s="1" t="s">
        <v>50</v>
      </c>
      <c r="G1823" s="2">
        <v>96.99</v>
      </c>
      <c r="H1823">
        <v>96.99</v>
      </c>
      <c r="I1823">
        <v>97.874474000000006</v>
      </c>
      <c r="J1823">
        <v>124.94</v>
      </c>
      <c r="K1823">
        <v>39</v>
      </c>
      <c r="L1823" s="2">
        <v>35</v>
      </c>
      <c r="M1823">
        <v>43</v>
      </c>
      <c r="N1823" s="2">
        <v>152</v>
      </c>
      <c r="O1823">
        <v>14876.92</v>
      </c>
      <c r="P1823">
        <v>4</v>
      </c>
      <c r="Q1823">
        <v>148</v>
      </c>
      <c r="R1823">
        <v>19.760000000000002</v>
      </c>
      <c r="S1823">
        <v>5</v>
      </c>
      <c r="T1823">
        <v>19</v>
      </c>
      <c r="U1823" s="2">
        <v>2373.86</v>
      </c>
      <c r="V1823">
        <v>0</v>
      </c>
      <c r="W1823" t="s">
        <v>29</v>
      </c>
      <c r="X1823" t="str">
        <f>IF(Table2[[#This Row],[Qty available]]&gt;Table2[[#This Row],[Qty on hand]],"Check","OK")</f>
        <v>OK</v>
      </c>
    </row>
    <row r="1824" spans="1:24" x14ac:dyDescent="0.3">
      <c r="A1824" t="s">
        <v>211</v>
      </c>
      <c r="B1824" t="s">
        <v>212</v>
      </c>
      <c r="C1824" t="s">
        <v>91</v>
      </c>
      <c r="D1824" t="s">
        <v>92</v>
      </c>
      <c r="E1824" t="s">
        <v>66</v>
      </c>
      <c r="F1824" s="1" t="s">
        <v>51</v>
      </c>
      <c r="G1824" s="2">
        <v>97.5</v>
      </c>
      <c r="H1824">
        <v>97.5</v>
      </c>
      <c r="I1824">
        <v>97.793383000000006</v>
      </c>
      <c r="J1824">
        <v>124.94</v>
      </c>
      <c r="K1824">
        <v>39</v>
      </c>
      <c r="L1824" s="2">
        <v>37</v>
      </c>
      <c r="M1824">
        <v>42</v>
      </c>
      <c r="N1824" s="2">
        <v>133</v>
      </c>
      <c r="O1824">
        <v>13006.52</v>
      </c>
      <c r="P1824">
        <v>7</v>
      </c>
      <c r="Q1824">
        <v>126</v>
      </c>
      <c r="R1824">
        <v>14.1</v>
      </c>
      <c r="S1824">
        <v>0</v>
      </c>
      <c r="T1824">
        <v>61</v>
      </c>
      <c r="U1824" s="2">
        <v>7621.34</v>
      </c>
      <c r="V1824">
        <v>0</v>
      </c>
      <c r="W1824" t="s">
        <v>29</v>
      </c>
      <c r="X1824" t="str">
        <f>IF(Table2[[#This Row],[Qty available]]&gt;Table2[[#This Row],[Qty on hand]],"Check","OK")</f>
        <v>OK</v>
      </c>
    </row>
    <row r="1825" spans="1:24" x14ac:dyDescent="0.3">
      <c r="A1825" t="s">
        <v>211</v>
      </c>
      <c r="B1825" t="s">
        <v>212</v>
      </c>
      <c r="C1825" t="s">
        <v>91</v>
      </c>
      <c r="D1825" t="s">
        <v>92</v>
      </c>
      <c r="E1825" t="s">
        <v>66</v>
      </c>
      <c r="F1825" s="1" t="s">
        <v>52</v>
      </c>
      <c r="G1825" s="2">
        <v>98.21</v>
      </c>
      <c r="H1825">
        <v>98.21</v>
      </c>
      <c r="I1825">
        <v>97.793363999999997</v>
      </c>
      <c r="J1825">
        <v>124.94</v>
      </c>
      <c r="K1825">
        <v>39</v>
      </c>
      <c r="M1825">
        <v>0</v>
      </c>
      <c r="N1825" s="2">
        <v>107</v>
      </c>
      <c r="O1825">
        <v>10463.89</v>
      </c>
      <c r="P1825">
        <v>10</v>
      </c>
      <c r="Q1825">
        <v>97</v>
      </c>
      <c r="R1825">
        <v>13.27</v>
      </c>
      <c r="S1825">
        <v>13</v>
      </c>
      <c r="T1825">
        <v>26</v>
      </c>
      <c r="U1825" s="2">
        <v>3248.44</v>
      </c>
      <c r="V1825">
        <v>0</v>
      </c>
      <c r="W1825" t="s">
        <v>29</v>
      </c>
      <c r="X1825" t="str">
        <f>IF(Table2[[#This Row],[Qty available]]&gt;Table2[[#This Row],[Qty on hand]],"Check","OK")</f>
        <v>OK</v>
      </c>
    </row>
    <row r="1826" spans="1:24" x14ac:dyDescent="0.3">
      <c r="A1826" t="s">
        <v>213</v>
      </c>
      <c r="B1826" t="s">
        <v>214</v>
      </c>
      <c r="C1826" t="s">
        <v>91</v>
      </c>
      <c r="D1826" t="s">
        <v>92</v>
      </c>
      <c r="E1826" t="s">
        <v>66</v>
      </c>
      <c r="F1826" s="1" t="s">
        <v>28</v>
      </c>
      <c r="G1826" s="2">
        <v>48.23</v>
      </c>
      <c r="H1826">
        <v>48.23</v>
      </c>
      <c r="I1826">
        <v>47.485970999999999</v>
      </c>
      <c r="J1826">
        <v>70.12</v>
      </c>
      <c r="K1826">
        <v>31</v>
      </c>
      <c r="L1826" s="2">
        <v>30</v>
      </c>
      <c r="M1826">
        <v>122</v>
      </c>
      <c r="N1826" s="2">
        <v>278</v>
      </c>
      <c r="O1826">
        <v>13201.1</v>
      </c>
      <c r="P1826">
        <v>28</v>
      </c>
      <c r="Q1826">
        <v>250</v>
      </c>
      <c r="R1826">
        <v>7.93</v>
      </c>
      <c r="S1826">
        <v>1</v>
      </c>
      <c r="T1826">
        <v>187</v>
      </c>
      <c r="U1826" s="2">
        <v>13112.44</v>
      </c>
      <c r="V1826">
        <v>0</v>
      </c>
      <c r="W1826" t="s">
        <v>29</v>
      </c>
      <c r="X1826" t="str">
        <f>IF(Table2[[#This Row],[Qty available]]&gt;Table2[[#This Row],[Qty on hand]],"Check","OK")</f>
        <v>OK</v>
      </c>
    </row>
    <row r="1827" spans="1:24" x14ac:dyDescent="0.3">
      <c r="A1827" t="s">
        <v>213</v>
      </c>
      <c r="B1827" t="s">
        <v>214</v>
      </c>
      <c r="C1827" t="s">
        <v>91</v>
      </c>
      <c r="D1827" t="s">
        <v>92</v>
      </c>
      <c r="E1827" t="s">
        <v>66</v>
      </c>
      <c r="F1827" s="1" t="s">
        <v>30</v>
      </c>
      <c r="G1827" s="2">
        <v>49.67</v>
      </c>
      <c r="H1827">
        <v>49.67</v>
      </c>
      <c r="I1827">
        <v>47.997388999999998</v>
      </c>
      <c r="J1827">
        <v>70.12</v>
      </c>
      <c r="K1827">
        <v>31</v>
      </c>
      <c r="L1827" s="2">
        <v>29</v>
      </c>
      <c r="M1827">
        <v>85</v>
      </c>
      <c r="N1827" s="2">
        <v>180</v>
      </c>
      <c r="O1827">
        <v>8639.5300000000007</v>
      </c>
      <c r="P1827">
        <v>49</v>
      </c>
      <c r="Q1827">
        <v>131</v>
      </c>
      <c r="R1827">
        <v>3.99</v>
      </c>
      <c r="S1827">
        <v>0</v>
      </c>
      <c r="T1827">
        <v>183</v>
      </c>
      <c r="U1827" s="2">
        <v>12831.96</v>
      </c>
      <c r="V1827">
        <v>0</v>
      </c>
      <c r="W1827" t="s">
        <v>29</v>
      </c>
      <c r="X1827" t="str">
        <f>IF(Table2[[#This Row],[Qty available]]&gt;Table2[[#This Row],[Qty on hand]],"Check","OK")</f>
        <v>OK</v>
      </c>
    </row>
    <row r="1828" spans="1:24" x14ac:dyDescent="0.3">
      <c r="A1828" t="s">
        <v>213</v>
      </c>
      <c r="B1828" t="s">
        <v>214</v>
      </c>
      <c r="C1828" t="s">
        <v>91</v>
      </c>
      <c r="D1828" t="s">
        <v>92</v>
      </c>
      <c r="E1828" t="s">
        <v>66</v>
      </c>
      <c r="F1828" s="1" t="s">
        <v>31</v>
      </c>
      <c r="G1828" s="2">
        <v>51.11</v>
      </c>
      <c r="H1828">
        <v>51.11</v>
      </c>
      <c r="I1828">
        <v>49.518352</v>
      </c>
      <c r="J1828">
        <v>70.12</v>
      </c>
      <c r="K1828">
        <v>31</v>
      </c>
      <c r="L1828" s="2">
        <v>28</v>
      </c>
      <c r="M1828">
        <v>172</v>
      </c>
      <c r="N1828" s="2">
        <v>91</v>
      </c>
      <c r="O1828">
        <v>4506.17</v>
      </c>
      <c r="P1828">
        <v>56</v>
      </c>
      <c r="Q1828">
        <v>35</v>
      </c>
      <c r="R1828">
        <v>1.87</v>
      </c>
      <c r="S1828">
        <v>0</v>
      </c>
      <c r="T1828">
        <v>261</v>
      </c>
      <c r="U1828" s="2">
        <v>18301.32</v>
      </c>
      <c r="V1828">
        <v>0</v>
      </c>
      <c r="W1828" t="s">
        <v>29</v>
      </c>
      <c r="X1828" t="str">
        <f>IF(Table2[[#This Row],[Qty available]]&gt;Table2[[#This Row],[Qty on hand]],"Check","OK")</f>
        <v>OK</v>
      </c>
    </row>
    <row r="1829" spans="1:24" x14ac:dyDescent="0.3">
      <c r="A1829" t="s">
        <v>213</v>
      </c>
      <c r="B1829" t="s">
        <v>214</v>
      </c>
      <c r="C1829" t="s">
        <v>91</v>
      </c>
      <c r="D1829" t="s">
        <v>92</v>
      </c>
      <c r="E1829" t="s">
        <v>66</v>
      </c>
      <c r="F1829" s="1" t="s">
        <v>32</v>
      </c>
      <c r="G1829" s="2">
        <v>50.32</v>
      </c>
      <c r="H1829">
        <v>50.32</v>
      </c>
      <c r="I1829">
        <v>50.191561</v>
      </c>
      <c r="J1829">
        <v>70.12</v>
      </c>
      <c r="K1829">
        <v>31</v>
      </c>
      <c r="L1829" s="2">
        <v>28</v>
      </c>
      <c r="M1829">
        <v>477</v>
      </c>
      <c r="N1829" s="2">
        <v>378</v>
      </c>
      <c r="O1829">
        <v>18972.41</v>
      </c>
      <c r="P1829">
        <v>63</v>
      </c>
      <c r="Q1829">
        <v>315</v>
      </c>
      <c r="R1829">
        <v>7.84</v>
      </c>
      <c r="S1829">
        <v>0</v>
      </c>
      <c r="T1829">
        <v>190</v>
      </c>
      <c r="U1829" s="2">
        <v>13322.8</v>
      </c>
      <c r="V1829">
        <v>0</v>
      </c>
      <c r="W1829" t="s">
        <v>29</v>
      </c>
      <c r="X1829" t="str">
        <f>IF(Table2[[#This Row],[Qty available]]&gt;Table2[[#This Row],[Qty on hand]],"Check","OK")</f>
        <v>OK</v>
      </c>
    </row>
    <row r="1830" spans="1:24" x14ac:dyDescent="0.3">
      <c r="A1830" t="s">
        <v>213</v>
      </c>
      <c r="B1830" t="s">
        <v>214</v>
      </c>
      <c r="C1830" t="s">
        <v>91</v>
      </c>
      <c r="D1830" t="s">
        <v>92</v>
      </c>
      <c r="E1830" t="s">
        <v>66</v>
      </c>
      <c r="F1830" s="1" t="s">
        <v>33</v>
      </c>
      <c r="G1830" s="2">
        <v>49.58</v>
      </c>
      <c r="H1830">
        <v>49.58</v>
      </c>
      <c r="I1830">
        <v>50.077136000000003</v>
      </c>
      <c r="J1830">
        <v>70.12</v>
      </c>
      <c r="K1830">
        <v>31</v>
      </c>
      <c r="L1830" s="2">
        <v>31</v>
      </c>
      <c r="M1830">
        <v>87</v>
      </c>
      <c r="N1830" s="2">
        <v>220</v>
      </c>
      <c r="O1830">
        <v>11016.97</v>
      </c>
      <c r="P1830">
        <v>21</v>
      </c>
      <c r="Q1830">
        <v>199</v>
      </c>
      <c r="R1830">
        <v>4.1500000000000004</v>
      </c>
      <c r="S1830">
        <v>0</v>
      </c>
      <c r="T1830">
        <v>245</v>
      </c>
      <c r="U1830" s="2">
        <v>17179.400000000001</v>
      </c>
      <c r="V1830">
        <v>0</v>
      </c>
      <c r="W1830" t="s">
        <v>29</v>
      </c>
      <c r="X1830" t="str">
        <f>IF(Table2[[#This Row],[Qty available]]&gt;Table2[[#This Row],[Qty on hand]],"Check","OK")</f>
        <v>OK</v>
      </c>
    </row>
    <row r="1831" spans="1:24" x14ac:dyDescent="0.3">
      <c r="A1831" t="s">
        <v>213</v>
      </c>
      <c r="B1831" t="s">
        <v>214</v>
      </c>
      <c r="C1831" t="s">
        <v>91</v>
      </c>
      <c r="D1831" t="s">
        <v>92</v>
      </c>
      <c r="E1831" t="s">
        <v>66</v>
      </c>
      <c r="F1831" s="1" t="s">
        <v>34</v>
      </c>
      <c r="G1831" s="2">
        <v>49.54</v>
      </c>
      <c r="H1831">
        <v>49.54</v>
      </c>
      <c r="I1831">
        <v>50.077136000000003</v>
      </c>
      <c r="J1831">
        <v>72.48</v>
      </c>
      <c r="K1831">
        <v>31</v>
      </c>
      <c r="M1831">
        <v>0</v>
      </c>
      <c r="N1831" s="2">
        <v>0</v>
      </c>
      <c r="O1831">
        <v>0</v>
      </c>
      <c r="P1831">
        <v>0</v>
      </c>
      <c r="Q1831">
        <v>0</v>
      </c>
      <c r="R1831">
        <v>0</v>
      </c>
      <c r="S1831">
        <v>5</v>
      </c>
      <c r="T1831">
        <v>220</v>
      </c>
      <c r="U1831" s="2">
        <v>15945.6</v>
      </c>
      <c r="V1831">
        <v>103</v>
      </c>
      <c r="W1831" t="s">
        <v>59</v>
      </c>
      <c r="X1831" t="str">
        <f>IF(Table2[[#This Row],[Qty available]]&gt;Table2[[#This Row],[Qty on hand]],"Check","OK")</f>
        <v>OK</v>
      </c>
    </row>
    <row r="1832" spans="1:24" x14ac:dyDescent="0.3">
      <c r="A1832" t="s">
        <v>213</v>
      </c>
      <c r="B1832" t="s">
        <v>214</v>
      </c>
      <c r="C1832" t="s">
        <v>91</v>
      </c>
      <c r="D1832" t="s">
        <v>92</v>
      </c>
      <c r="E1832" t="s">
        <v>66</v>
      </c>
      <c r="F1832" s="1" t="s">
        <v>35</v>
      </c>
      <c r="G1832" s="2">
        <v>50.82</v>
      </c>
      <c r="H1832">
        <v>50.82</v>
      </c>
      <c r="I1832">
        <v>50.82</v>
      </c>
      <c r="J1832">
        <v>72.48</v>
      </c>
      <c r="K1832">
        <v>31</v>
      </c>
      <c r="L1832" s="2">
        <v>31</v>
      </c>
      <c r="M1832">
        <v>125</v>
      </c>
      <c r="N1832" s="2">
        <v>0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125</v>
      </c>
      <c r="U1832" s="2">
        <v>9060</v>
      </c>
      <c r="V1832">
        <v>139</v>
      </c>
      <c r="W1832" t="s">
        <v>59</v>
      </c>
      <c r="X1832" t="str">
        <f>IF(Table2[[#This Row],[Qty available]]&gt;Table2[[#This Row],[Qty on hand]],"Check","OK")</f>
        <v>OK</v>
      </c>
    </row>
    <row r="1833" spans="1:24" x14ac:dyDescent="0.3">
      <c r="A1833" t="s">
        <v>213</v>
      </c>
      <c r="B1833" t="s">
        <v>214</v>
      </c>
      <c r="C1833" t="s">
        <v>91</v>
      </c>
      <c r="D1833" t="s">
        <v>92</v>
      </c>
      <c r="E1833" t="s">
        <v>66</v>
      </c>
      <c r="F1833" s="1" t="s">
        <v>36</v>
      </c>
      <c r="G1833" s="2">
        <v>50</v>
      </c>
      <c r="H1833">
        <v>50</v>
      </c>
      <c r="I1833">
        <v>50</v>
      </c>
      <c r="J1833">
        <v>72.48</v>
      </c>
      <c r="K1833">
        <v>31</v>
      </c>
      <c r="L1833" s="2">
        <v>41</v>
      </c>
      <c r="M1833">
        <v>161</v>
      </c>
      <c r="N1833" s="2">
        <v>41</v>
      </c>
      <c r="O1833">
        <v>2050</v>
      </c>
      <c r="P1833">
        <v>21</v>
      </c>
      <c r="Q1833">
        <v>20</v>
      </c>
      <c r="R1833">
        <v>1.1200000000000001</v>
      </c>
      <c r="S1833">
        <v>7</v>
      </c>
      <c r="T1833">
        <v>120</v>
      </c>
      <c r="U1833" s="2">
        <v>8697.6</v>
      </c>
      <c r="V1833">
        <v>0</v>
      </c>
      <c r="W1833" t="s">
        <v>29</v>
      </c>
      <c r="X1833" t="str">
        <f>IF(Table2[[#This Row],[Qty available]]&gt;Table2[[#This Row],[Qty on hand]],"Check","OK")</f>
        <v>OK</v>
      </c>
    </row>
    <row r="1834" spans="1:24" x14ac:dyDescent="0.3">
      <c r="A1834" t="s">
        <v>213</v>
      </c>
      <c r="B1834" t="s">
        <v>214</v>
      </c>
      <c r="C1834" t="s">
        <v>91</v>
      </c>
      <c r="D1834" t="s">
        <v>92</v>
      </c>
      <c r="E1834" t="s">
        <v>66</v>
      </c>
      <c r="F1834" s="1" t="s">
        <v>37</v>
      </c>
      <c r="G1834" s="2">
        <v>50.65</v>
      </c>
      <c r="H1834">
        <v>50.65</v>
      </c>
      <c r="I1834">
        <v>50.608032999999999</v>
      </c>
      <c r="J1834">
        <v>72.48</v>
      </c>
      <c r="K1834">
        <v>31</v>
      </c>
      <c r="L1834" s="2">
        <v>29</v>
      </c>
      <c r="M1834">
        <v>594</v>
      </c>
      <c r="N1834" s="2">
        <v>361</v>
      </c>
      <c r="O1834">
        <v>18269.5</v>
      </c>
      <c r="P1834">
        <v>28</v>
      </c>
      <c r="Q1834">
        <v>333</v>
      </c>
      <c r="R1834">
        <v>9.14</v>
      </c>
      <c r="S1834">
        <v>0</v>
      </c>
      <c r="T1834">
        <v>274</v>
      </c>
      <c r="U1834" s="2">
        <v>19859.52</v>
      </c>
      <c r="V1834">
        <v>0</v>
      </c>
      <c r="W1834" t="s">
        <v>29</v>
      </c>
      <c r="X1834" t="str">
        <f>IF(Table2[[#This Row],[Qty available]]&gt;Table2[[#This Row],[Qty on hand]],"Check","OK")</f>
        <v>OK</v>
      </c>
    </row>
    <row r="1835" spans="1:24" x14ac:dyDescent="0.3">
      <c r="A1835" t="s">
        <v>213</v>
      </c>
      <c r="B1835" t="s">
        <v>214</v>
      </c>
      <c r="C1835" t="s">
        <v>91</v>
      </c>
      <c r="D1835" t="s">
        <v>92</v>
      </c>
      <c r="E1835" t="s">
        <v>66</v>
      </c>
      <c r="F1835" s="1" t="s">
        <v>38</v>
      </c>
      <c r="G1835" s="2">
        <v>50.8</v>
      </c>
      <c r="H1835">
        <v>50.8</v>
      </c>
      <c r="I1835">
        <v>50.608047999999997</v>
      </c>
      <c r="J1835">
        <v>72.48</v>
      </c>
      <c r="K1835">
        <v>31</v>
      </c>
      <c r="M1835">
        <v>0</v>
      </c>
      <c r="N1835" s="2">
        <v>251</v>
      </c>
      <c r="O1835">
        <v>12702.62</v>
      </c>
      <c r="P1835">
        <v>35</v>
      </c>
      <c r="Q1835">
        <v>216</v>
      </c>
      <c r="R1835">
        <v>6.47</v>
      </c>
      <c r="S1835">
        <v>5</v>
      </c>
      <c r="T1835">
        <v>110</v>
      </c>
      <c r="U1835" s="2">
        <v>7972.8</v>
      </c>
      <c r="V1835">
        <v>0</v>
      </c>
      <c r="W1835" t="s">
        <v>29</v>
      </c>
      <c r="X1835" t="str">
        <f>IF(Table2[[#This Row],[Qty available]]&gt;Table2[[#This Row],[Qty on hand]],"Check","OK")</f>
        <v>OK</v>
      </c>
    </row>
    <row r="1836" spans="1:24" x14ac:dyDescent="0.3">
      <c r="A1836" t="s">
        <v>213</v>
      </c>
      <c r="B1836" t="s">
        <v>214</v>
      </c>
      <c r="C1836" t="s">
        <v>91</v>
      </c>
      <c r="D1836" t="s">
        <v>92</v>
      </c>
      <c r="E1836" t="s">
        <v>66</v>
      </c>
      <c r="F1836" s="1" t="s">
        <v>39</v>
      </c>
      <c r="G1836" s="2">
        <v>49.8</v>
      </c>
      <c r="H1836">
        <v>49.8</v>
      </c>
      <c r="I1836">
        <v>50.496938999999998</v>
      </c>
      <c r="J1836">
        <v>72.48</v>
      </c>
      <c r="K1836">
        <v>31</v>
      </c>
      <c r="L1836" s="2">
        <v>35</v>
      </c>
      <c r="M1836">
        <v>40</v>
      </c>
      <c r="N1836" s="2">
        <v>49</v>
      </c>
      <c r="O1836">
        <v>2474.35</v>
      </c>
      <c r="P1836">
        <v>49</v>
      </c>
      <c r="Q1836">
        <v>0</v>
      </c>
      <c r="R1836">
        <v>1.03</v>
      </c>
      <c r="S1836">
        <v>0</v>
      </c>
      <c r="T1836">
        <v>242</v>
      </c>
      <c r="U1836" s="2">
        <v>17540.16</v>
      </c>
      <c r="V1836">
        <v>0</v>
      </c>
      <c r="W1836" t="s">
        <v>29</v>
      </c>
      <c r="X1836" t="str">
        <f>IF(Table2[[#This Row],[Qty available]]&gt;Table2[[#This Row],[Qty on hand]],"Check","OK")</f>
        <v>OK</v>
      </c>
    </row>
    <row r="1837" spans="1:24" x14ac:dyDescent="0.3">
      <c r="A1837" t="s">
        <v>213</v>
      </c>
      <c r="B1837" t="s">
        <v>214</v>
      </c>
      <c r="C1837" t="s">
        <v>91</v>
      </c>
      <c r="D1837" t="s">
        <v>92</v>
      </c>
      <c r="E1837" t="s">
        <v>66</v>
      </c>
      <c r="F1837" s="1" t="s">
        <v>40</v>
      </c>
      <c r="G1837" s="2">
        <v>51.25</v>
      </c>
      <c r="H1837">
        <v>51.25</v>
      </c>
      <c r="I1837">
        <v>51.151330999999999</v>
      </c>
      <c r="J1837">
        <v>72.48</v>
      </c>
      <c r="K1837">
        <v>31</v>
      </c>
      <c r="L1837" s="2">
        <v>53</v>
      </c>
      <c r="M1837">
        <v>325</v>
      </c>
      <c r="N1837" s="2">
        <v>323</v>
      </c>
      <c r="O1837">
        <v>16521.88</v>
      </c>
      <c r="P1837">
        <v>49</v>
      </c>
      <c r="Q1837">
        <v>274</v>
      </c>
      <c r="R1837">
        <v>10.53</v>
      </c>
      <c r="S1837">
        <v>0</v>
      </c>
      <c r="T1837">
        <v>51</v>
      </c>
      <c r="U1837" s="2">
        <v>3696.48</v>
      </c>
      <c r="V1837">
        <v>0</v>
      </c>
      <c r="W1837" t="s">
        <v>29</v>
      </c>
      <c r="X1837" t="str">
        <f>IF(Table2[[#This Row],[Qty available]]&gt;Table2[[#This Row],[Qty on hand]],"Check","OK")</f>
        <v>OK</v>
      </c>
    </row>
    <row r="1838" spans="1:24" x14ac:dyDescent="0.3">
      <c r="A1838" t="s">
        <v>213</v>
      </c>
      <c r="B1838" t="s">
        <v>214</v>
      </c>
      <c r="C1838" t="s">
        <v>91</v>
      </c>
      <c r="D1838" t="s">
        <v>92</v>
      </c>
      <c r="E1838" t="s">
        <v>66</v>
      </c>
      <c r="F1838" s="1" t="s">
        <v>41</v>
      </c>
      <c r="G1838" s="2">
        <v>51.2</v>
      </c>
      <c r="H1838">
        <v>51.2</v>
      </c>
      <c r="I1838">
        <v>51.165826000000003</v>
      </c>
      <c r="J1838">
        <v>72.48</v>
      </c>
      <c r="K1838">
        <v>31</v>
      </c>
      <c r="L1838" s="2">
        <v>38</v>
      </c>
      <c r="M1838">
        <v>137</v>
      </c>
      <c r="N1838" s="2">
        <v>230</v>
      </c>
      <c r="O1838">
        <v>11768.14</v>
      </c>
      <c r="P1838">
        <v>49</v>
      </c>
      <c r="Q1838">
        <v>181</v>
      </c>
      <c r="R1838">
        <v>5.78</v>
      </c>
      <c r="S1838">
        <v>1</v>
      </c>
      <c r="T1838">
        <v>230</v>
      </c>
      <c r="U1838" s="2">
        <v>16670.400000000001</v>
      </c>
      <c r="V1838">
        <v>0</v>
      </c>
      <c r="W1838" t="s">
        <v>29</v>
      </c>
      <c r="X1838" t="str">
        <f>IF(Table2[[#This Row],[Qty available]]&gt;Table2[[#This Row],[Qty on hand]],"Check","OK")</f>
        <v>OK</v>
      </c>
    </row>
    <row r="1839" spans="1:24" x14ac:dyDescent="0.3">
      <c r="A1839" t="s">
        <v>213</v>
      </c>
      <c r="B1839" t="s">
        <v>214</v>
      </c>
      <c r="C1839" t="s">
        <v>91</v>
      </c>
      <c r="D1839" t="s">
        <v>92</v>
      </c>
      <c r="E1839" t="s">
        <v>66</v>
      </c>
      <c r="F1839" s="1" t="s">
        <v>42</v>
      </c>
      <c r="G1839" s="2">
        <v>53.46</v>
      </c>
      <c r="H1839">
        <v>53.46</v>
      </c>
      <c r="I1839">
        <v>52.514367</v>
      </c>
      <c r="J1839">
        <v>72.48</v>
      </c>
      <c r="K1839">
        <v>31</v>
      </c>
      <c r="L1839" s="2">
        <v>27</v>
      </c>
      <c r="M1839">
        <v>328</v>
      </c>
      <c r="N1839" s="2">
        <v>403</v>
      </c>
      <c r="O1839">
        <v>21163.29</v>
      </c>
      <c r="P1839">
        <v>63</v>
      </c>
      <c r="Q1839">
        <v>340</v>
      </c>
      <c r="R1839">
        <v>12.15</v>
      </c>
      <c r="S1839">
        <v>0</v>
      </c>
      <c r="T1839">
        <v>155</v>
      </c>
      <c r="U1839" s="2">
        <v>11234.4</v>
      </c>
      <c r="V1839">
        <v>0</v>
      </c>
      <c r="W1839" t="s">
        <v>29</v>
      </c>
      <c r="X1839" t="str">
        <f>IF(Table2[[#This Row],[Qty available]]&gt;Table2[[#This Row],[Qty on hand]],"Check","OK")</f>
        <v>OK</v>
      </c>
    </row>
    <row r="1840" spans="1:24" x14ac:dyDescent="0.3">
      <c r="A1840" t="s">
        <v>213</v>
      </c>
      <c r="B1840" t="s">
        <v>214</v>
      </c>
      <c r="C1840" t="s">
        <v>91</v>
      </c>
      <c r="D1840" t="s">
        <v>92</v>
      </c>
      <c r="E1840" t="s">
        <v>66</v>
      </c>
      <c r="F1840" s="1" t="s">
        <v>43</v>
      </c>
      <c r="G1840" s="2">
        <v>53.52</v>
      </c>
      <c r="H1840">
        <v>53.52</v>
      </c>
      <c r="I1840">
        <v>52.514389000000001</v>
      </c>
      <c r="J1840">
        <v>72.48</v>
      </c>
      <c r="K1840">
        <v>31</v>
      </c>
      <c r="M1840">
        <v>0</v>
      </c>
      <c r="N1840" s="2">
        <v>221</v>
      </c>
      <c r="O1840">
        <v>11605.68</v>
      </c>
      <c r="P1840">
        <v>28</v>
      </c>
      <c r="Q1840">
        <v>193</v>
      </c>
      <c r="R1840">
        <v>5.07</v>
      </c>
      <c r="S1840">
        <v>1</v>
      </c>
      <c r="T1840">
        <v>182</v>
      </c>
      <c r="U1840" s="2">
        <v>13191.36</v>
      </c>
      <c r="V1840">
        <v>0</v>
      </c>
      <c r="W1840" t="s">
        <v>29</v>
      </c>
      <c r="X1840" t="str">
        <f>IF(Table2[[#This Row],[Qty available]]&gt;Table2[[#This Row],[Qty on hand]],"Check","OK")</f>
        <v>OK</v>
      </c>
    </row>
    <row r="1841" spans="1:24" x14ac:dyDescent="0.3">
      <c r="A1841" t="s">
        <v>213</v>
      </c>
      <c r="B1841" t="s">
        <v>214</v>
      </c>
      <c r="C1841" t="s">
        <v>91</v>
      </c>
      <c r="D1841" t="s">
        <v>92</v>
      </c>
      <c r="E1841" t="s">
        <v>66</v>
      </c>
      <c r="F1841" s="1" t="s">
        <v>44</v>
      </c>
      <c r="G1841" s="2">
        <v>52.69</v>
      </c>
      <c r="H1841">
        <v>52.69</v>
      </c>
      <c r="I1841">
        <v>52.598253</v>
      </c>
      <c r="J1841">
        <v>72.48</v>
      </c>
      <c r="K1841">
        <v>31</v>
      </c>
      <c r="L1841" s="2">
        <v>28</v>
      </c>
      <c r="M1841">
        <v>202</v>
      </c>
      <c r="N1841" s="2">
        <v>229</v>
      </c>
      <c r="O1841">
        <v>12045</v>
      </c>
      <c r="P1841">
        <v>21</v>
      </c>
      <c r="Q1841">
        <v>208</v>
      </c>
      <c r="R1841">
        <v>5.67</v>
      </c>
      <c r="S1841">
        <v>0</v>
      </c>
      <c r="T1841">
        <v>194</v>
      </c>
      <c r="U1841" s="2">
        <v>14061.12</v>
      </c>
      <c r="V1841">
        <v>0</v>
      </c>
      <c r="W1841" t="s">
        <v>29</v>
      </c>
      <c r="X1841" t="str">
        <f>IF(Table2[[#This Row],[Qty available]]&gt;Table2[[#This Row],[Qty on hand]],"Check","OK")</f>
        <v>OK</v>
      </c>
    </row>
    <row r="1842" spans="1:24" x14ac:dyDescent="0.3">
      <c r="A1842" t="s">
        <v>213</v>
      </c>
      <c r="B1842" t="s">
        <v>214</v>
      </c>
      <c r="C1842" t="s">
        <v>91</v>
      </c>
      <c r="D1842" t="s">
        <v>92</v>
      </c>
      <c r="E1842" t="s">
        <v>66</v>
      </c>
      <c r="F1842" s="1" t="s">
        <v>45</v>
      </c>
      <c r="G1842" s="2">
        <v>52.9</v>
      </c>
      <c r="H1842">
        <v>52.9</v>
      </c>
      <c r="I1842">
        <v>52.735067000000001</v>
      </c>
      <c r="J1842">
        <v>72.48</v>
      </c>
      <c r="K1842">
        <v>31</v>
      </c>
      <c r="L1842" s="2">
        <v>29</v>
      </c>
      <c r="M1842">
        <v>190</v>
      </c>
      <c r="N1842" s="2">
        <v>223</v>
      </c>
      <c r="O1842">
        <v>11759.92</v>
      </c>
      <c r="P1842">
        <v>70</v>
      </c>
      <c r="Q1842">
        <v>153</v>
      </c>
      <c r="R1842">
        <v>5.12</v>
      </c>
      <c r="S1842">
        <v>3</v>
      </c>
      <c r="T1842">
        <v>196</v>
      </c>
      <c r="U1842" s="2">
        <v>14206.08</v>
      </c>
      <c r="V1842">
        <v>0</v>
      </c>
      <c r="W1842" t="s">
        <v>29</v>
      </c>
      <c r="X1842" t="str">
        <f>IF(Table2[[#This Row],[Qty available]]&gt;Table2[[#This Row],[Qty on hand]],"Check","OK")</f>
        <v>OK</v>
      </c>
    </row>
    <row r="1843" spans="1:24" x14ac:dyDescent="0.3">
      <c r="A1843" t="s">
        <v>213</v>
      </c>
      <c r="B1843" t="s">
        <v>214</v>
      </c>
      <c r="C1843" t="s">
        <v>91</v>
      </c>
      <c r="D1843" t="s">
        <v>92</v>
      </c>
      <c r="E1843" t="s">
        <v>66</v>
      </c>
      <c r="F1843" s="1" t="s">
        <v>46</v>
      </c>
      <c r="G1843" s="2">
        <v>54.16</v>
      </c>
      <c r="H1843">
        <v>54.16</v>
      </c>
      <c r="I1843">
        <v>52.735067000000001</v>
      </c>
      <c r="J1843">
        <v>74.92</v>
      </c>
      <c r="K1843">
        <v>31</v>
      </c>
      <c r="M1843">
        <v>0</v>
      </c>
      <c r="N1843" s="2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223</v>
      </c>
      <c r="U1843" s="2">
        <v>16707.16</v>
      </c>
      <c r="V1843">
        <v>78</v>
      </c>
      <c r="W1843" t="s">
        <v>59</v>
      </c>
      <c r="X1843" t="str">
        <f>IF(Table2[[#This Row],[Qty available]]&gt;Table2[[#This Row],[Qty on hand]],"Check","OK")</f>
        <v>OK</v>
      </c>
    </row>
    <row r="1844" spans="1:24" x14ac:dyDescent="0.3">
      <c r="A1844" t="s">
        <v>213</v>
      </c>
      <c r="B1844" t="s">
        <v>214</v>
      </c>
      <c r="C1844" t="s">
        <v>91</v>
      </c>
      <c r="D1844" t="s">
        <v>92</v>
      </c>
      <c r="E1844" t="s">
        <v>66</v>
      </c>
      <c r="F1844" s="1" t="s">
        <v>47</v>
      </c>
      <c r="G1844" s="2">
        <v>54.19</v>
      </c>
      <c r="H1844">
        <v>54.19</v>
      </c>
      <c r="I1844">
        <v>54.19</v>
      </c>
      <c r="J1844">
        <v>74.92</v>
      </c>
      <c r="K1844">
        <v>31</v>
      </c>
      <c r="L1844" s="2">
        <v>27</v>
      </c>
      <c r="M1844">
        <v>624</v>
      </c>
      <c r="N1844" s="2">
        <v>467</v>
      </c>
      <c r="O1844">
        <v>25306.73</v>
      </c>
      <c r="P1844">
        <v>63</v>
      </c>
      <c r="Q1844">
        <v>404</v>
      </c>
      <c r="R1844">
        <v>10.42</v>
      </c>
      <c r="S1844">
        <v>0</v>
      </c>
      <c r="T1844">
        <v>157</v>
      </c>
      <c r="U1844" s="2">
        <v>11762.44</v>
      </c>
      <c r="V1844">
        <v>0</v>
      </c>
      <c r="W1844" t="s">
        <v>29</v>
      </c>
      <c r="X1844" t="str">
        <f>IF(Table2[[#This Row],[Qty available]]&gt;Table2[[#This Row],[Qty on hand]],"Check","OK")</f>
        <v>OK</v>
      </c>
    </row>
    <row r="1845" spans="1:24" x14ac:dyDescent="0.3">
      <c r="A1845" t="s">
        <v>213</v>
      </c>
      <c r="B1845" t="s">
        <v>214</v>
      </c>
      <c r="C1845" t="s">
        <v>91</v>
      </c>
      <c r="D1845" t="s">
        <v>92</v>
      </c>
      <c r="E1845" t="s">
        <v>66</v>
      </c>
      <c r="F1845" s="1" t="s">
        <v>48</v>
      </c>
      <c r="G1845" s="2">
        <v>54.43</v>
      </c>
      <c r="H1845">
        <v>54.43</v>
      </c>
      <c r="I1845">
        <v>54.19</v>
      </c>
      <c r="J1845">
        <v>74.92</v>
      </c>
      <c r="K1845">
        <v>31</v>
      </c>
      <c r="M1845">
        <v>0</v>
      </c>
      <c r="N1845" s="2">
        <v>268</v>
      </c>
      <c r="O1845">
        <v>14522.92</v>
      </c>
      <c r="P1845">
        <v>42</v>
      </c>
      <c r="Q1845">
        <v>226</v>
      </c>
      <c r="R1845">
        <v>5.89</v>
      </c>
      <c r="S1845">
        <v>2</v>
      </c>
      <c r="T1845">
        <v>199</v>
      </c>
      <c r="U1845" s="2">
        <v>14909.08</v>
      </c>
      <c r="V1845">
        <v>0</v>
      </c>
      <c r="W1845" t="s">
        <v>29</v>
      </c>
      <c r="X1845" t="str">
        <f>IF(Table2[[#This Row],[Qty available]]&gt;Table2[[#This Row],[Qty on hand]],"Check","OK")</f>
        <v>OK</v>
      </c>
    </row>
    <row r="1846" spans="1:24" x14ac:dyDescent="0.3">
      <c r="A1846" t="s">
        <v>213</v>
      </c>
      <c r="B1846" t="s">
        <v>214</v>
      </c>
      <c r="C1846" t="s">
        <v>91</v>
      </c>
      <c r="D1846" t="s">
        <v>92</v>
      </c>
      <c r="E1846" t="s">
        <v>66</v>
      </c>
      <c r="F1846" s="1" t="s">
        <v>49</v>
      </c>
      <c r="G1846" s="2">
        <v>53.26</v>
      </c>
      <c r="H1846">
        <v>53.26</v>
      </c>
      <c r="I1846">
        <v>53.731164999999997</v>
      </c>
      <c r="J1846">
        <v>74.92</v>
      </c>
      <c r="K1846">
        <v>31</v>
      </c>
      <c r="L1846" s="2">
        <v>30</v>
      </c>
      <c r="M1846">
        <v>261</v>
      </c>
      <c r="N1846" s="2">
        <v>266</v>
      </c>
      <c r="O1846">
        <v>14292.49</v>
      </c>
      <c r="P1846">
        <v>70</v>
      </c>
      <c r="Q1846">
        <v>196</v>
      </c>
      <c r="R1846">
        <v>5.65</v>
      </c>
      <c r="S1846">
        <v>0</v>
      </c>
      <c r="T1846">
        <v>263</v>
      </c>
      <c r="U1846" s="2">
        <v>19703.96</v>
      </c>
      <c r="V1846">
        <v>0</v>
      </c>
      <c r="W1846" t="s">
        <v>29</v>
      </c>
      <c r="X1846" t="str">
        <f>IF(Table2[[#This Row],[Qty available]]&gt;Table2[[#This Row],[Qty on hand]],"Check","OK")</f>
        <v>OK</v>
      </c>
    </row>
    <row r="1847" spans="1:24" x14ac:dyDescent="0.3">
      <c r="A1847" t="s">
        <v>213</v>
      </c>
      <c r="B1847" t="s">
        <v>214</v>
      </c>
      <c r="C1847" t="s">
        <v>91</v>
      </c>
      <c r="D1847" t="s">
        <v>92</v>
      </c>
      <c r="E1847" t="s">
        <v>66</v>
      </c>
      <c r="F1847" s="1" t="s">
        <v>50</v>
      </c>
      <c r="G1847" s="2">
        <v>53.73</v>
      </c>
      <c r="H1847">
        <v>53.73</v>
      </c>
      <c r="I1847">
        <v>53.731175999999998</v>
      </c>
      <c r="J1847">
        <v>74.92</v>
      </c>
      <c r="K1847">
        <v>31</v>
      </c>
      <c r="L1847" s="2">
        <v>27</v>
      </c>
      <c r="M1847">
        <v>24</v>
      </c>
      <c r="N1847" s="2">
        <v>34</v>
      </c>
      <c r="O1847">
        <v>1826.86</v>
      </c>
      <c r="P1847">
        <v>34</v>
      </c>
      <c r="Q1847">
        <v>0</v>
      </c>
      <c r="R1847">
        <v>0.62</v>
      </c>
      <c r="S1847">
        <v>4</v>
      </c>
      <c r="T1847">
        <v>256</v>
      </c>
      <c r="U1847" s="2">
        <v>19179.52</v>
      </c>
      <c r="V1847">
        <v>0</v>
      </c>
      <c r="W1847" t="s">
        <v>29</v>
      </c>
      <c r="X1847" t="str">
        <f>IF(Table2[[#This Row],[Qty available]]&gt;Table2[[#This Row],[Qty on hand]],"Check","OK")</f>
        <v>OK</v>
      </c>
    </row>
    <row r="1848" spans="1:24" x14ac:dyDescent="0.3">
      <c r="A1848" t="s">
        <v>213</v>
      </c>
      <c r="B1848" t="s">
        <v>214</v>
      </c>
      <c r="C1848" t="s">
        <v>91</v>
      </c>
      <c r="D1848" t="s">
        <v>92</v>
      </c>
      <c r="E1848" t="s">
        <v>66</v>
      </c>
      <c r="F1848" s="1" t="s">
        <v>51</v>
      </c>
      <c r="G1848" s="2">
        <v>53.73</v>
      </c>
      <c r="H1848">
        <v>53.73</v>
      </c>
      <c r="I1848">
        <v>53.730150000000002</v>
      </c>
      <c r="J1848">
        <v>74.92</v>
      </c>
      <c r="K1848">
        <v>31</v>
      </c>
      <c r="L1848" s="2">
        <v>29</v>
      </c>
      <c r="M1848">
        <v>255</v>
      </c>
      <c r="N1848" s="2">
        <v>266</v>
      </c>
      <c r="O1848">
        <v>14292.22</v>
      </c>
      <c r="P1848">
        <v>14</v>
      </c>
      <c r="Q1848">
        <v>252</v>
      </c>
      <c r="R1848">
        <v>6.45</v>
      </c>
      <c r="S1848">
        <v>11</v>
      </c>
      <c r="T1848">
        <v>23</v>
      </c>
      <c r="U1848" s="2">
        <v>1723.16</v>
      </c>
      <c r="V1848">
        <v>0</v>
      </c>
      <c r="W1848" t="s">
        <v>29</v>
      </c>
      <c r="X1848" t="str">
        <f>IF(Table2[[#This Row],[Qty available]]&gt;Table2[[#This Row],[Qty on hand]],"Check","OK")</f>
        <v>OK</v>
      </c>
    </row>
    <row r="1849" spans="1:24" x14ac:dyDescent="0.3">
      <c r="A1849" t="s">
        <v>213</v>
      </c>
      <c r="B1849" t="s">
        <v>214</v>
      </c>
      <c r="C1849" t="s">
        <v>91</v>
      </c>
      <c r="D1849" t="s">
        <v>92</v>
      </c>
      <c r="E1849" t="s">
        <v>66</v>
      </c>
      <c r="F1849" s="1" t="s">
        <v>52</v>
      </c>
      <c r="G1849" s="2">
        <v>53.99</v>
      </c>
      <c r="H1849">
        <v>53.99</v>
      </c>
      <c r="I1849">
        <v>53.730207999999998</v>
      </c>
      <c r="J1849">
        <v>74.92</v>
      </c>
      <c r="K1849">
        <v>31</v>
      </c>
      <c r="M1849">
        <v>0</v>
      </c>
      <c r="N1849" s="2">
        <v>48</v>
      </c>
      <c r="O1849">
        <v>2579.0500000000002</v>
      </c>
      <c r="P1849">
        <v>48</v>
      </c>
      <c r="Q1849">
        <v>0</v>
      </c>
      <c r="R1849">
        <v>1.27</v>
      </c>
      <c r="S1849">
        <v>1</v>
      </c>
      <c r="T1849">
        <v>218</v>
      </c>
      <c r="U1849" s="2">
        <v>16332.56</v>
      </c>
      <c r="V1849">
        <v>0</v>
      </c>
      <c r="W1849" t="s">
        <v>29</v>
      </c>
      <c r="X1849" t="str">
        <f>IF(Table2[[#This Row],[Qty available]]&gt;Table2[[#This Row],[Qty on hand]],"Check","OK")</f>
        <v>OK</v>
      </c>
    </row>
    <row r="1850" spans="1:24" x14ac:dyDescent="0.3">
      <c r="A1850" t="s">
        <v>215</v>
      </c>
      <c r="B1850" t="s">
        <v>216</v>
      </c>
      <c r="C1850" t="s">
        <v>25</v>
      </c>
      <c r="D1850" t="s">
        <v>26</v>
      </c>
      <c r="E1850" t="s">
        <v>66</v>
      </c>
      <c r="F1850" s="1" t="s">
        <v>28</v>
      </c>
      <c r="G1850" s="2">
        <v>314.39</v>
      </c>
      <c r="H1850">
        <v>314.39</v>
      </c>
      <c r="I1850">
        <v>312.53416700000002</v>
      </c>
      <c r="J1850">
        <v>419.42</v>
      </c>
      <c r="K1850">
        <v>14</v>
      </c>
      <c r="L1850" s="2">
        <v>19</v>
      </c>
      <c r="M1850">
        <v>29</v>
      </c>
      <c r="N1850" s="2">
        <v>48</v>
      </c>
      <c r="O1850">
        <v>15001.64</v>
      </c>
      <c r="P1850">
        <v>4</v>
      </c>
      <c r="Q1850">
        <v>44</v>
      </c>
      <c r="R1850">
        <v>15.39</v>
      </c>
      <c r="S1850">
        <v>6</v>
      </c>
      <c r="T1850">
        <v>4</v>
      </c>
      <c r="U1850" s="2">
        <v>1677.68</v>
      </c>
      <c r="V1850">
        <v>0</v>
      </c>
      <c r="W1850" t="s">
        <v>29</v>
      </c>
      <c r="X1850" t="str">
        <f>IF(Table2[[#This Row],[Qty available]]&gt;Table2[[#This Row],[Qty on hand]],"Check","OK")</f>
        <v>OK</v>
      </c>
    </row>
    <row r="1851" spans="1:24" x14ac:dyDescent="0.3">
      <c r="A1851" t="s">
        <v>215</v>
      </c>
      <c r="B1851" t="s">
        <v>216</v>
      </c>
      <c r="C1851" t="s">
        <v>25</v>
      </c>
      <c r="D1851" t="s">
        <v>26</v>
      </c>
      <c r="E1851" t="s">
        <v>66</v>
      </c>
      <c r="F1851" s="1" t="s">
        <v>30</v>
      </c>
      <c r="G1851" s="2">
        <v>311.23</v>
      </c>
      <c r="H1851">
        <v>311.23</v>
      </c>
      <c r="I1851">
        <v>312.53399999999999</v>
      </c>
      <c r="J1851">
        <v>419.42</v>
      </c>
      <c r="K1851">
        <v>14</v>
      </c>
      <c r="M1851">
        <v>0</v>
      </c>
      <c r="N1851" s="2">
        <v>30</v>
      </c>
      <c r="O1851">
        <v>9376.02</v>
      </c>
      <c r="P1851">
        <v>6</v>
      </c>
      <c r="Q1851">
        <v>24</v>
      </c>
      <c r="R1851">
        <v>9.39</v>
      </c>
      <c r="S1851">
        <v>10</v>
      </c>
      <c r="T1851">
        <v>18</v>
      </c>
      <c r="U1851" s="2">
        <v>7549.56</v>
      </c>
      <c r="V1851">
        <v>0</v>
      </c>
      <c r="W1851" t="s">
        <v>29</v>
      </c>
      <c r="X1851" t="str">
        <f>IF(Table2[[#This Row],[Qty available]]&gt;Table2[[#This Row],[Qty on hand]],"Check","OK")</f>
        <v>OK</v>
      </c>
    </row>
    <row r="1852" spans="1:24" x14ac:dyDescent="0.3">
      <c r="A1852" t="s">
        <v>215</v>
      </c>
      <c r="B1852" t="s">
        <v>216</v>
      </c>
      <c r="C1852" t="s">
        <v>25</v>
      </c>
      <c r="D1852" t="s">
        <v>26</v>
      </c>
      <c r="E1852" t="s">
        <v>66</v>
      </c>
      <c r="F1852" s="1" t="s">
        <v>31</v>
      </c>
      <c r="G1852" s="2">
        <v>309.11</v>
      </c>
      <c r="H1852">
        <v>309.11</v>
      </c>
      <c r="I1852">
        <v>311.1644</v>
      </c>
      <c r="J1852">
        <v>419.42</v>
      </c>
      <c r="K1852">
        <v>14</v>
      </c>
      <c r="L1852" s="2">
        <v>17</v>
      </c>
      <c r="M1852">
        <v>20</v>
      </c>
      <c r="N1852" s="2">
        <v>25</v>
      </c>
      <c r="O1852">
        <v>7779.11</v>
      </c>
      <c r="P1852">
        <v>4</v>
      </c>
      <c r="Q1852">
        <v>21</v>
      </c>
      <c r="R1852">
        <v>6.91</v>
      </c>
      <c r="S1852">
        <v>2</v>
      </c>
      <c r="T1852">
        <v>25</v>
      </c>
      <c r="U1852" s="2">
        <v>10485.5</v>
      </c>
      <c r="V1852">
        <v>0</v>
      </c>
      <c r="W1852" t="s">
        <v>29</v>
      </c>
      <c r="X1852" t="str">
        <f>IF(Table2[[#This Row],[Qty available]]&gt;Table2[[#This Row],[Qty on hand]],"Check","OK")</f>
        <v>OK</v>
      </c>
    </row>
    <row r="1853" spans="1:24" x14ac:dyDescent="0.3">
      <c r="A1853" t="s">
        <v>215</v>
      </c>
      <c r="B1853" t="s">
        <v>216</v>
      </c>
      <c r="C1853" t="s">
        <v>25</v>
      </c>
      <c r="D1853" t="s">
        <v>26</v>
      </c>
      <c r="E1853" t="s">
        <v>66</v>
      </c>
      <c r="F1853" s="1" t="s">
        <v>32</v>
      </c>
      <c r="G1853" s="2">
        <v>314.58999999999997</v>
      </c>
      <c r="H1853">
        <v>314.58999999999997</v>
      </c>
      <c r="I1853">
        <v>313.11346900000001</v>
      </c>
      <c r="J1853">
        <v>419.42</v>
      </c>
      <c r="K1853">
        <v>14</v>
      </c>
      <c r="L1853" s="2">
        <v>19</v>
      </c>
      <c r="M1853">
        <v>33</v>
      </c>
      <c r="N1853" s="2">
        <v>49</v>
      </c>
      <c r="O1853">
        <v>15342.56</v>
      </c>
      <c r="P1853">
        <v>4</v>
      </c>
      <c r="Q1853">
        <v>45</v>
      </c>
      <c r="R1853">
        <v>12.38</v>
      </c>
      <c r="S1853">
        <v>1</v>
      </c>
      <c r="T1853">
        <v>9</v>
      </c>
      <c r="U1853" s="2">
        <v>3774.78</v>
      </c>
      <c r="V1853">
        <v>0</v>
      </c>
      <c r="W1853" t="s">
        <v>29</v>
      </c>
      <c r="X1853" t="str">
        <f>IF(Table2[[#This Row],[Qty available]]&gt;Table2[[#This Row],[Qty on hand]],"Check","OK")</f>
        <v>OK</v>
      </c>
    </row>
    <row r="1854" spans="1:24" x14ac:dyDescent="0.3">
      <c r="A1854" t="s">
        <v>215</v>
      </c>
      <c r="B1854" t="s">
        <v>216</v>
      </c>
      <c r="C1854" t="s">
        <v>25</v>
      </c>
      <c r="D1854" t="s">
        <v>26</v>
      </c>
      <c r="E1854" t="s">
        <v>66</v>
      </c>
      <c r="F1854" s="1" t="s">
        <v>33</v>
      </c>
      <c r="G1854" s="2">
        <v>314.99</v>
      </c>
      <c r="H1854">
        <v>314.99</v>
      </c>
      <c r="I1854">
        <v>313.11348800000002</v>
      </c>
      <c r="J1854">
        <v>419.42</v>
      </c>
      <c r="K1854">
        <v>14</v>
      </c>
      <c r="M1854">
        <v>0</v>
      </c>
      <c r="N1854" s="2">
        <v>43</v>
      </c>
      <c r="O1854">
        <v>13463.88</v>
      </c>
      <c r="P1854">
        <v>3</v>
      </c>
      <c r="Q1854">
        <v>40</v>
      </c>
      <c r="R1854">
        <v>14.13</v>
      </c>
      <c r="S1854">
        <v>3</v>
      </c>
      <c r="T1854">
        <v>6</v>
      </c>
      <c r="U1854" s="2">
        <v>2516.52</v>
      </c>
      <c r="V1854">
        <v>0</v>
      </c>
      <c r="W1854" t="s">
        <v>29</v>
      </c>
      <c r="X1854" t="str">
        <f>IF(Table2[[#This Row],[Qty available]]&gt;Table2[[#This Row],[Qty on hand]],"Check","OK")</f>
        <v>OK</v>
      </c>
    </row>
    <row r="1855" spans="1:24" x14ac:dyDescent="0.3">
      <c r="A1855" t="s">
        <v>215</v>
      </c>
      <c r="B1855" t="s">
        <v>216</v>
      </c>
      <c r="C1855" t="s">
        <v>25</v>
      </c>
      <c r="D1855" t="s">
        <v>26</v>
      </c>
      <c r="E1855" t="s">
        <v>66</v>
      </c>
      <c r="F1855" s="1" t="s">
        <v>34</v>
      </c>
      <c r="G1855" s="2">
        <v>305.75</v>
      </c>
      <c r="H1855">
        <v>305.75</v>
      </c>
      <c r="I1855">
        <v>313.11357099999998</v>
      </c>
      <c r="J1855">
        <v>430.54</v>
      </c>
      <c r="K1855">
        <v>14</v>
      </c>
      <c r="M1855">
        <v>0</v>
      </c>
      <c r="N1855" s="2">
        <v>14</v>
      </c>
      <c r="O1855">
        <v>4383.59</v>
      </c>
      <c r="P1855">
        <v>6</v>
      </c>
      <c r="Q1855">
        <v>8</v>
      </c>
      <c r="R1855">
        <v>4.09</v>
      </c>
      <c r="S1855">
        <v>0</v>
      </c>
      <c r="T1855">
        <v>29</v>
      </c>
      <c r="U1855" s="2">
        <v>12485.66</v>
      </c>
      <c r="V1855">
        <v>0</v>
      </c>
      <c r="W1855" t="s">
        <v>29</v>
      </c>
      <c r="X1855" t="str">
        <f>IF(Table2[[#This Row],[Qty available]]&gt;Table2[[#This Row],[Qty on hand]],"Check","OK")</f>
        <v>OK</v>
      </c>
    </row>
    <row r="1856" spans="1:24" x14ac:dyDescent="0.3">
      <c r="A1856" t="s">
        <v>215</v>
      </c>
      <c r="B1856" t="s">
        <v>216</v>
      </c>
      <c r="C1856" t="s">
        <v>25</v>
      </c>
      <c r="D1856" t="s">
        <v>26</v>
      </c>
      <c r="E1856" t="s">
        <v>66</v>
      </c>
      <c r="F1856" s="1" t="s">
        <v>35</v>
      </c>
      <c r="G1856" s="2">
        <v>306.05</v>
      </c>
      <c r="H1856">
        <v>306.05</v>
      </c>
      <c r="I1856">
        <v>307.988947</v>
      </c>
      <c r="J1856">
        <v>430.54</v>
      </c>
      <c r="K1856">
        <v>14</v>
      </c>
      <c r="L1856" s="2">
        <v>14</v>
      </c>
      <c r="M1856">
        <v>37</v>
      </c>
      <c r="N1856" s="2">
        <v>19</v>
      </c>
      <c r="O1856">
        <v>5851.79</v>
      </c>
      <c r="P1856">
        <v>4</v>
      </c>
      <c r="Q1856">
        <v>15</v>
      </c>
      <c r="R1856">
        <v>3.65</v>
      </c>
      <c r="S1856">
        <v>9</v>
      </c>
      <c r="T1856">
        <v>32</v>
      </c>
      <c r="U1856" s="2">
        <v>13777.28</v>
      </c>
      <c r="V1856">
        <v>0</v>
      </c>
      <c r="W1856" t="s">
        <v>29</v>
      </c>
      <c r="X1856" t="str">
        <f>IF(Table2[[#This Row],[Qty available]]&gt;Table2[[#This Row],[Qty on hand]],"Check","OK")</f>
        <v>OK</v>
      </c>
    </row>
    <row r="1857" spans="1:24" x14ac:dyDescent="0.3">
      <c r="A1857" t="s">
        <v>215</v>
      </c>
      <c r="B1857" t="s">
        <v>216</v>
      </c>
      <c r="C1857" t="s">
        <v>25</v>
      </c>
      <c r="D1857" t="s">
        <v>26</v>
      </c>
      <c r="E1857" t="s">
        <v>66</v>
      </c>
      <c r="F1857" s="1" t="s">
        <v>36</v>
      </c>
      <c r="G1857" s="2">
        <v>321.7</v>
      </c>
      <c r="H1857">
        <v>321.7</v>
      </c>
      <c r="I1857">
        <v>317.35810800000002</v>
      </c>
      <c r="J1857">
        <v>430.54</v>
      </c>
      <c r="K1857">
        <v>14</v>
      </c>
      <c r="L1857" s="2">
        <v>22</v>
      </c>
      <c r="M1857">
        <v>41</v>
      </c>
      <c r="N1857" s="2">
        <v>37</v>
      </c>
      <c r="O1857">
        <v>11742.25</v>
      </c>
      <c r="P1857">
        <v>3</v>
      </c>
      <c r="Q1857">
        <v>34</v>
      </c>
      <c r="R1857">
        <v>5.6</v>
      </c>
      <c r="S1857">
        <v>1</v>
      </c>
      <c r="T1857">
        <v>23</v>
      </c>
      <c r="U1857" s="2">
        <v>9902.42</v>
      </c>
      <c r="V1857">
        <v>0</v>
      </c>
      <c r="W1857" t="s">
        <v>29</v>
      </c>
      <c r="X1857" t="str">
        <f>IF(Table2[[#This Row],[Qty available]]&gt;Table2[[#This Row],[Qty on hand]],"Check","OK")</f>
        <v>OK</v>
      </c>
    </row>
    <row r="1858" spans="1:24" x14ac:dyDescent="0.3">
      <c r="A1858" t="s">
        <v>215</v>
      </c>
      <c r="B1858" t="s">
        <v>216</v>
      </c>
      <c r="C1858" t="s">
        <v>25</v>
      </c>
      <c r="D1858" t="s">
        <v>26</v>
      </c>
      <c r="E1858" t="s">
        <v>66</v>
      </c>
      <c r="F1858" s="1" t="s">
        <v>37</v>
      </c>
      <c r="G1858" s="2">
        <v>314.69</v>
      </c>
      <c r="H1858">
        <v>314.69</v>
      </c>
      <c r="I1858">
        <v>316.42205899999999</v>
      </c>
      <c r="J1858">
        <v>430.54</v>
      </c>
      <c r="K1858">
        <v>14</v>
      </c>
      <c r="L1858" s="2">
        <v>16</v>
      </c>
      <c r="M1858">
        <v>20</v>
      </c>
      <c r="N1858" s="2">
        <v>34</v>
      </c>
      <c r="O1858">
        <v>10758.35</v>
      </c>
      <c r="P1858">
        <v>1</v>
      </c>
      <c r="Q1858">
        <v>33</v>
      </c>
      <c r="R1858">
        <v>5.73</v>
      </c>
      <c r="S1858">
        <v>4</v>
      </c>
      <c r="T1858">
        <v>23</v>
      </c>
      <c r="U1858" s="2">
        <v>9902.42</v>
      </c>
      <c r="V1858">
        <v>0</v>
      </c>
      <c r="W1858" t="s">
        <v>29</v>
      </c>
      <c r="X1858" t="str">
        <f>IF(Table2[[#This Row],[Qty available]]&gt;Table2[[#This Row],[Qty on hand]],"Check","OK")</f>
        <v>OK</v>
      </c>
    </row>
    <row r="1859" spans="1:24" x14ac:dyDescent="0.3">
      <c r="A1859" t="s">
        <v>215</v>
      </c>
      <c r="B1859" t="s">
        <v>216</v>
      </c>
      <c r="C1859" t="s">
        <v>25</v>
      </c>
      <c r="D1859" t="s">
        <v>26</v>
      </c>
      <c r="E1859" t="s">
        <v>66</v>
      </c>
      <c r="F1859" s="1" t="s">
        <v>38</v>
      </c>
      <c r="G1859" s="2">
        <v>315.81</v>
      </c>
      <c r="H1859">
        <v>315.81</v>
      </c>
      <c r="I1859">
        <v>316.42166700000001</v>
      </c>
      <c r="J1859">
        <v>430.54</v>
      </c>
      <c r="K1859">
        <v>14</v>
      </c>
      <c r="M1859">
        <v>0</v>
      </c>
      <c r="N1859" s="2">
        <v>6</v>
      </c>
      <c r="O1859">
        <v>1898.53</v>
      </c>
      <c r="P1859">
        <v>4</v>
      </c>
      <c r="Q1859">
        <v>2</v>
      </c>
      <c r="R1859">
        <v>1.05</v>
      </c>
      <c r="S1859">
        <v>7</v>
      </c>
      <c r="T1859">
        <v>28</v>
      </c>
      <c r="U1859" s="2">
        <v>12055.12</v>
      </c>
      <c r="V1859">
        <v>0</v>
      </c>
      <c r="W1859" t="s">
        <v>29</v>
      </c>
      <c r="X1859" t="str">
        <f>IF(Table2[[#This Row],[Qty available]]&gt;Table2[[#This Row],[Qty on hand]],"Check","OK")</f>
        <v>OK</v>
      </c>
    </row>
    <row r="1860" spans="1:24" x14ac:dyDescent="0.3">
      <c r="A1860" t="s">
        <v>215</v>
      </c>
      <c r="B1860" t="s">
        <v>216</v>
      </c>
      <c r="C1860" t="s">
        <v>25</v>
      </c>
      <c r="D1860" t="s">
        <v>26</v>
      </c>
      <c r="E1860" t="s">
        <v>66</v>
      </c>
      <c r="F1860" s="1" t="s">
        <v>39</v>
      </c>
      <c r="G1860" s="2">
        <v>314.64999999999998</v>
      </c>
      <c r="H1860">
        <v>314.64999999999998</v>
      </c>
      <c r="I1860">
        <v>314.84689700000001</v>
      </c>
      <c r="J1860">
        <v>430.54</v>
      </c>
      <c r="K1860">
        <v>14</v>
      </c>
      <c r="L1860" s="2">
        <v>13</v>
      </c>
      <c r="M1860">
        <v>48</v>
      </c>
      <c r="N1860" s="2">
        <v>29</v>
      </c>
      <c r="O1860">
        <v>9130.56</v>
      </c>
      <c r="P1860">
        <v>6</v>
      </c>
      <c r="Q1860">
        <v>23</v>
      </c>
      <c r="R1860">
        <v>5.0199999999999996</v>
      </c>
      <c r="S1860">
        <v>1</v>
      </c>
      <c r="T1860">
        <v>25</v>
      </c>
      <c r="U1860" s="2">
        <v>10763.5</v>
      </c>
      <c r="V1860">
        <v>0</v>
      </c>
      <c r="W1860" t="s">
        <v>29</v>
      </c>
      <c r="X1860" t="str">
        <f>IF(Table2[[#This Row],[Qty available]]&gt;Table2[[#This Row],[Qty on hand]],"Check","OK")</f>
        <v>OK</v>
      </c>
    </row>
    <row r="1861" spans="1:24" x14ac:dyDescent="0.3">
      <c r="A1861" t="s">
        <v>215</v>
      </c>
      <c r="B1861" t="s">
        <v>216</v>
      </c>
      <c r="C1861" t="s">
        <v>25</v>
      </c>
      <c r="D1861" t="s">
        <v>26</v>
      </c>
      <c r="E1861" t="s">
        <v>66</v>
      </c>
      <c r="F1861" s="1" t="s">
        <v>40</v>
      </c>
      <c r="G1861" s="2">
        <v>325.91000000000003</v>
      </c>
      <c r="H1861">
        <v>325.91000000000003</v>
      </c>
      <c r="I1861">
        <v>321.19200000000001</v>
      </c>
      <c r="J1861">
        <v>430.54</v>
      </c>
      <c r="K1861">
        <v>14</v>
      </c>
      <c r="L1861" s="2">
        <v>16</v>
      </c>
      <c r="M1861">
        <v>39</v>
      </c>
      <c r="N1861" s="2">
        <v>50</v>
      </c>
      <c r="O1861">
        <v>16059.6</v>
      </c>
      <c r="P1861">
        <v>6</v>
      </c>
      <c r="Q1861">
        <v>44</v>
      </c>
      <c r="R1861">
        <v>9.26</v>
      </c>
      <c r="S1861">
        <v>2</v>
      </c>
      <c r="T1861">
        <v>18</v>
      </c>
      <c r="U1861" s="2">
        <v>7749.72</v>
      </c>
      <c r="V1861">
        <v>0</v>
      </c>
      <c r="W1861" t="s">
        <v>29</v>
      </c>
      <c r="X1861" t="str">
        <f>IF(Table2[[#This Row],[Qty available]]&gt;Table2[[#This Row],[Qty on hand]],"Check","OK")</f>
        <v>OK</v>
      </c>
    </row>
    <row r="1862" spans="1:24" x14ac:dyDescent="0.3">
      <c r="A1862" t="s">
        <v>215</v>
      </c>
      <c r="B1862" t="s">
        <v>216</v>
      </c>
      <c r="C1862" t="s">
        <v>25</v>
      </c>
      <c r="D1862" t="s">
        <v>26</v>
      </c>
      <c r="E1862" t="s">
        <v>66</v>
      </c>
      <c r="F1862" s="1" t="s">
        <v>41</v>
      </c>
      <c r="G1862" s="2">
        <v>322.58999999999997</v>
      </c>
      <c r="H1862">
        <v>322.58999999999997</v>
      </c>
      <c r="I1862">
        <v>321.591522</v>
      </c>
      <c r="J1862">
        <v>430.54</v>
      </c>
      <c r="K1862">
        <v>14</v>
      </c>
      <c r="L1862" s="2">
        <v>20</v>
      </c>
      <c r="M1862">
        <v>20</v>
      </c>
      <c r="N1862" s="2">
        <v>46</v>
      </c>
      <c r="O1862">
        <v>14793.21</v>
      </c>
      <c r="P1862">
        <v>4</v>
      </c>
      <c r="Q1862">
        <v>42</v>
      </c>
      <c r="R1862">
        <v>9.02</v>
      </c>
      <c r="S1862">
        <v>0</v>
      </c>
      <c r="T1862">
        <v>24</v>
      </c>
      <c r="U1862" s="2">
        <v>10332.959999999999</v>
      </c>
      <c r="V1862">
        <v>0</v>
      </c>
      <c r="W1862" t="s">
        <v>29</v>
      </c>
      <c r="X1862" t="str">
        <f>IF(Table2[[#This Row],[Qty available]]&gt;Table2[[#This Row],[Qty on hand]],"Check","OK")</f>
        <v>OK</v>
      </c>
    </row>
    <row r="1863" spans="1:24" x14ac:dyDescent="0.3">
      <c r="A1863" t="s">
        <v>215</v>
      </c>
      <c r="B1863" t="s">
        <v>216</v>
      </c>
      <c r="C1863" t="s">
        <v>25</v>
      </c>
      <c r="D1863" t="s">
        <v>26</v>
      </c>
      <c r="E1863" t="s">
        <v>66</v>
      </c>
      <c r="F1863" s="1" t="s">
        <v>42</v>
      </c>
      <c r="G1863" s="2">
        <v>324.45</v>
      </c>
      <c r="H1863">
        <v>324.45</v>
      </c>
      <c r="I1863">
        <v>322.45765999999998</v>
      </c>
      <c r="J1863">
        <v>430.54</v>
      </c>
      <c r="K1863">
        <v>14</v>
      </c>
      <c r="L1863" s="2">
        <v>13</v>
      </c>
      <c r="M1863">
        <v>20</v>
      </c>
      <c r="N1863" s="2">
        <v>47</v>
      </c>
      <c r="O1863">
        <v>15155.51</v>
      </c>
      <c r="P1863">
        <v>5</v>
      </c>
      <c r="Q1863">
        <v>42</v>
      </c>
      <c r="R1863">
        <v>10.130000000000001</v>
      </c>
      <c r="S1863">
        <v>0</v>
      </c>
      <c r="T1863">
        <v>19</v>
      </c>
      <c r="U1863" s="2">
        <v>8180.26</v>
      </c>
      <c r="V1863">
        <v>0</v>
      </c>
      <c r="W1863" t="s">
        <v>29</v>
      </c>
      <c r="X1863" t="str">
        <f>IF(Table2[[#This Row],[Qty available]]&gt;Table2[[#This Row],[Qty on hand]],"Check","OK")</f>
        <v>OK</v>
      </c>
    </row>
    <row r="1864" spans="1:24" x14ac:dyDescent="0.3">
      <c r="A1864" t="s">
        <v>215</v>
      </c>
      <c r="B1864" t="s">
        <v>216</v>
      </c>
      <c r="C1864" t="s">
        <v>25</v>
      </c>
      <c r="D1864" t="s">
        <v>26</v>
      </c>
      <c r="E1864" t="s">
        <v>66</v>
      </c>
      <c r="F1864" s="1" t="s">
        <v>43</v>
      </c>
      <c r="G1864" s="2">
        <v>326.25</v>
      </c>
      <c r="H1864">
        <v>326.25</v>
      </c>
      <c r="I1864">
        <v>322.45763199999999</v>
      </c>
      <c r="J1864">
        <v>430.54</v>
      </c>
      <c r="K1864">
        <v>14</v>
      </c>
      <c r="M1864">
        <v>0</v>
      </c>
      <c r="N1864" s="2">
        <v>38</v>
      </c>
      <c r="O1864">
        <v>12253.39</v>
      </c>
      <c r="P1864">
        <v>7</v>
      </c>
      <c r="Q1864">
        <v>31</v>
      </c>
      <c r="R1864">
        <v>9.5</v>
      </c>
      <c r="S1864">
        <v>1</v>
      </c>
      <c r="T1864">
        <v>9</v>
      </c>
      <c r="U1864" s="2">
        <v>3874.86</v>
      </c>
      <c r="V1864">
        <v>0</v>
      </c>
      <c r="W1864" t="s">
        <v>29</v>
      </c>
      <c r="X1864" t="str">
        <f>IF(Table2[[#This Row],[Qty available]]&gt;Table2[[#This Row],[Qty on hand]],"Check","OK")</f>
        <v>OK</v>
      </c>
    </row>
    <row r="1865" spans="1:24" x14ac:dyDescent="0.3">
      <c r="A1865" t="s">
        <v>215</v>
      </c>
      <c r="B1865" t="s">
        <v>216</v>
      </c>
      <c r="C1865" t="s">
        <v>25</v>
      </c>
      <c r="D1865" t="s">
        <v>26</v>
      </c>
      <c r="E1865" t="s">
        <v>66</v>
      </c>
      <c r="F1865" s="1" t="s">
        <v>44</v>
      </c>
      <c r="G1865" s="2">
        <v>322.74</v>
      </c>
      <c r="H1865">
        <v>322.74</v>
      </c>
      <c r="I1865">
        <v>322.55500000000001</v>
      </c>
      <c r="J1865">
        <v>430.54</v>
      </c>
      <c r="K1865">
        <v>14</v>
      </c>
      <c r="L1865" s="2">
        <v>23</v>
      </c>
      <c r="M1865">
        <v>20</v>
      </c>
      <c r="N1865" s="2">
        <v>50</v>
      </c>
      <c r="O1865">
        <v>16127.75</v>
      </c>
      <c r="P1865">
        <v>6</v>
      </c>
      <c r="Q1865">
        <v>44</v>
      </c>
      <c r="R1865">
        <v>18.25</v>
      </c>
      <c r="S1865">
        <v>10</v>
      </c>
      <c r="T1865">
        <v>8</v>
      </c>
      <c r="U1865" s="2">
        <v>3444.32</v>
      </c>
      <c r="V1865">
        <v>0</v>
      </c>
      <c r="W1865" t="s">
        <v>29</v>
      </c>
      <c r="X1865" t="str">
        <f>IF(Table2[[#This Row],[Qty available]]&gt;Table2[[#This Row],[Qty on hand]],"Check","OK")</f>
        <v>OK</v>
      </c>
    </row>
    <row r="1866" spans="1:24" x14ac:dyDescent="0.3">
      <c r="A1866" t="s">
        <v>215</v>
      </c>
      <c r="B1866" t="s">
        <v>216</v>
      </c>
      <c r="C1866" t="s">
        <v>25</v>
      </c>
      <c r="D1866" t="s">
        <v>26</v>
      </c>
      <c r="E1866" t="s">
        <v>66</v>
      </c>
      <c r="F1866" s="1" t="s">
        <v>45</v>
      </c>
      <c r="G1866" s="2">
        <v>325.47000000000003</v>
      </c>
      <c r="H1866">
        <v>325.47000000000003</v>
      </c>
      <c r="I1866">
        <v>322.55500000000001</v>
      </c>
      <c r="J1866">
        <v>430.54</v>
      </c>
      <c r="K1866">
        <v>14</v>
      </c>
      <c r="M1866">
        <v>0</v>
      </c>
      <c r="N1866" s="2">
        <v>26</v>
      </c>
      <c r="O1866">
        <v>8386.43</v>
      </c>
      <c r="P1866">
        <v>4</v>
      </c>
      <c r="Q1866">
        <v>22</v>
      </c>
      <c r="R1866">
        <v>8.33</v>
      </c>
      <c r="S1866">
        <v>0</v>
      </c>
      <c r="T1866">
        <v>24</v>
      </c>
      <c r="U1866" s="2">
        <v>10332.959999999999</v>
      </c>
      <c r="V1866">
        <v>0</v>
      </c>
      <c r="W1866" t="s">
        <v>29</v>
      </c>
      <c r="X1866" t="str">
        <f>IF(Table2[[#This Row],[Qty available]]&gt;Table2[[#This Row],[Qty on hand]],"Check","OK")</f>
        <v>OK</v>
      </c>
    </row>
    <row r="1867" spans="1:24" x14ac:dyDescent="0.3">
      <c r="A1867" t="s">
        <v>215</v>
      </c>
      <c r="B1867" t="s">
        <v>216</v>
      </c>
      <c r="C1867" t="s">
        <v>25</v>
      </c>
      <c r="D1867" t="s">
        <v>26</v>
      </c>
      <c r="E1867" t="s">
        <v>66</v>
      </c>
      <c r="F1867" s="1" t="s">
        <v>46</v>
      </c>
      <c r="G1867" s="2">
        <v>318.95</v>
      </c>
      <c r="H1867">
        <v>318.95</v>
      </c>
      <c r="I1867">
        <v>320.62374999999997</v>
      </c>
      <c r="J1867">
        <v>441.95</v>
      </c>
      <c r="K1867">
        <v>14</v>
      </c>
      <c r="L1867" s="2">
        <v>13</v>
      </c>
      <c r="M1867">
        <v>30</v>
      </c>
      <c r="N1867" s="2">
        <v>32</v>
      </c>
      <c r="O1867">
        <v>10259.959999999999</v>
      </c>
      <c r="P1867">
        <v>2</v>
      </c>
      <c r="Q1867">
        <v>30</v>
      </c>
      <c r="R1867">
        <v>7.35</v>
      </c>
      <c r="S1867">
        <v>2</v>
      </c>
      <c r="T1867">
        <v>24</v>
      </c>
      <c r="U1867" s="2">
        <v>10606.8</v>
      </c>
      <c r="V1867">
        <v>0</v>
      </c>
      <c r="W1867" t="s">
        <v>29</v>
      </c>
      <c r="X1867" t="str">
        <f>IF(Table2[[#This Row],[Qty available]]&gt;Table2[[#This Row],[Qty on hand]],"Check","OK")</f>
        <v>OK</v>
      </c>
    </row>
    <row r="1868" spans="1:24" x14ac:dyDescent="0.3">
      <c r="A1868" t="s">
        <v>215</v>
      </c>
      <c r="B1868" t="s">
        <v>216</v>
      </c>
      <c r="C1868" t="s">
        <v>25</v>
      </c>
      <c r="D1868" t="s">
        <v>26</v>
      </c>
      <c r="E1868" t="s">
        <v>66</v>
      </c>
      <c r="F1868" s="1" t="s">
        <v>47</v>
      </c>
      <c r="G1868" s="2">
        <v>315.27</v>
      </c>
      <c r="H1868">
        <v>315.27</v>
      </c>
      <c r="I1868">
        <v>318.564571</v>
      </c>
      <c r="J1868">
        <v>441.95</v>
      </c>
      <c r="K1868">
        <v>14</v>
      </c>
      <c r="L1868" s="2">
        <v>12</v>
      </c>
      <c r="M1868">
        <v>20</v>
      </c>
      <c r="N1868" s="2">
        <v>35</v>
      </c>
      <c r="O1868">
        <v>11149.76</v>
      </c>
      <c r="P1868">
        <v>6</v>
      </c>
      <c r="Q1868">
        <v>29</v>
      </c>
      <c r="R1868">
        <v>6.92</v>
      </c>
      <c r="S1868">
        <v>6</v>
      </c>
      <c r="T1868">
        <v>17</v>
      </c>
      <c r="U1868" s="2">
        <v>7513.15</v>
      </c>
      <c r="V1868">
        <v>0</v>
      </c>
      <c r="W1868" t="s">
        <v>29</v>
      </c>
      <c r="X1868" t="str">
        <f>IF(Table2[[#This Row],[Qty available]]&gt;Table2[[#This Row],[Qty on hand]],"Check","OK")</f>
        <v>OK</v>
      </c>
    </row>
    <row r="1869" spans="1:24" x14ac:dyDescent="0.3">
      <c r="A1869" t="s">
        <v>215</v>
      </c>
      <c r="B1869" t="s">
        <v>216</v>
      </c>
      <c r="C1869" t="s">
        <v>25</v>
      </c>
      <c r="D1869" t="s">
        <v>26</v>
      </c>
      <c r="E1869" t="s">
        <v>66</v>
      </c>
      <c r="F1869" s="1" t="s">
        <v>48</v>
      </c>
      <c r="G1869" s="2">
        <v>328.38</v>
      </c>
      <c r="H1869">
        <v>328.38</v>
      </c>
      <c r="I1869">
        <v>322.65441900000002</v>
      </c>
      <c r="J1869">
        <v>441.95</v>
      </c>
      <c r="K1869">
        <v>14</v>
      </c>
      <c r="L1869" s="2">
        <v>21</v>
      </c>
      <c r="M1869">
        <v>25</v>
      </c>
      <c r="N1869" s="2">
        <v>43</v>
      </c>
      <c r="O1869">
        <v>13874.14</v>
      </c>
      <c r="P1869">
        <v>2</v>
      </c>
      <c r="Q1869">
        <v>41</v>
      </c>
      <c r="R1869">
        <v>9.43</v>
      </c>
      <c r="S1869">
        <v>11</v>
      </c>
      <c r="T1869">
        <v>17</v>
      </c>
      <c r="U1869" s="2">
        <v>7513.15</v>
      </c>
      <c r="V1869">
        <v>0</v>
      </c>
      <c r="W1869" t="s">
        <v>29</v>
      </c>
      <c r="X1869" t="str">
        <f>IF(Table2[[#This Row],[Qty available]]&gt;Table2[[#This Row],[Qty on hand]],"Check","OK")</f>
        <v>OK</v>
      </c>
    </row>
    <row r="1870" spans="1:24" x14ac:dyDescent="0.3">
      <c r="A1870" t="s">
        <v>215</v>
      </c>
      <c r="B1870" t="s">
        <v>216</v>
      </c>
      <c r="C1870" t="s">
        <v>25</v>
      </c>
      <c r="D1870" t="s">
        <v>26</v>
      </c>
      <c r="E1870" t="s">
        <v>66</v>
      </c>
      <c r="F1870" s="1" t="s">
        <v>49</v>
      </c>
      <c r="G1870" s="2">
        <v>336.91</v>
      </c>
      <c r="H1870">
        <v>336.91</v>
      </c>
      <c r="I1870">
        <v>322.65428600000001</v>
      </c>
      <c r="J1870">
        <v>441.95</v>
      </c>
      <c r="K1870">
        <v>14</v>
      </c>
      <c r="M1870">
        <v>0</v>
      </c>
      <c r="N1870" s="2">
        <v>7</v>
      </c>
      <c r="O1870">
        <v>2258.58</v>
      </c>
      <c r="P1870">
        <v>4</v>
      </c>
      <c r="Q1870">
        <v>3</v>
      </c>
      <c r="R1870">
        <v>1.31</v>
      </c>
      <c r="S1870">
        <v>5</v>
      </c>
      <c r="T1870">
        <v>36</v>
      </c>
      <c r="U1870" s="2">
        <v>15910.2</v>
      </c>
      <c r="V1870">
        <v>0</v>
      </c>
      <c r="W1870" t="s">
        <v>29</v>
      </c>
      <c r="X1870" t="str">
        <f>IF(Table2[[#This Row],[Qty available]]&gt;Table2[[#This Row],[Qty on hand]],"Check","OK")</f>
        <v>OK</v>
      </c>
    </row>
    <row r="1871" spans="1:24" x14ac:dyDescent="0.3">
      <c r="A1871" t="s">
        <v>215</v>
      </c>
      <c r="B1871" t="s">
        <v>216</v>
      </c>
      <c r="C1871" t="s">
        <v>25</v>
      </c>
      <c r="D1871" t="s">
        <v>26</v>
      </c>
      <c r="E1871" t="s">
        <v>66</v>
      </c>
      <c r="F1871" s="1" t="s">
        <v>50</v>
      </c>
      <c r="G1871" s="2">
        <v>333.79</v>
      </c>
      <c r="H1871">
        <v>333.79</v>
      </c>
      <c r="I1871">
        <v>332.095417</v>
      </c>
      <c r="J1871">
        <v>441.95</v>
      </c>
      <c r="K1871">
        <v>14</v>
      </c>
      <c r="L1871" s="2">
        <v>12</v>
      </c>
      <c r="M1871">
        <v>39</v>
      </c>
      <c r="N1871" s="2">
        <v>24</v>
      </c>
      <c r="O1871">
        <v>7970.29</v>
      </c>
      <c r="P1871">
        <v>2</v>
      </c>
      <c r="Q1871">
        <v>22</v>
      </c>
      <c r="R1871">
        <v>4.16</v>
      </c>
      <c r="S1871">
        <v>2</v>
      </c>
      <c r="T1871">
        <v>22</v>
      </c>
      <c r="U1871" s="2">
        <v>9722.9</v>
      </c>
      <c r="V1871">
        <v>0</v>
      </c>
      <c r="W1871" t="s">
        <v>29</v>
      </c>
      <c r="X1871" t="str">
        <f>IF(Table2[[#This Row],[Qty available]]&gt;Table2[[#This Row],[Qty on hand]],"Check","OK")</f>
        <v>OK</v>
      </c>
    </row>
    <row r="1872" spans="1:24" x14ac:dyDescent="0.3">
      <c r="A1872" t="s">
        <v>215</v>
      </c>
      <c r="B1872" t="s">
        <v>216</v>
      </c>
      <c r="C1872" t="s">
        <v>25</v>
      </c>
      <c r="D1872" t="s">
        <v>26</v>
      </c>
      <c r="E1872" t="s">
        <v>66</v>
      </c>
      <c r="F1872" s="1" t="s">
        <v>51</v>
      </c>
      <c r="G1872" s="2">
        <v>326.77999999999997</v>
      </c>
      <c r="H1872">
        <v>326.77999999999997</v>
      </c>
      <c r="I1872">
        <v>329.614667</v>
      </c>
      <c r="J1872">
        <v>441.95</v>
      </c>
      <c r="K1872">
        <v>14</v>
      </c>
      <c r="L1872" s="2">
        <v>14</v>
      </c>
      <c r="M1872">
        <v>21</v>
      </c>
      <c r="N1872" s="2">
        <v>15</v>
      </c>
      <c r="O1872">
        <v>4944.22</v>
      </c>
      <c r="P1872">
        <v>6</v>
      </c>
      <c r="Q1872">
        <v>9</v>
      </c>
      <c r="R1872">
        <v>2.2400000000000002</v>
      </c>
      <c r="S1872">
        <v>5</v>
      </c>
      <c r="T1872">
        <v>30</v>
      </c>
      <c r="U1872" s="2">
        <v>13258.5</v>
      </c>
      <c r="V1872">
        <v>0</v>
      </c>
      <c r="W1872" t="s">
        <v>29</v>
      </c>
      <c r="X1872" t="str">
        <f>IF(Table2[[#This Row],[Qty available]]&gt;Table2[[#This Row],[Qty on hand]],"Check","OK")</f>
        <v>OK</v>
      </c>
    </row>
    <row r="1873" spans="1:24" x14ac:dyDescent="0.3">
      <c r="A1873" t="s">
        <v>215</v>
      </c>
      <c r="B1873" t="s">
        <v>216</v>
      </c>
      <c r="C1873" t="s">
        <v>25</v>
      </c>
      <c r="D1873" t="s">
        <v>26</v>
      </c>
      <c r="E1873" t="s">
        <v>66</v>
      </c>
      <c r="F1873" s="1" t="s">
        <v>52</v>
      </c>
      <c r="G1873" s="2">
        <v>328.02</v>
      </c>
      <c r="H1873">
        <v>328.02</v>
      </c>
      <c r="I1873">
        <v>328.703462</v>
      </c>
      <c r="J1873">
        <v>441.95</v>
      </c>
      <c r="K1873">
        <v>14</v>
      </c>
      <c r="L1873" s="2">
        <v>13</v>
      </c>
      <c r="M1873">
        <v>20</v>
      </c>
      <c r="N1873" s="2">
        <v>26</v>
      </c>
      <c r="O1873">
        <v>8546.2900000000009</v>
      </c>
      <c r="P1873">
        <v>4</v>
      </c>
      <c r="Q1873">
        <v>22</v>
      </c>
      <c r="R1873">
        <v>5.6</v>
      </c>
      <c r="S1873">
        <v>5</v>
      </c>
      <c r="T1873">
        <v>9</v>
      </c>
      <c r="U1873" s="2">
        <v>3977.55</v>
      </c>
      <c r="V1873">
        <v>0</v>
      </c>
      <c r="W1873" t="s">
        <v>29</v>
      </c>
      <c r="X1873" t="str">
        <f>IF(Table2[[#This Row],[Qty available]]&gt;Table2[[#This Row],[Qty on hand]],"Check","OK")</f>
        <v>OK</v>
      </c>
    </row>
    <row r="1874" spans="1:24" x14ac:dyDescent="0.3">
      <c r="A1874" t="s">
        <v>217</v>
      </c>
      <c r="B1874" t="s">
        <v>218</v>
      </c>
      <c r="C1874" t="s">
        <v>57</v>
      </c>
      <c r="D1874" t="s">
        <v>58</v>
      </c>
      <c r="E1874" t="s">
        <v>27</v>
      </c>
      <c r="F1874" s="1" t="s">
        <v>28</v>
      </c>
      <c r="G1874" s="2">
        <v>5.4</v>
      </c>
      <c r="H1874">
        <v>5.4</v>
      </c>
      <c r="I1874">
        <v>5.4207390000000002</v>
      </c>
      <c r="J1874">
        <v>7.68</v>
      </c>
      <c r="K1874">
        <v>22</v>
      </c>
      <c r="L1874" s="2">
        <v>21</v>
      </c>
      <c r="M1874">
        <v>1392</v>
      </c>
      <c r="N1874" s="2">
        <v>2517</v>
      </c>
      <c r="O1874">
        <v>13644</v>
      </c>
      <c r="P1874">
        <v>360</v>
      </c>
      <c r="Q1874">
        <v>2157</v>
      </c>
      <c r="R1874">
        <v>7.94</v>
      </c>
      <c r="S1874">
        <v>0</v>
      </c>
      <c r="T1874">
        <v>1565</v>
      </c>
      <c r="U1874" s="2">
        <v>12019.2</v>
      </c>
      <c r="V1874">
        <v>0</v>
      </c>
      <c r="W1874" t="s">
        <v>29</v>
      </c>
      <c r="X1874" t="str">
        <f>IF(Table2[[#This Row],[Qty available]]&gt;Table2[[#This Row],[Qty on hand]],"Check","OK")</f>
        <v>OK</v>
      </c>
    </row>
    <row r="1875" spans="1:24" x14ac:dyDescent="0.3">
      <c r="A1875" t="s">
        <v>217</v>
      </c>
      <c r="B1875" t="s">
        <v>218</v>
      </c>
      <c r="C1875" t="s">
        <v>57</v>
      </c>
      <c r="D1875" t="s">
        <v>58</v>
      </c>
      <c r="E1875" t="s">
        <v>27</v>
      </c>
      <c r="F1875" s="1" t="s">
        <v>30</v>
      </c>
      <c r="G1875" s="2">
        <v>5.46</v>
      </c>
      <c r="H1875">
        <v>5.46</v>
      </c>
      <c r="I1875">
        <v>5.4207400000000003</v>
      </c>
      <c r="J1875">
        <v>7.68</v>
      </c>
      <c r="K1875">
        <v>22</v>
      </c>
      <c r="M1875">
        <v>0</v>
      </c>
      <c r="N1875" s="2">
        <v>2325</v>
      </c>
      <c r="O1875">
        <v>12603.22</v>
      </c>
      <c r="P1875">
        <v>72</v>
      </c>
      <c r="Q1875">
        <v>2253</v>
      </c>
      <c r="R1875">
        <v>9.64</v>
      </c>
      <c r="S1875">
        <v>0</v>
      </c>
      <c r="T1875">
        <v>192</v>
      </c>
      <c r="U1875" s="2">
        <v>1474.56</v>
      </c>
      <c r="V1875">
        <v>0</v>
      </c>
      <c r="W1875" t="s">
        <v>29</v>
      </c>
      <c r="X1875" t="str">
        <f>IF(Table2[[#This Row],[Qty available]]&gt;Table2[[#This Row],[Qty on hand]],"Check","OK")</f>
        <v>OK</v>
      </c>
    </row>
    <row r="1876" spans="1:24" x14ac:dyDescent="0.3">
      <c r="A1876" t="s">
        <v>217</v>
      </c>
      <c r="B1876" t="s">
        <v>218</v>
      </c>
      <c r="C1876" t="s">
        <v>57</v>
      </c>
      <c r="D1876" t="s">
        <v>58</v>
      </c>
      <c r="E1876" t="s">
        <v>27</v>
      </c>
      <c r="F1876" s="1" t="s">
        <v>31</v>
      </c>
      <c r="G1876" s="2">
        <v>5.38</v>
      </c>
      <c r="H1876">
        <v>5.38</v>
      </c>
      <c r="I1876">
        <v>5.4207400000000003</v>
      </c>
      <c r="J1876">
        <v>7.68</v>
      </c>
      <c r="K1876">
        <v>22</v>
      </c>
      <c r="M1876">
        <v>0</v>
      </c>
      <c r="N1876" s="2">
        <v>1148</v>
      </c>
      <c r="O1876">
        <v>6223.01</v>
      </c>
      <c r="P1876">
        <v>324</v>
      </c>
      <c r="Q1876">
        <v>824</v>
      </c>
      <c r="R1876">
        <v>5.09</v>
      </c>
      <c r="S1876">
        <v>1</v>
      </c>
      <c r="T1876">
        <v>1177</v>
      </c>
      <c r="U1876" s="2">
        <v>9039.36</v>
      </c>
      <c r="V1876">
        <v>0</v>
      </c>
      <c r="W1876" t="s">
        <v>29</v>
      </c>
      <c r="X1876" t="str">
        <f>IF(Table2[[#This Row],[Qty available]]&gt;Table2[[#This Row],[Qty on hand]],"Check","OK")</f>
        <v>OK</v>
      </c>
    </row>
    <row r="1877" spans="1:24" x14ac:dyDescent="0.3">
      <c r="A1877" t="s">
        <v>217</v>
      </c>
      <c r="B1877" t="s">
        <v>218</v>
      </c>
      <c r="C1877" t="s">
        <v>57</v>
      </c>
      <c r="D1877" t="s">
        <v>58</v>
      </c>
      <c r="E1877" t="s">
        <v>27</v>
      </c>
      <c r="F1877" s="1" t="s">
        <v>32</v>
      </c>
      <c r="G1877" s="2">
        <v>5.44</v>
      </c>
      <c r="H1877">
        <v>5.44</v>
      </c>
      <c r="I1877">
        <v>5.4314140000000002</v>
      </c>
      <c r="J1877">
        <v>7.68</v>
      </c>
      <c r="K1877">
        <v>22</v>
      </c>
      <c r="L1877" s="2">
        <v>20</v>
      </c>
      <c r="M1877">
        <v>1426</v>
      </c>
      <c r="N1877" s="2">
        <v>1259</v>
      </c>
      <c r="O1877">
        <v>6838.15</v>
      </c>
      <c r="P1877">
        <v>288</v>
      </c>
      <c r="Q1877">
        <v>971</v>
      </c>
      <c r="R1877">
        <v>6.16</v>
      </c>
      <c r="S1877">
        <v>0</v>
      </c>
      <c r="T1877">
        <v>1315</v>
      </c>
      <c r="U1877" s="2">
        <v>10099.200000000001</v>
      </c>
      <c r="V1877">
        <v>0</v>
      </c>
      <c r="W1877" t="s">
        <v>29</v>
      </c>
      <c r="X1877" t="str">
        <f>IF(Table2[[#This Row],[Qty available]]&gt;Table2[[#This Row],[Qty on hand]],"Check","OK")</f>
        <v>OK</v>
      </c>
    </row>
    <row r="1878" spans="1:24" x14ac:dyDescent="0.3">
      <c r="A1878" t="s">
        <v>217</v>
      </c>
      <c r="B1878" t="s">
        <v>218</v>
      </c>
      <c r="C1878" t="s">
        <v>57</v>
      </c>
      <c r="D1878" t="s">
        <v>58</v>
      </c>
      <c r="E1878" t="s">
        <v>27</v>
      </c>
      <c r="F1878" s="1" t="s">
        <v>33</v>
      </c>
      <c r="G1878" s="2">
        <v>5.7</v>
      </c>
      <c r="H1878">
        <v>5.7</v>
      </c>
      <c r="I1878">
        <v>5.5196550000000002</v>
      </c>
      <c r="J1878">
        <v>7.68</v>
      </c>
      <c r="K1878">
        <v>22</v>
      </c>
      <c r="L1878" s="2">
        <v>22</v>
      </c>
      <c r="M1878">
        <v>616</v>
      </c>
      <c r="N1878" s="2">
        <v>869</v>
      </c>
      <c r="O1878">
        <v>4796.58</v>
      </c>
      <c r="P1878">
        <v>180</v>
      </c>
      <c r="Q1878">
        <v>689</v>
      </c>
      <c r="R1878">
        <v>3.27</v>
      </c>
      <c r="S1878">
        <v>1</v>
      </c>
      <c r="T1878">
        <v>1006</v>
      </c>
      <c r="U1878" s="2">
        <v>7726.08</v>
      </c>
      <c r="V1878">
        <v>0</v>
      </c>
      <c r="W1878" t="s">
        <v>29</v>
      </c>
      <c r="X1878" t="str">
        <f>IF(Table2[[#This Row],[Qty available]]&gt;Table2[[#This Row],[Qty on hand]],"Check","OK")</f>
        <v>OK</v>
      </c>
    </row>
    <row r="1879" spans="1:24" x14ac:dyDescent="0.3">
      <c r="A1879" t="s">
        <v>217</v>
      </c>
      <c r="B1879" t="s">
        <v>218</v>
      </c>
      <c r="C1879" t="s">
        <v>57</v>
      </c>
      <c r="D1879" t="s">
        <v>58</v>
      </c>
      <c r="E1879" t="s">
        <v>27</v>
      </c>
      <c r="F1879" s="1" t="s">
        <v>34</v>
      </c>
      <c r="G1879" s="2">
        <v>5.68</v>
      </c>
      <c r="H1879">
        <v>5.68</v>
      </c>
      <c r="I1879">
        <v>5.6241519999999996</v>
      </c>
      <c r="J1879">
        <v>7.91</v>
      </c>
      <c r="K1879">
        <v>22</v>
      </c>
      <c r="L1879" s="2">
        <v>21</v>
      </c>
      <c r="M1879">
        <v>1626</v>
      </c>
      <c r="N1879" s="2">
        <v>1758</v>
      </c>
      <c r="O1879">
        <v>9887.26</v>
      </c>
      <c r="P1879">
        <v>360</v>
      </c>
      <c r="Q1879">
        <v>1398</v>
      </c>
      <c r="R1879">
        <v>7.39</v>
      </c>
      <c r="S1879">
        <v>1</v>
      </c>
      <c r="T1879">
        <v>737</v>
      </c>
      <c r="U1879" s="2">
        <v>5829.67</v>
      </c>
      <c r="V1879">
        <v>0</v>
      </c>
      <c r="W1879" t="s">
        <v>29</v>
      </c>
      <c r="X1879" t="str">
        <f>IF(Table2[[#This Row],[Qty available]]&gt;Table2[[#This Row],[Qty on hand]],"Check","OK")</f>
        <v>OK</v>
      </c>
    </row>
    <row r="1880" spans="1:24" x14ac:dyDescent="0.3">
      <c r="A1880" t="s">
        <v>217</v>
      </c>
      <c r="B1880" t="s">
        <v>218</v>
      </c>
      <c r="C1880" t="s">
        <v>57</v>
      </c>
      <c r="D1880" t="s">
        <v>58</v>
      </c>
      <c r="E1880" t="s">
        <v>27</v>
      </c>
      <c r="F1880" s="1" t="s">
        <v>35</v>
      </c>
      <c r="G1880" s="2">
        <v>5.55</v>
      </c>
      <c r="H1880">
        <v>5.55</v>
      </c>
      <c r="I1880">
        <v>5.5917849999999998</v>
      </c>
      <c r="J1880">
        <v>7.91</v>
      </c>
      <c r="K1880">
        <v>22</v>
      </c>
      <c r="L1880" s="2">
        <v>19</v>
      </c>
      <c r="M1880">
        <v>1362</v>
      </c>
      <c r="N1880" s="2">
        <v>1479</v>
      </c>
      <c r="O1880">
        <v>8270.25</v>
      </c>
      <c r="P1880">
        <v>216</v>
      </c>
      <c r="Q1880">
        <v>1263</v>
      </c>
      <c r="R1880">
        <v>5.62</v>
      </c>
      <c r="S1880">
        <v>0</v>
      </c>
      <c r="T1880">
        <v>1641</v>
      </c>
      <c r="U1880" s="2">
        <v>12980.31</v>
      </c>
      <c r="V1880">
        <v>0</v>
      </c>
      <c r="W1880" t="s">
        <v>29</v>
      </c>
      <c r="X1880" t="str">
        <f>IF(Table2[[#This Row],[Qty available]]&gt;Table2[[#This Row],[Qty on hand]],"Check","OK")</f>
        <v>OK</v>
      </c>
    </row>
    <row r="1881" spans="1:24" x14ac:dyDescent="0.3">
      <c r="A1881" t="s">
        <v>217</v>
      </c>
      <c r="B1881" t="s">
        <v>218</v>
      </c>
      <c r="C1881" t="s">
        <v>57</v>
      </c>
      <c r="D1881" t="s">
        <v>58</v>
      </c>
      <c r="E1881" t="s">
        <v>27</v>
      </c>
      <c r="F1881" s="1" t="s">
        <v>36</v>
      </c>
      <c r="G1881" s="2">
        <v>5.63</v>
      </c>
      <c r="H1881">
        <v>5.63</v>
      </c>
      <c r="I1881">
        <v>5.6176839999999997</v>
      </c>
      <c r="J1881">
        <v>7.91</v>
      </c>
      <c r="K1881">
        <v>22</v>
      </c>
      <c r="L1881" s="2">
        <v>28</v>
      </c>
      <c r="M1881">
        <v>3110</v>
      </c>
      <c r="N1881" s="2">
        <v>3597</v>
      </c>
      <c r="O1881">
        <v>20206.810000000001</v>
      </c>
      <c r="P1881">
        <v>72</v>
      </c>
      <c r="Q1881">
        <v>3525</v>
      </c>
      <c r="R1881">
        <v>13.57</v>
      </c>
      <c r="S1881">
        <v>1</v>
      </c>
      <c r="T1881">
        <v>992</v>
      </c>
      <c r="U1881" s="2">
        <v>7846.72</v>
      </c>
      <c r="V1881">
        <v>0</v>
      </c>
      <c r="W1881" t="s">
        <v>29</v>
      </c>
      <c r="X1881" t="str">
        <f>IF(Table2[[#This Row],[Qty available]]&gt;Table2[[#This Row],[Qty on hand]],"Check","OK")</f>
        <v>OK</v>
      </c>
    </row>
    <row r="1882" spans="1:24" x14ac:dyDescent="0.3">
      <c r="A1882" t="s">
        <v>217</v>
      </c>
      <c r="B1882" t="s">
        <v>218</v>
      </c>
      <c r="C1882" t="s">
        <v>57</v>
      </c>
      <c r="D1882" t="s">
        <v>58</v>
      </c>
      <c r="E1882" t="s">
        <v>27</v>
      </c>
      <c r="F1882" s="1" t="s">
        <v>37</v>
      </c>
      <c r="G1882" s="2">
        <v>5.59</v>
      </c>
      <c r="H1882">
        <v>5.59</v>
      </c>
      <c r="I1882">
        <v>5.6176849999999998</v>
      </c>
      <c r="J1882">
        <v>7.91</v>
      </c>
      <c r="K1882">
        <v>22</v>
      </c>
      <c r="M1882">
        <v>0</v>
      </c>
      <c r="N1882" s="2">
        <v>3136</v>
      </c>
      <c r="O1882">
        <v>17617.060000000001</v>
      </c>
      <c r="P1882">
        <v>216</v>
      </c>
      <c r="Q1882">
        <v>2920</v>
      </c>
      <c r="R1882">
        <v>13.32</v>
      </c>
      <c r="S1882">
        <v>0</v>
      </c>
      <c r="T1882">
        <v>461</v>
      </c>
      <c r="U1882" s="2">
        <v>3646.51</v>
      </c>
      <c r="V1882">
        <v>0</v>
      </c>
      <c r="W1882" t="s">
        <v>29</v>
      </c>
      <c r="X1882" t="str">
        <f>IF(Table2[[#This Row],[Qty available]]&gt;Table2[[#This Row],[Qty on hand]],"Check","OK")</f>
        <v>OK</v>
      </c>
    </row>
    <row r="1883" spans="1:24" x14ac:dyDescent="0.3">
      <c r="A1883" t="s">
        <v>217</v>
      </c>
      <c r="B1883" t="s">
        <v>218</v>
      </c>
      <c r="C1883" t="s">
        <v>57</v>
      </c>
      <c r="D1883" t="s">
        <v>58</v>
      </c>
      <c r="E1883" t="s">
        <v>27</v>
      </c>
      <c r="F1883" s="1" t="s">
        <v>38</v>
      </c>
      <c r="G1883" s="2">
        <v>5.63</v>
      </c>
      <c r="H1883">
        <v>5.63</v>
      </c>
      <c r="I1883">
        <v>5.6176849999999998</v>
      </c>
      <c r="J1883">
        <v>7.91</v>
      </c>
      <c r="K1883">
        <v>22</v>
      </c>
      <c r="M1883">
        <v>0</v>
      </c>
      <c r="N1883" s="2">
        <v>1875</v>
      </c>
      <c r="O1883">
        <v>10533.16</v>
      </c>
      <c r="P1883">
        <v>108</v>
      </c>
      <c r="Q1883">
        <v>1767</v>
      </c>
      <c r="R1883">
        <v>8.98</v>
      </c>
      <c r="S1883">
        <v>0</v>
      </c>
      <c r="T1883">
        <v>1261</v>
      </c>
      <c r="U1883" s="2">
        <v>9974.51</v>
      </c>
      <c r="V1883">
        <v>0</v>
      </c>
      <c r="W1883" t="s">
        <v>29</v>
      </c>
      <c r="X1883" t="str">
        <f>IF(Table2[[#This Row],[Qty available]]&gt;Table2[[#This Row],[Qty on hand]],"Check","OK")</f>
        <v>OK</v>
      </c>
    </row>
    <row r="1884" spans="1:24" x14ac:dyDescent="0.3">
      <c r="A1884" t="s">
        <v>217</v>
      </c>
      <c r="B1884" t="s">
        <v>218</v>
      </c>
      <c r="C1884" t="s">
        <v>57</v>
      </c>
      <c r="D1884" t="s">
        <v>58</v>
      </c>
      <c r="E1884" t="s">
        <v>27</v>
      </c>
      <c r="F1884" s="1" t="s">
        <v>39</v>
      </c>
      <c r="G1884" s="2">
        <v>5.64</v>
      </c>
      <c r="H1884">
        <v>5.64</v>
      </c>
      <c r="I1884">
        <v>5.6220809999999997</v>
      </c>
      <c r="J1884">
        <v>7.91</v>
      </c>
      <c r="K1884">
        <v>22</v>
      </c>
      <c r="L1884" s="2">
        <v>21</v>
      </c>
      <c r="M1884">
        <v>460</v>
      </c>
      <c r="N1884" s="2">
        <v>1105</v>
      </c>
      <c r="O1884">
        <v>6212.4</v>
      </c>
      <c r="P1884">
        <v>324</v>
      </c>
      <c r="Q1884">
        <v>781</v>
      </c>
      <c r="R1884">
        <v>4.92</v>
      </c>
      <c r="S1884">
        <v>0</v>
      </c>
      <c r="T1884">
        <v>1230</v>
      </c>
      <c r="U1884" s="2">
        <v>9729.2999999999993</v>
      </c>
      <c r="V1884">
        <v>0</v>
      </c>
      <c r="W1884" t="s">
        <v>29</v>
      </c>
      <c r="X1884" t="str">
        <f>IF(Table2[[#This Row],[Qty available]]&gt;Table2[[#This Row],[Qty on hand]],"Check","OK")</f>
        <v>OK</v>
      </c>
    </row>
    <row r="1885" spans="1:24" x14ac:dyDescent="0.3">
      <c r="A1885" t="s">
        <v>217</v>
      </c>
      <c r="B1885" t="s">
        <v>218</v>
      </c>
      <c r="C1885" t="s">
        <v>57</v>
      </c>
      <c r="D1885" t="s">
        <v>58</v>
      </c>
      <c r="E1885" t="s">
        <v>27</v>
      </c>
      <c r="F1885" s="1" t="s">
        <v>40</v>
      </c>
      <c r="G1885" s="2">
        <v>5.56</v>
      </c>
      <c r="H1885">
        <v>5.56</v>
      </c>
      <c r="I1885">
        <v>5.6220809999999997</v>
      </c>
      <c r="J1885">
        <v>7.91</v>
      </c>
      <c r="K1885">
        <v>22</v>
      </c>
      <c r="M1885">
        <v>0</v>
      </c>
      <c r="N1885" s="2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1105</v>
      </c>
      <c r="U1885" s="2">
        <v>8740.5499999999993</v>
      </c>
      <c r="V1885">
        <v>675</v>
      </c>
      <c r="W1885" t="s">
        <v>59</v>
      </c>
      <c r="X1885" t="str">
        <f>IF(Table2[[#This Row],[Qty available]]&gt;Table2[[#This Row],[Qty on hand]],"Check","OK")</f>
        <v>OK</v>
      </c>
    </row>
    <row r="1886" spans="1:24" x14ac:dyDescent="0.3">
      <c r="A1886" t="s">
        <v>217</v>
      </c>
      <c r="B1886" t="s">
        <v>218</v>
      </c>
      <c r="C1886" t="s">
        <v>57</v>
      </c>
      <c r="D1886" t="s">
        <v>58</v>
      </c>
      <c r="E1886" t="s">
        <v>27</v>
      </c>
      <c r="F1886" s="1" t="s">
        <v>41</v>
      </c>
      <c r="G1886" s="2">
        <v>5.67</v>
      </c>
      <c r="H1886">
        <v>5.67</v>
      </c>
      <c r="I1886">
        <v>5.67</v>
      </c>
      <c r="J1886">
        <v>7.91</v>
      </c>
      <c r="K1886">
        <v>22</v>
      </c>
      <c r="L1886" s="2">
        <v>33</v>
      </c>
      <c r="M1886">
        <v>1638</v>
      </c>
      <c r="N1886" s="2">
        <v>119</v>
      </c>
      <c r="O1886">
        <v>674.73</v>
      </c>
      <c r="P1886">
        <v>108</v>
      </c>
      <c r="Q1886">
        <v>11</v>
      </c>
      <c r="R1886">
        <v>0.41</v>
      </c>
      <c r="S1886">
        <v>0</v>
      </c>
      <c r="T1886">
        <v>1519</v>
      </c>
      <c r="U1886" s="2">
        <v>12015.29</v>
      </c>
      <c r="V1886">
        <v>0</v>
      </c>
      <c r="W1886" t="s">
        <v>29</v>
      </c>
      <c r="X1886" t="str">
        <f>IF(Table2[[#This Row],[Qty available]]&gt;Table2[[#This Row],[Qty on hand]],"Check","OK")</f>
        <v>OK</v>
      </c>
    </row>
    <row r="1887" spans="1:24" x14ac:dyDescent="0.3">
      <c r="A1887" t="s">
        <v>217</v>
      </c>
      <c r="B1887" t="s">
        <v>218</v>
      </c>
      <c r="C1887" t="s">
        <v>57</v>
      </c>
      <c r="D1887" t="s">
        <v>58</v>
      </c>
      <c r="E1887" t="s">
        <v>27</v>
      </c>
      <c r="F1887" s="1" t="s">
        <v>42</v>
      </c>
      <c r="G1887" s="2">
        <v>5.61</v>
      </c>
      <c r="H1887">
        <v>5.61</v>
      </c>
      <c r="I1887">
        <v>5.6130190000000004</v>
      </c>
      <c r="J1887">
        <v>7.91</v>
      </c>
      <c r="K1887">
        <v>22</v>
      </c>
      <c r="L1887" s="2">
        <v>21</v>
      </c>
      <c r="M1887">
        <v>2247</v>
      </c>
      <c r="N1887" s="2">
        <v>1285</v>
      </c>
      <c r="O1887">
        <v>7212.73</v>
      </c>
      <c r="P1887">
        <v>216</v>
      </c>
      <c r="Q1887">
        <v>1069</v>
      </c>
      <c r="R1887">
        <v>4.5599999999999996</v>
      </c>
      <c r="S1887">
        <v>0</v>
      </c>
      <c r="T1887">
        <v>1081</v>
      </c>
      <c r="U1887" s="2">
        <v>8550.7099999999991</v>
      </c>
      <c r="V1887">
        <v>0</v>
      </c>
      <c r="W1887" t="s">
        <v>29</v>
      </c>
      <c r="X1887" t="str">
        <f>IF(Table2[[#This Row],[Qty available]]&gt;Table2[[#This Row],[Qty on hand]],"Check","OK")</f>
        <v>OK</v>
      </c>
    </row>
    <row r="1888" spans="1:24" x14ac:dyDescent="0.3">
      <c r="A1888" t="s">
        <v>217</v>
      </c>
      <c r="B1888" t="s">
        <v>218</v>
      </c>
      <c r="C1888" t="s">
        <v>57</v>
      </c>
      <c r="D1888" t="s">
        <v>58</v>
      </c>
      <c r="E1888" t="s">
        <v>27</v>
      </c>
      <c r="F1888" s="1" t="s">
        <v>43</v>
      </c>
      <c r="G1888" s="2">
        <v>5.58</v>
      </c>
      <c r="H1888">
        <v>5.58</v>
      </c>
      <c r="I1888">
        <v>5.5939030000000001</v>
      </c>
      <c r="J1888">
        <v>7.91</v>
      </c>
      <c r="K1888">
        <v>22</v>
      </c>
      <c r="L1888" s="2">
        <v>30</v>
      </c>
      <c r="M1888">
        <v>1767</v>
      </c>
      <c r="N1888" s="2">
        <v>1909</v>
      </c>
      <c r="O1888">
        <v>10678.76</v>
      </c>
      <c r="P1888">
        <v>324</v>
      </c>
      <c r="Q1888">
        <v>1585</v>
      </c>
      <c r="R1888">
        <v>6.63</v>
      </c>
      <c r="S1888">
        <v>1</v>
      </c>
      <c r="T1888">
        <v>1143</v>
      </c>
      <c r="U1888" s="2">
        <v>9041.1299999999992</v>
      </c>
      <c r="V1888">
        <v>0</v>
      </c>
      <c r="W1888" t="s">
        <v>29</v>
      </c>
      <c r="X1888" t="str">
        <f>IF(Table2[[#This Row],[Qty available]]&gt;Table2[[#This Row],[Qty on hand]],"Check","OK")</f>
        <v>OK</v>
      </c>
    </row>
    <row r="1889" spans="1:24" x14ac:dyDescent="0.3">
      <c r="A1889" t="s">
        <v>217</v>
      </c>
      <c r="B1889" t="s">
        <v>218</v>
      </c>
      <c r="C1889" t="s">
        <v>57</v>
      </c>
      <c r="D1889" t="s">
        <v>58</v>
      </c>
      <c r="E1889" t="s">
        <v>27</v>
      </c>
      <c r="F1889" s="1" t="s">
        <v>44</v>
      </c>
      <c r="G1889" s="2">
        <v>5.55</v>
      </c>
      <c r="H1889">
        <v>5.55</v>
      </c>
      <c r="I1889">
        <v>5.5741040000000002</v>
      </c>
      <c r="J1889">
        <v>7.91</v>
      </c>
      <c r="K1889">
        <v>22</v>
      </c>
      <c r="L1889" s="2">
        <v>20</v>
      </c>
      <c r="M1889">
        <v>1568</v>
      </c>
      <c r="N1889" s="2">
        <v>3477</v>
      </c>
      <c r="O1889">
        <v>19381.16</v>
      </c>
      <c r="P1889">
        <v>216</v>
      </c>
      <c r="Q1889">
        <v>3261</v>
      </c>
      <c r="R1889">
        <v>20.55</v>
      </c>
      <c r="S1889">
        <v>32</v>
      </c>
      <c r="T1889">
        <v>0</v>
      </c>
      <c r="U1889" s="2">
        <v>0</v>
      </c>
      <c r="V1889">
        <v>0</v>
      </c>
      <c r="W1889" t="s">
        <v>29</v>
      </c>
      <c r="X1889" t="str">
        <f>IF(Table2[[#This Row],[Qty available]]&gt;Table2[[#This Row],[Qty on hand]],"Check","OK")</f>
        <v>OK</v>
      </c>
    </row>
    <row r="1890" spans="1:24" x14ac:dyDescent="0.3">
      <c r="A1890" t="s">
        <v>217</v>
      </c>
      <c r="B1890" t="s">
        <v>218</v>
      </c>
      <c r="C1890" t="s">
        <v>57</v>
      </c>
      <c r="D1890" t="s">
        <v>58</v>
      </c>
      <c r="E1890" t="s">
        <v>27</v>
      </c>
      <c r="F1890" s="1" t="s">
        <v>45</v>
      </c>
      <c r="G1890" s="2">
        <v>5.94</v>
      </c>
      <c r="H1890">
        <v>5.94</v>
      </c>
      <c r="I1890">
        <v>5.5741059999999996</v>
      </c>
      <c r="J1890">
        <v>7.91</v>
      </c>
      <c r="K1890">
        <v>22</v>
      </c>
      <c r="M1890">
        <v>0</v>
      </c>
      <c r="N1890" s="2">
        <v>2075</v>
      </c>
      <c r="O1890">
        <v>11566.27</v>
      </c>
      <c r="P1890">
        <v>288</v>
      </c>
      <c r="Q1890">
        <v>1787</v>
      </c>
      <c r="R1890">
        <v>10.72</v>
      </c>
      <c r="S1890">
        <v>1</v>
      </c>
      <c r="T1890">
        <v>1402</v>
      </c>
      <c r="U1890" s="2">
        <v>11089.82</v>
      </c>
      <c r="V1890">
        <v>0</v>
      </c>
      <c r="W1890" t="s">
        <v>29</v>
      </c>
      <c r="X1890" t="str">
        <f>IF(Table2[[#This Row],[Qty available]]&gt;Table2[[#This Row],[Qty on hand]],"Check","OK")</f>
        <v>OK</v>
      </c>
    </row>
    <row r="1891" spans="1:24" x14ac:dyDescent="0.3">
      <c r="A1891" t="s">
        <v>217</v>
      </c>
      <c r="B1891" t="s">
        <v>218</v>
      </c>
      <c r="C1891" t="s">
        <v>57</v>
      </c>
      <c r="D1891" t="s">
        <v>58</v>
      </c>
      <c r="E1891" t="s">
        <v>27</v>
      </c>
      <c r="F1891" s="1" t="s">
        <v>46</v>
      </c>
      <c r="G1891" s="2">
        <v>5.84</v>
      </c>
      <c r="H1891">
        <v>5.84</v>
      </c>
      <c r="I1891">
        <v>5.657972</v>
      </c>
      <c r="J1891">
        <v>8.14</v>
      </c>
      <c r="K1891">
        <v>22</v>
      </c>
      <c r="L1891" s="2">
        <v>19</v>
      </c>
      <c r="M1891">
        <v>956</v>
      </c>
      <c r="N1891" s="2">
        <v>1652</v>
      </c>
      <c r="O1891">
        <v>9346.9699999999993</v>
      </c>
      <c r="P1891">
        <v>360</v>
      </c>
      <c r="Q1891">
        <v>1292</v>
      </c>
      <c r="R1891">
        <v>7.64</v>
      </c>
      <c r="S1891">
        <v>1</v>
      </c>
      <c r="T1891">
        <v>1379</v>
      </c>
      <c r="U1891" s="2">
        <v>11225.06</v>
      </c>
      <c r="V1891">
        <v>0</v>
      </c>
      <c r="W1891" t="s">
        <v>29</v>
      </c>
      <c r="X1891" t="str">
        <f>IF(Table2[[#This Row],[Qty available]]&gt;Table2[[#This Row],[Qty on hand]],"Check","OK")</f>
        <v>OK</v>
      </c>
    </row>
    <row r="1892" spans="1:24" x14ac:dyDescent="0.3">
      <c r="A1892" t="s">
        <v>217</v>
      </c>
      <c r="B1892" t="s">
        <v>218</v>
      </c>
      <c r="C1892" t="s">
        <v>57</v>
      </c>
      <c r="D1892" t="s">
        <v>58</v>
      </c>
      <c r="E1892" t="s">
        <v>27</v>
      </c>
      <c r="F1892" s="1" t="s">
        <v>47</v>
      </c>
      <c r="G1892" s="2">
        <v>5.83</v>
      </c>
      <c r="H1892">
        <v>5.83</v>
      </c>
      <c r="I1892">
        <v>5.6677939999999998</v>
      </c>
      <c r="J1892">
        <v>8.14</v>
      </c>
      <c r="K1892">
        <v>22</v>
      </c>
      <c r="L1892" s="2">
        <v>20</v>
      </c>
      <c r="M1892">
        <v>100</v>
      </c>
      <c r="N1892" s="2">
        <v>553</v>
      </c>
      <c r="O1892">
        <v>3134.29</v>
      </c>
      <c r="P1892">
        <v>108</v>
      </c>
      <c r="Q1892">
        <v>445</v>
      </c>
      <c r="R1892">
        <v>1.79</v>
      </c>
      <c r="S1892">
        <v>0</v>
      </c>
      <c r="T1892">
        <v>1199</v>
      </c>
      <c r="U1892" s="2">
        <v>9759.86</v>
      </c>
      <c r="V1892">
        <v>0</v>
      </c>
      <c r="W1892" t="s">
        <v>29</v>
      </c>
      <c r="X1892" t="str">
        <f>IF(Table2[[#This Row],[Qty available]]&gt;Table2[[#This Row],[Qty on hand]],"Check","OK")</f>
        <v>OK</v>
      </c>
    </row>
    <row r="1893" spans="1:24" x14ac:dyDescent="0.3">
      <c r="A1893" t="s">
        <v>217</v>
      </c>
      <c r="B1893" t="s">
        <v>218</v>
      </c>
      <c r="C1893" t="s">
        <v>57</v>
      </c>
      <c r="D1893" t="s">
        <v>58</v>
      </c>
      <c r="E1893" t="s">
        <v>27</v>
      </c>
      <c r="F1893" s="1" t="s">
        <v>48</v>
      </c>
      <c r="G1893" s="2">
        <v>5.92</v>
      </c>
      <c r="H1893">
        <v>5.92</v>
      </c>
      <c r="I1893">
        <v>5.8663379999999998</v>
      </c>
      <c r="J1893">
        <v>8.14</v>
      </c>
      <c r="K1893">
        <v>22</v>
      </c>
      <c r="L1893" s="2">
        <v>20</v>
      </c>
      <c r="M1893">
        <v>2046</v>
      </c>
      <c r="N1893" s="2">
        <v>2018</v>
      </c>
      <c r="O1893">
        <v>11838.27</v>
      </c>
      <c r="P1893">
        <v>324</v>
      </c>
      <c r="Q1893">
        <v>1694</v>
      </c>
      <c r="R1893">
        <v>8.1199999999999992</v>
      </c>
      <c r="S1893">
        <v>2</v>
      </c>
      <c r="T1893">
        <v>581</v>
      </c>
      <c r="U1893" s="2">
        <v>4729.34</v>
      </c>
      <c r="V1893">
        <v>0</v>
      </c>
      <c r="W1893" t="s">
        <v>29</v>
      </c>
      <c r="X1893" t="str">
        <f>IF(Table2[[#This Row],[Qty available]]&gt;Table2[[#This Row],[Qty on hand]],"Check","OK")</f>
        <v>OK</v>
      </c>
    </row>
    <row r="1894" spans="1:24" x14ac:dyDescent="0.3">
      <c r="A1894" t="s">
        <v>217</v>
      </c>
      <c r="B1894" t="s">
        <v>218</v>
      </c>
      <c r="C1894" t="s">
        <v>57</v>
      </c>
      <c r="D1894" t="s">
        <v>58</v>
      </c>
      <c r="E1894" t="s">
        <v>27</v>
      </c>
      <c r="F1894" s="1" t="s">
        <v>49</v>
      </c>
      <c r="G1894" s="2">
        <v>5.77</v>
      </c>
      <c r="H1894">
        <v>5.77</v>
      </c>
      <c r="I1894">
        <v>5.8531510000000004</v>
      </c>
      <c r="J1894">
        <v>8.14</v>
      </c>
      <c r="K1894">
        <v>22</v>
      </c>
      <c r="L1894" s="2">
        <v>30</v>
      </c>
      <c r="M1894">
        <v>320</v>
      </c>
      <c r="N1894" s="2">
        <v>1552</v>
      </c>
      <c r="O1894">
        <v>9084.09</v>
      </c>
      <c r="P1894">
        <v>144</v>
      </c>
      <c r="Q1894">
        <v>1408</v>
      </c>
      <c r="R1894">
        <v>7.95</v>
      </c>
      <c r="S1894">
        <v>1</v>
      </c>
      <c r="T1894">
        <v>786</v>
      </c>
      <c r="U1894" s="2">
        <v>6398.04</v>
      </c>
      <c r="V1894">
        <v>0</v>
      </c>
      <c r="W1894" t="s">
        <v>29</v>
      </c>
      <c r="X1894" t="str">
        <f>IF(Table2[[#This Row],[Qty available]]&gt;Table2[[#This Row],[Qty on hand]],"Check","OK")</f>
        <v>OK</v>
      </c>
    </row>
    <row r="1895" spans="1:24" x14ac:dyDescent="0.3">
      <c r="A1895" t="s">
        <v>217</v>
      </c>
      <c r="B1895" t="s">
        <v>218</v>
      </c>
      <c r="C1895" t="s">
        <v>57</v>
      </c>
      <c r="D1895" t="s">
        <v>58</v>
      </c>
      <c r="E1895" t="s">
        <v>27</v>
      </c>
      <c r="F1895" s="1" t="s">
        <v>50</v>
      </c>
      <c r="G1895" s="2">
        <v>5.96</v>
      </c>
      <c r="H1895">
        <v>5.96</v>
      </c>
      <c r="I1895">
        <v>5.8531579999999996</v>
      </c>
      <c r="J1895">
        <v>8.14</v>
      </c>
      <c r="K1895">
        <v>22</v>
      </c>
      <c r="M1895">
        <v>0</v>
      </c>
      <c r="N1895" s="2">
        <v>608</v>
      </c>
      <c r="O1895">
        <v>3558.72</v>
      </c>
      <c r="P1895">
        <v>180</v>
      </c>
      <c r="Q1895">
        <v>428</v>
      </c>
      <c r="R1895">
        <v>3.42</v>
      </c>
      <c r="S1895">
        <v>0</v>
      </c>
      <c r="T1895">
        <v>944</v>
      </c>
      <c r="U1895" s="2">
        <v>7684.16</v>
      </c>
      <c r="V1895">
        <v>0</v>
      </c>
      <c r="W1895" t="s">
        <v>29</v>
      </c>
      <c r="X1895" t="str">
        <f>IF(Table2[[#This Row],[Qty available]]&gt;Table2[[#This Row],[Qty on hand]],"Check","OK")</f>
        <v>OK</v>
      </c>
    </row>
    <row r="1896" spans="1:24" x14ac:dyDescent="0.3">
      <c r="A1896" t="s">
        <v>217</v>
      </c>
      <c r="B1896" t="s">
        <v>218</v>
      </c>
      <c r="C1896" t="s">
        <v>57</v>
      </c>
      <c r="D1896" t="s">
        <v>58</v>
      </c>
      <c r="E1896" t="s">
        <v>27</v>
      </c>
      <c r="F1896" s="1" t="s">
        <v>51</v>
      </c>
      <c r="G1896" s="2">
        <v>5.8</v>
      </c>
      <c r="H1896">
        <v>5.8</v>
      </c>
      <c r="I1896">
        <v>5.8107290000000003</v>
      </c>
      <c r="J1896">
        <v>8.14</v>
      </c>
      <c r="K1896">
        <v>22</v>
      </c>
      <c r="L1896" s="2">
        <v>22</v>
      </c>
      <c r="M1896">
        <v>2404</v>
      </c>
      <c r="N1896" s="2">
        <v>1784</v>
      </c>
      <c r="O1896">
        <v>10366.34</v>
      </c>
      <c r="P1896">
        <v>108</v>
      </c>
      <c r="Q1896">
        <v>1676</v>
      </c>
      <c r="R1896">
        <v>7.93</v>
      </c>
      <c r="S1896">
        <v>1</v>
      </c>
      <c r="T1896">
        <v>1228</v>
      </c>
      <c r="U1896" s="2">
        <v>9995.92</v>
      </c>
      <c r="V1896">
        <v>0</v>
      </c>
      <c r="W1896" t="s">
        <v>29</v>
      </c>
      <c r="X1896" t="str">
        <f>IF(Table2[[#This Row],[Qty available]]&gt;Table2[[#This Row],[Qty on hand]],"Check","OK")</f>
        <v>OK</v>
      </c>
    </row>
    <row r="1897" spans="1:24" x14ac:dyDescent="0.3">
      <c r="A1897" t="s">
        <v>217</v>
      </c>
      <c r="B1897" t="s">
        <v>218</v>
      </c>
      <c r="C1897" t="s">
        <v>57</v>
      </c>
      <c r="D1897" t="s">
        <v>58</v>
      </c>
      <c r="E1897" t="s">
        <v>27</v>
      </c>
      <c r="F1897" s="1" t="s">
        <v>52</v>
      </c>
      <c r="G1897" s="2">
        <v>5.9</v>
      </c>
      <c r="H1897">
        <v>5.9</v>
      </c>
      <c r="I1897">
        <v>5.8547960000000003</v>
      </c>
      <c r="J1897">
        <v>8.14</v>
      </c>
      <c r="K1897">
        <v>22</v>
      </c>
      <c r="L1897" s="2">
        <v>30</v>
      </c>
      <c r="M1897">
        <v>1739</v>
      </c>
      <c r="N1897" s="2">
        <v>2671</v>
      </c>
      <c r="O1897">
        <v>15638.16</v>
      </c>
      <c r="P1897">
        <v>216</v>
      </c>
      <c r="Q1897">
        <v>2455</v>
      </c>
      <c r="R1897">
        <v>11.61</v>
      </c>
      <c r="S1897">
        <v>0</v>
      </c>
      <c r="T1897">
        <v>852</v>
      </c>
      <c r="U1897" s="2">
        <v>6935.28</v>
      </c>
      <c r="V1897">
        <v>0</v>
      </c>
      <c r="W1897" t="s">
        <v>29</v>
      </c>
      <c r="X1897" t="str">
        <f>IF(Table2[[#This Row],[Qty available]]&gt;Table2[[#This Row],[Qty on hand]],"Check","OK")</f>
        <v>OK</v>
      </c>
    </row>
    <row r="1898" spans="1:24" x14ac:dyDescent="0.3">
      <c r="A1898" t="s">
        <v>219</v>
      </c>
      <c r="B1898" t="s">
        <v>220</v>
      </c>
      <c r="C1898" t="s">
        <v>69</v>
      </c>
      <c r="D1898" t="s">
        <v>70</v>
      </c>
      <c r="E1898" t="s">
        <v>66</v>
      </c>
      <c r="F1898" s="1" t="s">
        <v>28</v>
      </c>
      <c r="G1898" s="2">
        <v>14.57</v>
      </c>
      <c r="H1898">
        <v>14.57</v>
      </c>
      <c r="I1898">
        <v>14.583777</v>
      </c>
      <c r="J1898">
        <v>19.91</v>
      </c>
      <c r="K1898">
        <v>46</v>
      </c>
      <c r="L1898" s="2">
        <v>43</v>
      </c>
      <c r="M1898">
        <v>512</v>
      </c>
      <c r="N1898" s="2">
        <v>376</v>
      </c>
      <c r="O1898">
        <v>5483.5</v>
      </c>
      <c r="P1898">
        <v>20</v>
      </c>
      <c r="Q1898">
        <v>356</v>
      </c>
      <c r="R1898">
        <v>6.66</v>
      </c>
      <c r="S1898">
        <v>4</v>
      </c>
      <c r="T1898">
        <v>194</v>
      </c>
      <c r="U1898" s="2">
        <v>3862.54</v>
      </c>
      <c r="V1898">
        <v>0</v>
      </c>
      <c r="W1898" t="s">
        <v>29</v>
      </c>
      <c r="X1898" t="str">
        <f>IF(Table2[[#This Row],[Qty available]]&gt;Table2[[#This Row],[Qty on hand]],"Check","OK")</f>
        <v>OK</v>
      </c>
    </row>
    <row r="1899" spans="1:24" x14ac:dyDescent="0.3">
      <c r="A1899" t="s">
        <v>219</v>
      </c>
      <c r="B1899" t="s">
        <v>220</v>
      </c>
      <c r="C1899" t="s">
        <v>69</v>
      </c>
      <c r="D1899" t="s">
        <v>70</v>
      </c>
      <c r="E1899" t="s">
        <v>66</v>
      </c>
      <c r="F1899" s="1" t="s">
        <v>30</v>
      </c>
      <c r="G1899" s="2">
        <v>14.68</v>
      </c>
      <c r="H1899">
        <v>14.68</v>
      </c>
      <c r="I1899">
        <v>14.583780000000001</v>
      </c>
      <c r="J1899">
        <v>19.91</v>
      </c>
      <c r="K1899">
        <v>46</v>
      </c>
      <c r="M1899">
        <v>0</v>
      </c>
      <c r="N1899" s="2">
        <v>254</v>
      </c>
      <c r="O1899">
        <v>3704.28</v>
      </c>
      <c r="P1899">
        <v>46</v>
      </c>
      <c r="Q1899">
        <v>208</v>
      </c>
      <c r="R1899">
        <v>5.62</v>
      </c>
      <c r="S1899">
        <v>4</v>
      </c>
      <c r="T1899">
        <v>122</v>
      </c>
      <c r="U1899" s="2">
        <v>2429.02</v>
      </c>
      <c r="V1899">
        <v>0</v>
      </c>
      <c r="W1899" t="s">
        <v>29</v>
      </c>
      <c r="X1899" t="str">
        <f>IF(Table2[[#This Row],[Qty available]]&gt;Table2[[#This Row],[Qty on hand]],"Check","OK")</f>
        <v>OK</v>
      </c>
    </row>
    <row r="1900" spans="1:24" x14ac:dyDescent="0.3">
      <c r="A1900" t="s">
        <v>219</v>
      </c>
      <c r="B1900" t="s">
        <v>220</v>
      </c>
      <c r="C1900" t="s">
        <v>69</v>
      </c>
      <c r="D1900" t="s">
        <v>70</v>
      </c>
      <c r="E1900" t="s">
        <v>66</v>
      </c>
      <c r="F1900" s="1" t="s">
        <v>31</v>
      </c>
      <c r="G1900" s="2">
        <v>14.81</v>
      </c>
      <c r="H1900">
        <v>14.81</v>
      </c>
      <c r="I1900">
        <v>14.721869999999999</v>
      </c>
      <c r="J1900">
        <v>19.91</v>
      </c>
      <c r="K1900">
        <v>46</v>
      </c>
      <c r="L1900" s="2">
        <v>45</v>
      </c>
      <c r="M1900">
        <v>398</v>
      </c>
      <c r="N1900" s="2">
        <v>353</v>
      </c>
      <c r="O1900">
        <v>5196.82</v>
      </c>
      <c r="P1900">
        <v>59</v>
      </c>
      <c r="Q1900">
        <v>294</v>
      </c>
      <c r="R1900">
        <v>7.46</v>
      </c>
      <c r="S1900">
        <v>1</v>
      </c>
      <c r="T1900">
        <v>299</v>
      </c>
      <c r="U1900" s="2">
        <v>5953.09</v>
      </c>
      <c r="V1900">
        <v>0</v>
      </c>
      <c r="W1900" t="s">
        <v>29</v>
      </c>
      <c r="X1900" t="str">
        <f>IF(Table2[[#This Row],[Qty available]]&gt;Table2[[#This Row],[Qty on hand]],"Check","OK")</f>
        <v>OK</v>
      </c>
    </row>
    <row r="1901" spans="1:24" x14ac:dyDescent="0.3">
      <c r="A1901" t="s">
        <v>219</v>
      </c>
      <c r="B1901" t="s">
        <v>220</v>
      </c>
      <c r="C1901" t="s">
        <v>69</v>
      </c>
      <c r="D1901" t="s">
        <v>70</v>
      </c>
      <c r="E1901" t="s">
        <v>66</v>
      </c>
      <c r="F1901" s="1" t="s">
        <v>32</v>
      </c>
      <c r="G1901" s="2">
        <v>15.04</v>
      </c>
      <c r="H1901">
        <v>15.04</v>
      </c>
      <c r="I1901">
        <v>14.721868000000001</v>
      </c>
      <c r="J1901">
        <v>19.91</v>
      </c>
      <c r="K1901">
        <v>46</v>
      </c>
      <c r="M1901">
        <v>0</v>
      </c>
      <c r="N1901" s="2">
        <v>182</v>
      </c>
      <c r="O1901">
        <v>2679.38</v>
      </c>
      <c r="P1901">
        <v>52</v>
      </c>
      <c r="Q1901">
        <v>130</v>
      </c>
      <c r="R1901">
        <v>4.04</v>
      </c>
      <c r="S1901">
        <v>3</v>
      </c>
      <c r="T1901">
        <v>171</v>
      </c>
      <c r="U1901" s="2">
        <v>3404.61</v>
      </c>
      <c r="V1901">
        <v>0</v>
      </c>
      <c r="W1901" t="s">
        <v>29</v>
      </c>
      <c r="X1901" t="str">
        <f>IF(Table2[[#This Row],[Qty available]]&gt;Table2[[#This Row],[Qty on hand]],"Check","OK")</f>
        <v>OK</v>
      </c>
    </row>
    <row r="1902" spans="1:24" x14ac:dyDescent="0.3">
      <c r="A1902" t="s">
        <v>219</v>
      </c>
      <c r="B1902" t="s">
        <v>220</v>
      </c>
      <c r="C1902" t="s">
        <v>69</v>
      </c>
      <c r="D1902" t="s">
        <v>70</v>
      </c>
      <c r="E1902" t="s">
        <v>66</v>
      </c>
      <c r="F1902" s="1" t="s">
        <v>33</v>
      </c>
      <c r="G1902" s="2">
        <v>15.26</v>
      </c>
      <c r="H1902">
        <v>15.26</v>
      </c>
      <c r="I1902">
        <v>15.123785</v>
      </c>
      <c r="J1902">
        <v>19.91</v>
      </c>
      <c r="K1902">
        <v>46</v>
      </c>
      <c r="L1902" s="2">
        <v>41</v>
      </c>
      <c r="M1902">
        <v>537</v>
      </c>
      <c r="N1902" s="2">
        <v>465</v>
      </c>
      <c r="O1902">
        <v>7032.56</v>
      </c>
      <c r="P1902">
        <v>33</v>
      </c>
      <c r="Q1902">
        <v>432</v>
      </c>
      <c r="R1902">
        <v>8.44</v>
      </c>
      <c r="S1902">
        <v>2</v>
      </c>
      <c r="T1902">
        <v>254</v>
      </c>
      <c r="U1902" s="2">
        <v>5057.1400000000003</v>
      </c>
      <c r="V1902">
        <v>0</v>
      </c>
      <c r="W1902" t="s">
        <v>29</v>
      </c>
      <c r="X1902" t="str">
        <f>IF(Table2[[#This Row],[Qty available]]&gt;Table2[[#This Row],[Qty on hand]],"Check","OK")</f>
        <v>OK</v>
      </c>
    </row>
    <row r="1903" spans="1:24" x14ac:dyDescent="0.3">
      <c r="A1903" t="s">
        <v>219</v>
      </c>
      <c r="B1903" t="s">
        <v>220</v>
      </c>
      <c r="C1903" t="s">
        <v>69</v>
      </c>
      <c r="D1903" t="s">
        <v>70</v>
      </c>
      <c r="E1903" t="s">
        <v>66</v>
      </c>
      <c r="F1903" s="1" t="s">
        <v>34</v>
      </c>
      <c r="G1903" s="2">
        <v>15.18</v>
      </c>
      <c r="H1903">
        <v>15.18</v>
      </c>
      <c r="I1903">
        <v>15.123791000000001</v>
      </c>
      <c r="J1903">
        <v>20.41</v>
      </c>
      <c r="K1903">
        <v>46</v>
      </c>
      <c r="M1903">
        <v>0</v>
      </c>
      <c r="N1903" s="2">
        <v>401</v>
      </c>
      <c r="O1903">
        <v>6064.64</v>
      </c>
      <c r="P1903">
        <v>26</v>
      </c>
      <c r="Q1903">
        <v>375</v>
      </c>
      <c r="R1903">
        <v>10.54</v>
      </c>
      <c r="S1903">
        <v>5</v>
      </c>
      <c r="T1903">
        <v>64</v>
      </c>
      <c r="U1903" s="2">
        <v>1306.24</v>
      </c>
      <c r="V1903">
        <v>0</v>
      </c>
      <c r="W1903" t="s">
        <v>29</v>
      </c>
      <c r="X1903" t="str">
        <f>IF(Table2[[#This Row],[Qty available]]&gt;Table2[[#This Row],[Qty on hand]],"Check","OK")</f>
        <v>OK</v>
      </c>
    </row>
    <row r="1904" spans="1:24" x14ac:dyDescent="0.3">
      <c r="A1904" t="s">
        <v>219</v>
      </c>
      <c r="B1904" t="s">
        <v>220</v>
      </c>
      <c r="C1904" t="s">
        <v>69</v>
      </c>
      <c r="D1904" t="s">
        <v>70</v>
      </c>
      <c r="E1904" t="s">
        <v>66</v>
      </c>
      <c r="F1904" s="1" t="s">
        <v>35</v>
      </c>
      <c r="G1904" s="2">
        <v>15.41</v>
      </c>
      <c r="H1904">
        <v>15.41</v>
      </c>
      <c r="I1904">
        <v>15.123783</v>
      </c>
      <c r="J1904">
        <v>20.41</v>
      </c>
      <c r="K1904">
        <v>46</v>
      </c>
      <c r="M1904">
        <v>0</v>
      </c>
      <c r="N1904" s="2">
        <v>267</v>
      </c>
      <c r="O1904">
        <v>4038.05</v>
      </c>
      <c r="P1904">
        <v>26</v>
      </c>
      <c r="Q1904">
        <v>241</v>
      </c>
      <c r="R1904">
        <v>7.59</v>
      </c>
      <c r="S1904">
        <v>3</v>
      </c>
      <c r="T1904">
        <v>134</v>
      </c>
      <c r="U1904" s="2">
        <v>2734.94</v>
      </c>
      <c r="V1904">
        <v>0</v>
      </c>
      <c r="W1904" t="s">
        <v>29</v>
      </c>
      <c r="X1904" t="str">
        <f>IF(Table2[[#This Row],[Qty available]]&gt;Table2[[#This Row],[Qty on hand]],"Check","OK")</f>
        <v>OK</v>
      </c>
    </row>
    <row r="1905" spans="1:24" x14ac:dyDescent="0.3">
      <c r="A1905" t="s">
        <v>219</v>
      </c>
      <c r="B1905" t="s">
        <v>220</v>
      </c>
      <c r="C1905" t="s">
        <v>69</v>
      </c>
      <c r="D1905" t="s">
        <v>70</v>
      </c>
      <c r="E1905" t="s">
        <v>66</v>
      </c>
      <c r="F1905" s="1" t="s">
        <v>36</v>
      </c>
      <c r="G1905" s="2">
        <v>15.15</v>
      </c>
      <c r="H1905">
        <v>15.15</v>
      </c>
      <c r="I1905">
        <v>15.132680000000001</v>
      </c>
      <c r="J1905">
        <v>20.41</v>
      </c>
      <c r="K1905">
        <v>46</v>
      </c>
      <c r="L1905" s="2">
        <v>44</v>
      </c>
      <c r="M1905">
        <v>137</v>
      </c>
      <c r="N1905" s="2">
        <v>362</v>
      </c>
      <c r="O1905">
        <v>5478.03</v>
      </c>
      <c r="P1905">
        <v>13</v>
      </c>
      <c r="Q1905">
        <v>349</v>
      </c>
      <c r="R1905">
        <v>19.18</v>
      </c>
      <c r="S1905">
        <v>1</v>
      </c>
      <c r="T1905">
        <v>42</v>
      </c>
      <c r="U1905" s="2">
        <v>857.22</v>
      </c>
      <c r="V1905">
        <v>0</v>
      </c>
      <c r="W1905" t="s">
        <v>29</v>
      </c>
      <c r="X1905" t="str">
        <f>IF(Table2[[#This Row],[Qty available]]&gt;Table2[[#This Row],[Qty on hand]],"Check","OK")</f>
        <v>OK</v>
      </c>
    </row>
    <row r="1906" spans="1:24" x14ac:dyDescent="0.3">
      <c r="A1906" t="s">
        <v>219</v>
      </c>
      <c r="B1906" t="s">
        <v>220</v>
      </c>
      <c r="C1906" t="s">
        <v>69</v>
      </c>
      <c r="D1906" t="s">
        <v>70</v>
      </c>
      <c r="E1906" t="s">
        <v>66</v>
      </c>
      <c r="F1906" s="1" t="s">
        <v>37</v>
      </c>
      <c r="G1906" s="2">
        <v>14.93</v>
      </c>
      <c r="H1906">
        <v>14.93</v>
      </c>
      <c r="I1906">
        <v>15.074438000000001</v>
      </c>
      <c r="J1906">
        <v>20.41</v>
      </c>
      <c r="K1906">
        <v>46</v>
      </c>
      <c r="L1906" s="2">
        <v>41</v>
      </c>
      <c r="M1906">
        <v>146</v>
      </c>
      <c r="N1906" s="2">
        <v>347</v>
      </c>
      <c r="O1906">
        <v>5230.83</v>
      </c>
      <c r="P1906">
        <v>39</v>
      </c>
      <c r="Q1906">
        <v>308</v>
      </c>
      <c r="R1906">
        <v>13.53</v>
      </c>
      <c r="S1906">
        <v>1</v>
      </c>
      <c r="T1906">
        <v>161</v>
      </c>
      <c r="U1906" s="2">
        <v>3286.01</v>
      </c>
      <c r="V1906">
        <v>0</v>
      </c>
      <c r="W1906" t="s">
        <v>29</v>
      </c>
      <c r="X1906" t="str">
        <f>IF(Table2[[#This Row],[Qty available]]&gt;Table2[[#This Row],[Qty on hand]],"Check","OK")</f>
        <v>OK</v>
      </c>
    </row>
    <row r="1907" spans="1:24" x14ac:dyDescent="0.3">
      <c r="A1907" t="s">
        <v>219</v>
      </c>
      <c r="B1907" t="s">
        <v>220</v>
      </c>
      <c r="C1907" t="s">
        <v>69</v>
      </c>
      <c r="D1907" t="s">
        <v>70</v>
      </c>
      <c r="E1907" t="s">
        <v>66</v>
      </c>
      <c r="F1907" s="1" t="s">
        <v>38</v>
      </c>
      <c r="G1907" s="2">
        <v>15.1</v>
      </c>
      <c r="H1907">
        <v>15.1</v>
      </c>
      <c r="I1907">
        <v>15.085452</v>
      </c>
      <c r="J1907">
        <v>20.41</v>
      </c>
      <c r="K1907">
        <v>46</v>
      </c>
      <c r="L1907" s="2">
        <v>40</v>
      </c>
      <c r="M1907">
        <v>263</v>
      </c>
      <c r="N1907" s="2">
        <v>431</v>
      </c>
      <c r="O1907">
        <v>6501.83</v>
      </c>
      <c r="P1907">
        <v>46</v>
      </c>
      <c r="Q1907">
        <v>385</v>
      </c>
      <c r="R1907">
        <v>14.67</v>
      </c>
      <c r="S1907">
        <v>0</v>
      </c>
      <c r="T1907">
        <v>179</v>
      </c>
      <c r="U1907" s="2">
        <v>3653.39</v>
      </c>
      <c r="V1907">
        <v>0</v>
      </c>
      <c r="W1907" t="s">
        <v>29</v>
      </c>
      <c r="X1907" t="str">
        <f>IF(Table2[[#This Row],[Qty available]]&gt;Table2[[#This Row],[Qty on hand]],"Check","OK")</f>
        <v>OK</v>
      </c>
    </row>
    <row r="1908" spans="1:24" x14ac:dyDescent="0.3">
      <c r="A1908" t="s">
        <v>219</v>
      </c>
      <c r="B1908" t="s">
        <v>220</v>
      </c>
      <c r="C1908" t="s">
        <v>69</v>
      </c>
      <c r="D1908" t="s">
        <v>70</v>
      </c>
      <c r="E1908" t="s">
        <v>66</v>
      </c>
      <c r="F1908" s="1" t="s">
        <v>39</v>
      </c>
      <c r="G1908" s="2">
        <v>15.07</v>
      </c>
      <c r="H1908">
        <v>15.07</v>
      </c>
      <c r="I1908">
        <v>15.08545</v>
      </c>
      <c r="J1908">
        <v>20.41</v>
      </c>
      <c r="K1908">
        <v>46</v>
      </c>
      <c r="M1908">
        <v>0</v>
      </c>
      <c r="N1908" s="2">
        <v>222</v>
      </c>
      <c r="O1908">
        <v>3348.97</v>
      </c>
      <c r="P1908">
        <v>33</v>
      </c>
      <c r="Q1908">
        <v>189</v>
      </c>
      <c r="R1908">
        <v>5.31</v>
      </c>
      <c r="S1908">
        <v>0</v>
      </c>
      <c r="T1908">
        <v>209</v>
      </c>
      <c r="U1908" s="2">
        <v>4265.6899999999996</v>
      </c>
      <c r="V1908">
        <v>0</v>
      </c>
      <c r="W1908" t="s">
        <v>29</v>
      </c>
      <c r="X1908" t="str">
        <f>IF(Table2[[#This Row],[Qty available]]&gt;Table2[[#This Row],[Qty on hand]],"Check","OK")</f>
        <v>OK</v>
      </c>
    </row>
    <row r="1909" spans="1:24" x14ac:dyDescent="0.3">
      <c r="A1909" t="s">
        <v>219</v>
      </c>
      <c r="B1909" t="s">
        <v>220</v>
      </c>
      <c r="C1909" t="s">
        <v>69</v>
      </c>
      <c r="D1909" t="s">
        <v>70</v>
      </c>
      <c r="E1909" t="s">
        <v>66</v>
      </c>
      <c r="F1909" s="1" t="s">
        <v>40</v>
      </c>
      <c r="G1909" s="2">
        <v>15.08</v>
      </c>
      <c r="H1909">
        <v>15.08</v>
      </c>
      <c r="I1909">
        <v>15.083102999999999</v>
      </c>
      <c r="J1909">
        <v>20.41</v>
      </c>
      <c r="K1909">
        <v>46</v>
      </c>
      <c r="L1909" s="2">
        <v>51</v>
      </c>
      <c r="M1909">
        <v>168</v>
      </c>
      <c r="N1909" s="2">
        <v>261</v>
      </c>
      <c r="O1909">
        <v>3936.69</v>
      </c>
      <c r="P1909">
        <v>39</v>
      </c>
      <c r="Q1909">
        <v>222</v>
      </c>
      <c r="R1909">
        <v>6.63</v>
      </c>
      <c r="S1909">
        <v>0</v>
      </c>
      <c r="T1909">
        <v>129</v>
      </c>
      <c r="U1909" s="2">
        <v>2632.89</v>
      </c>
      <c r="V1909">
        <v>0</v>
      </c>
      <c r="W1909" t="s">
        <v>29</v>
      </c>
      <c r="X1909" t="str">
        <f>IF(Table2[[#This Row],[Qty available]]&gt;Table2[[#This Row],[Qty on hand]],"Check","OK")</f>
        <v>OK</v>
      </c>
    </row>
    <row r="1910" spans="1:24" x14ac:dyDescent="0.3">
      <c r="A1910" t="s">
        <v>219</v>
      </c>
      <c r="B1910" t="s">
        <v>220</v>
      </c>
      <c r="C1910" t="s">
        <v>69</v>
      </c>
      <c r="D1910" t="s">
        <v>70</v>
      </c>
      <c r="E1910" t="s">
        <v>66</v>
      </c>
      <c r="F1910" s="1" t="s">
        <v>41</v>
      </c>
      <c r="G1910" s="2">
        <v>14.89</v>
      </c>
      <c r="H1910">
        <v>14.89</v>
      </c>
      <c r="I1910">
        <v>15.0832</v>
      </c>
      <c r="J1910">
        <v>20.41</v>
      </c>
      <c r="K1910">
        <v>46</v>
      </c>
      <c r="M1910">
        <v>0</v>
      </c>
      <c r="N1910" s="2">
        <v>50</v>
      </c>
      <c r="O1910">
        <v>754.16</v>
      </c>
      <c r="P1910">
        <v>46</v>
      </c>
      <c r="Q1910">
        <v>4</v>
      </c>
      <c r="R1910">
        <v>1.2</v>
      </c>
      <c r="S1910">
        <v>0</v>
      </c>
      <c r="T1910">
        <v>211</v>
      </c>
      <c r="U1910" s="2">
        <v>4306.51</v>
      </c>
      <c r="V1910">
        <v>0</v>
      </c>
      <c r="W1910" t="s">
        <v>29</v>
      </c>
      <c r="X1910" t="str">
        <f>IF(Table2[[#This Row],[Qty available]]&gt;Table2[[#This Row],[Qty on hand]],"Check","OK")</f>
        <v>OK</v>
      </c>
    </row>
    <row r="1911" spans="1:24" x14ac:dyDescent="0.3">
      <c r="A1911" t="s">
        <v>219</v>
      </c>
      <c r="B1911" t="s">
        <v>220</v>
      </c>
      <c r="C1911" t="s">
        <v>69</v>
      </c>
      <c r="D1911" t="s">
        <v>70</v>
      </c>
      <c r="E1911" t="s">
        <v>66</v>
      </c>
      <c r="F1911" s="1" t="s">
        <v>42</v>
      </c>
      <c r="G1911" s="2">
        <v>15.09</v>
      </c>
      <c r="H1911">
        <v>15.09</v>
      </c>
      <c r="I1911">
        <v>15.0832</v>
      </c>
      <c r="J1911">
        <v>20.41</v>
      </c>
      <c r="K1911">
        <v>46</v>
      </c>
      <c r="M1911">
        <v>0</v>
      </c>
      <c r="N1911" s="2">
        <v>0</v>
      </c>
      <c r="O1911">
        <v>0</v>
      </c>
      <c r="P1911">
        <v>0</v>
      </c>
      <c r="Q1911">
        <v>0</v>
      </c>
      <c r="R1911">
        <v>0</v>
      </c>
      <c r="S1911">
        <v>2</v>
      </c>
      <c r="T1911">
        <v>50</v>
      </c>
      <c r="U1911" s="2">
        <v>1020.5</v>
      </c>
      <c r="V1911">
        <v>148</v>
      </c>
      <c r="W1911" t="s">
        <v>59</v>
      </c>
      <c r="X1911" t="str">
        <f>IF(Table2[[#This Row],[Qty available]]&gt;Table2[[#This Row],[Qty on hand]],"Check","OK")</f>
        <v>OK</v>
      </c>
    </row>
    <row r="1912" spans="1:24" x14ac:dyDescent="0.3">
      <c r="A1912" t="s">
        <v>219</v>
      </c>
      <c r="B1912" t="s">
        <v>220</v>
      </c>
      <c r="C1912" t="s">
        <v>69</v>
      </c>
      <c r="D1912" t="s">
        <v>70</v>
      </c>
      <c r="E1912" t="s">
        <v>66</v>
      </c>
      <c r="F1912" s="1" t="s">
        <v>43</v>
      </c>
      <c r="G1912" s="2">
        <v>14.91</v>
      </c>
      <c r="H1912">
        <v>14.91</v>
      </c>
      <c r="I1912">
        <v>14.91</v>
      </c>
      <c r="J1912">
        <v>20.41</v>
      </c>
      <c r="K1912">
        <v>46</v>
      </c>
      <c r="L1912" s="2">
        <v>79</v>
      </c>
      <c r="M1912">
        <v>101</v>
      </c>
      <c r="N1912" s="2">
        <v>0</v>
      </c>
      <c r="O1912">
        <v>0</v>
      </c>
      <c r="P1912">
        <v>0</v>
      </c>
      <c r="Q1912">
        <v>0</v>
      </c>
      <c r="R1912">
        <v>0</v>
      </c>
      <c r="S1912">
        <v>7</v>
      </c>
      <c r="T1912">
        <v>101</v>
      </c>
      <c r="U1912" s="2">
        <v>2061.41</v>
      </c>
      <c r="V1912">
        <v>116</v>
      </c>
      <c r="W1912" t="s">
        <v>59</v>
      </c>
      <c r="X1912" t="str">
        <f>IF(Table2[[#This Row],[Qty available]]&gt;Table2[[#This Row],[Qty on hand]],"Check","OK")</f>
        <v>OK</v>
      </c>
    </row>
    <row r="1913" spans="1:24" x14ac:dyDescent="0.3">
      <c r="A1913" t="s">
        <v>219</v>
      </c>
      <c r="B1913" t="s">
        <v>220</v>
      </c>
      <c r="C1913" t="s">
        <v>69</v>
      </c>
      <c r="D1913" t="s">
        <v>70</v>
      </c>
      <c r="E1913" t="s">
        <v>66</v>
      </c>
      <c r="F1913" s="1" t="s">
        <v>44</v>
      </c>
      <c r="G1913" s="2">
        <v>15.68</v>
      </c>
      <c r="H1913">
        <v>15.68</v>
      </c>
      <c r="I1913">
        <v>15.68</v>
      </c>
      <c r="J1913">
        <v>20.41</v>
      </c>
      <c r="K1913">
        <v>46</v>
      </c>
      <c r="L1913" s="2">
        <v>44</v>
      </c>
      <c r="M1913">
        <v>569</v>
      </c>
      <c r="N1913" s="2">
        <v>339</v>
      </c>
      <c r="O1913">
        <v>5315.52</v>
      </c>
      <c r="P1913">
        <v>66</v>
      </c>
      <c r="Q1913">
        <v>273</v>
      </c>
      <c r="R1913">
        <v>11.69</v>
      </c>
      <c r="S1913">
        <v>5</v>
      </c>
      <c r="T1913">
        <v>230</v>
      </c>
      <c r="U1913" s="2">
        <v>4694.3</v>
      </c>
      <c r="V1913">
        <v>0</v>
      </c>
      <c r="W1913" t="s">
        <v>29</v>
      </c>
      <c r="X1913" t="str">
        <f>IF(Table2[[#This Row],[Qty available]]&gt;Table2[[#This Row],[Qty on hand]],"Check","OK")</f>
        <v>OK</v>
      </c>
    </row>
    <row r="1914" spans="1:24" x14ac:dyDescent="0.3">
      <c r="A1914" t="s">
        <v>219</v>
      </c>
      <c r="B1914" t="s">
        <v>220</v>
      </c>
      <c r="C1914" t="s">
        <v>69</v>
      </c>
      <c r="D1914" t="s">
        <v>70</v>
      </c>
      <c r="E1914" t="s">
        <v>66</v>
      </c>
      <c r="F1914" s="1" t="s">
        <v>45</v>
      </c>
      <c r="G1914" s="2">
        <v>15.3</v>
      </c>
      <c r="H1914">
        <v>15.3</v>
      </c>
      <c r="I1914">
        <v>15.68</v>
      </c>
      <c r="J1914">
        <v>20.41</v>
      </c>
      <c r="K1914">
        <v>46</v>
      </c>
      <c r="M1914">
        <v>0</v>
      </c>
      <c r="N1914" s="2">
        <v>179</v>
      </c>
      <c r="O1914">
        <v>2806.72</v>
      </c>
      <c r="P1914">
        <v>33</v>
      </c>
      <c r="Q1914">
        <v>146</v>
      </c>
      <c r="R1914">
        <v>4.79</v>
      </c>
      <c r="S1914">
        <v>1</v>
      </c>
      <c r="T1914">
        <v>160</v>
      </c>
      <c r="U1914" s="2">
        <v>3265.6</v>
      </c>
      <c r="V1914">
        <v>0</v>
      </c>
      <c r="W1914" t="s">
        <v>29</v>
      </c>
      <c r="X1914" t="str">
        <f>IF(Table2[[#This Row],[Qty available]]&gt;Table2[[#This Row],[Qty on hand]],"Check","OK")</f>
        <v>OK</v>
      </c>
    </row>
    <row r="1915" spans="1:24" x14ac:dyDescent="0.3">
      <c r="A1915" t="s">
        <v>219</v>
      </c>
      <c r="B1915" t="s">
        <v>220</v>
      </c>
      <c r="C1915" t="s">
        <v>69</v>
      </c>
      <c r="D1915" t="s">
        <v>70</v>
      </c>
      <c r="E1915" t="s">
        <v>66</v>
      </c>
      <c r="F1915" s="1" t="s">
        <v>46</v>
      </c>
      <c r="G1915" s="2">
        <v>15.38</v>
      </c>
      <c r="H1915">
        <v>15.38</v>
      </c>
      <c r="I1915">
        <v>15.68</v>
      </c>
      <c r="J1915">
        <v>20.92</v>
      </c>
      <c r="K1915">
        <v>46</v>
      </c>
      <c r="M1915">
        <v>0</v>
      </c>
      <c r="N1915" s="2">
        <v>0</v>
      </c>
      <c r="O1915">
        <v>0</v>
      </c>
      <c r="P1915">
        <v>0</v>
      </c>
      <c r="Q1915">
        <v>0</v>
      </c>
      <c r="R1915">
        <v>0</v>
      </c>
      <c r="S1915">
        <v>3</v>
      </c>
      <c r="T1915">
        <v>179</v>
      </c>
      <c r="U1915" s="2">
        <v>3744.68</v>
      </c>
      <c r="V1915">
        <v>63</v>
      </c>
      <c r="W1915" t="s">
        <v>59</v>
      </c>
      <c r="X1915" t="str">
        <f>IF(Table2[[#This Row],[Qty available]]&gt;Table2[[#This Row],[Qty on hand]],"Check","OK")</f>
        <v>OK</v>
      </c>
    </row>
    <row r="1916" spans="1:24" x14ac:dyDescent="0.3">
      <c r="A1916" t="s">
        <v>219</v>
      </c>
      <c r="B1916" t="s">
        <v>220</v>
      </c>
      <c r="C1916" t="s">
        <v>69</v>
      </c>
      <c r="D1916" t="s">
        <v>70</v>
      </c>
      <c r="E1916" t="s">
        <v>66</v>
      </c>
      <c r="F1916" s="1" t="s">
        <v>47</v>
      </c>
      <c r="G1916" s="2">
        <v>15.58</v>
      </c>
      <c r="H1916">
        <v>15.58</v>
      </c>
      <c r="I1916">
        <v>15.68</v>
      </c>
      <c r="J1916">
        <v>20.92</v>
      </c>
      <c r="K1916">
        <v>46</v>
      </c>
      <c r="M1916">
        <v>0</v>
      </c>
      <c r="N1916" s="2">
        <v>0</v>
      </c>
      <c r="O1916">
        <v>0</v>
      </c>
      <c r="P1916">
        <v>0</v>
      </c>
      <c r="Q1916">
        <v>0</v>
      </c>
      <c r="R1916">
        <v>0</v>
      </c>
      <c r="S1916">
        <v>34</v>
      </c>
      <c r="T1916">
        <v>0</v>
      </c>
      <c r="U1916" s="2">
        <v>0</v>
      </c>
      <c r="V1916">
        <v>271</v>
      </c>
      <c r="W1916" t="s">
        <v>59</v>
      </c>
      <c r="X1916" t="str">
        <f>IF(Table2[[#This Row],[Qty available]]&gt;Table2[[#This Row],[Qty on hand]],"Check","OK")</f>
        <v>OK</v>
      </c>
    </row>
    <row r="1917" spans="1:24" x14ac:dyDescent="0.3">
      <c r="A1917" t="s">
        <v>219</v>
      </c>
      <c r="B1917" t="s">
        <v>220</v>
      </c>
      <c r="C1917" t="s">
        <v>69</v>
      </c>
      <c r="D1917" t="s">
        <v>70</v>
      </c>
      <c r="E1917" t="s">
        <v>66</v>
      </c>
      <c r="F1917" s="1" t="s">
        <v>48</v>
      </c>
      <c r="G1917" s="2">
        <v>15.68</v>
      </c>
      <c r="H1917">
        <v>15.68</v>
      </c>
      <c r="I1917">
        <v>15.68</v>
      </c>
      <c r="J1917">
        <v>20.92</v>
      </c>
      <c r="K1917">
        <v>46</v>
      </c>
      <c r="L1917" s="2">
        <v>57</v>
      </c>
      <c r="M1917">
        <v>672</v>
      </c>
      <c r="N1917" s="2">
        <v>429</v>
      </c>
      <c r="O1917">
        <v>6726.72</v>
      </c>
      <c r="P1917">
        <v>20</v>
      </c>
      <c r="Q1917">
        <v>409</v>
      </c>
      <c r="R1917">
        <v>12.93</v>
      </c>
      <c r="S1917">
        <v>3</v>
      </c>
      <c r="T1917">
        <v>243</v>
      </c>
      <c r="U1917" s="2">
        <v>5083.5600000000004</v>
      </c>
      <c r="V1917">
        <v>0</v>
      </c>
      <c r="W1917" t="s">
        <v>29</v>
      </c>
      <c r="X1917" t="str">
        <f>IF(Table2[[#This Row],[Qty available]]&gt;Table2[[#This Row],[Qty on hand]],"Check","OK")</f>
        <v>OK</v>
      </c>
    </row>
    <row r="1918" spans="1:24" x14ac:dyDescent="0.3">
      <c r="A1918" t="s">
        <v>219</v>
      </c>
      <c r="B1918" t="s">
        <v>220</v>
      </c>
      <c r="C1918" t="s">
        <v>69</v>
      </c>
      <c r="D1918" t="s">
        <v>70</v>
      </c>
      <c r="E1918" t="s">
        <v>66</v>
      </c>
      <c r="F1918" s="1" t="s">
        <v>49</v>
      </c>
      <c r="G1918" s="2">
        <v>15.63</v>
      </c>
      <c r="H1918">
        <v>15.63</v>
      </c>
      <c r="I1918">
        <v>15.68</v>
      </c>
      <c r="J1918">
        <v>20.92</v>
      </c>
      <c r="K1918">
        <v>46</v>
      </c>
      <c r="M1918">
        <v>0</v>
      </c>
      <c r="N1918" s="2">
        <v>294</v>
      </c>
      <c r="O1918">
        <v>4609.92</v>
      </c>
      <c r="P1918">
        <v>39</v>
      </c>
      <c r="Q1918">
        <v>255</v>
      </c>
      <c r="R1918">
        <v>10.220000000000001</v>
      </c>
      <c r="S1918">
        <v>0</v>
      </c>
      <c r="T1918">
        <v>135</v>
      </c>
      <c r="U1918" s="2">
        <v>2824.2</v>
      </c>
      <c r="V1918">
        <v>0</v>
      </c>
      <c r="W1918" t="s">
        <v>29</v>
      </c>
      <c r="X1918" t="str">
        <f>IF(Table2[[#This Row],[Qty available]]&gt;Table2[[#This Row],[Qty on hand]],"Check","OK")</f>
        <v>OK</v>
      </c>
    </row>
    <row r="1919" spans="1:24" x14ac:dyDescent="0.3">
      <c r="A1919" t="s">
        <v>219</v>
      </c>
      <c r="B1919" t="s">
        <v>220</v>
      </c>
      <c r="C1919" t="s">
        <v>69</v>
      </c>
      <c r="D1919" t="s">
        <v>70</v>
      </c>
      <c r="E1919" t="s">
        <v>66</v>
      </c>
      <c r="F1919" s="1" t="s">
        <v>50</v>
      </c>
      <c r="G1919" s="2">
        <v>15.73</v>
      </c>
      <c r="H1919">
        <v>15.73</v>
      </c>
      <c r="I1919">
        <v>15.693269000000001</v>
      </c>
      <c r="J1919">
        <v>20.92</v>
      </c>
      <c r="K1919">
        <v>46</v>
      </c>
      <c r="L1919" s="2">
        <v>45</v>
      </c>
      <c r="M1919">
        <v>106</v>
      </c>
      <c r="N1919" s="2">
        <v>104</v>
      </c>
      <c r="O1919">
        <v>1632.1</v>
      </c>
      <c r="P1919">
        <v>33</v>
      </c>
      <c r="Q1919">
        <v>71</v>
      </c>
      <c r="R1919">
        <v>2.0099999999999998</v>
      </c>
      <c r="S1919">
        <v>1</v>
      </c>
      <c r="T1919">
        <v>296</v>
      </c>
      <c r="U1919" s="2">
        <v>6192.32</v>
      </c>
      <c r="V1919">
        <v>0</v>
      </c>
      <c r="W1919" t="s">
        <v>29</v>
      </c>
      <c r="X1919" t="str">
        <f>IF(Table2[[#This Row],[Qty available]]&gt;Table2[[#This Row],[Qty on hand]],"Check","OK")</f>
        <v>OK</v>
      </c>
    </row>
    <row r="1920" spans="1:24" x14ac:dyDescent="0.3">
      <c r="A1920" t="s">
        <v>219</v>
      </c>
      <c r="B1920" t="s">
        <v>220</v>
      </c>
      <c r="C1920" t="s">
        <v>69</v>
      </c>
      <c r="D1920" t="s">
        <v>70</v>
      </c>
      <c r="E1920" t="s">
        <v>66</v>
      </c>
      <c r="F1920" s="1" t="s">
        <v>51</v>
      </c>
      <c r="G1920" s="2">
        <v>15.84</v>
      </c>
      <c r="H1920">
        <v>15.84</v>
      </c>
      <c r="I1920">
        <v>15.783068999999999</v>
      </c>
      <c r="J1920">
        <v>20.92</v>
      </c>
      <c r="K1920">
        <v>46</v>
      </c>
      <c r="L1920" s="2">
        <v>40</v>
      </c>
      <c r="M1920">
        <v>164</v>
      </c>
      <c r="N1920" s="2">
        <v>101</v>
      </c>
      <c r="O1920">
        <v>1594.09</v>
      </c>
      <c r="P1920">
        <v>26</v>
      </c>
      <c r="Q1920">
        <v>75</v>
      </c>
      <c r="R1920">
        <v>2.2200000000000002</v>
      </c>
      <c r="S1920">
        <v>5</v>
      </c>
      <c r="T1920">
        <v>167</v>
      </c>
      <c r="U1920" s="2">
        <v>3493.64</v>
      </c>
      <c r="V1920">
        <v>0</v>
      </c>
      <c r="W1920" t="s">
        <v>29</v>
      </c>
      <c r="X1920" t="str">
        <f>IF(Table2[[#This Row],[Qty available]]&gt;Table2[[#This Row],[Qty on hand]],"Check","OK")</f>
        <v>OK</v>
      </c>
    </row>
    <row r="1921" spans="1:24" x14ac:dyDescent="0.3">
      <c r="A1921" t="s">
        <v>219</v>
      </c>
      <c r="B1921" t="s">
        <v>220</v>
      </c>
      <c r="C1921" t="s">
        <v>69</v>
      </c>
      <c r="D1921" t="s">
        <v>70</v>
      </c>
      <c r="E1921" t="s">
        <v>66</v>
      </c>
      <c r="F1921" s="1" t="s">
        <v>52</v>
      </c>
      <c r="G1921" s="2">
        <v>15.54</v>
      </c>
      <c r="H1921">
        <v>15.54</v>
      </c>
      <c r="I1921">
        <v>15.590612</v>
      </c>
      <c r="J1921">
        <v>20.92</v>
      </c>
      <c r="K1921">
        <v>46</v>
      </c>
      <c r="L1921" s="2">
        <v>44</v>
      </c>
      <c r="M1921">
        <v>384</v>
      </c>
      <c r="N1921" s="2">
        <v>278</v>
      </c>
      <c r="O1921">
        <v>4334.1899999999996</v>
      </c>
      <c r="P1921">
        <v>13</v>
      </c>
      <c r="Q1921">
        <v>265</v>
      </c>
      <c r="R1921">
        <v>5.45</v>
      </c>
      <c r="S1921">
        <v>2</v>
      </c>
      <c r="T1921">
        <v>207</v>
      </c>
      <c r="U1921" s="2">
        <v>4330.4399999999996</v>
      </c>
      <c r="V1921">
        <v>0</v>
      </c>
      <c r="W1921" t="s">
        <v>29</v>
      </c>
      <c r="X1921" t="str">
        <f>IF(Table2[[#This Row],[Qty available]]&gt;Table2[[#This Row],[Qty on hand]],"Check","OK")</f>
        <v>OK</v>
      </c>
    </row>
    <row r="1922" spans="1:24" x14ac:dyDescent="0.3">
      <c r="A1922" t="s">
        <v>221</v>
      </c>
      <c r="B1922" t="s">
        <v>222</v>
      </c>
      <c r="C1922" t="s">
        <v>77</v>
      </c>
      <c r="D1922" t="s">
        <v>78</v>
      </c>
      <c r="E1922" t="s">
        <v>27</v>
      </c>
      <c r="F1922" s="1" t="s">
        <v>28</v>
      </c>
      <c r="G1922" s="2">
        <v>105.39</v>
      </c>
      <c r="H1922">
        <v>105.39</v>
      </c>
      <c r="I1922">
        <v>105.453537</v>
      </c>
      <c r="J1922">
        <v>141.30000000000001</v>
      </c>
      <c r="K1922">
        <v>51</v>
      </c>
      <c r="M1922">
        <v>0</v>
      </c>
      <c r="N1922" s="2">
        <v>82</v>
      </c>
      <c r="O1922">
        <v>8647.19</v>
      </c>
      <c r="P1922">
        <v>10</v>
      </c>
      <c r="Q1922">
        <v>72</v>
      </c>
      <c r="R1922">
        <v>13.64</v>
      </c>
      <c r="S1922">
        <v>12</v>
      </c>
      <c r="T1922">
        <v>10</v>
      </c>
      <c r="U1922" s="2">
        <v>1413</v>
      </c>
      <c r="V1922">
        <v>0</v>
      </c>
      <c r="W1922" t="s">
        <v>29</v>
      </c>
      <c r="X1922" t="str">
        <f>IF(Table2[[#This Row],[Qty available]]&gt;Table2[[#This Row],[Qty on hand]],"Check","OK")</f>
        <v>OK</v>
      </c>
    </row>
    <row r="1923" spans="1:24" x14ac:dyDescent="0.3">
      <c r="A1923" t="s">
        <v>221</v>
      </c>
      <c r="B1923" t="s">
        <v>222</v>
      </c>
      <c r="C1923" t="s">
        <v>77</v>
      </c>
      <c r="D1923" t="s">
        <v>78</v>
      </c>
      <c r="E1923" t="s">
        <v>27</v>
      </c>
      <c r="F1923" s="1" t="s">
        <v>30</v>
      </c>
      <c r="G1923" s="2">
        <v>103.62</v>
      </c>
      <c r="H1923">
        <v>103.62</v>
      </c>
      <c r="I1923">
        <v>104.962391</v>
      </c>
      <c r="J1923">
        <v>141.30000000000001</v>
      </c>
      <c r="K1923">
        <v>51</v>
      </c>
      <c r="L1923" s="2">
        <v>63</v>
      </c>
      <c r="M1923">
        <v>30</v>
      </c>
      <c r="N1923" s="2">
        <v>92</v>
      </c>
      <c r="O1923">
        <v>9656.5400000000009</v>
      </c>
      <c r="P1923">
        <v>4</v>
      </c>
      <c r="Q1923">
        <v>88</v>
      </c>
      <c r="R1923">
        <v>16.559999999999999</v>
      </c>
      <c r="S1923">
        <v>2</v>
      </c>
      <c r="T1923">
        <v>20</v>
      </c>
      <c r="U1923" s="2">
        <v>2826</v>
      </c>
      <c r="V1923">
        <v>0</v>
      </c>
      <c r="W1923" t="s">
        <v>29</v>
      </c>
      <c r="X1923" t="str">
        <f>IF(Table2[[#This Row],[Qty available]]&gt;Table2[[#This Row],[Qty on hand]],"Check","OK")</f>
        <v>OK</v>
      </c>
    </row>
    <row r="1924" spans="1:24" x14ac:dyDescent="0.3">
      <c r="A1924" t="s">
        <v>221</v>
      </c>
      <c r="B1924" t="s">
        <v>222</v>
      </c>
      <c r="C1924" t="s">
        <v>77</v>
      </c>
      <c r="D1924" t="s">
        <v>78</v>
      </c>
      <c r="E1924" t="s">
        <v>27</v>
      </c>
      <c r="F1924" s="1" t="s">
        <v>31</v>
      </c>
      <c r="G1924" s="2">
        <v>106.05</v>
      </c>
      <c r="H1924">
        <v>106.05</v>
      </c>
      <c r="I1924">
        <v>105.2803</v>
      </c>
      <c r="J1924">
        <v>141.30000000000001</v>
      </c>
      <c r="K1924">
        <v>51</v>
      </c>
      <c r="L1924" s="2">
        <v>83</v>
      </c>
      <c r="M1924">
        <v>38</v>
      </c>
      <c r="N1924" s="2">
        <v>100</v>
      </c>
      <c r="O1924">
        <v>10528.03</v>
      </c>
      <c r="P1924">
        <v>2</v>
      </c>
      <c r="Q1924">
        <v>98</v>
      </c>
      <c r="R1924">
        <v>21.67</v>
      </c>
      <c r="S1924">
        <v>0</v>
      </c>
      <c r="T1924">
        <v>30</v>
      </c>
      <c r="U1924" s="2">
        <v>4239</v>
      </c>
      <c r="V1924">
        <v>0</v>
      </c>
      <c r="W1924" t="s">
        <v>29</v>
      </c>
      <c r="X1924" t="str">
        <f>IF(Table2[[#This Row],[Qty available]]&gt;Table2[[#This Row],[Qty on hand]],"Check","OK")</f>
        <v>OK</v>
      </c>
    </row>
    <row r="1925" spans="1:24" x14ac:dyDescent="0.3">
      <c r="A1925" t="s">
        <v>221</v>
      </c>
      <c r="B1925" t="s">
        <v>222</v>
      </c>
      <c r="C1925" t="s">
        <v>77</v>
      </c>
      <c r="D1925" t="s">
        <v>78</v>
      </c>
      <c r="E1925" t="s">
        <v>27</v>
      </c>
      <c r="F1925" s="1" t="s">
        <v>32</v>
      </c>
      <c r="G1925" s="2">
        <v>105.89</v>
      </c>
      <c r="H1925">
        <v>105.89</v>
      </c>
      <c r="I1925">
        <v>105.28037</v>
      </c>
      <c r="J1925">
        <v>141.30000000000001</v>
      </c>
      <c r="K1925">
        <v>51</v>
      </c>
      <c r="M1925">
        <v>0</v>
      </c>
      <c r="N1925" s="2">
        <v>54</v>
      </c>
      <c r="O1925">
        <v>5685.14</v>
      </c>
      <c r="P1925">
        <v>3</v>
      </c>
      <c r="Q1925">
        <v>51</v>
      </c>
      <c r="R1925">
        <v>7.39</v>
      </c>
      <c r="S1925">
        <v>3</v>
      </c>
      <c r="T1925">
        <v>46</v>
      </c>
      <c r="U1925" s="2">
        <v>6499.8</v>
      </c>
      <c r="V1925">
        <v>0</v>
      </c>
      <c r="W1925" t="s">
        <v>29</v>
      </c>
      <c r="X1925" t="str">
        <f>IF(Table2[[#This Row],[Qty available]]&gt;Table2[[#This Row],[Qty on hand]],"Check","OK")</f>
        <v>OK</v>
      </c>
    </row>
    <row r="1926" spans="1:24" x14ac:dyDescent="0.3">
      <c r="A1926" t="s">
        <v>221</v>
      </c>
      <c r="B1926" t="s">
        <v>222</v>
      </c>
      <c r="C1926" t="s">
        <v>77</v>
      </c>
      <c r="D1926" t="s">
        <v>78</v>
      </c>
      <c r="E1926" t="s">
        <v>27</v>
      </c>
      <c r="F1926" s="1" t="s">
        <v>33</v>
      </c>
      <c r="G1926" s="2">
        <v>104.24</v>
      </c>
      <c r="H1926">
        <v>104.24</v>
      </c>
      <c r="I1926">
        <v>105.11799999999999</v>
      </c>
      <c r="J1926">
        <v>141.30000000000001</v>
      </c>
      <c r="K1926">
        <v>51</v>
      </c>
      <c r="L1926" s="2">
        <v>89</v>
      </c>
      <c r="M1926">
        <v>10</v>
      </c>
      <c r="N1926" s="2">
        <v>10</v>
      </c>
      <c r="O1926">
        <v>1051.18</v>
      </c>
      <c r="P1926">
        <v>5</v>
      </c>
      <c r="Q1926">
        <v>5</v>
      </c>
      <c r="R1926">
        <v>1.01</v>
      </c>
      <c r="S1926">
        <v>0</v>
      </c>
      <c r="T1926">
        <v>54</v>
      </c>
      <c r="U1926" s="2">
        <v>7630.2</v>
      </c>
      <c r="V1926">
        <v>0</v>
      </c>
      <c r="W1926" t="s">
        <v>29</v>
      </c>
      <c r="X1926" t="str">
        <f>IF(Table2[[#This Row],[Qty available]]&gt;Table2[[#This Row],[Qty on hand]],"Check","OK")</f>
        <v>OK</v>
      </c>
    </row>
    <row r="1927" spans="1:24" x14ac:dyDescent="0.3">
      <c r="A1927" t="s">
        <v>221</v>
      </c>
      <c r="B1927" t="s">
        <v>222</v>
      </c>
      <c r="C1927" t="s">
        <v>77</v>
      </c>
      <c r="D1927" t="s">
        <v>78</v>
      </c>
      <c r="E1927" t="s">
        <v>27</v>
      </c>
      <c r="F1927" s="1" t="s">
        <v>34</v>
      </c>
      <c r="G1927" s="2">
        <v>105.91</v>
      </c>
      <c r="H1927">
        <v>105.91</v>
      </c>
      <c r="I1927">
        <v>105.11799999999999</v>
      </c>
      <c r="J1927">
        <v>147.29</v>
      </c>
      <c r="K1927">
        <v>51</v>
      </c>
      <c r="M1927">
        <v>0</v>
      </c>
      <c r="N1927" s="2">
        <v>0</v>
      </c>
      <c r="O1927">
        <v>0</v>
      </c>
      <c r="P1927">
        <v>0</v>
      </c>
      <c r="Q1927">
        <v>0</v>
      </c>
      <c r="R1927">
        <v>0</v>
      </c>
      <c r="S1927">
        <v>3</v>
      </c>
      <c r="T1927">
        <v>10</v>
      </c>
      <c r="U1927" s="2">
        <v>1472.9</v>
      </c>
      <c r="V1927">
        <v>37</v>
      </c>
      <c r="W1927" t="s">
        <v>59</v>
      </c>
      <c r="X1927" t="str">
        <f>IF(Table2[[#This Row],[Qty available]]&gt;Table2[[#This Row],[Qty on hand]],"Check","OK")</f>
        <v>OK</v>
      </c>
    </row>
    <row r="1928" spans="1:24" x14ac:dyDescent="0.3">
      <c r="A1928" t="s">
        <v>221</v>
      </c>
      <c r="B1928" t="s">
        <v>222</v>
      </c>
      <c r="C1928" t="s">
        <v>77</v>
      </c>
      <c r="D1928" t="s">
        <v>78</v>
      </c>
      <c r="E1928" t="s">
        <v>27</v>
      </c>
      <c r="F1928" s="1" t="s">
        <v>35</v>
      </c>
      <c r="G1928" s="2">
        <v>109.2</v>
      </c>
      <c r="H1928">
        <v>109.2</v>
      </c>
      <c r="I1928">
        <v>109.2</v>
      </c>
      <c r="J1928">
        <v>147.29</v>
      </c>
      <c r="K1928">
        <v>51</v>
      </c>
      <c r="L1928" s="2">
        <v>74</v>
      </c>
      <c r="M1928">
        <v>120</v>
      </c>
      <c r="N1928" s="2">
        <v>94</v>
      </c>
      <c r="O1928">
        <v>10264.799999999999</v>
      </c>
      <c r="P1928">
        <v>2</v>
      </c>
      <c r="Q1928">
        <v>92</v>
      </c>
      <c r="R1928">
        <v>13.43</v>
      </c>
      <c r="S1928">
        <v>10</v>
      </c>
      <c r="T1928">
        <v>26</v>
      </c>
      <c r="U1928" s="2">
        <v>3829.54</v>
      </c>
      <c r="V1928">
        <v>0</v>
      </c>
      <c r="W1928" t="s">
        <v>29</v>
      </c>
      <c r="X1928" t="str">
        <f>IF(Table2[[#This Row],[Qty available]]&gt;Table2[[#This Row],[Qty on hand]],"Check","OK")</f>
        <v>OK</v>
      </c>
    </row>
    <row r="1929" spans="1:24" x14ac:dyDescent="0.3">
      <c r="A1929" t="s">
        <v>221</v>
      </c>
      <c r="B1929" t="s">
        <v>222</v>
      </c>
      <c r="C1929" t="s">
        <v>77</v>
      </c>
      <c r="D1929" t="s">
        <v>78</v>
      </c>
      <c r="E1929" t="s">
        <v>27</v>
      </c>
      <c r="F1929" s="1" t="s">
        <v>36</v>
      </c>
      <c r="G1929" s="2">
        <v>110.18</v>
      </c>
      <c r="H1929">
        <v>110.18</v>
      </c>
      <c r="I1929">
        <v>109.294237</v>
      </c>
      <c r="J1929">
        <v>147.29</v>
      </c>
      <c r="K1929">
        <v>51</v>
      </c>
      <c r="L1929" s="2">
        <v>76</v>
      </c>
      <c r="M1929">
        <v>10</v>
      </c>
      <c r="N1929" s="2">
        <v>59</v>
      </c>
      <c r="O1929">
        <v>6448.36</v>
      </c>
      <c r="P1929">
        <v>5</v>
      </c>
      <c r="Q1929">
        <v>54</v>
      </c>
      <c r="R1929">
        <v>9.26</v>
      </c>
      <c r="S1929">
        <v>8</v>
      </c>
      <c r="T1929">
        <v>45</v>
      </c>
      <c r="U1929" s="2">
        <v>6628.05</v>
      </c>
      <c r="V1929">
        <v>0</v>
      </c>
      <c r="W1929" t="s">
        <v>29</v>
      </c>
      <c r="X1929" t="str">
        <f>IF(Table2[[#This Row],[Qty available]]&gt;Table2[[#This Row],[Qty on hand]],"Check","OK")</f>
        <v>OK</v>
      </c>
    </row>
    <row r="1930" spans="1:24" x14ac:dyDescent="0.3">
      <c r="A1930" t="s">
        <v>221</v>
      </c>
      <c r="B1930" t="s">
        <v>222</v>
      </c>
      <c r="C1930" t="s">
        <v>77</v>
      </c>
      <c r="D1930" t="s">
        <v>78</v>
      </c>
      <c r="E1930" t="s">
        <v>27</v>
      </c>
      <c r="F1930" s="1" t="s">
        <v>37</v>
      </c>
      <c r="G1930" s="2">
        <v>110.16</v>
      </c>
      <c r="H1930">
        <v>110.16</v>
      </c>
      <c r="I1930">
        <v>109.668806</v>
      </c>
      <c r="J1930">
        <v>147.29</v>
      </c>
      <c r="K1930">
        <v>51</v>
      </c>
      <c r="L1930" s="2">
        <v>62</v>
      </c>
      <c r="M1930">
        <v>45</v>
      </c>
      <c r="N1930" s="2">
        <v>67</v>
      </c>
      <c r="O1930">
        <v>7347.81</v>
      </c>
      <c r="P1930">
        <v>4</v>
      </c>
      <c r="Q1930">
        <v>63</v>
      </c>
      <c r="R1930">
        <v>8.15</v>
      </c>
      <c r="S1930">
        <v>4</v>
      </c>
      <c r="T1930">
        <v>37</v>
      </c>
      <c r="U1930" s="2">
        <v>5449.73</v>
      </c>
      <c r="V1930">
        <v>0</v>
      </c>
      <c r="W1930" t="s">
        <v>29</v>
      </c>
      <c r="X1930" t="str">
        <f>IF(Table2[[#This Row],[Qty available]]&gt;Table2[[#This Row],[Qty on hand]],"Check","OK")</f>
        <v>OK</v>
      </c>
    </row>
    <row r="1931" spans="1:24" x14ac:dyDescent="0.3">
      <c r="A1931" t="s">
        <v>221</v>
      </c>
      <c r="B1931" t="s">
        <v>222</v>
      </c>
      <c r="C1931" t="s">
        <v>77</v>
      </c>
      <c r="D1931" t="s">
        <v>78</v>
      </c>
      <c r="E1931" t="s">
        <v>27</v>
      </c>
      <c r="F1931" s="1" t="s">
        <v>38</v>
      </c>
      <c r="G1931" s="2">
        <v>112.93</v>
      </c>
      <c r="H1931">
        <v>112.93</v>
      </c>
      <c r="I1931">
        <v>109.66880999999999</v>
      </c>
      <c r="J1931">
        <v>147.29</v>
      </c>
      <c r="K1931">
        <v>51</v>
      </c>
      <c r="M1931">
        <v>0</v>
      </c>
      <c r="N1931" s="2">
        <v>42</v>
      </c>
      <c r="O1931">
        <v>4606.09</v>
      </c>
      <c r="P1931">
        <v>5</v>
      </c>
      <c r="Q1931">
        <v>37</v>
      </c>
      <c r="R1931">
        <v>5.0999999999999996</v>
      </c>
      <c r="S1931">
        <v>4</v>
      </c>
      <c r="T1931">
        <v>25</v>
      </c>
      <c r="U1931" s="2">
        <v>3682.25</v>
      </c>
      <c r="V1931">
        <v>0</v>
      </c>
      <c r="W1931" t="s">
        <v>29</v>
      </c>
      <c r="X1931" t="str">
        <f>IF(Table2[[#This Row],[Qty available]]&gt;Table2[[#This Row],[Qty on hand]],"Check","OK")</f>
        <v>OK</v>
      </c>
    </row>
    <row r="1932" spans="1:24" x14ac:dyDescent="0.3">
      <c r="A1932" t="s">
        <v>221</v>
      </c>
      <c r="B1932" t="s">
        <v>222</v>
      </c>
      <c r="C1932" t="s">
        <v>77</v>
      </c>
      <c r="D1932" t="s">
        <v>78</v>
      </c>
      <c r="E1932" t="s">
        <v>27</v>
      </c>
      <c r="F1932" s="1" t="s">
        <v>39</v>
      </c>
      <c r="G1932" s="2">
        <v>112.59</v>
      </c>
      <c r="H1932">
        <v>112.59</v>
      </c>
      <c r="I1932">
        <v>111.681228</v>
      </c>
      <c r="J1932">
        <v>147.29</v>
      </c>
      <c r="K1932">
        <v>51</v>
      </c>
      <c r="L1932" s="2">
        <v>50</v>
      </c>
      <c r="M1932">
        <v>93</v>
      </c>
      <c r="N1932" s="2">
        <v>114</v>
      </c>
      <c r="O1932">
        <v>12731.66</v>
      </c>
      <c r="P1932">
        <v>7</v>
      </c>
      <c r="Q1932">
        <v>107</v>
      </c>
      <c r="R1932">
        <v>18.05</v>
      </c>
      <c r="S1932">
        <v>5</v>
      </c>
      <c r="T1932">
        <v>21</v>
      </c>
      <c r="U1932" s="2">
        <v>3093.09</v>
      </c>
      <c r="V1932">
        <v>0</v>
      </c>
      <c r="W1932" t="s">
        <v>29</v>
      </c>
      <c r="X1932" t="str">
        <f>IF(Table2[[#This Row],[Qty available]]&gt;Table2[[#This Row],[Qty on hand]],"Check","OK")</f>
        <v>OK</v>
      </c>
    </row>
    <row r="1933" spans="1:24" x14ac:dyDescent="0.3">
      <c r="A1933" t="s">
        <v>221</v>
      </c>
      <c r="B1933" t="s">
        <v>222</v>
      </c>
      <c r="C1933" t="s">
        <v>77</v>
      </c>
      <c r="D1933" t="s">
        <v>78</v>
      </c>
      <c r="E1933" t="s">
        <v>27</v>
      </c>
      <c r="F1933" s="1" t="s">
        <v>40</v>
      </c>
      <c r="G1933" s="2">
        <v>110.31</v>
      </c>
      <c r="H1933">
        <v>110.31</v>
      </c>
      <c r="I1933">
        <v>111.681236</v>
      </c>
      <c r="J1933">
        <v>147.29</v>
      </c>
      <c r="K1933">
        <v>51</v>
      </c>
      <c r="M1933">
        <v>0</v>
      </c>
      <c r="N1933" s="2">
        <v>89</v>
      </c>
      <c r="O1933">
        <v>9939.6299999999992</v>
      </c>
      <c r="P1933">
        <v>7</v>
      </c>
      <c r="Q1933">
        <v>82</v>
      </c>
      <c r="R1933">
        <v>16.47</v>
      </c>
      <c r="S1933">
        <v>1</v>
      </c>
      <c r="T1933">
        <v>25</v>
      </c>
      <c r="U1933" s="2">
        <v>3682.25</v>
      </c>
      <c r="V1933">
        <v>0</v>
      </c>
      <c r="W1933" t="s">
        <v>29</v>
      </c>
      <c r="X1933" t="str">
        <f>IF(Table2[[#This Row],[Qty available]]&gt;Table2[[#This Row],[Qty on hand]],"Check","OK")</f>
        <v>OK</v>
      </c>
    </row>
    <row r="1934" spans="1:24" x14ac:dyDescent="0.3">
      <c r="A1934" t="s">
        <v>221</v>
      </c>
      <c r="B1934" t="s">
        <v>222</v>
      </c>
      <c r="C1934" t="s">
        <v>77</v>
      </c>
      <c r="D1934" t="s">
        <v>78</v>
      </c>
      <c r="E1934" t="s">
        <v>27</v>
      </c>
      <c r="F1934" s="1" t="s">
        <v>41</v>
      </c>
      <c r="G1934" s="2">
        <v>112.28</v>
      </c>
      <c r="H1934">
        <v>112.28</v>
      </c>
      <c r="I1934">
        <v>111.888182</v>
      </c>
      <c r="J1934">
        <v>147.29</v>
      </c>
      <c r="K1934">
        <v>51</v>
      </c>
      <c r="L1934" s="2">
        <v>46</v>
      </c>
      <c r="M1934">
        <v>47</v>
      </c>
      <c r="N1934" s="2">
        <v>121</v>
      </c>
      <c r="O1934">
        <v>13538.47</v>
      </c>
      <c r="P1934">
        <v>8</v>
      </c>
      <c r="Q1934">
        <v>113</v>
      </c>
      <c r="R1934">
        <v>26.07</v>
      </c>
      <c r="S1934">
        <v>11</v>
      </c>
      <c r="T1934">
        <v>15</v>
      </c>
      <c r="U1934" s="2">
        <v>2209.35</v>
      </c>
      <c r="V1934">
        <v>0</v>
      </c>
      <c r="W1934" t="s">
        <v>29</v>
      </c>
      <c r="X1934" t="str">
        <f>IF(Table2[[#This Row],[Qty available]]&gt;Table2[[#This Row],[Qty on hand]],"Check","OK")</f>
        <v>OK</v>
      </c>
    </row>
    <row r="1935" spans="1:24" x14ac:dyDescent="0.3">
      <c r="A1935" t="s">
        <v>221</v>
      </c>
      <c r="B1935" t="s">
        <v>222</v>
      </c>
      <c r="C1935" t="s">
        <v>77</v>
      </c>
      <c r="D1935" t="s">
        <v>78</v>
      </c>
      <c r="E1935" t="s">
        <v>27</v>
      </c>
      <c r="F1935" s="1" t="s">
        <v>42</v>
      </c>
      <c r="G1935" s="2">
        <v>112.57</v>
      </c>
      <c r="H1935">
        <v>112.57</v>
      </c>
      <c r="I1935">
        <v>111.940259</v>
      </c>
      <c r="J1935">
        <v>147.29</v>
      </c>
      <c r="K1935">
        <v>51</v>
      </c>
      <c r="L1935" s="2">
        <v>58</v>
      </c>
      <c r="M1935">
        <v>10</v>
      </c>
      <c r="N1935" s="2">
        <v>116</v>
      </c>
      <c r="O1935">
        <v>12985.07</v>
      </c>
      <c r="P1935">
        <v>2</v>
      </c>
      <c r="Q1935">
        <v>114</v>
      </c>
      <c r="R1935">
        <v>27.72</v>
      </c>
      <c r="S1935">
        <v>6</v>
      </c>
      <c r="T1935">
        <v>15</v>
      </c>
      <c r="U1935" s="2">
        <v>2209.35</v>
      </c>
      <c r="V1935">
        <v>0</v>
      </c>
      <c r="W1935" t="s">
        <v>29</v>
      </c>
      <c r="X1935" t="str">
        <f>IF(Table2[[#This Row],[Qty available]]&gt;Table2[[#This Row],[Qty on hand]],"Check","OK")</f>
        <v>OK</v>
      </c>
    </row>
    <row r="1936" spans="1:24" x14ac:dyDescent="0.3">
      <c r="A1936" t="s">
        <v>221</v>
      </c>
      <c r="B1936" t="s">
        <v>222</v>
      </c>
      <c r="C1936" t="s">
        <v>77</v>
      </c>
      <c r="D1936" t="s">
        <v>78</v>
      </c>
      <c r="E1936" t="s">
        <v>27</v>
      </c>
      <c r="F1936" s="1" t="s">
        <v>43</v>
      </c>
      <c r="G1936" s="2">
        <v>108.99</v>
      </c>
      <c r="H1936">
        <v>108.99</v>
      </c>
      <c r="I1936">
        <v>111.940303</v>
      </c>
      <c r="J1936">
        <v>147.29</v>
      </c>
      <c r="K1936">
        <v>51</v>
      </c>
      <c r="M1936">
        <v>0</v>
      </c>
      <c r="N1936" s="2">
        <v>66</v>
      </c>
      <c r="O1936">
        <v>7388.06</v>
      </c>
      <c r="P1936">
        <v>10</v>
      </c>
      <c r="Q1936">
        <v>56</v>
      </c>
      <c r="R1936">
        <v>10.73</v>
      </c>
      <c r="S1936">
        <v>8</v>
      </c>
      <c r="T1936">
        <v>50</v>
      </c>
      <c r="U1936" s="2">
        <v>7364.5</v>
      </c>
      <c r="V1936">
        <v>0</v>
      </c>
      <c r="W1936" t="s">
        <v>29</v>
      </c>
      <c r="X1936" t="str">
        <f>IF(Table2[[#This Row],[Qty available]]&gt;Table2[[#This Row],[Qty on hand]],"Check","OK")</f>
        <v>OK</v>
      </c>
    </row>
    <row r="1937" spans="1:24" x14ac:dyDescent="0.3">
      <c r="A1937" t="s">
        <v>221</v>
      </c>
      <c r="B1937" t="s">
        <v>222</v>
      </c>
      <c r="C1937" t="s">
        <v>77</v>
      </c>
      <c r="D1937" t="s">
        <v>78</v>
      </c>
      <c r="E1937" t="s">
        <v>27</v>
      </c>
      <c r="F1937" s="1" t="s">
        <v>44</v>
      </c>
      <c r="G1937" s="2">
        <v>112.56</v>
      </c>
      <c r="H1937">
        <v>112.56</v>
      </c>
      <c r="I1937">
        <v>112.184783</v>
      </c>
      <c r="J1937">
        <v>147.29</v>
      </c>
      <c r="K1937">
        <v>51</v>
      </c>
      <c r="L1937" s="2">
        <v>46</v>
      </c>
      <c r="M1937">
        <v>43</v>
      </c>
      <c r="N1937" s="2">
        <v>92</v>
      </c>
      <c r="O1937">
        <v>10321</v>
      </c>
      <c r="P1937">
        <v>2</v>
      </c>
      <c r="Q1937">
        <v>90</v>
      </c>
      <c r="R1937">
        <v>14.75</v>
      </c>
      <c r="S1937">
        <v>4</v>
      </c>
      <c r="T1937">
        <v>17</v>
      </c>
      <c r="U1937" s="2">
        <v>2503.9299999999998</v>
      </c>
      <c r="V1937">
        <v>0</v>
      </c>
      <c r="W1937" t="s">
        <v>29</v>
      </c>
      <c r="X1937" t="str">
        <f>IF(Table2[[#This Row],[Qty available]]&gt;Table2[[#This Row],[Qty on hand]],"Check","OK")</f>
        <v>OK</v>
      </c>
    </row>
    <row r="1938" spans="1:24" x14ac:dyDescent="0.3">
      <c r="A1938" t="s">
        <v>221</v>
      </c>
      <c r="B1938" t="s">
        <v>222</v>
      </c>
      <c r="C1938" t="s">
        <v>77</v>
      </c>
      <c r="D1938" t="s">
        <v>78</v>
      </c>
      <c r="E1938" t="s">
        <v>27</v>
      </c>
      <c r="F1938" s="1" t="s">
        <v>45</v>
      </c>
      <c r="G1938" s="2">
        <v>110.47</v>
      </c>
      <c r="H1938">
        <v>110.47</v>
      </c>
      <c r="I1938">
        <v>111.83</v>
      </c>
      <c r="J1938">
        <v>147.29</v>
      </c>
      <c r="K1938">
        <v>51</v>
      </c>
      <c r="L1938" s="2">
        <v>47</v>
      </c>
      <c r="M1938">
        <v>24</v>
      </c>
      <c r="N1938" s="2">
        <v>79</v>
      </c>
      <c r="O1938">
        <v>8834.57</v>
      </c>
      <c r="P1938">
        <v>7</v>
      </c>
      <c r="Q1938">
        <v>72</v>
      </c>
      <c r="R1938">
        <v>9.98</v>
      </c>
      <c r="S1938">
        <v>6</v>
      </c>
      <c r="T1938">
        <v>37</v>
      </c>
      <c r="U1938" s="2">
        <v>5449.73</v>
      </c>
      <c r="V1938">
        <v>0</v>
      </c>
      <c r="W1938" t="s">
        <v>29</v>
      </c>
      <c r="X1938" t="str">
        <f>IF(Table2[[#This Row],[Qty available]]&gt;Table2[[#This Row],[Qty on hand]],"Check","OK")</f>
        <v>OK</v>
      </c>
    </row>
    <row r="1939" spans="1:24" x14ac:dyDescent="0.3">
      <c r="A1939" t="s">
        <v>221</v>
      </c>
      <c r="B1939" t="s">
        <v>222</v>
      </c>
      <c r="C1939" t="s">
        <v>77</v>
      </c>
      <c r="D1939" t="s">
        <v>78</v>
      </c>
      <c r="E1939" t="s">
        <v>27</v>
      </c>
      <c r="F1939" s="1" t="s">
        <v>46</v>
      </c>
      <c r="G1939" s="2">
        <v>112.94</v>
      </c>
      <c r="H1939">
        <v>112.94</v>
      </c>
      <c r="I1939">
        <v>111.83</v>
      </c>
      <c r="J1939">
        <v>153.53</v>
      </c>
      <c r="K1939">
        <v>51</v>
      </c>
      <c r="M1939">
        <v>0</v>
      </c>
      <c r="N1939" s="2">
        <v>53</v>
      </c>
      <c r="O1939">
        <v>5926.99</v>
      </c>
      <c r="P1939">
        <v>9</v>
      </c>
      <c r="Q1939">
        <v>44</v>
      </c>
      <c r="R1939">
        <v>8.52</v>
      </c>
      <c r="S1939">
        <v>2</v>
      </c>
      <c r="T1939">
        <v>26</v>
      </c>
      <c r="U1939" s="2">
        <v>3991.78</v>
      </c>
      <c r="V1939">
        <v>0</v>
      </c>
      <c r="W1939" t="s">
        <v>29</v>
      </c>
      <c r="X1939" t="str">
        <f>IF(Table2[[#This Row],[Qty available]]&gt;Table2[[#This Row],[Qty on hand]],"Check","OK")</f>
        <v>OK</v>
      </c>
    </row>
    <row r="1940" spans="1:24" x14ac:dyDescent="0.3">
      <c r="A1940" t="s">
        <v>221</v>
      </c>
      <c r="B1940" t="s">
        <v>222</v>
      </c>
      <c r="C1940" t="s">
        <v>77</v>
      </c>
      <c r="D1940" t="s">
        <v>78</v>
      </c>
      <c r="E1940" t="s">
        <v>27</v>
      </c>
      <c r="F1940" s="1" t="s">
        <v>47</v>
      </c>
      <c r="G1940" s="2">
        <v>118.53</v>
      </c>
      <c r="H1940">
        <v>118.53</v>
      </c>
      <c r="I1940">
        <v>115.68924699999999</v>
      </c>
      <c r="J1940">
        <v>153.53</v>
      </c>
      <c r="K1940">
        <v>51</v>
      </c>
      <c r="L1940" s="2">
        <v>48</v>
      </c>
      <c r="M1940">
        <v>72</v>
      </c>
      <c r="N1940" s="2">
        <v>93</v>
      </c>
      <c r="O1940">
        <v>10759.1</v>
      </c>
      <c r="P1940">
        <v>3</v>
      </c>
      <c r="Q1940">
        <v>90</v>
      </c>
      <c r="R1940">
        <v>12.59</v>
      </c>
      <c r="S1940">
        <v>0</v>
      </c>
      <c r="T1940">
        <v>32</v>
      </c>
      <c r="U1940" s="2">
        <v>4912.96</v>
      </c>
      <c r="V1940">
        <v>0</v>
      </c>
      <c r="W1940" t="s">
        <v>29</v>
      </c>
      <c r="X1940" t="str">
        <f>IF(Table2[[#This Row],[Qty available]]&gt;Table2[[#This Row],[Qty on hand]],"Check","OK")</f>
        <v>OK</v>
      </c>
    </row>
    <row r="1941" spans="1:24" x14ac:dyDescent="0.3">
      <c r="A1941" t="s">
        <v>221</v>
      </c>
      <c r="B1941" t="s">
        <v>222</v>
      </c>
      <c r="C1941" t="s">
        <v>77</v>
      </c>
      <c r="D1941" t="s">
        <v>78</v>
      </c>
      <c r="E1941" t="s">
        <v>27</v>
      </c>
      <c r="F1941" s="1" t="s">
        <v>48</v>
      </c>
      <c r="G1941" s="2">
        <v>118.71</v>
      </c>
      <c r="H1941">
        <v>118.71</v>
      </c>
      <c r="I1941">
        <v>116.74547200000001</v>
      </c>
      <c r="J1941">
        <v>153.53</v>
      </c>
      <c r="K1941">
        <v>51</v>
      </c>
      <c r="L1941" s="2">
        <v>45</v>
      </c>
      <c r="M1941">
        <v>50</v>
      </c>
      <c r="N1941" s="2">
        <v>106</v>
      </c>
      <c r="O1941">
        <v>12375.02</v>
      </c>
      <c r="P1941">
        <v>7</v>
      </c>
      <c r="Q1941">
        <v>99</v>
      </c>
      <c r="R1941">
        <v>14.19</v>
      </c>
      <c r="S1941">
        <v>5</v>
      </c>
      <c r="T1941">
        <v>37</v>
      </c>
      <c r="U1941" s="2">
        <v>5680.61</v>
      </c>
      <c r="V1941">
        <v>0</v>
      </c>
      <c r="W1941" t="s">
        <v>29</v>
      </c>
      <c r="X1941" t="str">
        <f>IF(Table2[[#This Row],[Qty available]]&gt;Table2[[#This Row],[Qty on hand]],"Check","OK")</f>
        <v>OK</v>
      </c>
    </row>
    <row r="1942" spans="1:24" x14ac:dyDescent="0.3">
      <c r="A1942" t="s">
        <v>221</v>
      </c>
      <c r="B1942" t="s">
        <v>222</v>
      </c>
      <c r="C1942" t="s">
        <v>77</v>
      </c>
      <c r="D1942" t="s">
        <v>78</v>
      </c>
      <c r="E1942" t="s">
        <v>27</v>
      </c>
      <c r="F1942" s="1" t="s">
        <v>49</v>
      </c>
      <c r="G1942" s="2">
        <v>116.38</v>
      </c>
      <c r="H1942">
        <v>116.38</v>
      </c>
      <c r="I1942">
        <v>116.745417</v>
      </c>
      <c r="J1942">
        <v>153.53</v>
      </c>
      <c r="K1942">
        <v>51</v>
      </c>
      <c r="M1942">
        <v>0</v>
      </c>
      <c r="N1942" s="2">
        <v>72</v>
      </c>
      <c r="O1942">
        <v>8405.67</v>
      </c>
      <c r="P1942">
        <v>7</v>
      </c>
      <c r="Q1942">
        <v>65</v>
      </c>
      <c r="R1942">
        <v>9.19</v>
      </c>
      <c r="S1942">
        <v>1</v>
      </c>
      <c r="T1942">
        <v>34</v>
      </c>
      <c r="U1942" s="2">
        <v>5220.0200000000004</v>
      </c>
      <c r="V1942">
        <v>0</v>
      </c>
      <c r="W1942" t="s">
        <v>29</v>
      </c>
      <c r="X1942" t="str">
        <f>IF(Table2[[#This Row],[Qty available]]&gt;Table2[[#This Row],[Qty on hand]],"Check","OK")</f>
        <v>OK</v>
      </c>
    </row>
    <row r="1943" spans="1:24" x14ac:dyDescent="0.3">
      <c r="A1943" t="s">
        <v>221</v>
      </c>
      <c r="B1943" t="s">
        <v>222</v>
      </c>
      <c r="C1943" t="s">
        <v>77</v>
      </c>
      <c r="D1943" t="s">
        <v>78</v>
      </c>
      <c r="E1943" t="s">
        <v>27</v>
      </c>
      <c r="F1943" s="1" t="s">
        <v>50</v>
      </c>
      <c r="G1943" s="2">
        <v>116.76</v>
      </c>
      <c r="H1943">
        <v>116.76</v>
      </c>
      <c r="I1943">
        <v>116.750213</v>
      </c>
      <c r="J1943">
        <v>153.53</v>
      </c>
      <c r="K1943">
        <v>51</v>
      </c>
      <c r="L1943" s="2">
        <v>82</v>
      </c>
      <c r="M1943">
        <v>35</v>
      </c>
      <c r="N1943" s="2">
        <v>94</v>
      </c>
      <c r="O1943">
        <v>10974.52</v>
      </c>
      <c r="P1943">
        <v>8</v>
      </c>
      <c r="Q1943">
        <v>86</v>
      </c>
      <c r="R1943">
        <v>14.55</v>
      </c>
      <c r="S1943">
        <v>2</v>
      </c>
      <c r="T1943">
        <v>13</v>
      </c>
      <c r="U1943" s="2">
        <v>1995.89</v>
      </c>
      <c r="V1943">
        <v>0</v>
      </c>
      <c r="W1943" t="s">
        <v>29</v>
      </c>
      <c r="X1943" t="str">
        <f>IF(Table2[[#This Row],[Qty available]]&gt;Table2[[#This Row],[Qty on hand]],"Check","OK")</f>
        <v>OK</v>
      </c>
    </row>
    <row r="1944" spans="1:24" x14ac:dyDescent="0.3">
      <c r="A1944" t="s">
        <v>221</v>
      </c>
      <c r="B1944" t="s">
        <v>222</v>
      </c>
      <c r="C1944" t="s">
        <v>77</v>
      </c>
      <c r="D1944" t="s">
        <v>78</v>
      </c>
      <c r="E1944" t="s">
        <v>27</v>
      </c>
      <c r="F1944" s="1" t="s">
        <v>51</v>
      </c>
      <c r="G1944" s="2">
        <v>118.45</v>
      </c>
      <c r="H1944">
        <v>118.45</v>
      </c>
      <c r="I1944">
        <v>116.750179</v>
      </c>
      <c r="J1944">
        <v>153.53</v>
      </c>
      <c r="K1944">
        <v>51</v>
      </c>
      <c r="M1944">
        <v>0</v>
      </c>
      <c r="N1944" s="2">
        <v>56</v>
      </c>
      <c r="O1944">
        <v>6538.01</v>
      </c>
      <c r="P1944">
        <v>3</v>
      </c>
      <c r="Q1944">
        <v>53</v>
      </c>
      <c r="R1944">
        <v>8.66</v>
      </c>
      <c r="S1944">
        <v>0</v>
      </c>
      <c r="T1944">
        <v>38</v>
      </c>
      <c r="U1944" s="2">
        <v>5834.14</v>
      </c>
      <c r="V1944">
        <v>0</v>
      </c>
      <c r="W1944" t="s">
        <v>29</v>
      </c>
      <c r="X1944" t="str">
        <f>IF(Table2[[#This Row],[Qty available]]&gt;Table2[[#This Row],[Qty on hand]],"Check","OK")</f>
        <v>OK</v>
      </c>
    </row>
    <row r="1945" spans="1:24" x14ac:dyDescent="0.3">
      <c r="A1945" t="s">
        <v>221</v>
      </c>
      <c r="B1945" t="s">
        <v>222</v>
      </c>
      <c r="C1945" t="s">
        <v>77</v>
      </c>
      <c r="D1945" t="s">
        <v>78</v>
      </c>
      <c r="E1945" t="s">
        <v>27</v>
      </c>
      <c r="F1945" s="1" t="s">
        <v>52</v>
      </c>
      <c r="G1945" s="2">
        <v>119.19</v>
      </c>
      <c r="H1945">
        <v>119.19</v>
      </c>
      <c r="I1945">
        <v>118.162696</v>
      </c>
      <c r="J1945">
        <v>153.53</v>
      </c>
      <c r="K1945">
        <v>51</v>
      </c>
      <c r="L1945" s="2">
        <v>46</v>
      </c>
      <c r="M1945">
        <v>77</v>
      </c>
      <c r="N1945" s="2">
        <v>115</v>
      </c>
      <c r="O1945">
        <v>13588.71</v>
      </c>
      <c r="P1945">
        <v>8</v>
      </c>
      <c r="Q1945">
        <v>107</v>
      </c>
      <c r="R1945">
        <v>21.9</v>
      </c>
      <c r="S1945">
        <v>5</v>
      </c>
      <c r="T1945">
        <v>18</v>
      </c>
      <c r="U1945" s="2">
        <v>2763.54</v>
      </c>
      <c r="V1945">
        <v>0</v>
      </c>
      <c r="W1945" t="s">
        <v>29</v>
      </c>
      <c r="X1945" t="str">
        <f>IF(Table2[[#This Row],[Qty available]]&gt;Table2[[#This Row],[Qty on hand]],"Check","OK")</f>
        <v>OK</v>
      </c>
    </row>
    <row r="1946" spans="1:24" x14ac:dyDescent="0.3">
      <c r="A1946" t="s">
        <v>223</v>
      </c>
      <c r="B1946" t="s">
        <v>224</v>
      </c>
      <c r="C1946" t="s">
        <v>25</v>
      </c>
      <c r="D1946" t="s">
        <v>26</v>
      </c>
      <c r="E1946" t="s">
        <v>27</v>
      </c>
      <c r="F1946" s="1" t="s">
        <v>28</v>
      </c>
      <c r="G1946" s="2">
        <v>9.84</v>
      </c>
      <c r="H1946">
        <v>10.69</v>
      </c>
      <c r="I1946">
        <v>10.713939</v>
      </c>
      <c r="J1946">
        <v>14.35</v>
      </c>
      <c r="K1946">
        <v>29</v>
      </c>
      <c r="L1946" s="2">
        <v>48</v>
      </c>
      <c r="M1946">
        <v>67</v>
      </c>
      <c r="N1946" s="2">
        <v>66</v>
      </c>
      <c r="O1946">
        <v>707.12</v>
      </c>
      <c r="P1946">
        <v>22</v>
      </c>
      <c r="Q1946">
        <v>44</v>
      </c>
      <c r="R1946">
        <v>2.72</v>
      </c>
      <c r="S1946">
        <v>12</v>
      </c>
      <c r="T1946">
        <v>186</v>
      </c>
      <c r="U1946" s="2">
        <v>2669.1</v>
      </c>
      <c r="V1946">
        <v>0</v>
      </c>
      <c r="W1946" t="s">
        <v>29</v>
      </c>
      <c r="X1946" t="str">
        <f>IF(Table2[[#This Row],[Qty available]]&gt;Table2[[#This Row],[Qty on hand]],"Check","OK")</f>
        <v>OK</v>
      </c>
    </row>
    <row r="1947" spans="1:24" x14ac:dyDescent="0.3">
      <c r="A1947" t="s">
        <v>223</v>
      </c>
      <c r="B1947" t="s">
        <v>224</v>
      </c>
      <c r="C1947" t="s">
        <v>25</v>
      </c>
      <c r="D1947" t="s">
        <v>26</v>
      </c>
      <c r="E1947" t="s">
        <v>27</v>
      </c>
      <c r="F1947" s="1" t="s">
        <v>30</v>
      </c>
      <c r="G1947" s="2">
        <v>9.89</v>
      </c>
      <c r="H1947">
        <v>10.74</v>
      </c>
      <c r="I1947">
        <v>10.73236</v>
      </c>
      <c r="J1947">
        <v>14.35</v>
      </c>
      <c r="K1947">
        <v>29</v>
      </c>
      <c r="L1947" s="2">
        <v>26</v>
      </c>
      <c r="M1947">
        <v>158</v>
      </c>
      <c r="N1947" s="2">
        <v>89</v>
      </c>
      <c r="O1947">
        <v>955.18</v>
      </c>
      <c r="P1947">
        <v>31</v>
      </c>
      <c r="Q1947">
        <v>58</v>
      </c>
      <c r="R1947">
        <v>2.98</v>
      </c>
      <c r="S1947">
        <v>7</v>
      </c>
      <c r="T1947">
        <v>135</v>
      </c>
      <c r="U1947" s="2">
        <v>1937.25</v>
      </c>
      <c r="V1947">
        <v>0</v>
      </c>
      <c r="W1947" t="s">
        <v>29</v>
      </c>
      <c r="X1947" t="str">
        <f>IF(Table2[[#This Row],[Qty available]]&gt;Table2[[#This Row],[Qty on hand]],"Check","OK")</f>
        <v>OK</v>
      </c>
    </row>
    <row r="1948" spans="1:24" x14ac:dyDescent="0.3">
      <c r="A1948" t="s">
        <v>223</v>
      </c>
      <c r="B1948" t="s">
        <v>224</v>
      </c>
      <c r="C1948" t="s">
        <v>25</v>
      </c>
      <c r="D1948" t="s">
        <v>26</v>
      </c>
      <c r="E1948" t="s">
        <v>27</v>
      </c>
      <c r="F1948" s="1" t="s">
        <v>31</v>
      </c>
      <c r="G1948" s="2">
        <v>9.8699999999999992</v>
      </c>
      <c r="H1948">
        <v>10.72</v>
      </c>
      <c r="I1948">
        <v>10.722811</v>
      </c>
      <c r="J1948">
        <v>14.35</v>
      </c>
      <c r="K1948">
        <v>29</v>
      </c>
      <c r="L1948" s="2">
        <v>25</v>
      </c>
      <c r="M1948">
        <v>301</v>
      </c>
      <c r="N1948" s="2">
        <v>281</v>
      </c>
      <c r="O1948">
        <v>3013.11</v>
      </c>
      <c r="P1948">
        <v>27</v>
      </c>
      <c r="Q1948">
        <v>254</v>
      </c>
      <c r="R1948">
        <v>8.5</v>
      </c>
      <c r="S1948">
        <v>2</v>
      </c>
      <c r="T1948">
        <v>109</v>
      </c>
      <c r="U1948" s="2">
        <v>1564.15</v>
      </c>
      <c r="V1948">
        <v>0</v>
      </c>
      <c r="W1948" t="s">
        <v>29</v>
      </c>
      <c r="X1948" t="str">
        <f>IF(Table2[[#This Row],[Qty available]]&gt;Table2[[#This Row],[Qty on hand]],"Check","OK")</f>
        <v>OK</v>
      </c>
    </row>
    <row r="1949" spans="1:24" x14ac:dyDescent="0.3">
      <c r="A1949" t="s">
        <v>223</v>
      </c>
      <c r="B1949" t="s">
        <v>224</v>
      </c>
      <c r="C1949" t="s">
        <v>25</v>
      </c>
      <c r="D1949" t="s">
        <v>26</v>
      </c>
      <c r="E1949" t="s">
        <v>27</v>
      </c>
      <c r="F1949" s="1" t="s">
        <v>32</v>
      </c>
      <c r="G1949" s="2">
        <v>9.8800000000000008</v>
      </c>
      <c r="H1949">
        <v>10.73</v>
      </c>
      <c r="I1949">
        <v>10.722832</v>
      </c>
      <c r="J1949">
        <v>14.35</v>
      </c>
      <c r="K1949">
        <v>29</v>
      </c>
      <c r="M1949">
        <v>0</v>
      </c>
      <c r="N1949" s="2">
        <v>113</v>
      </c>
      <c r="O1949">
        <v>1211.68</v>
      </c>
      <c r="P1949">
        <v>27</v>
      </c>
      <c r="Q1949">
        <v>86</v>
      </c>
      <c r="R1949">
        <v>3.6</v>
      </c>
      <c r="S1949">
        <v>2</v>
      </c>
      <c r="T1949">
        <v>168</v>
      </c>
      <c r="U1949" s="2">
        <v>2410.8000000000002</v>
      </c>
      <c r="V1949">
        <v>0</v>
      </c>
      <c r="W1949" t="s">
        <v>29</v>
      </c>
      <c r="X1949" t="str">
        <f>IF(Table2[[#This Row],[Qty available]]&gt;Table2[[#This Row],[Qty on hand]],"Check","OK")</f>
        <v>OK</v>
      </c>
    </row>
    <row r="1950" spans="1:24" x14ac:dyDescent="0.3">
      <c r="A1950" t="s">
        <v>223</v>
      </c>
      <c r="B1950" t="s">
        <v>224</v>
      </c>
      <c r="C1950" t="s">
        <v>25</v>
      </c>
      <c r="D1950" t="s">
        <v>26</v>
      </c>
      <c r="E1950" t="s">
        <v>27</v>
      </c>
      <c r="F1950" s="1" t="s">
        <v>33</v>
      </c>
      <c r="G1950" s="2">
        <v>9.81</v>
      </c>
      <c r="H1950">
        <v>10.65</v>
      </c>
      <c r="I1950">
        <v>10.685305</v>
      </c>
      <c r="J1950">
        <v>14.35</v>
      </c>
      <c r="K1950">
        <v>29</v>
      </c>
      <c r="L1950" s="2">
        <v>25</v>
      </c>
      <c r="M1950">
        <v>120</v>
      </c>
      <c r="N1950" s="2">
        <v>213</v>
      </c>
      <c r="O1950">
        <v>2275.9699999999998</v>
      </c>
      <c r="P1950">
        <v>27</v>
      </c>
      <c r="Q1950">
        <v>186</v>
      </c>
      <c r="R1950">
        <v>9.43</v>
      </c>
      <c r="S1950">
        <v>3</v>
      </c>
      <c r="T1950">
        <v>20</v>
      </c>
      <c r="U1950" s="2">
        <v>287</v>
      </c>
      <c r="V1950">
        <v>0</v>
      </c>
      <c r="W1950" t="s">
        <v>29</v>
      </c>
      <c r="X1950" t="str">
        <f>IF(Table2[[#This Row],[Qty available]]&gt;Table2[[#This Row],[Qty on hand]],"Check","OK")</f>
        <v>OK</v>
      </c>
    </row>
    <row r="1951" spans="1:24" x14ac:dyDescent="0.3">
      <c r="A1951" t="s">
        <v>223</v>
      </c>
      <c r="B1951" t="s">
        <v>224</v>
      </c>
      <c r="C1951" t="s">
        <v>25</v>
      </c>
      <c r="D1951" t="s">
        <v>26</v>
      </c>
      <c r="E1951" t="s">
        <v>27</v>
      </c>
      <c r="F1951" s="1" t="s">
        <v>34</v>
      </c>
      <c r="G1951" s="2">
        <v>10.130000000000001</v>
      </c>
      <c r="H1951">
        <v>11</v>
      </c>
      <c r="I1951">
        <v>10.685349</v>
      </c>
      <c r="J1951">
        <v>14.72</v>
      </c>
      <c r="K1951">
        <v>29</v>
      </c>
      <c r="M1951">
        <v>0</v>
      </c>
      <c r="N1951" s="2">
        <v>86</v>
      </c>
      <c r="O1951">
        <v>918.94</v>
      </c>
      <c r="P1951">
        <v>36</v>
      </c>
      <c r="Q1951">
        <v>50</v>
      </c>
      <c r="R1951">
        <v>3.51</v>
      </c>
      <c r="S1951">
        <v>2</v>
      </c>
      <c r="T1951">
        <v>127</v>
      </c>
      <c r="U1951" s="2">
        <v>1869.44</v>
      </c>
      <c r="V1951">
        <v>0</v>
      </c>
      <c r="W1951" t="s">
        <v>29</v>
      </c>
      <c r="X1951" t="str">
        <f>IF(Table2[[#This Row],[Qty available]]&gt;Table2[[#This Row],[Qty on hand]],"Check","OK")</f>
        <v>OK</v>
      </c>
    </row>
    <row r="1952" spans="1:24" x14ac:dyDescent="0.3">
      <c r="A1952" t="s">
        <v>223</v>
      </c>
      <c r="B1952" t="s">
        <v>224</v>
      </c>
      <c r="C1952" t="s">
        <v>25</v>
      </c>
      <c r="D1952" t="s">
        <v>26</v>
      </c>
      <c r="E1952" t="s">
        <v>27</v>
      </c>
      <c r="F1952" s="1" t="s">
        <v>35</v>
      </c>
      <c r="G1952" s="2">
        <v>9.83</v>
      </c>
      <c r="H1952">
        <v>10.68</v>
      </c>
      <c r="I1952">
        <v>10.681093000000001</v>
      </c>
      <c r="J1952">
        <v>14.72</v>
      </c>
      <c r="K1952">
        <v>29</v>
      </c>
      <c r="L1952" s="2">
        <v>26</v>
      </c>
      <c r="M1952">
        <v>332</v>
      </c>
      <c r="N1952" s="2">
        <v>302</v>
      </c>
      <c r="O1952">
        <v>3225.69</v>
      </c>
      <c r="P1952">
        <v>36</v>
      </c>
      <c r="Q1952">
        <v>266</v>
      </c>
      <c r="R1952">
        <v>14.76</v>
      </c>
      <c r="S1952">
        <v>3</v>
      </c>
      <c r="T1952">
        <v>116</v>
      </c>
      <c r="U1952" s="2">
        <v>1707.52</v>
      </c>
      <c r="V1952">
        <v>0</v>
      </c>
      <c r="W1952" t="s">
        <v>29</v>
      </c>
      <c r="X1952" t="str">
        <f>IF(Table2[[#This Row],[Qty available]]&gt;Table2[[#This Row],[Qty on hand]],"Check","OK")</f>
        <v>OK</v>
      </c>
    </row>
    <row r="1953" spans="1:24" x14ac:dyDescent="0.3">
      <c r="A1953" t="s">
        <v>223</v>
      </c>
      <c r="B1953" t="s">
        <v>224</v>
      </c>
      <c r="C1953" t="s">
        <v>25</v>
      </c>
      <c r="D1953" t="s">
        <v>26</v>
      </c>
      <c r="E1953" t="s">
        <v>27</v>
      </c>
      <c r="F1953" s="1" t="s">
        <v>36</v>
      </c>
      <c r="G1953" s="2">
        <v>10.220000000000001</v>
      </c>
      <c r="H1953">
        <v>11.1</v>
      </c>
      <c r="I1953">
        <v>10.681084</v>
      </c>
      <c r="J1953">
        <v>14.72</v>
      </c>
      <c r="K1953">
        <v>29</v>
      </c>
      <c r="M1953">
        <v>0</v>
      </c>
      <c r="N1953" s="2">
        <v>203</v>
      </c>
      <c r="O1953">
        <v>2168.2600000000002</v>
      </c>
      <c r="P1953">
        <v>13</v>
      </c>
      <c r="Q1953">
        <v>190</v>
      </c>
      <c r="R1953">
        <v>7.55</v>
      </c>
      <c r="S1953">
        <v>1</v>
      </c>
      <c r="T1953">
        <v>99</v>
      </c>
      <c r="U1953" s="2">
        <v>1457.28</v>
      </c>
      <c r="V1953">
        <v>0</v>
      </c>
      <c r="W1953" t="s">
        <v>29</v>
      </c>
      <c r="X1953" t="str">
        <f>IF(Table2[[#This Row],[Qty available]]&gt;Table2[[#This Row],[Qty on hand]],"Check","OK")</f>
        <v>OK</v>
      </c>
    </row>
    <row r="1954" spans="1:24" x14ac:dyDescent="0.3">
      <c r="A1954" t="s">
        <v>223</v>
      </c>
      <c r="B1954" t="s">
        <v>224</v>
      </c>
      <c r="C1954" t="s">
        <v>25</v>
      </c>
      <c r="D1954" t="s">
        <v>26</v>
      </c>
      <c r="E1954" t="s">
        <v>27</v>
      </c>
      <c r="F1954" s="1" t="s">
        <v>37</v>
      </c>
      <c r="G1954" s="2">
        <v>10.4</v>
      </c>
      <c r="H1954">
        <v>11.29</v>
      </c>
      <c r="I1954">
        <v>10.823594</v>
      </c>
      <c r="J1954">
        <v>14.72</v>
      </c>
      <c r="K1954">
        <v>29</v>
      </c>
      <c r="L1954" s="2">
        <v>28</v>
      </c>
      <c r="M1954">
        <v>62</v>
      </c>
      <c r="N1954" s="2">
        <v>64</v>
      </c>
      <c r="O1954">
        <v>692.71</v>
      </c>
      <c r="P1954">
        <v>36</v>
      </c>
      <c r="Q1954">
        <v>28</v>
      </c>
      <c r="R1954">
        <v>2.02</v>
      </c>
      <c r="S1954">
        <v>2</v>
      </c>
      <c r="T1954">
        <v>201</v>
      </c>
      <c r="U1954" s="2">
        <v>2958.72</v>
      </c>
      <c r="V1954">
        <v>0</v>
      </c>
      <c r="W1954" t="s">
        <v>29</v>
      </c>
      <c r="X1954" t="str">
        <f>IF(Table2[[#This Row],[Qty available]]&gt;Table2[[#This Row],[Qty on hand]],"Check","OK")</f>
        <v>OK</v>
      </c>
    </row>
    <row r="1955" spans="1:24" x14ac:dyDescent="0.3">
      <c r="A1955" t="s">
        <v>223</v>
      </c>
      <c r="B1955" t="s">
        <v>224</v>
      </c>
      <c r="C1955" t="s">
        <v>25</v>
      </c>
      <c r="D1955" t="s">
        <v>26</v>
      </c>
      <c r="E1955" t="s">
        <v>27</v>
      </c>
      <c r="F1955" s="1" t="s">
        <v>38</v>
      </c>
      <c r="G1955" s="2">
        <v>10.17</v>
      </c>
      <c r="H1955">
        <v>11.04</v>
      </c>
      <c r="I1955">
        <v>11.006292999999999</v>
      </c>
      <c r="J1955">
        <v>14.72</v>
      </c>
      <c r="K1955">
        <v>29</v>
      </c>
      <c r="L1955" s="2">
        <v>29</v>
      </c>
      <c r="M1955">
        <v>347</v>
      </c>
      <c r="N1955" s="2">
        <v>259</v>
      </c>
      <c r="O1955">
        <v>2850.63</v>
      </c>
      <c r="P1955">
        <v>22</v>
      </c>
      <c r="Q1955">
        <v>237</v>
      </c>
      <c r="R1955">
        <v>7.45</v>
      </c>
      <c r="S1955">
        <v>3</v>
      </c>
      <c r="T1955">
        <v>152</v>
      </c>
      <c r="U1955" s="2">
        <v>2237.44</v>
      </c>
      <c r="V1955">
        <v>0</v>
      </c>
      <c r="W1955" t="s">
        <v>29</v>
      </c>
      <c r="X1955" t="str">
        <f>IF(Table2[[#This Row],[Qty available]]&gt;Table2[[#This Row],[Qty on hand]],"Check","OK")</f>
        <v>OK</v>
      </c>
    </row>
    <row r="1956" spans="1:24" x14ac:dyDescent="0.3">
      <c r="A1956" t="s">
        <v>223</v>
      </c>
      <c r="B1956" t="s">
        <v>224</v>
      </c>
      <c r="C1956" t="s">
        <v>25</v>
      </c>
      <c r="D1956" t="s">
        <v>26</v>
      </c>
      <c r="E1956" t="s">
        <v>27</v>
      </c>
      <c r="F1956" s="1" t="s">
        <v>39</v>
      </c>
      <c r="G1956" s="2">
        <v>10.07</v>
      </c>
      <c r="H1956">
        <v>10.94</v>
      </c>
      <c r="I1956">
        <v>11.006316</v>
      </c>
      <c r="J1956">
        <v>14.72</v>
      </c>
      <c r="K1956">
        <v>29</v>
      </c>
      <c r="M1956">
        <v>0</v>
      </c>
      <c r="N1956" s="2">
        <v>57</v>
      </c>
      <c r="O1956">
        <v>627.36</v>
      </c>
      <c r="P1956">
        <v>27</v>
      </c>
      <c r="Q1956">
        <v>30</v>
      </c>
      <c r="R1956">
        <v>1.35</v>
      </c>
      <c r="S1956">
        <v>0</v>
      </c>
      <c r="T1956">
        <v>202</v>
      </c>
      <c r="U1956" s="2">
        <v>2973.44</v>
      </c>
      <c r="V1956">
        <v>0</v>
      </c>
      <c r="W1956" t="s">
        <v>29</v>
      </c>
      <c r="X1956" t="str">
        <f>IF(Table2[[#This Row],[Qty available]]&gt;Table2[[#This Row],[Qty on hand]],"Check","OK")</f>
        <v>OK</v>
      </c>
    </row>
    <row r="1957" spans="1:24" x14ac:dyDescent="0.3">
      <c r="A1957" t="s">
        <v>223</v>
      </c>
      <c r="B1957" t="s">
        <v>224</v>
      </c>
      <c r="C1957" t="s">
        <v>25</v>
      </c>
      <c r="D1957" t="s">
        <v>26</v>
      </c>
      <c r="E1957" t="s">
        <v>27</v>
      </c>
      <c r="F1957" s="1" t="s">
        <v>40</v>
      </c>
      <c r="G1957" s="2">
        <v>10.19</v>
      </c>
      <c r="H1957">
        <v>11.07</v>
      </c>
      <c r="I1957">
        <v>11.054570999999999</v>
      </c>
      <c r="J1957">
        <v>14.72</v>
      </c>
      <c r="K1957">
        <v>29</v>
      </c>
      <c r="L1957" s="2">
        <v>48</v>
      </c>
      <c r="M1957">
        <v>178</v>
      </c>
      <c r="N1957" s="2">
        <v>35</v>
      </c>
      <c r="O1957">
        <v>386.91</v>
      </c>
      <c r="P1957">
        <v>22</v>
      </c>
      <c r="Q1957">
        <v>13</v>
      </c>
      <c r="R1957">
        <v>0.83</v>
      </c>
      <c r="S1957">
        <v>2</v>
      </c>
      <c r="T1957">
        <v>200</v>
      </c>
      <c r="U1957" s="2">
        <v>2944</v>
      </c>
      <c r="V1957">
        <v>0</v>
      </c>
      <c r="W1957" t="s">
        <v>29</v>
      </c>
      <c r="X1957" t="str">
        <f>IF(Table2[[#This Row],[Qty available]]&gt;Table2[[#This Row],[Qty on hand]],"Check","OK")</f>
        <v>OK</v>
      </c>
    </row>
    <row r="1958" spans="1:24" x14ac:dyDescent="0.3">
      <c r="A1958" t="s">
        <v>223</v>
      </c>
      <c r="B1958" t="s">
        <v>224</v>
      </c>
      <c r="C1958" t="s">
        <v>25</v>
      </c>
      <c r="D1958" t="s">
        <v>26</v>
      </c>
      <c r="E1958" t="s">
        <v>27</v>
      </c>
      <c r="F1958" s="1" t="s">
        <v>41</v>
      </c>
      <c r="G1958" s="2">
        <v>10.39</v>
      </c>
      <c r="H1958">
        <v>11.28</v>
      </c>
      <c r="I1958">
        <v>11.257896000000001</v>
      </c>
      <c r="J1958">
        <v>14.72</v>
      </c>
      <c r="K1958">
        <v>29</v>
      </c>
      <c r="L1958" s="2">
        <v>27</v>
      </c>
      <c r="M1958">
        <v>322</v>
      </c>
      <c r="N1958" s="2">
        <v>309</v>
      </c>
      <c r="O1958">
        <v>3478.69</v>
      </c>
      <c r="P1958">
        <v>36</v>
      </c>
      <c r="Q1958">
        <v>273</v>
      </c>
      <c r="R1958">
        <v>9.02</v>
      </c>
      <c r="S1958">
        <v>4</v>
      </c>
      <c r="T1958">
        <v>48</v>
      </c>
      <c r="U1958" s="2">
        <v>706.56</v>
      </c>
      <c r="V1958">
        <v>0</v>
      </c>
      <c r="W1958" t="s">
        <v>29</v>
      </c>
      <c r="X1958" t="str">
        <f>IF(Table2[[#This Row],[Qty available]]&gt;Table2[[#This Row],[Qty on hand]],"Check","OK")</f>
        <v>OK</v>
      </c>
    </row>
    <row r="1959" spans="1:24" x14ac:dyDescent="0.3">
      <c r="A1959" t="s">
        <v>223</v>
      </c>
      <c r="B1959" t="s">
        <v>224</v>
      </c>
      <c r="C1959" t="s">
        <v>25</v>
      </c>
      <c r="D1959" t="s">
        <v>26</v>
      </c>
      <c r="E1959" t="s">
        <v>27</v>
      </c>
      <c r="F1959" s="1" t="s">
        <v>42</v>
      </c>
      <c r="G1959" s="2">
        <v>10.3</v>
      </c>
      <c r="H1959">
        <v>11.19</v>
      </c>
      <c r="I1959">
        <v>11.240795</v>
      </c>
      <c r="J1959">
        <v>14.72</v>
      </c>
      <c r="K1959">
        <v>29</v>
      </c>
      <c r="L1959" s="2">
        <v>29</v>
      </c>
      <c r="M1959">
        <v>104</v>
      </c>
      <c r="N1959" s="2">
        <v>302</v>
      </c>
      <c r="O1959">
        <v>3394.72</v>
      </c>
      <c r="P1959">
        <v>27</v>
      </c>
      <c r="Q1959">
        <v>275</v>
      </c>
      <c r="R1959">
        <v>11.06</v>
      </c>
      <c r="S1959">
        <v>3</v>
      </c>
      <c r="T1959">
        <v>111</v>
      </c>
      <c r="U1959" s="2">
        <v>1633.92</v>
      </c>
      <c r="V1959">
        <v>0</v>
      </c>
      <c r="W1959" t="s">
        <v>29</v>
      </c>
      <c r="X1959" t="str">
        <f>IF(Table2[[#This Row],[Qty available]]&gt;Table2[[#This Row],[Qty on hand]],"Check","OK")</f>
        <v>OK</v>
      </c>
    </row>
    <row r="1960" spans="1:24" x14ac:dyDescent="0.3">
      <c r="A1960" t="s">
        <v>223</v>
      </c>
      <c r="B1960" t="s">
        <v>224</v>
      </c>
      <c r="C1960" t="s">
        <v>25</v>
      </c>
      <c r="D1960" t="s">
        <v>26</v>
      </c>
      <c r="E1960" t="s">
        <v>27</v>
      </c>
      <c r="F1960" s="1" t="s">
        <v>43</v>
      </c>
      <c r="G1960" s="2">
        <v>10.4</v>
      </c>
      <c r="H1960">
        <v>11.29</v>
      </c>
      <c r="I1960">
        <v>11.252112</v>
      </c>
      <c r="J1960">
        <v>14.72</v>
      </c>
      <c r="K1960">
        <v>29</v>
      </c>
      <c r="L1960" s="2">
        <v>26</v>
      </c>
      <c r="M1960">
        <v>90</v>
      </c>
      <c r="N1960" s="2">
        <v>251</v>
      </c>
      <c r="O1960">
        <v>2824.28</v>
      </c>
      <c r="P1960">
        <v>40</v>
      </c>
      <c r="Q1960">
        <v>211</v>
      </c>
      <c r="R1960">
        <v>10.88</v>
      </c>
      <c r="S1960">
        <v>0</v>
      </c>
      <c r="T1960">
        <v>141</v>
      </c>
      <c r="U1960" s="2">
        <v>2075.52</v>
      </c>
      <c r="V1960">
        <v>0</v>
      </c>
      <c r="W1960" t="s">
        <v>29</v>
      </c>
      <c r="X1960" t="str">
        <f>IF(Table2[[#This Row],[Qty available]]&gt;Table2[[#This Row],[Qty on hand]],"Check","OK")</f>
        <v>OK</v>
      </c>
    </row>
    <row r="1961" spans="1:24" x14ac:dyDescent="0.3">
      <c r="A1961" t="s">
        <v>223</v>
      </c>
      <c r="B1961" t="s">
        <v>224</v>
      </c>
      <c r="C1961" t="s">
        <v>25</v>
      </c>
      <c r="D1961" t="s">
        <v>26</v>
      </c>
      <c r="E1961" t="s">
        <v>27</v>
      </c>
      <c r="F1961" s="1" t="s">
        <v>44</v>
      </c>
      <c r="G1961" s="2">
        <v>10.11</v>
      </c>
      <c r="H1961">
        <v>10.98</v>
      </c>
      <c r="I1961">
        <v>11.252134</v>
      </c>
      <c r="J1961">
        <v>14.72</v>
      </c>
      <c r="K1961">
        <v>29</v>
      </c>
      <c r="M1961">
        <v>0</v>
      </c>
      <c r="N1961" s="2">
        <v>164</v>
      </c>
      <c r="O1961">
        <v>1845.35</v>
      </c>
      <c r="P1961">
        <v>40</v>
      </c>
      <c r="Q1961">
        <v>124</v>
      </c>
      <c r="R1961">
        <v>6.36</v>
      </c>
      <c r="S1961">
        <v>0</v>
      </c>
      <c r="T1961">
        <v>87</v>
      </c>
      <c r="U1961" s="2">
        <v>1280.6400000000001</v>
      </c>
      <c r="V1961">
        <v>0</v>
      </c>
      <c r="W1961" t="s">
        <v>29</v>
      </c>
      <c r="X1961" t="str">
        <f>IF(Table2[[#This Row],[Qty available]]&gt;Table2[[#This Row],[Qty on hand]],"Check","OK")</f>
        <v>OK</v>
      </c>
    </row>
    <row r="1962" spans="1:24" x14ac:dyDescent="0.3">
      <c r="A1962" t="s">
        <v>223</v>
      </c>
      <c r="B1962" t="s">
        <v>224</v>
      </c>
      <c r="C1962" t="s">
        <v>25</v>
      </c>
      <c r="D1962" t="s">
        <v>26</v>
      </c>
      <c r="E1962" t="s">
        <v>27</v>
      </c>
      <c r="F1962" s="1" t="s">
        <v>45</v>
      </c>
      <c r="G1962" s="2">
        <v>10.14</v>
      </c>
      <c r="H1962">
        <v>11.01</v>
      </c>
      <c r="I1962">
        <v>11.148846000000001</v>
      </c>
      <c r="J1962">
        <v>14.72</v>
      </c>
      <c r="K1962">
        <v>29</v>
      </c>
      <c r="L1962" s="2">
        <v>42</v>
      </c>
      <c r="M1962">
        <v>122</v>
      </c>
      <c r="N1962" s="2">
        <v>286</v>
      </c>
      <c r="O1962">
        <v>3188.57</v>
      </c>
      <c r="P1962">
        <v>44</v>
      </c>
      <c r="Q1962">
        <v>242</v>
      </c>
      <c r="R1962">
        <v>16.489999999999998</v>
      </c>
      <c r="S1962">
        <v>31</v>
      </c>
      <c r="T1962">
        <v>0</v>
      </c>
      <c r="U1962" s="2">
        <v>0</v>
      </c>
      <c r="V1962">
        <v>0</v>
      </c>
      <c r="W1962" t="s">
        <v>29</v>
      </c>
      <c r="X1962" t="str">
        <f>IF(Table2[[#This Row],[Qty available]]&gt;Table2[[#This Row],[Qty on hand]],"Check","OK")</f>
        <v>OK</v>
      </c>
    </row>
    <row r="1963" spans="1:24" x14ac:dyDescent="0.3">
      <c r="A1963" t="s">
        <v>223</v>
      </c>
      <c r="B1963" t="s">
        <v>224</v>
      </c>
      <c r="C1963" t="s">
        <v>25</v>
      </c>
      <c r="D1963" t="s">
        <v>26</v>
      </c>
      <c r="E1963" t="s">
        <v>27</v>
      </c>
      <c r="F1963" s="1" t="s">
        <v>46</v>
      </c>
      <c r="G1963" s="2">
        <v>10.36</v>
      </c>
      <c r="H1963">
        <v>11.25</v>
      </c>
      <c r="I1963">
        <v>11.169639</v>
      </c>
      <c r="J1963">
        <v>15.1</v>
      </c>
      <c r="K1963">
        <v>29</v>
      </c>
      <c r="L1963" s="2">
        <v>28</v>
      </c>
      <c r="M1963">
        <v>74</v>
      </c>
      <c r="N1963" s="2">
        <v>360</v>
      </c>
      <c r="O1963">
        <v>4021.07</v>
      </c>
      <c r="P1963">
        <v>22</v>
      </c>
      <c r="Q1963">
        <v>338</v>
      </c>
      <c r="R1963">
        <v>53.2</v>
      </c>
      <c r="S1963">
        <v>59</v>
      </c>
      <c r="T1963">
        <v>0</v>
      </c>
      <c r="U1963" s="2">
        <v>0</v>
      </c>
      <c r="V1963">
        <v>0</v>
      </c>
      <c r="W1963" t="s">
        <v>29</v>
      </c>
      <c r="X1963" t="str">
        <f>IF(Table2[[#This Row],[Qty available]]&gt;Table2[[#This Row],[Qty on hand]],"Check","OK")</f>
        <v>OK</v>
      </c>
    </row>
    <row r="1964" spans="1:24" x14ac:dyDescent="0.3">
      <c r="A1964" t="s">
        <v>223</v>
      </c>
      <c r="B1964" t="s">
        <v>224</v>
      </c>
      <c r="C1964" t="s">
        <v>25</v>
      </c>
      <c r="D1964" t="s">
        <v>26</v>
      </c>
      <c r="E1964" t="s">
        <v>27</v>
      </c>
      <c r="F1964" s="1" t="s">
        <v>47</v>
      </c>
      <c r="G1964" s="2">
        <v>10.17</v>
      </c>
      <c r="H1964">
        <v>11.04</v>
      </c>
      <c r="I1964">
        <v>11.169639</v>
      </c>
      <c r="J1964">
        <v>15.1</v>
      </c>
      <c r="K1964">
        <v>29</v>
      </c>
      <c r="M1964">
        <v>0</v>
      </c>
      <c r="N1964" s="2">
        <v>360</v>
      </c>
      <c r="O1964">
        <v>4021.07</v>
      </c>
      <c r="P1964">
        <v>40</v>
      </c>
      <c r="Q1964">
        <v>320</v>
      </c>
      <c r="S1964">
        <v>90</v>
      </c>
      <c r="T1964">
        <v>0</v>
      </c>
      <c r="U1964" s="2">
        <v>0</v>
      </c>
      <c r="V1964">
        <v>0</v>
      </c>
      <c r="W1964" t="s">
        <v>29</v>
      </c>
      <c r="X1964" t="str">
        <f>IF(Table2[[#This Row],[Qty available]]&gt;Table2[[#This Row],[Qty on hand]],"Check","OK")</f>
        <v>OK</v>
      </c>
    </row>
    <row r="1965" spans="1:24" x14ac:dyDescent="0.3">
      <c r="A1965" t="s">
        <v>223</v>
      </c>
      <c r="B1965" t="s">
        <v>224</v>
      </c>
      <c r="C1965" t="s">
        <v>25</v>
      </c>
      <c r="D1965" t="s">
        <v>26</v>
      </c>
      <c r="E1965" t="s">
        <v>27</v>
      </c>
      <c r="F1965" s="1" t="s">
        <v>48</v>
      </c>
      <c r="G1965" s="2">
        <v>10.74</v>
      </c>
      <c r="H1965">
        <v>11.66</v>
      </c>
      <c r="I1965">
        <v>11.169639</v>
      </c>
      <c r="J1965">
        <v>15.1</v>
      </c>
      <c r="K1965">
        <v>29</v>
      </c>
      <c r="M1965">
        <v>0</v>
      </c>
      <c r="N1965" s="2">
        <v>360</v>
      </c>
      <c r="O1965">
        <v>4021.07</v>
      </c>
      <c r="P1965">
        <v>18</v>
      </c>
      <c r="Q1965">
        <v>342</v>
      </c>
      <c r="S1965">
        <v>120</v>
      </c>
      <c r="T1965">
        <v>0</v>
      </c>
      <c r="U1965" s="2">
        <v>0</v>
      </c>
      <c r="V1965">
        <v>0</v>
      </c>
      <c r="W1965" t="s">
        <v>29</v>
      </c>
      <c r="X1965" t="str">
        <f>IF(Table2[[#This Row],[Qty available]]&gt;Table2[[#This Row],[Qty on hand]],"Check","OK")</f>
        <v>OK</v>
      </c>
    </row>
    <row r="1966" spans="1:24" x14ac:dyDescent="0.3">
      <c r="A1966" t="s">
        <v>223</v>
      </c>
      <c r="B1966" t="s">
        <v>224</v>
      </c>
      <c r="C1966" t="s">
        <v>25</v>
      </c>
      <c r="D1966" t="s">
        <v>26</v>
      </c>
      <c r="E1966" t="s">
        <v>27</v>
      </c>
      <c r="F1966" s="1" t="s">
        <v>49</v>
      </c>
      <c r="G1966" s="2">
        <v>10.5</v>
      </c>
      <c r="H1966">
        <v>11.4</v>
      </c>
      <c r="I1966">
        <v>11.241434</v>
      </c>
      <c r="J1966">
        <v>15.1</v>
      </c>
      <c r="K1966">
        <v>29</v>
      </c>
      <c r="L1966" s="2">
        <v>49</v>
      </c>
      <c r="M1966">
        <v>163</v>
      </c>
      <c r="N1966" s="2">
        <v>523</v>
      </c>
      <c r="O1966">
        <v>5879.27</v>
      </c>
      <c r="P1966">
        <v>36</v>
      </c>
      <c r="Q1966">
        <v>487</v>
      </c>
      <c r="S1966">
        <v>151</v>
      </c>
      <c r="T1966">
        <v>0</v>
      </c>
      <c r="U1966" s="2">
        <v>0</v>
      </c>
      <c r="V1966">
        <v>0</v>
      </c>
      <c r="W1966" t="s">
        <v>29</v>
      </c>
      <c r="X1966" t="str">
        <f>IF(Table2[[#This Row],[Qty available]]&gt;Table2[[#This Row],[Qty on hand]],"Check","OK")</f>
        <v>OK</v>
      </c>
    </row>
    <row r="1967" spans="1:24" x14ac:dyDescent="0.3">
      <c r="A1967" t="s">
        <v>223</v>
      </c>
      <c r="B1967" t="s">
        <v>224</v>
      </c>
      <c r="C1967" t="s">
        <v>25</v>
      </c>
      <c r="D1967" t="s">
        <v>26</v>
      </c>
      <c r="E1967" t="s">
        <v>27</v>
      </c>
      <c r="F1967" s="1" t="s">
        <v>50</v>
      </c>
      <c r="G1967" s="2">
        <v>10.51</v>
      </c>
      <c r="H1967">
        <v>11.41</v>
      </c>
      <c r="I1967">
        <v>11.241434</v>
      </c>
      <c r="J1967">
        <v>15.1</v>
      </c>
      <c r="K1967">
        <v>29</v>
      </c>
      <c r="M1967">
        <v>0</v>
      </c>
      <c r="N1967" s="2">
        <v>523</v>
      </c>
      <c r="O1967">
        <v>5879.27</v>
      </c>
      <c r="P1967">
        <v>40</v>
      </c>
      <c r="Q1967">
        <v>483</v>
      </c>
      <c r="S1967">
        <v>181</v>
      </c>
      <c r="T1967">
        <v>0</v>
      </c>
      <c r="U1967" s="2">
        <v>0</v>
      </c>
      <c r="V1967">
        <v>0</v>
      </c>
      <c r="W1967" t="s">
        <v>29</v>
      </c>
      <c r="X1967" t="str">
        <f>IF(Table2[[#This Row],[Qty available]]&gt;Table2[[#This Row],[Qty on hand]],"Check","OK")</f>
        <v>OK</v>
      </c>
    </row>
    <row r="1968" spans="1:24" x14ac:dyDescent="0.3">
      <c r="A1968" t="s">
        <v>223</v>
      </c>
      <c r="B1968" t="s">
        <v>224</v>
      </c>
      <c r="C1968" t="s">
        <v>25</v>
      </c>
      <c r="D1968" t="s">
        <v>26</v>
      </c>
      <c r="E1968" t="s">
        <v>27</v>
      </c>
      <c r="F1968" s="1" t="s">
        <v>51</v>
      </c>
      <c r="G1968" s="2">
        <v>10.71</v>
      </c>
      <c r="H1968">
        <v>11.63</v>
      </c>
      <c r="I1968">
        <v>11.241434</v>
      </c>
      <c r="J1968">
        <v>15.1</v>
      </c>
      <c r="K1968">
        <v>29</v>
      </c>
      <c r="M1968">
        <v>0</v>
      </c>
      <c r="N1968" s="2">
        <v>523</v>
      </c>
      <c r="O1968">
        <v>5879.27</v>
      </c>
      <c r="P1968">
        <v>9</v>
      </c>
      <c r="Q1968">
        <v>514</v>
      </c>
      <c r="S1968">
        <v>212</v>
      </c>
      <c r="T1968">
        <v>0</v>
      </c>
      <c r="U1968" s="2">
        <v>0</v>
      </c>
      <c r="V1968">
        <v>0</v>
      </c>
      <c r="W1968" t="s">
        <v>29</v>
      </c>
      <c r="X1968" t="str">
        <f>IF(Table2[[#This Row],[Qty available]]&gt;Table2[[#This Row],[Qty on hand]],"Check","OK")</f>
        <v>OK</v>
      </c>
    </row>
    <row r="1969" spans="1:24" x14ac:dyDescent="0.3">
      <c r="A1969" t="s">
        <v>223</v>
      </c>
      <c r="B1969" t="s">
        <v>224</v>
      </c>
      <c r="C1969" t="s">
        <v>25</v>
      </c>
      <c r="D1969" t="s">
        <v>26</v>
      </c>
      <c r="E1969" t="s">
        <v>27</v>
      </c>
      <c r="F1969" s="1" t="s">
        <v>52</v>
      </c>
      <c r="G1969" s="2">
        <v>10.52</v>
      </c>
      <c r="H1969">
        <v>11.42</v>
      </c>
      <c r="I1969">
        <v>11.241434</v>
      </c>
      <c r="J1969">
        <v>15.1</v>
      </c>
      <c r="K1969">
        <v>29</v>
      </c>
      <c r="M1969">
        <v>0</v>
      </c>
      <c r="N1969" s="2">
        <v>523</v>
      </c>
      <c r="O1969">
        <v>5879.27</v>
      </c>
      <c r="P1969">
        <v>44</v>
      </c>
      <c r="Q1969">
        <v>479</v>
      </c>
      <c r="S1969">
        <v>243</v>
      </c>
      <c r="T1969">
        <v>0</v>
      </c>
      <c r="U1969" s="2">
        <v>0</v>
      </c>
      <c r="V1969">
        <v>0</v>
      </c>
      <c r="W1969" t="s">
        <v>29</v>
      </c>
      <c r="X1969" t="str">
        <f>IF(Table2[[#This Row],[Qty available]]&gt;Table2[[#This Row],[Qty on hand]],"Check","OK")</f>
        <v>OK</v>
      </c>
    </row>
    <row r="1970" spans="1:24" x14ac:dyDescent="0.3">
      <c r="A1970" t="s">
        <v>225</v>
      </c>
      <c r="B1970" t="s">
        <v>226</v>
      </c>
      <c r="C1970" t="s">
        <v>69</v>
      </c>
      <c r="D1970" t="s">
        <v>70</v>
      </c>
      <c r="E1970" t="s">
        <v>66</v>
      </c>
      <c r="F1970" s="1" t="s">
        <v>28</v>
      </c>
      <c r="G1970" s="2">
        <v>630.04</v>
      </c>
      <c r="H1970">
        <v>630.04</v>
      </c>
      <c r="I1970">
        <v>629.63946699999997</v>
      </c>
      <c r="J1970">
        <v>892.82</v>
      </c>
      <c r="K1970">
        <v>30</v>
      </c>
      <c r="L1970" s="2">
        <v>41</v>
      </c>
      <c r="M1970">
        <v>29</v>
      </c>
      <c r="N1970" s="2">
        <v>75</v>
      </c>
      <c r="O1970">
        <v>47222.96</v>
      </c>
      <c r="P1970">
        <v>2</v>
      </c>
      <c r="Q1970">
        <v>73</v>
      </c>
      <c r="R1970">
        <v>16.71</v>
      </c>
      <c r="S1970">
        <v>9</v>
      </c>
      <c r="T1970">
        <v>20</v>
      </c>
      <c r="U1970" s="2">
        <v>17856.400000000001</v>
      </c>
      <c r="V1970">
        <v>0</v>
      </c>
      <c r="W1970" t="s">
        <v>29</v>
      </c>
      <c r="X1970" t="str">
        <f>IF(Table2[[#This Row],[Qty available]]&gt;Table2[[#This Row],[Qty on hand]],"Check","OK")</f>
        <v>OK</v>
      </c>
    </row>
    <row r="1971" spans="1:24" x14ac:dyDescent="0.3">
      <c r="A1971" t="s">
        <v>225</v>
      </c>
      <c r="B1971" t="s">
        <v>226</v>
      </c>
      <c r="C1971" t="s">
        <v>69</v>
      </c>
      <c r="D1971" t="s">
        <v>70</v>
      </c>
      <c r="E1971" t="s">
        <v>66</v>
      </c>
      <c r="F1971" s="1" t="s">
        <v>30</v>
      </c>
      <c r="G1971" s="2">
        <v>631.39</v>
      </c>
      <c r="H1971">
        <v>631.39</v>
      </c>
      <c r="I1971">
        <v>630.03654800000004</v>
      </c>
      <c r="J1971">
        <v>892.82</v>
      </c>
      <c r="K1971">
        <v>30</v>
      </c>
      <c r="L1971" s="2">
        <v>28</v>
      </c>
      <c r="M1971">
        <v>22</v>
      </c>
      <c r="N1971" s="2">
        <v>84</v>
      </c>
      <c r="O1971">
        <v>52923.07</v>
      </c>
      <c r="P1971">
        <v>2</v>
      </c>
      <c r="Q1971">
        <v>82</v>
      </c>
      <c r="R1971">
        <v>19.37</v>
      </c>
      <c r="S1971">
        <v>2</v>
      </c>
      <c r="T1971">
        <v>13</v>
      </c>
      <c r="U1971" s="2">
        <v>11606.66</v>
      </c>
      <c r="V1971">
        <v>0</v>
      </c>
      <c r="W1971" t="s">
        <v>29</v>
      </c>
      <c r="X1971" t="str">
        <f>IF(Table2[[#This Row],[Qty available]]&gt;Table2[[#This Row],[Qty on hand]],"Check","OK")</f>
        <v>OK</v>
      </c>
    </row>
    <row r="1972" spans="1:24" x14ac:dyDescent="0.3">
      <c r="A1972" t="s">
        <v>225</v>
      </c>
      <c r="B1972" t="s">
        <v>226</v>
      </c>
      <c r="C1972" t="s">
        <v>69</v>
      </c>
      <c r="D1972" t="s">
        <v>70</v>
      </c>
      <c r="E1972" t="s">
        <v>66</v>
      </c>
      <c r="F1972" s="1" t="s">
        <v>31</v>
      </c>
      <c r="G1972" s="2">
        <v>634.59</v>
      </c>
      <c r="H1972">
        <v>634.59</v>
      </c>
      <c r="I1972">
        <v>630.03654800000004</v>
      </c>
      <c r="J1972">
        <v>892.82</v>
      </c>
      <c r="K1972">
        <v>30</v>
      </c>
      <c r="M1972">
        <v>0</v>
      </c>
      <c r="N1972" s="2">
        <v>84</v>
      </c>
      <c r="O1972">
        <v>52923.07</v>
      </c>
      <c r="P1972">
        <v>4</v>
      </c>
      <c r="Q1972">
        <v>80</v>
      </c>
      <c r="R1972">
        <v>33.090000000000003</v>
      </c>
      <c r="S1972">
        <v>32</v>
      </c>
      <c r="T1972">
        <v>0</v>
      </c>
      <c r="U1972" s="2">
        <v>0</v>
      </c>
      <c r="V1972">
        <v>0</v>
      </c>
      <c r="W1972" t="s">
        <v>29</v>
      </c>
      <c r="X1972" t="str">
        <f>IF(Table2[[#This Row],[Qty available]]&gt;Table2[[#This Row],[Qty on hand]],"Check","OK")</f>
        <v>OK</v>
      </c>
    </row>
    <row r="1973" spans="1:24" x14ac:dyDescent="0.3">
      <c r="A1973" t="s">
        <v>225</v>
      </c>
      <c r="B1973" t="s">
        <v>226</v>
      </c>
      <c r="C1973" t="s">
        <v>69</v>
      </c>
      <c r="D1973" t="s">
        <v>70</v>
      </c>
      <c r="E1973" t="s">
        <v>66</v>
      </c>
      <c r="F1973" s="1" t="s">
        <v>32</v>
      </c>
      <c r="G1973" s="2">
        <v>663.07</v>
      </c>
      <c r="H1973">
        <v>663.07</v>
      </c>
      <c r="I1973">
        <v>639.55469700000003</v>
      </c>
      <c r="J1973">
        <v>892.82</v>
      </c>
      <c r="K1973">
        <v>30</v>
      </c>
      <c r="L1973" s="2">
        <v>27</v>
      </c>
      <c r="M1973">
        <v>34</v>
      </c>
      <c r="N1973" s="2">
        <v>66</v>
      </c>
      <c r="O1973">
        <v>42210.61</v>
      </c>
      <c r="P1973">
        <v>6</v>
      </c>
      <c r="Q1973">
        <v>60</v>
      </c>
      <c r="R1973">
        <v>13.35</v>
      </c>
      <c r="S1973">
        <v>5</v>
      </c>
      <c r="T1973">
        <v>52</v>
      </c>
      <c r="U1973" s="2">
        <v>46426.64</v>
      </c>
      <c r="V1973">
        <v>0</v>
      </c>
      <c r="W1973" t="s">
        <v>29</v>
      </c>
      <c r="X1973" t="str">
        <f>IF(Table2[[#This Row],[Qty available]]&gt;Table2[[#This Row],[Qty on hand]],"Check","OK")</f>
        <v>OK</v>
      </c>
    </row>
    <row r="1974" spans="1:24" x14ac:dyDescent="0.3">
      <c r="A1974" t="s">
        <v>225</v>
      </c>
      <c r="B1974" t="s">
        <v>226</v>
      </c>
      <c r="C1974" t="s">
        <v>69</v>
      </c>
      <c r="D1974" t="s">
        <v>70</v>
      </c>
      <c r="E1974" t="s">
        <v>66</v>
      </c>
      <c r="F1974" s="1" t="s">
        <v>33</v>
      </c>
      <c r="G1974" s="2">
        <v>660.54</v>
      </c>
      <c r="H1974">
        <v>660.54</v>
      </c>
      <c r="I1974">
        <v>639.55462999999997</v>
      </c>
      <c r="J1974">
        <v>892.82</v>
      </c>
      <c r="K1974">
        <v>30</v>
      </c>
      <c r="M1974">
        <v>0</v>
      </c>
      <c r="N1974" s="2">
        <v>54</v>
      </c>
      <c r="O1974">
        <v>34535.949999999997</v>
      </c>
      <c r="P1974">
        <v>6</v>
      </c>
      <c r="Q1974">
        <v>48</v>
      </c>
      <c r="R1974">
        <v>11.09</v>
      </c>
      <c r="S1974">
        <v>2</v>
      </c>
      <c r="T1974">
        <v>12</v>
      </c>
      <c r="U1974" s="2">
        <v>10713.84</v>
      </c>
      <c r="V1974">
        <v>0</v>
      </c>
      <c r="W1974" t="s">
        <v>29</v>
      </c>
      <c r="X1974" t="str">
        <f>IF(Table2[[#This Row],[Qty available]]&gt;Table2[[#This Row],[Qty on hand]],"Check","OK")</f>
        <v>OK</v>
      </c>
    </row>
    <row r="1975" spans="1:24" x14ac:dyDescent="0.3">
      <c r="A1975" t="s">
        <v>225</v>
      </c>
      <c r="B1975" t="s">
        <v>226</v>
      </c>
      <c r="C1975" t="s">
        <v>69</v>
      </c>
      <c r="D1975" t="s">
        <v>70</v>
      </c>
      <c r="E1975" t="s">
        <v>66</v>
      </c>
      <c r="F1975" s="1" t="s">
        <v>34</v>
      </c>
      <c r="G1975" s="2">
        <v>655.57</v>
      </c>
      <c r="H1975">
        <v>655.57</v>
      </c>
      <c r="I1975">
        <v>642.66222200000004</v>
      </c>
      <c r="J1975">
        <v>934.95</v>
      </c>
      <c r="K1975">
        <v>30</v>
      </c>
      <c r="L1975" s="2">
        <v>42</v>
      </c>
      <c r="M1975">
        <v>13</v>
      </c>
      <c r="N1975" s="2">
        <v>36</v>
      </c>
      <c r="O1975">
        <v>23135.84</v>
      </c>
      <c r="P1975">
        <v>3</v>
      </c>
      <c r="Q1975">
        <v>33</v>
      </c>
      <c r="R1975">
        <v>4.87</v>
      </c>
      <c r="S1975">
        <v>9</v>
      </c>
      <c r="T1975">
        <v>31</v>
      </c>
      <c r="U1975" s="2">
        <v>28983.45</v>
      </c>
      <c r="V1975">
        <v>0</v>
      </c>
      <c r="W1975" t="s">
        <v>29</v>
      </c>
      <c r="X1975" t="str">
        <f>IF(Table2[[#This Row],[Qty available]]&gt;Table2[[#This Row],[Qty on hand]],"Check","OK")</f>
        <v>OK</v>
      </c>
    </row>
    <row r="1976" spans="1:24" x14ac:dyDescent="0.3">
      <c r="A1976" t="s">
        <v>225</v>
      </c>
      <c r="B1976" t="s">
        <v>226</v>
      </c>
      <c r="C1976" t="s">
        <v>69</v>
      </c>
      <c r="D1976" t="s">
        <v>70</v>
      </c>
      <c r="E1976" t="s">
        <v>66</v>
      </c>
      <c r="F1976" s="1" t="s">
        <v>35</v>
      </c>
      <c r="G1976" s="2">
        <v>653.69000000000005</v>
      </c>
      <c r="H1976">
        <v>653.69000000000005</v>
      </c>
      <c r="I1976">
        <v>642.66250000000002</v>
      </c>
      <c r="J1976">
        <v>934.95</v>
      </c>
      <c r="K1976">
        <v>30</v>
      </c>
      <c r="M1976">
        <v>0</v>
      </c>
      <c r="N1976" s="2">
        <v>4</v>
      </c>
      <c r="O1976">
        <v>2570.65</v>
      </c>
      <c r="P1976">
        <v>4</v>
      </c>
      <c r="Q1976">
        <v>0</v>
      </c>
      <c r="R1976">
        <v>0.69</v>
      </c>
      <c r="S1976">
        <v>8</v>
      </c>
      <c r="T1976">
        <v>32</v>
      </c>
      <c r="U1976" s="2">
        <v>29918.400000000001</v>
      </c>
      <c r="V1976">
        <v>0</v>
      </c>
      <c r="W1976" t="s">
        <v>29</v>
      </c>
      <c r="X1976" t="str">
        <f>IF(Table2[[#This Row],[Qty available]]&gt;Table2[[#This Row],[Qty on hand]],"Check","OK")</f>
        <v>OK</v>
      </c>
    </row>
    <row r="1977" spans="1:24" x14ac:dyDescent="0.3">
      <c r="A1977" t="s">
        <v>225</v>
      </c>
      <c r="B1977" t="s">
        <v>226</v>
      </c>
      <c r="C1977" t="s">
        <v>69</v>
      </c>
      <c r="D1977" t="s">
        <v>70</v>
      </c>
      <c r="E1977" t="s">
        <v>66</v>
      </c>
      <c r="F1977" s="1" t="s">
        <v>36</v>
      </c>
      <c r="G1977" s="2">
        <v>643.26</v>
      </c>
      <c r="H1977">
        <v>643.26</v>
      </c>
      <c r="I1977">
        <v>643.23559999999998</v>
      </c>
      <c r="J1977">
        <v>934.95</v>
      </c>
      <c r="K1977">
        <v>30</v>
      </c>
      <c r="L1977" s="2">
        <v>29</v>
      </c>
      <c r="M1977">
        <v>94</v>
      </c>
      <c r="N1977" s="2">
        <v>75</v>
      </c>
      <c r="O1977">
        <v>48242.67</v>
      </c>
      <c r="P1977">
        <v>6</v>
      </c>
      <c r="Q1977">
        <v>69</v>
      </c>
      <c r="R1977">
        <v>11.09</v>
      </c>
      <c r="S1977">
        <v>1</v>
      </c>
      <c r="T1977">
        <v>23</v>
      </c>
      <c r="U1977" s="2">
        <v>21503.85</v>
      </c>
      <c r="V1977">
        <v>0</v>
      </c>
      <c r="W1977" t="s">
        <v>29</v>
      </c>
      <c r="X1977" t="str">
        <f>IF(Table2[[#This Row],[Qty available]]&gt;Table2[[#This Row],[Qty on hand]],"Check","OK")</f>
        <v>OK</v>
      </c>
    </row>
    <row r="1978" spans="1:24" x14ac:dyDescent="0.3">
      <c r="A1978" t="s">
        <v>225</v>
      </c>
      <c r="B1978" t="s">
        <v>226</v>
      </c>
      <c r="C1978" t="s">
        <v>69</v>
      </c>
      <c r="D1978" t="s">
        <v>70</v>
      </c>
      <c r="E1978" t="s">
        <v>66</v>
      </c>
      <c r="F1978" s="1" t="s">
        <v>37</v>
      </c>
      <c r="G1978" s="2">
        <v>646.17999999999995</v>
      </c>
      <c r="H1978">
        <v>646.17999999999995</v>
      </c>
      <c r="I1978">
        <v>643.64178600000002</v>
      </c>
      <c r="J1978">
        <v>934.95</v>
      </c>
      <c r="K1978">
        <v>30</v>
      </c>
      <c r="L1978" s="2">
        <v>27</v>
      </c>
      <c r="M1978">
        <v>12</v>
      </c>
      <c r="N1978" s="2">
        <v>56</v>
      </c>
      <c r="O1978">
        <v>36043.94</v>
      </c>
      <c r="P1978">
        <v>2</v>
      </c>
      <c r="Q1978">
        <v>54</v>
      </c>
      <c r="R1978">
        <v>8.56</v>
      </c>
      <c r="S1978">
        <v>4</v>
      </c>
      <c r="T1978">
        <v>31</v>
      </c>
      <c r="U1978" s="2">
        <v>28983.45</v>
      </c>
      <c r="V1978">
        <v>0</v>
      </c>
      <c r="W1978" t="s">
        <v>29</v>
      </c>
      <c r="X1978" t="str">
        <f>IF(Table2[[#This Row],[Qty available]]&gt;Table2[[#This Row],[Qty on hand]],"Check","OK")</f>
        <v>OK</v>
      </c>
    </row>
    <row r="1979" spans="1:24" x14ac:dyDescent="0.3">
      <c r="A1979" t="s">
        <v>225</v>
      </c>
      <c r="B1979" t="s">
        <v>226</v>
      </c>
      <c r="C1979" t="s">
        <v>69</v>
      </c>
      <c r="D1979" t="s">
        <v>70</v>
      </c>
      <c r="E1979" t="s">
        <v>66</v>
      </c>
      <c r="F1979" s="1" t="s">
        <v>38</v>
      </c>
      <c r="G1979" s="2">
        <v>643.04</v>
      </c>
      <c r="H1979">
        <v>643.04</v>
      </c>
      <c r="I1979">
        <v>643.35208799999998</v>
      </c>
      <c r="J1979">
        <v>934.95</v>
      </c>
      <c r="K1979">
        <v>30</v>
      </c>
      <c r="L1979" s="2">
        <v>27</v>
      </c>
      <c r="M1979">
        <v>52</v>
      </c>
      <c r="N1979" s="2">
        <v>91</v>
      </c>
      <c r="O1979">
        <v>58545.04</v>
      </c>
      <c r="P1979">
        <v>6</v>
      </c>
      <c r="Q1979">
        <v>85</v>
      </c>
      <c r="R1979">
        <v>16.66</v>
      </c>
      <c r="S1979">
        <v>3</v>
      </c>
      <c r="T1979">
        <v>17</v>
      </c>
      <c r="U1979" s="2">
        <v>15894.15</v>
      </c>
      <c r="V1979">
        <v>0</v>
      </c>
      <c r="W1979" t="s">
        <v>29</v>
      </c>
      <c r="X1979" t="str">
        <f>IF(Table2[[#This Row],[Qty available]]&gt;Table2[[#This Row],[Qty on hand]],"Check","OK")</f>
        <v>OK</v>
      </c>
    </row>
    <row r="1980" spans="1:24" x14ac:dyDescent="0.3">
      <c r="A1980" t="s">
        <v>225</v>
      </c>
      <c r="B1980" t="s">
        <v>226</v>
      </c>
      <c r="C1980" t="s">
        <v>69</v>
      </c>
      <c r="D1980" t="s">
        <v>70</v>
      </c>
      <c r="E1980" t="s">
        <v>66</v>
      </c>
      <c r="F1980" s="1" t="s">
        <v>39</v>
      </c>
      <c r="G1980" s="2">
        <v>641.76</v>
      </c>
      <c r="H1980">
        <v>641.76</v>
      </c>
      <c r="I1980">
        <v>643.35205900000005</v>
      </c>
      <c r="J1980">
        <v>934.95</v>
      </c>
      <c r="K1980">
        <v>30</v>
      </c>
      <c r="M1980">
        <v>0</v>
      </c>
      <c r="N1980" s="2">
        <v>68</v>
      </c>
      <c r="O1980">
        <v>43747.94</v>
      </c>
      <c r="P1980">
        <v>2</v>
      </c>
      <c r="Q1980">
        <v>66</v>
      </c>
      <c r="R1980">
        <v>12.59</v>
      </c>
      <c r="S1980">
        <v>0</v>
      </c>
      <c r="T1980">
        <v>23</v>
      </c>
      <c r="U1980" s="2">
        <v>21503.85</v>
      </c>
      <c r="V1980">
        <v>0</v>
      </c>
      <c r="W1980" t="s">
        <v>29</v>
      </c>
      <c r="X1980" t="str">
        <f>IF(Table2[[#This Row],[Qty available]]&gt;Table2[[#This Row],[Qty on hand]],"Check","OK")</f>
        <v>OK</v>
      </c>
    </row>
    <row r="1981" spans="1:24" x14ac:dyDescent="0.3">
      <c r="A1981" t="s">
        <v>225</v>
      </c>
      <c r="B1981" t="s">
        <v>226</v>
      </c>
      <c r="C1981" t="s">
        <v>69</v>
      </c>
      <c r="D1981" t="s">
        <v>70</v>
      </c>
      <c r="E1981" t="s">
        <v>66</v>
      </c>
      <c r="F1981" s="1" t="s">
        <v>40</v>
      </c>
      <c r="G1981" s="2">
        <v>640.96</v>
      </c>
      <c r="H1981">
        <v>640.96</v>
      </c>
      <c r="I1981">
        <v>642.43868699999996</v>
      </c>
      <c r="J1981">
        <v>934.95</v>
      </c>
      <c r="K1981">
        <v>30</v>
      </c>
      <c r="L1981" s="2">
        <v>45</v>
      </c>
      <c r="M1981">
        <v>42</v>
      </c>
      <c r="N1981" s="2">
        <v>99</v>
      </c>
      <c r="O1981">
        <v>63601.43</v>
      </c>
      <c r="P1981">
        <v>3</v>
      </c>
      <c r="Q1981">
        <v>96</v>
      </c>
      <c r="R1981">
        <v>25.51</v>
      </c>
      <c r="S1981">
        <v>2</v>
      </c>
      <c r="T1981">
        <v>11</v>
      </c>
      <c r="U1981" s="2">
        <v>10284.450000000001</v>
      </c>
      <c r="V1981">
        <v>0</v>
      </c>
      <c r="W1981" t="s">
        <v>29</v>
      </c>
      <c r="X1981" t="str">
        <f>IF(Table2[[#This Row],[Qty available]]&gt;Table2[[#This Row],[Qty on hand]],"Check","OK")</f>
        <v>OK</v>
      </c>
    </row>
    <row r="1982" spans="1:24" x14ac:dyDescent="0.3">
      <c r="A1982" t="s">
        <v>225</v>
      </c>
      <c r="B1982" t="s">
        <v>226</v>
      </c>
      <c r="C1982" t="s">
        <v>69</v>
      </c>
      <c r="D1982" t="s">
        <v>70</v>
      </c>
      <c r="E1982" t="s">
        <v>66</v>
      </c>
      <c r="F1982" s="1" t="s">
        <v>41</v>
      </c>
      <c r="G1982" s="2">
        <v>640.07000000000005</v>
      </c>
      <c r="H1982">
        <v>640.07000000000005</v>
      </c>
      <c r="I1982">
        <v>642.12698799999998</v>
      </c>
      <c r="J1982">
        <v>934.95</v>
      </c>
      <c r="K1982">
        <v>30</v>
      </c>
      <c r="L1982" s="2">
        <v>27</v>
      </c>
      <c r="M1982">
        <v>15</v>
      </c>
      <c r="N1982" s="2">
        <v>83</v>
      </c>
      <c r="O1982">
        <v>53296.54</v>
      </c>
      <c r="P1982">
        <v>2</v>
      </c>
      <c r="Q1982">
        <v>81</v>
      </c>
      <c r="R1982">
        <v>16.78</v>
      </c>
      <c r="S1982">
        <v>3</v>
      </c>
      <c r="T1982">
        <v>31</v>
      </c>
      <c r="U1982" s="2">
        <v>28983.45</v>
      </c>
      <c r="V1982">
        <v>0</v>
      </c>
      <c r="W1982" t="s">
        <v>29</v>
      </c>
      <c r="X1982" t="str">
        <f>IF(Table2[[#This Row],[Qty available]]&gt;Table2[[#This Row],[Qty on hand]],"Check","OK")</f>
        <v>OK</v>
      </c>
    </row>
    <row r="1983" spans="1:24" x14ac:dyDescent="0.3">
      <c r="A1983" t="s">
        <v>225</v>
      </c>
      <c r="B1983" t="s">
        <v>226</v>
      </c>
      <c r="C1983" t="s">
        <v>69</v>
      </c>
      <c r="D1983" t="s">
        <v>70</v>
      </c>
      <c r="E1983" t="s">
        <v>66</v>
      </c>
      <c r="F1983" s="1" t="s">
        <v>42</v>
      </c>
      <c r="G1983" s="2">
        <v>639.94000000000005</v>
      </c>
      <c r="H1983">
        <v>639.94000000000005</v>
      </c>
      <c r="I1983">
        <v>642.12692300000003</v>
      </c>
      <c r="J1983">
        <v>934.95</v>
      </c>
      <c r="K1983">
        <v>30</v>
      </c>
      <c r="M1983">
        <v>0</v>
      </c>
      <c r="N1983" s="2">
        <v>39</v>
      </c>
      <c r="O1983">
        <v>25042.95</v>
      </c>
      <c r="P1983">
        <v>4</v>
      </c>
      <c r="Q1983">
        <v>35</v>
      </c>
      <c r="R1983">
        <v>5.96</v>
      </c>
      <c r="S1983">
        <v>2</v>
      </c>
      <c r="T1983">
        <v>44</v>
      </c>
      <c r="U1983" s="2">
        <v>41137.800000000003</v>
      </c>
      <c r="V1983">
        <v>0</v>
      </c>
      <c r="W1983" t="s">
        <v>29</v>
      </c>
      <c r="X1983" t="str">
        <f>IF(Table2[[#This Row],[Qty available]]&gt;Table2[[#This Row],[Qty on hand]],"Check","OK")</f>
        <v>OK</v>
      </c>
    </row>
    <row r="1984" spans="1:24" x14ac:dyDescent="0.3">
      <c r="A1984" t="s">
        <v>225</v>
      </c>
      <c r="B1984" t="s">
        <v>226</v>
      </c>
      <c r="C1984" t="s">
        <v>69</v>
      </c>
      <c r="D1984" t="s">
        <v>70</v>
      </c>
      <c r="E1984" t="s">
        <v>66</v>
      </c>
      <c r="F1984" s="1" t="s">
        <v>43</v>
      </c>
      <c r="G1984" s="2">
        <v>661</v>
      </c>
      <c r="H1984">
        <v>661</v>
      </c>
      <c r="I1984">
        <v>642.12750000000005</v>
      </c>
      <c r="J1984">
        <v>934.95</v>
      </c>
      <c r="K1984">
        <v>30</v>
      </c>
      <c r="M1984">
        <v>0</v>
      </c>
      <c r="N1984" s="2">
        <v>8</v>
      </c>
      <c r="O1984">
        <v>5137.0200000000004</v>
      </c>
      <c r="P1984">
        <v>6</v>
      </c>
      <c r="Q1984">
        <v>2</v>
      </c>
      <c r="R1984">
        <v>0.98</v>
      </c>
      <c r="S1984">
        <v>0</v>
      </c>
      <c r="T1984">
        <v>31</v>
      </c>
      <c r="U1984" s="2">
        <v>28983.45</v>
      </c>
      <c r="V1984">
        <v>0</v>
      </c>
      <c r="W1984" t="s">
        <v>29</v>
      </c>
      <c r="X1984" t="str">
        <f>IF(Table2[[#This Row],[Qty available]]&gt;Table2[[#This Row],[Qty on hand]],"Check","OK")</f>
        <v>OK</v>
      </c>
    </row>
    <row r="1985" spans="1:24" x14ac:dyDescent="0.3">
      <c r="A1985" t="s">
        <v>225</v>
      </c>
      <c r="B1985" t="s">
        <v>226</v>
      </c>
      <c r="C1985" t="s">
        <v>69</v>
      </c>
      <c r="D1985" t="s">
        <v>70</v>
      </c>
      <c r="E1985" t="s">
        <v>66</v>
      </c>
      <c r="F1985" s="1" t="s">
        <v>44</v>
      </c>
      <c r="G1985" s="2">
        <v>680.84</v>
      </c>
      <c r="H1985">
        <v>680.84</v>
      </c>
      <c r="I1985">
        <v>677.99865899999998</v>
      </c>
      <c r="J1985">
        <v>934.95</v>
      </c>
      <c r="K1985">
        <v>30</v>
      </c>
      <c r="L1985" s="2">
        <v>28</v>
      </c>
      <c r="M1985">
        <v>101</v>
      </c>
      <c r="N1985" s="2">
        <v>82</v>
      </c>
      <c r="O1985">
        <v>55595.89</v>
      </c>
      <c r="P1985">
        <v>7</v>
      </c>
      <c r="Q1985">
        <v>75</v>
      </c>
      <c r="R1985">
        <v>10.57</v>
      </c>
      <c r="S1985">
        <v>11</v>
      </c>
      <c r="T1985">
        <v>27</v>
      </c>
      <c r="U1985" s="2">
        <v>25243.65</v>
      </c>
      <c r="V1985">
        <v>0</v>
      </c>
      <c r="W1985" t="s">
        <v>29</v>
      </c>
      <c r="X1985" t="str">
        <f>IF(Table2[[#This Row],[Qty available]]&gt;Table2[[#This Row],[Qty on hand]],"Check","OK")</f>
        <v>OK</v>
      </c>
    </row>
    <row r="1986" spans="1:24" x14ac:dyDescent="0.3">
      <c r="A1986" t="s">
        <v>225</v>
      </c>
      <c r="B1986" t="s">
        <v>226</v>
      </c>
      <c r="C1986" t="s">
        <v>69</v>
      </c>
      <c r="D1986" t="s">
        <v>70</v>
      </c>
      <c r="E1986" t="s">
        <v>66</v>
      </c>
      <c r="F1986" s="1" t="s">
        <v>45</v>
      </c>
      <c r="G1986" s="2">
        <v>677.04</v>
      </c>
      <c r="H1986">
        <v>677.04</v>
      </c>
      <c r="I1986">
        <v>677.82613300000003</v>
      </c>
      <c r="J1986">
        <v>934.95</v>
      </c>
      <c r="K1986">
        <v>30</v>
      </c>
      <c r="L1986" s="2">
        <v>30</v>
      </c>
      <c r="M1986">
        <v>18</v>
      </c>
      <c r="N1986" s="2">
        <v>75</v>
      </c>
      <c r="O1986">
        <v>50836.959999999999</v>
      </c>
      <c r="P1986">
        <v>2</v>
      </c>
      <c r="Q1986">
        <v>73</v>
      </c>
      <c r="R1986">
        <v>11.88</v>
      </c>
      <c r="S1986">
        <v>1</v>
      </c>
      <c r="T1986">
        <v>25</v>
      </c>
      <c r="U1986" s="2">
        <v>23373.75</v>
      </c>
      <c r="V1986">
        <v>0</v>
      </c>
      <c r="W1986" t="s">
        <v>29</v>
      </c>
      <c r="X1986" t="str">
        <f>IF(Table2[[#This Row],[Qty available]]&gt;Table2[[#This Row],[Qty on hand]],"Check","OK")</f>
        <v>OK</v>
      </c>
    </row>
    <row r="1987" spans="1:24" x14ac:dyDescent="0.3">
      <c r="A1987" t="s">
        <v>225</v>
      </c>
      <c r="B1987" t="s">
        <v>226</v>
      </c>
      <c r="C1987" t="s">
        <v>69</v>
      </c>
      <c r="D1987" t="s">
        <v>70</v>
      </c>
      <c r="E1987" t="s">
        <v>66</v>
      </c>
      <c r="F1987" s="1" t="s">
        <v>46</v>
      </c>
      <c r="G1987" s="2">
        <v>670.53</v>
      </c>
      <c r="H1987">
        <v>670.53</v>
      </c>
      <c r="I1987">
        <v>676.29011600000001</v>
      </c>
      <c r="J1987">
        <v>979.06</v>
      </c>
      <c r="K1987">
        <v>30</v>
      </c>
      <c r="L1987" s="2">
        <v>26</v>
      </c>
      <c r="M1987">
        <v>20</v>
      </c>
      <c r="N1987" s="2">
        <v>86</v>
      </c>
      <c r="O1987">
        <v>58160.95</v>
      </c>
      <c r="P1987">
        <v>6</v>
      </c>
      <c r="Q1987">
        <v>80</v>
      </c>
      <c r="R1987">
        <v>18.13</v>
      </c>
      <c r="S1987">
        <v>7</v>
      </c>
      <c r="T1987">
        <v>9</v>
      </c>
      <c r="U1987" s="2">
        <v>8811.5400000000009</v>
      </c>
      <c r="V1987">
        <v>0</v>
      </c>
      <c r="W1987" t="s">
        <v>29</v>
      </c>
      <c r="X1987" t="str">
        <f>IF(Table2[[#This Row],[Qty available]]&gt;Table2[[#This Row],[Qty on hand]],"Check","OK")</f>
        <v>OK</v>
      </c>
    </row>
    <row r="1988" spans="1:24" x14ac:dyDescent="0.3">
      <c r="A1988" t="s">
        <v>225</v>
      </c>
      <c r="B1988" t="s">
        <v>226</v>
      </c>
      <c r="C1988" t="s">
        <v>69</v>
      </c>
      <c r="D1988" t="s">
        <v>70</v>
      </c>
      <c r="E1988" t="s">
        <v>66</v>
      </c>
      <c r="F1988" s="1" t="s">
        <v>47</v>
      </c>
      <c r="G1988" s="2">
        <v>669.34</v>
      </c>
      <c r="H1988">
        <v>669.34</v>
      </c>
      <c r="I1988">
        <v>674.32088899999997</v>
      </c>
      <c r="J1988">
        <v>979.06</v>
      </c>
      <c r="K1988">
        <v>30</v>
      </c>
      <c r="L1988" s="2">
        <v>27</v>
      </c>
      <c r="M1988">
        <v>34</v>
      </c>
      <c r="N1988" s="2">
        <v>90</v>
      </c>
      <c r="O1988">
        <v>60688.88</v>
      </c>
      <c r="P1988">
        <v>3</v>
      </c>
      <c r="Q1988">
        <v>87</v>
      </c>
      <c r="R1988">
        <v>18.079999999999998</v>
      </c>
      <c r="S1988">
        <v>20</v>
      </c>
      <c r="T1988">
        <v>30</v>
      </c>
      <c r="U1988" s="2">
        <v>29371.8</v>
      </c>
      <c r="V1988">
        <v>0</v>
      </c>
      <c r="W1988" t="s">
        <v>29</v>
      </c>
      <c r="X1988" t="str">
        <f>IF(Table2[[#This Row],[Qty available]]&gt;Table2[[#This Row],[Qty on hand]],"Check","OK")</f>
        <v>OK</v>
      </c>
    </row>
    <row r="1989" spans="1:24" x14ac:dyDescent="0.3">
      <c r="A1989" t="s">
        <v>225</v>
      </c>
      <c r="B1989" t="s">
        <v>226</v>
      </c>
      <c r="C1989" t="s">
        <v>69</v>
      </c>
      <c r="D1989" t="s">
        <v>70</v>
      </c>
      <c r="E1989" t="s">
        <v>66</v>
      </c>
      <c r="F1989" s="1" t="s">
        <v>48</v>
      </c>
      <c r="G1989" s="2">
        <v>662.34</v>
      </c>
      <c r="H1989">
        <v>662.34</v>
      </c>
      <c r="I1989">
        <v>672.60931500000004</v>
      </c>
      <c r="J1989">
        <v>979.06</v>
      </c>
      <c r="K1989">
        <v>30</v>
      </c>
      <c r="L1989" s="2">
        <v>28</v>
      </c>
      <c r="M1989">
        <v>15</v>
      </c>
      <c r="N1989" s="2">
        <v>73</v>
      </c>
      <c r="O1989">
        <v>49100.480000000003</v>
      </c>
      <c r="P1989">
        <v>3</v>
      </c>
      <c r="Q1989">
        <v>70</v>
      </c>
      <c r="R1989">
        <v>13.07</v>
      </c>
      <c r="S1989">
        <v>3</v>
      </c>
      <c r="T1989">
        <v>32</v>
      </c>
      <c r="U1989" s="2">
        <v>31329.919999999998</v>
      </c>
      <c r="V1989">
        <v>0</v>
      </c>
      <c r="W1989" t="s">
        <v>29</v>
      </c>
      <c r="X1989" t="str">
        <f>IF(Table2[[#This Row],[Qty available]]&gt;Table2[[#This Row],[Qty on hand]],"Check","OK")</f>
        <v>OK</v>
      </c>
    </row>
    <row r="1990" spans="1:24" x14ac:dyDescent="0.3">
      <c r="A1990" t="s">
        <v>225</v>
      </c>
      <c r="B1990" t="s">
        <v>226</v>
      </c>
      <c r="C1990" t="s">
        <v>69</v>
      </c>
      <c r="D1990" t="s">
        <v>70</v>
      </c>
      <c r="E1990" t="s">
        <v>66</v>
      </c>
      <c r="F1990" s="1" t="s">
        <v>49</v>
      </c>
      <c r="G1990" s="2">
        <v>678.59</v>
      </c>
      <c r="H1990">
        <v>678.59</v>
      </c>
      <c r="I1990">
        <v>674.13492299999996</v>
      </c>
      <c r="J1990">
        <v>979.06</v>
      </c>
      <c r="K1990">
        <v>30</v>
      </c>
      <c r="L1990" s="2">
        <v>26</v>
      </c>
      <c r="M1990">
        <v>25</v>
      </c>
      <c r="N1990" s="2">
        <v>65</v>
      </c>
      <c r="O1990">
        <v>43818.77</v>
      </c>
      <c r="P1990">
        <v>4</v>
      </c>
      <c r="Q1990">
        <v>61</v>
      </c>
      <c r="R1990">
        <v>8.99</v>
      </c>
      <c r="S1990">
        <v>3</v>
      </c>
      <c r="T1990">
        <v>33</v>
      </c>
      <c r="U1990" s="2">
        <v>32308.98</v>
      </c>
      <c r="V1990">
        <v>0</v>
      </c>
      <c r="W1990" t="s">
        <v>29</v>
      </c>
      <c r="X1990" t="str">
        <f>IF(Table2[[#This Row],[Qty available]]&gt;Table2[[#This Row],[Qty on hand]],"Check","OK")</f>
        <v>OK</v>
      </c>
    </row>
    <row r="1991" spans="1:24" x14ac:dyDescent="0.3">
      <c r="A1991" t="s">
        <v>225</v>
      </c>
      <c r="B1991" t="s">
        <v>226</v>
      </c>
      <c r="C1991" t="s">
        <v>69</v>
      </c>
      <c r="D1991" t="s">
        <v>70</v>
      </c>
      <c r="E1991" t="s">
        <v>66</v>
      </c>
      <c r="F1991" s="1" t="s">
        <v>50</v>
      </c>
      <c r="G1991" s="2">
        <v>668.46</v>
      </c>
      <c r="H1991">
        <v>668.46</v>
      </c>
      <c r="I1991">
        <v>672.55861500000003</v>
      </c>
      <c r="J1991">
        <v>979.06</v>
      </c>
      <c r="K1991">
        <v>30</v>
      </c>
      <c r="L1991" s="2">
        <v>28</v>
      </c>
      <c r="M1991">
        <v>25</v>
      </c>
      <c r="N1991" s="2">
        <v>65</v>
      </c>
      <c r="O1991">
        <v>43716.31</v>
      </c>
      <c r="P1991">
        <v>5</v>
      </c>
      <c r="Q1991">
        <v>60</v>
      </c>
      <c r="R1991">
        <v>9.39</v>
      </c>
      <c r="S1991">
        <v>0</v>
      </c>
      <c r="T1991">
        <v>25</v>
      </c>
      <c r="U1991" s="2">
        <v>24476.5</v>
      </c>
      <c r="V1991">
        <v>0</v>
      </c>
      <c r="W1991" t="s">
        <v>29</v>
      </c>
      <c r="X1991" t="str">
        <f>IF(Table2[[#This Row],[Qty available]]&gt;Table2[[#This Row],[Qty on hand]],"Check","OK")</f>
        <v>OK</v>
      </c>
    </row>
    <row r="1992" spans="1:24" x14ac:dyDescent="0.3">
      <c r="A1992" t="s">
        <v>225</v>
      </c>
      <c r="B1992" t="s">
        <v>226</v>
      </c>
      <c r="C1992" t="s">
        <v>69</v>
      </c>
      <c r="D1992" t="s">
        <v>70</v>
      </c>
      <c r="E1992" t="s">
        <v>66</v>
      </c>
      <c r="F1992" s="1" t="s">
        <v>51</v>
      </c>
      <c r="G1992" s="2">
        <v>672.71</v>
      </c>
      <c r="H1992">
        <v>672.71</v>
      </c>
      <c r="I1992">
        <v>672.55882399999996</v>
      </c>
      <c r="J1992">
        <v>979.06</v>
      </c>
      <c r="K1992">
        <v>30</v>
      </c>
      <c r="M1992">
        <v>0</v>
      </c>
      <c r="N1992" s="2">
        <v>17</v>
      </c>
      <c r="O1992">
        <v>11433.5</v>
      </c>
      <c r="P1992">
        <v>2</v>
      </c>
      <c r="Q1992">
        <v>15</v>
      </c>
      <c r="R1992">
        <v>2.11</v>
      </c>
      <c r="S1992">
        <v>0</v>
      </c>
      <c r="T1992">
        <v>48</v>
      </c>
      <c r="U1992" s="2">
        <v>46994.879999999997</v>
      </c>
      <c r="V1992">
        <v>0</v>
      </c>
      <c r="W1992" t="s">
        <v>29</v>
      </c>
      <c r="X1992" t="str">
        <f>IF(Table2[[#This Row],[Qty available]]&gt;Table2[[#This Row],[Qty on hand]],"Check","OK")</f>
        <v>OK</v>
      </c>
    </row>
    <row r="1993" spans="1:24" x14ac:dyDescent="0.3">
      <c r="A1993" t="s">
        <v>225</v>
      </c>
      <c r="B1993" t="s">
        <v>226</v>
      </c>
      <c r="C1993" t="s">
        <v>69</v>
      </c>
      <c r="D1993" t="s">
        <v>70</v>
      </c>
      <c r="E1993" t="s">
        <v>66</v>
      </c>
      <c r="F1993" s="1" t="s">
        <v>52</v>
      </c>
      <c r="G1993" s="2">
        <v>664.63</v>
      </c>
      <c r="H1993">
        <v>664.63</v>
      </c>
      <c r="I1993">
        <v>666.23472700000002</v>
      </c>
      <c r="J1993">
        <v>979.06</v>
      </c>
      <c r="K1993">
        <v>30</v>
      </c>
      <c r="L1993" s="2">
        <v>27</v>
      </c>
      <c r="M1993">
        <v>67</v>
      </c>
      <c r="N1993" s="2">
        <v>55</v>
      </c>
      <c r="O1993">
        <v>36642.910000000003</v>
      </c>
      <c r="P1993">
        <v>6</v>
      </c>
      <c r="Q1993">
        <v>49</v>
      </c>
      <c r="R1993">
        <v>7.09</v>
      </c>
      <c r="S1993">
        <v>2</v>
      </c>
      <c r="T1993">
        <v>29</v>
      </c>
      <c r="U1993" s="2">
        <v>28392.74</v>
      </c>
      <c r="V1993">
        <v>0</v>
      </c>
      <c r="W1993" t="s">
        <v>29</v>
      </c>
      <c r="X1993" t="str">
        <f>IF(Table2[[#This Row],[Qty available]]&gt;Table2[[#This Row],[Qty on hand]],"Check","OK")</f>
        <v>OK</v>
      </c>
    </row>
    <row r="1994" spans="1:24" x14ac:dyDescent="0.3">
      <c r="A1994" t="s">
        <v>227</v>
      </c>
      <c r="B1994" t="s">
        <v>228</v>
      </c>
      <c r="C1994" t="s">
        <v>25</v>
      </c>
      <c r="D1994" t="s">
        <v>26</v>
      </c>
      <c r="E1994" t="s">
        <v>27</v>
      </c>
      <c r="F1994" s="1" t="s">
        <v>28</v>
      </c>
      <c r="G1994" s="2">
        <v>22.56</v>
      </c>
      <c r="H1994">
        <v>22.56</v>
      </c>
      <c r="I1994">
        <v>22.758077</v>
      </c>
      <c r="J1994">
        <v>32.21</v>
      </c>
      <c r="K1994">
        <v>36</v>
      </c>
      <c r="M1994">
        <v>0</v>
      </c>
      <c r="N1994" s="2">
        <v>260</v>
      </c>
      <c r="O1994">
        <v>5917.1</v>
      </c>
      <c r="P1994">
        <v>11</v>
      </c>
      <c r="Q1994">
        <v>249</v>
      </c>
      <c r="R1994">
        <v>12.94</v>
      </c>
      <c r="S1994">
        <v>4</v>
      </c>
      <c r="T1994">
        <v>76</v>
      </c>
      <c r="U1994" s="2">
        <v>2447.96</v>
      </c>
      <c r="V1994">
        <v>0</v>
      </c>
      <c r="W1994" t="s">
        <v>29</v>
      </c>
      <c r="X1994" t="str">
        <f>IF(Table2[[#This Row],[Qty available]]&gt;Table2[[#This Row],[Qty on hand]],"Check","OK")</f>
        <v>OK</v>
      </c>
    </row>
    <row r="1995" spans="1:24" x14ac:dyDescent="0.3">
      <c r="A1995" t="s">
        <v>227</v>
      </c>
      <c r="B1995" t="s">
        <v>228</v>
      </c>
      <c r="C1995" t="s">
        <v>25</v>
      </c>
      <c r="D1995" t="s">
        <v>26</v>
      </c>
      <c r="E1995" t="s">
        <v>27</v>
      </c>
      <c r="F1995" s="1" t="s">
        <v>30</v>
      </c>
      <c r="G1995" s="2">
        <v>22.93</v>
      </c>
      <c r="H1995">
        <v>22.93</v>
      </c>
      <c r="I1995">
        <v>22.834285999999999</v>
      </c>
      <c r="J1995">
        <v>32.21</v>
      </c>
      <c r="K1995">
        <v>36</v>
      </c>
      <c r="L1995" s="2">
        <v>31</v>
      </c>
      <c r="M1995">
        <v>207</v>
      </c>
      <c r="N1995" s="2">
        <v>392</v>
      </c>
      <c r="O1995">
        <v>8951.0400000000009</v>
      </c>
      <c r="P1995">
        <v>32</v>
      </c>
      <c r="Q1995">
        <v>360</v>
      </c>
      <c r="R1995">
        <v>18.53</v>
      </c>
      <c r="S1995">
        <v>2</v>
      </c>
      <c r="T1995">
        <v>75</v>
      </c>
      <c r="U1995" s="2">
        <v>2415.75</v>
      </c>
      <c r="V1995">
        <v>0</v>
      </c>
      <c r="W1995" t="s">
        <v>29</v>
      </c>
      <c r="X1995" t="str">
        <f>IF(Table2[[#This Row],[Qty available]]&gt;Table2[[#This Row],[Qty on hand]],"Check","OK")</f>
        <v>OK</v>
      </c>
    </row>
    <row r="1996" spans="1:24" x14ac:dyDescent="0.3">
      <c r="A1996" t="s">
        <v>227</v>
      </c>
      <c r="B1996" t="s">
        <v>228</v>
      </c>
      <c r="C1996" t="s">
        <v>25</v>
      </c>
      <c r="D1996" t="s">
        <v>26</v>
      </c>
      <c r="E1996" t="s">
        <v>27</v>
      </c>
      <c r="F1996" s="1" t="s">
        <v>31</v>
      </c>
      <c r="G1996" s="2">
        <v>22.78</v>
      </c>
      <c r="H1996">
        <v>22.78</v>
      </c>
      <c r="I1996">
        <v>22.833601999999999</v>
      </c>
      <c r="J1996">
        <v>32.21</v>
      </c>
      <c r="K1996">
        <v>36</v>
      </c>
      <c r="L1996" s="2">
        <v>53</v>
      </c>
      <c r="M1996">
        <v>5</v>
      </c>
      <c r="N1996" s="2">
        <v>347</v>
      </c>
      <c r="O1996">
        <v>7923.26</v>
      </c>
      <c r="P1996">
        <v>25</v>
      </c>
      <c r="Q1996">
        <v>322</v>
      </c>
      <c r="R1996">
        <v>22.44</v>
      </c>
      <c r="S1996">
        <v>4</v>
      </c>
      <c r="T1996">
        <v>50</v>
      </c>
      <c r="U1996" s="2">
        <v>1610.5</v>
      </c>
      <c r="V1996">
        <v>0</v>
      </c>
      <c r="W1996" t="s">
        <v>29</v>
      </c>
      <c r="X1996" t="str">
        <f>IF(Table2[[#This Row],[Qty available]]&gt;Table2[[#This Row],[Qty on hand]],"Check","OK")</f>
        <v>OK</v>
      </c>
    </row>
    <row r="1997" spans="1:24" x14ac:dyDescent="0.3">
      <c r="A1997" t="s">
        <v>227</v>
      </c>
      <c r="B1997" t="s">
        <v>228</v>
      </c>
      <c r="C1997" t="s">
        <v>25</v>
      </c>
      <c r="D1997" t="s">
        <v>26</v>
      </c>
      <c r="E1997" t="s">
        <v>27</v>
      </c>
      <c r="F1997" s="1" t="s">
        <v>32</v>
      </c>
      <c r="G1997" s="2">
        <v>23.13</v>
      </c>
      <c r="H1997">
        <v>23.13</v>
      </c>
      <c r="I1997">
        <v>22.844298999999999</v>
      </c>
      <c r="J1997">
        <v>32.21</v>
      </c>
      <c r="K1997">
        <v>36</v>
      </c>
      <c r="L1997" s="2">
        <v>47</v>
      </c>
      <c r="M1997">
        <v>13</v>
      </c>
      <c r="N1997" s="2">
        <v>221</v>
      </c>
      <c r="O1997">
        <v>5048.59</v>
      </c>
      <c r="P1997">
        <v>25</v>
      </c>
      <c r="Q1997">
        <v>196</v>
      </c>
      <c r="R1997">
        <v>11</v>
      </c>
      <c r="S1997">
        <v>0</v>
      </c>
      <c r="T1997">
        <v>139</v>
      </c>
      <c r="U1997" s="2">
        <v>4477.1899999999996</v>
      </c>
      <c r="V1997">
        <v>0</v>
      </c>
      <c r="W1997" t="s">
        <v>29</v>
      </c>
      <c r="X1997" t="str">
        <f>IF(Table2[[#This Row],[Qty available]]&gt;Table2[[#This Row],[Qty on hand]],"Check","OK")</f>
        <v>OK</v>
      </c>
    </row>
    <row r="1998" spans="1:24" x14ac:dyDescent="0.3">
      <c r="A1998" t="s">
        <v>227</v>
      </c>
      <c r="B1998" t="s">
        <v>228</v>
      </c>
      <c r="C1998" t="s">
        <v>25</v>
      </c>
      <c r="D1998" t="s">
        <v>26</v>
      </c>
      <c r="E1998" t="s">
        <v>27</v>
      </c>
      <c r="F1998" s="1" t="s">
        <v>33</v>
      </c>
      <c r="G1998" s="2">
        <v>22.73</v>
      </c>
      <c r="H1998">
        <v>22.73</v>
      </c>
      <c r="I1998">
        <v>22.805389000000002</v>
      </c>
      <c r="J1998">
        <v>32.21</v>
      </c>
      <c r="K1998">
        <v>36</v>
      </c>
      <c r="L1998" s="2">
        <v>33</v>
      </c>
      <c r="M1998">
        <v>114</v>
      </c>
      <c r="N1998" s="2">
        <v>321</v>
      </c>
      <c r="O1998">
        <v>7320.53</v>
      </c>
      <c r="P1998">
        <v>25</v>
      </c>
      <c r="Q1998">
        <v>296</v>
      </c>
      <c r="R1998">
        <v>20.78</v>
      </c>
      <c r="S1998">
        <v>7</v>
      </c>
      <c r="T1998">
        <v>14</v>
      </c>
      <c r="U1998" s="2">
        <v>450.94</v>
      </c>
      <c r="V1998">
        <v>0</v>
      </c>
      <c r="W1998" t="s">
        <v>29</v>
      </c>
      <c r="X1998" t="str">
        <f>IF(Table2[[#This Row],[Qty available]]&gt;Table2[[#This Row],[Qty on hand]],"Check","OK")</f>
        <v>OK</v>
      </c>
    </row>
    <row r="1999" spans="1:24" x14ac:dyDescent="0.3">
      <c r="A1999" t="s">
        <v>227</v>
      </c>
      <c r="B1999" t="s">
        <v>228</v>
      </c>
      <c r="C1999" t="s">
        <v>25</v>
      </c>
      <c r="D1999" t="s">
        <v>26</v>
      </c>
      <c r="E1999" t="s">
        <v>27</v>
      </c>
      <c r="F1999" s="1" t="s">
        <v>34</v>
      </c>
      <c r="G1999" s="2">
        <v>23.04</v>
      </c>
      <c r="H1999">
        <v>23.04</v>
      </c>
      <c r="I1999">
        <v>22.837546</v>
      </c>
      <c r="J1999">
        <v>33.840000000000003</v>
      </c>
      <c r="K1999">
        <v>36</v>
      </c>
      <c r="L1999" s="2">
        <v>57</v>
      </c>
      <c r="M1999">
        <v>51</v>
      </c>
      <c r="N1999" s="2">
        <v>273</v>
      </c>
      <c r="O1999">
        <v>6234.65</v>
      </c>
      <c r="P1999">
        <v>7</v>
      </c>
      <c r="Q1999">
        <v>266</v>
      </c>
      <c r="R1999">
        <v>13.93</v>
      </c>
      <c r="S1999">
        <v>1</v>
      </c>
      <c r="T1999">
        <v>99</v>
      </c>
      <c r="U1999" s="2">
        <v>3350.16</v>
      </c>
      <c r="V1999">
        <v>0</v>
      </c>
      <c r="W1999" t="s">
        <v>29</v>
      </c>
      <c r="X1999" t="str">
        <f>IF(Table2[[#This Row],[Qty available]]&gt;Table2[[#This Row],[Qty on hand]],"Check","OK")</f>
        <v>OK</v>
      </c>
    </row>
    <row r="2000" spans="1:24" x14ac:dyDescent="0.3">
      <c r="A2000" t="s">
        <v>227</v>
      </c>
      <c r="B2000" t="s">
        <v>228</v>
      </c>
      <c r="C2000" t="s">
        <v>25</v>
      </c>
      <c r="D2000" t="s">
        <v>26</v>
      </c>
      <c r="E2000" t="s">
        <v>27</v>
      </c>
      <c r="F2000" s="1" t="s">
        <v>35</v>
      </c>
      <c r="G2000" s="2">
        <v>22.73</v>
      </c>
      <c r="H2000">
        <v>22.73</v>
      </c>
      <c r="I2000">
        <v>22.837516000000001</v>
      </c>
      <c r="J2000">
        <v>33.840000000000003</v>
      </c>
      <c r="K2000">
        <v>36</v>
      </c>
      <c r="M2000">
        <v>0</v>
      </c>
      <c r="N2000" s="2">
        <v>153</v>
      </c>
      <c r="O2000">
        <v>3494.14</v>
      </c>
      <c r="P2000">
        <v>21</v>
      </c>
      <c r="Q2000">
        <v>132</v>
      </c>
      <c r="R2000">
        <v>8.44</v>
      </c>
      <c r="S2000">
        <v>0</v>
      </c>
      <c r="T2000">
        <v>120</v>
      </c>
      <c r="U2000" s="2">
        <v>4060.8</v>
      </c>
      <c r="V2000">
        <v>0</v>
      </c>
      <c r="W2000" t="s">
        <v>29</v>
      </c>
      <c r="X2000" t="str">
        <f>IF(Table2[[#This Row],[Qty available]]&gt;Table2[[#This Row],[Qty on hand]],"Check","OK")</f>
        <v>OK</v>
      </c>
    </row>
    <row r="2001" spans="1:24" x14ac:dyDescent="0.3">
      <c r="A2001" t="s">
        <v>227</v>
      </c>
      <c r="B2001" t="s">
        <v>228</v>
      </c>
      <c r="C2001" t="s">
        <v>25</v>
      </c>
      <c r="D2001" t="s">
        <v>26</v>
      </c>
      <c r="E2001" t="s">
        <v>27</v>
      </c>
      <c r="F2001" s="1" t="s">
        <v>36</v>
      </c>
      <c r="G2001" s="2">
        <v>23.35</v>
      </c>
      <c r="H2001">
        <v>23.35</v>
      </c>
      <c r="I2001">
        <v>23.114550000000001</v>
      </c>
      <c r="J2001">
        <v>33.840000000000003</v>
      </c>
      <c r="K2001">
        <v>36</v>
      </c>
      <c r="L2001" s="2">
        <v>58</v>
      </c>
      <c r="M2001">
        <v>180</v>
      </c>
      <c r="N2001" s="2">
        <v>211</v>
      </c>
      <c r="O2001">
        <v>4877.17</v>
      </c>
      <c r="P2001">
        <v>35</v>
      </c>
      <c r="Q2001">
        <v>176</v>
      </c>
      <c r="R2001">
        <v>7.87</v>
      </c>
      <c r="S2001">
        <v>2</v>
      </c>
      <c r="T2001">
        <v>122</v>
      </c>
      <c r="U2001" s="2">
        <v>4128.4799999999996</v>
      </c>
      <c r="V2001">
        <v>0</v>
      </c>
      <c r="W2001" t="s">
        <v>29</v>
      </c>
      <c r="X2001" t="str">
        <f>IF(Table2[[#This Row],[Qty available]]&gt;Table2[[#This Row],[Qty on hand]],"Check","OK")</f>
        <v>OK</v>
      </c>
    </row>
    <row r="2002" spans="1:24" x14ac:dyDescent="0.3">
      <c r="A2002" t="s">
        <v>227</v>
      </c>
      <c r="B2002" t="s">
        <v>228</v>
      </c>
      <c r="C2002" t="s">
        <v>25</v>
      </c>
      <c r="D2002" t="s">
        <v>26</v>
      </c>
      <c r="E2002" t="s">
        <v>27</v>
      </c>
      <c r="F2002" s="1" t="s">
        <v>37</v>
      </c>
      <c r="G2002" s="2">
        <v>23.18</v>
      </c>
      <c r="H2002">
        <v>23.18</v>
      </c>
      <c r="I2002">
        <v>23.145555999999999</v>
      </c>
      <c r="J2002">
        <v>33.840000000000003</v>
      </c>
      <c r="K2002">
        <v>36</v>
      </c>
      <c r="L2002" s="2">
        <v>42</v>
      </c>
      <c r="M2002">
        <v>190</v>
      </c>
      <c r="N2002" s="2">
        <v>261</v>
      </c>
      <c r="O2002">
        <v>6040.99</v>
      </c>
      <c r="P2002">
        <v>32</v>
      </c>
      <c r="Q2002">
        <v>229</v>
      </c>
      <c r="R2002">
        <v>8.98</v>
      </c>
      <c r="S2002">
        <v>0</v>
      </c>
      <c r="T2002">
        <v>140</v>
      </c>
      <c r="U2002" s="2">
        <v>4737.6000000000004</v>
      </c>
      <c r="V2002">
        <v>0</v>
      </c>
      <c r="W2002" t="s">
        <v>29</v>
      </c>
      <c r="X2002" t="str">
        <f>IF(Table2[[#This Row],[Qty available]]&gt;Table2[[#This Row],[Qty on hand]],"Check","OK")</f>
        <v>OK</v>
      </c>
    </row>
    <row r="2003" spans="1:24" x14ac:dyDescent="0.3">
      <c r="A2003" t="s">
        <v>227</v>
      </c>
      <c r="B2003" t="s">
        <v>228</v>
      </c>
      <c r="C2003" t="s">
        <v>25</v>
      </c>
      <c r="D2003" t="s">
        <v>26</v>
      </c>
      <c r="E2003" t="s">
        <v>27</v>
      </c>
      <c r="F2003" s="1" t="s">
        <v>38</v>
      </c>
      <c r="G2003" s="2">
        <v>23.26</v>
      </c>
      <c r="H2003">
        <v>23.26</v>
      </c>
      <c r="I2003">
        <v>23.159096000000002</v>
      </c>
      <c r="J2003">
        <v>33.840000000000003</v>
      </c>
      <c r="K2003">
        <v>36</v>
      </c>
      <c r="L2003" s="2">
        <v>34</v>
      </c>
      <c r="M2003">
        <v>35</v>
      </c>
      <c r="N2003" s="2">
        <v>166</v>
      </c>
      <c r="O2003">
        <v>3844.41</v>
      </c>
      <c r="P2003">
        <v>18</v>
      </c>
      <c r="Q2003">
        <v>148</v>
      </c>
      <c r="R2003">
        <v>5.51</v>
      </c>
      <c r="S2003">
        <v>0</v>
      </c>
      <c r="T2003">
        <v>130</v>
      </c>
      <c r="U2003" s="2">
        <v>4399.2</v>
      </c>
      <c r="V2003">
        <v>0</v>
      </c>
      <c r="W2003" t="s">
        <v>29</v>
      </c>
      <c r="X2003" t="str">
        <f>IF(Table2[[#This Row],[Qty available]]&gt;Table2[[#This Row],[Qty on hand]],"Check","OK")</f>
        <v>OK</v>
      </c>
    </row>
    <row r="2004" spans="1:24" x14ac:dyDescent="0.3">
      <c r="A2004" t="s">
        <v>227</v>
      </c>
      <c r="B2004" t="s">
        <v>228</v>
      </c>
      <c r="C2004" t="s">
        <v>25</v>
      </c>
      <c r="D2004" t="s">
        <v>26</v>
      </c>
      <c r="E2004" t="s">
        <v>27</v>
      </c>
      <c r="F2004" s="1" t="s">
        <v>39</v>
      </c>
      <c r="G2004" s="2">
        <v>23.52</v>
      </c>
      <c r="H2004">
        <v>23.52</v>
      </c>
      <c r="I2004">
        <v>23.332798</v>
      </c>
      <c r="J2004">
        <v>33.840000000000003</v>
      </c>
      <c r="K2004">
        <v>36</v>
      </c>
      <c r="L2004" s="2">
        <v>49</v>
      </c>
      <c r="M2004">
        <v>154</v>
      </c>
      <c r="N2004" s="2">
        <v>218</v>
      </c>
      <c r="O2004">
        <v>5086.55</v>
      </c>
      <c r="P2004">
        <v>14</v>
      </c>
      <c r="Q2004">
        <v>204</v>
      </c>
      <c r="R2004">
        <v>7.7</v>
      </c>
      <c r="S2004">
        <v>5</v>
      </c>
      <c r="T2004">
        <v>102</v>
      </c>
      <c r="U2004" s="2">
        <v>3451.68</v>
      </c>
      <c r="V2004">
        <v>0</v>
      </c>
      <c r="W2004" t="s">
        <v>29</v>
      </c>
      <c r="X2004" t="str">
        <f>IF(Table2[[#This Row],[Qty available]]&gt;Table2[[#This Row],[Qty on hand]],"Check","OK")</f>
        <v>OK</v>
      </c>
    </row>
    <row r="2005" spans="1:24" x14ac:dyDescent="0.3">
      <c r="A2005" t="s">
        <v>227</v>
      </c>
      <c r="B2005" t="s">
        <v>228</v>
      </c>
      <c r="C2005" t="s">
        <v>25</v>
      </c>
      <c r="D2005" t="s">
        <v>26</v>
      </c>
      <c r="E2005" t="s">
        <v>27</v>
      </c>
      <c r="F2005" s="1" t="s">
        <v>40</v>
      </c>
      <c r="G2005" s="2">
        <v>23.13</v>
      </c>
      <c r="H2005">
        <v>23.13</v>
      </c>
      <c r="I2005">
        <v>23.223268000000001</v>
      </c>
      <c r="J2005">
        <v>33.840000000000003</v>
      </c>
      <c r="K2005">
        <v>36</v>
      </c>
      <c r="L2005" s="2">
        <v>31</v>
      </c>
      <c r="M2005">
        <v>256</v>
      </c>
      <c r="N2005" s="2">
        <v>358</v>
      </c>
      <c r="O2005">
        <v>8313.93</v>
      </c>
      <c r="P2005">
        <v>7</v>
      </c>
      <c r="Q2005">
        <v>351</v>
      </c>
      <c r="R2005">
        <v>13.52</v>
      </c>
      <c r="S2005">
        <v>1</v>
      </c>
      <c r="T2005">
        <v>116</v>
      </c>
      <c r="U2005" s="2">
        <v>3925.44</v>
      </c>
      <c r="V2005">
        <v>0</v>
      </c>
      <c r="W2005" t="s">
        <v>29</v>
      </c>
      <c r="X2005" t="str">
        <f>IF(Table2[[#This Row],[Qty available]]&gt;Table2[[#This Row],[Qty on hand]],"Check","OK")</f>
        <v>OK</v>
      </c>
    </row>
    <row r="2006" spans="1:24" x14ac:dyDescent="0.3">
      <c r="A2006" t="s">
        <v>227</v>
      </c>
      <c r="B2006" t="s">
        <v>228</v>
      </c>
      <c r="C2006" t="s">
        <v>25</v>
      </c>
      <c r="D2006" t="s">
        <v>26</v>
      </c>
      <c r="E2006" t="s">
        <v>27</v>
      </c>
      <c r="F2006" s="1" t="s">
        <v>41</v>
      </c>
      <c r="G2006" s="2">
        <v>24.02</v>
      </c>
      <c r="H2006">
        <v>24.02</v>
      </c>
      <c r="I2006">
        <v>23.223277</v>
      </c>
      <c r="J2006">
        <v>33.840000000000003</v>
      </c>
      <c r="K2006">
        <v>36</v>
      </c>
      <c r="M2006">
        <v>0</v>
      </c>
      <c r="N2006" s="2">
        <v>238</v>
      </c>
      <c r="O2006">
        <v>5527.14</v>
      </c>
      <c r="P2006">
        <v>28</v>
      </c>
      <c r="Q2006">
        <v>210</v>
      </c>
      <c r="R2006">
        <v>9.25</v>
      </c>
      <c r="S2006">
        <v>2</v>
      </c>
      <c r="T2006">
        <v>120</v>
      </c>
      <c r="U2006" s="2">
        <v>4060.8</v>
      </c>
      <c r="V2006">
        <v>0</v>
      </c>
      <c r="W2006" t="s">
        <v>29</v>
      </c>
      <c r="X2006" t="str">
        <f>IF(Table2[[#This Row],[Qty available]]&gt;Table2[[#This Row],[Qty on hand]],"Check","OK")</f>
        <v>OK</v>
      </c>
    </row>
    <row r="2007" spans="1:24" x14ac:dyDescent="0.3">
      <c r="A2007" t="s">
        <v>227</v>
      </c>
      <c r="B2007" t="s">
        <v>228</v>
      </c>
      <c r="C2007" t="s">
        <v>25</v>
      </c>
      <c r="D2007" t="s">
        <v>26</v>
      </c>
      <c r="E2007" t="s">
        <v>27</v>
      </c>
      <c r="F2007" s="1" t="s">
        <v>42</v>
      </c>
      <c r="G2007" s="2">
        <v>23.34</v>
      </c>
      <c r="H2007">
        <v>23.34</v>
      </c>
      <c r="I2007">
        <v>23.277864000000001</v>
      </c>
      <c r="J2007">
        <v>33.840000000000003</v>
      </c>
      <c r="K2007">
        <v>36</v>
      </c>
      <c r="L2007" s="2">
        <v>35</v>
      </c>
      <c r="M2007">
        <v>209</v>
      </c>
      <c r="N2007" s="2">
        <v>323</v>
      </c>
      <c r="O2007">
        <v>7518.75</v>
      </c>
      <c r="P2007">
        <v>35</v>
      </c>
      <c r="Q2007">
        <v>288</v>
      </c>
      <c r="R2007">
        <v>11.79</v>
      </c>
      <c r="S2007">
        <v>1</v>
      </c>
      <c r="T2007">
        <v>124</v>
      </c>
      <c r="U2007" s="2">
        <v>4196.16</v>
      </c>
      <c r="V2007">
        <v>0</v>
      </c>
      <c r="W2007" t="s">
        <v>29</v>
      </c>
      <c r="X2007" t="str">
        <f>IF(Table2[[#This Row],[Qty available]]&gt;Table2[[#This Row],[Qty on hand]],"Check","OK")</f>
        <v>OK</v>
      </c>
    </row>
    <row r="2008" spans="1:24" x14ac:dyDescent="0.3">
      <c r="A2008" t="s">
        <v>227</v>
      </c>
      <c r="B2008" t="s">
        <v>228</v>
      </c>
      <c r="C2008" t="s">
        <v>25</v>
      </c>
      <c r="D2008" t="s">
        <v>26</v>
      </c>
      <c r="E2008" t="s">
        <v>27</v>
      </c>
      <c r="F2008" s="1" t="s">
        <v>43</v>
      </c>
      <c r="G2008" s="2">
        <v>23.68</v>
      </c>
      <c r="H2008">
        <v>23.68</v>
      </c>
      <c r="I2008">
        <v>23.277857000000001</v>
      </c>
      <c r="J2008">
        <v>33.840000000000003</v>
      </c>
      <c r="K2008">
        <v>36</v>
      </c>
      <c r="M2008">
        <v>0</v>
      </c>
      <c r="N2008" s="2">
        <v>252</v>
      </c>
      <c r="O2008">
        <v>5866.02</v>
      </c>
      <c r="P2008">
        <v>14</v>
      </c>
      <c r="Q2008">
        <v>238</v>
      </c>
      <c r="R2008">
        <v>10.4</v>
      </c>
      <c r="S2008">
        <v>2</v>
      </c>
      <c r="T2008">
        <v>71</v>
      </c>
      <c r="U2008" s="2">
        <v>2402.64</v>
      </c>
      <c r="V2008">
        <v>0</v>
      </c>
      <c r="W2008" t="s">
        <v>29</v>
      </c>
      <c r="X2008" t="str">
        <f>IF(Table2[[#This Row],[Qty available]]&gt;Table2[[#This Row],[Qty on hand]],"Check","OK")</f>
        <v>OK</v>
      </c>
    </row>
    <row r="2009" spans="1:24" x14ac:dyDescent="0.3">
      <c r="A2009" t="s">
        <v>227</v>
      </c>
      <c r="B2009" t="s">
        <v>228</v>
      </c>
      <c r="C2009" t="s">
        <v>25</v>
      </c>
      <c r="D2009" t="s">
        <v>26</v>
      </c>
      <c r="E2009" t="s">
        <v>27</v>
      </c>
      <c r="F2009" s="1" t="s">
        <v>44</v>
      </c>
      <c r="G2009" s="2">
        <v>23.14</v>
      </c>
      <c r="H2009">
        <v>23.14</v>
      </c>
      <c r="I2009">
        <v>23.201159000000001</v>
      </c>
      <c r="J2009">
        <v>33.840000000000003</v>
      </c>
      <c r="K2009">
        <v>36</v>
      </c>
      <c r="L2009" s="2">
        <v>31</v>
      </c>
      <c r="M2009">
        <v>316</v>
      </c>
      <c r="N2009" s="2">
        <v>414</v>
      </c>
      <c r="O2009">
        <v>9605.2800000000007</v>
      </c>
      <c r="P2009">
        <v>25</v>
      </c>
      <c r="Q2009">
        <v>389</v>
      </c>
      <c r="R2009">
        <v>15.59</v>
      </c>
      <c r="S2009">
        <v>3</v>
      </c>
      <c r="T2009">
        <v>154</v>
      </c>
      <c r="U2009" s="2">
        <v>5211.3599999999997</v>
      </c>
      <c r="V2009">
        <v>0</v>
      </c>
      <c r="W2009" t="s">
        <v>29</v>
      </c>
      <c r="X2009" t="str">
        <f>IF(Table2[[#This Row],[Qty available]]&gt;Table2[[#This Row],[Qty on hand]],"Check","OK")</f>
        <v>OK</v>
      </c>
    </row>
    <row r="2010" spans="1:24" x14ac:dyDescent="0.3">
      <c r="A2010" t="s">
        <v>227</v>
      </c>
      <c r="B2010" t="s">
        <v>228</v>
      </c>
      <c r="C2010" t="s">
        <v>25</v>
      </c>
      <c r="D2010" t="s">
        <v>26</v>
      </c>
      <c r="E2010" t="s">
        <v>27</v>
      </c>
      <c r="F2010" s="1" t="s">
        <v>45</v>
      </c>
      <c r="G2010" s="2">
        <v>23.62</v>
      </c>
      <c r="H2010">
        <v>23.62</v>
      </c>
      <c r="I2010">
        <v>23.201165</v>
      </c>
      <c r="J2010">
        <v>33.840000000000003</v>
      </c>
      <c r="K2010">
        <v>36</v>
      </c>
      <c r="M2010">
        <v>0</v>
      </c>
      <c r="N2010" s="2">
        <v>266</v>
      </c>
      <c r="O2010">
        <v>6171.51</v>
      </c>
      <c r="P2010">
        <v>11</v>
      </c>
      <c r="Q2010">
        <v>255</v>
      </c>
      <c r="R2010">
        <v>9.3699999999999992</v>
      </c>
      <c r="S2010">
        <v>0</v>
      </c>
      <c r="T2010">
        <v>148</v>
      </c>
      <c r="U2010" s="2">
        <v>5008.32</v>
      </c>
      <c r="V2010">
        <v>0</v>
      </c>
      <c r="W2010" t="s">
        <v>29</v>
      </c>
      <c r="X2010" t="str">
        <f>IF(Table2[[#This Row],[Qty available]]&gt;Table2[[#This Row],[Qty on hand]],"Check","OK")</f>
        <v>OK</v>
      </c>
    </row>
    <row r="2011" spans="1:24" x14ac:dyDescent="0.3">
      <c r="A2011" t="s">
        <v>227</v>
      </c>
      <c r="B2011" t="s">
        <v>228</v>
      </c>
      <c r="C2011" t="s">
        <v>25</v>
      </c>
      <c r="D2011" t="s">
        <v>26</v>
      </c>
      <c r="E2011" t="s">
        <v>27</v>
      </c>
      <c r="F2011" s="1" t="s">
        <v>46</v>
      </c>
      <c r="G2011" s="2">
        <v>23.32</v>
      </c>
      <c r="H2011">
        <v>23.32</v>
      </c>
      <c r="I2011">
        <v>23.244926</v>
      </c>
      <c r="J2011">
        <v>35.549999999999997</v>
      </c>
      <c r="K2011">
        <v>36</v>
      </c>
      <c r="L2011" s="2">
        <v>34</v>
      </c>
      <c r="M2011">
        <v>155</v>
      </c>
      <c r="N2011" s="2">
        <v>337</v>
      </c>
      <c r="O2011">
        <v>7833.54</v>
      </c>
      <c r="P2011">
        <v>18</v>
      </c>
      <c r="Q2011">
        <v>319</v>
      </c>
      <c r="R2011">
        <v>11.23</v>
      </c>
      <c r="S2011">
        <v>1</v>
      </c>
      <c r="T2011">
        <v>84</v>
      </c>
      <c r="U2011" s="2">
        <v>2986.2</v>
      </c>
      <c r="V2011">
        <v>0</v>
      </c>
      <c r="W2011" t="s">
        <v>29</v>
      </c>
      <c r="X2011" t="str">
        <f>IF(Table2[[#This Row],[Qty available]]&gt;Table2[[#This Row],[Qty on hand]],"Check","OK")</f>
        <v>OK</v>
      </c>
    </row>
    <row r="2012" spans="1:24" x14ac:dyDescent="0.3">
      <c r="A2012" t="s">
        <v>227</v>
      </c>
      <c r="B2012" t="s">
        <v>228</v>
      </c>
      <c r="C2012" t="s">
        <v>25</v>
      </c>
      <c r="D2012" t="s">
        <v>26</v>
      </c>
      <c r="E2012" t="s">
        <v>27</v>
      </c>
      <c r="F2012" s="1" t="s">
        <v>47</v>
      </c>
      <c r="G2012" s="2">
        <v>23.89</v>
      </c>
      <c r="H2012">
        <v>23.89</v>
      </c>
      <c r="I2012">
        <v>23.407969000000001</v>
      </c>
      <c r="J2012">
        <v>35.549999999999997</v>
      </c>
      <c r="K2012">
        <v>36</v>
      </c>
      <c r="L2012" s="2">
        <v>55</v>
      </c>
      <c r="M2012">
        <v>114</v>
      </c>
      <c r="N2012" s="2">
        <v>320</v>
      </c>
      <c r="O2012">
        <v>7490.55</v>
      </c>
      <c r="P2012">
        <v>21</v>
      </c>
      <c r="Q2012">
        <v>299</v>
      </c>
      <c r="R2012">
        <v>11.33</v>
      </c>
      <c r="S2012">
        <v>0</v>
      </c>
      <c r="T2012">
        <v>131</v>
      </c>
      <c r="U2012" s="2">
        <v>4657.05</v>
      </c>
      <c r="V2012">
        <v>0</v>
      </c>
      <c r="W2012" t="s">
        <v>29</v>
      </c>
      <c r="X2012" t="str">
        <f>IF(Table2[[#This Row],[Qty available]]&gt;Table2[[#This Row],[Qty on hand]],"Check","OK")</f>
        <v>OK</v>
      </c>
    </row>
    <row r="2013" spans="1:24" x14ac:dyDescent="0.3">
      <c r="A2013" t="s">
        <v>227</v>
      </c>
      <c r="B2013" t="s">
        <v>228</v>
      </c>
      <c r="C2013" t="s">
        <v>25</v>
      </c>
      <c r="D2013" t="s">
        <v>26</v>
      </c>
      <c r="E2013" t="s">
        <v>27</v>
      </c>
      <c r="F2013" s="1" t="s">
        <v>48</v>
      </c>
      <c r="G2013" s="2">
        <v>24.25</v>
      </c>
      <c r="H2013">
        <v>24.25</v>
      </c>
      <c r="I2013">
        <v>23.407961</v>
      </c>
      <c r="J2013">
        <v>35.549999999999997</v>
      </c>
      <c r="K2013">
        <v>36</v>
      </c>
      <c r="M2013">
        <v>0</v>
      </c>
      <c r="N2013" s="2">
        <v>103</v>
      </c>
      <c r="O2013">
        <v>2411.02</v>
      </c>
      <c r="P2013">
        <v>28</v>
      </c>
      <c r="Q2013">
        <v>75</v>
      </c>
      <c r="R2013">
        <v>3.03</v>
      </c>
      <c r="S2013">
        <v>0</v>
      </c>
      <c r="T2013">
        <v>217</v>
      </c>
      <c r="U2013" s="2">
        <v>7714.35</v>
      </c>
      <c r="V2013">
        <v>0</v>
      </c>
      <c r="W2013" t="s">
        <v>29</v>
      </c>
      <c r="X2013" t="str">
        <f>IF(Table2[[#This Row],[Qty available]]&gt;Table2[[#This Row],[Qty on hand]],"Check","OK")</f>
        <v>OK</v>
      </c>
    </row>
    <row r="2014" spans="1:24" x14ac:dyDescent="0.3">
      <c r="A2014" t="s">
        <v>227</v>
      </c>
      <c r="B2014" t="s">
        <v>228</v>
      </c>
      <c r="C2014" t="s">
        <v>25</v>
      </c>
      <c r="D2014" t="s">
        <v>26</v>
      </c>
      <c r="E2014" t="s">
        <v>27</v>
      </c>
      <c r="F2014" s="1" t="s">
        <v>49</v>
      </c>
      <c r="G2014" s="2">
        <v>24.47</v>
      </c>
      <c r="H2014">
        <v>24.47</v>
      </c>
      <c r="I2014">
        <v>23.720745000000001</v>
      </c>
      <c r="J2014">
        <v>35.549999999999997</v>
      </c>
      <c r="K2014">
        <v>36</v>
      </c>
      <c r="L2014" s="2">
        <v>52</v>
      </c>
      <c r="M2014">
        <v>43</v>
      </c>
      <c r="N2014" s="2">
        <v>94</v>
      </c>
      <c r="O2014">
        <v>2229.75</v>
      </c>
      <c r="P2014">
        <v>25</v>
      </c>
      <c r="Q2014">
        <v>69</v>
      </c>
      <c r="R2014">
        <v>3.09</v>
      </c>
      <c r="S2014">
        <v>0</v>
      </c>
      <c r="T2014">
        <v>52</v>
      </c>
      <c r="U2014" s="2">
        <v>1848.6</v>
      </c>
      <c r="V2014">
        <v>0</v>
      </c>
      <c r="W2014" t="s">
        <v>29</v>
      </c>
      <c r="X2014" t="str">
        <f>IF(Table2[[#This Row],[Qty available]]&gt;Table2[[#This Row],[Qty on hand]],"Check","OK")</f>
        <v>OK</v>
      </c>
    </row>
    <row r="2015" spans="1:24" x14ac:dyDescent="0.3">
      <c r="A2015" t="s">
        <v>227</v>
      </c>
      <c r="B2015" t="s">
        <v>228</v>
      </c>
      <c r="C2015" t="s">
        <v>25</v>
      </c>
      <c r="D2015" t="s">
        <v>26</v>
      </c>
      <c r="E2015" t="s">
        <v>27</v>
      </c>
      <c r="F2015" s="1" t="s">
        <v>50</v>
      </c>
      <c r="G2015" s="2">
        <v>24.69</v>
      </c>
      <c r="H2015">
        <v>24.69</v>
      </c>
      <c r="I2015">
        <v>24.455195</v>
      </c>
      <c r="J2015">
        <v>35.549999999999997</v>
      </c>
      <c r="K2015">
        <v>36</v>
      </c>
      <c r="L2015" s="2">
        <v>35</v>
      </c>
      <c r="M2015">
        <v>294</v>
      </c>
      <c r="N2015" s="2">
        <v>308</v>
      </c>
      <c r="O2015">
        <v>7532.2</v>
      </c>
      <c r="P2015">
        <v>14</v>
      </c>
      <c r="Q2015">
        <v>294</v>
      </c>
      <c r="R2015">
        <v>11.47</v>
      </c>
      <c r="S2015">
        <v>0</v>
      </c>
      <c r="T2015">
        <v>80</v>
      </c>
      <c r="U2015" s="2">
        <v>2844</v>
      </c>
      <c r="V2015">
        <v>0</v>
      </c>
      <c r="W2015" t="s">
        <v>29</v>
      </c>
      <c r="X2015" t="str">
        <f>IF(Table2[[#This Row],[Qty available]]&gt;Table2[[#This Row],[Qty on hand]],"Check","OK")</f>
        <v>OK</v>
      </c>
    </row>
    <row r="2016" spans="1:24" x14ac:dyDescent="0.3">
      <c r="A2016" t="s">
        <v>227</v>
      </c>
      <c r="B2016" t="s">
        <v>228</v>
      </c>
      <c r="C2016" t="s">
        <v>25</v>
      </c>
      <c r="D2016" t="s">
        <v>26</v>
      </c>
      <c r="E2016" t="s">
        <v>27</v>
      </c>
      <c r="F2016" s="1" t="s">
        <v>51</v>
      </c>
      <c r="G2016" s="2">
        <v>24.12</v>
      </c>
      <c r="H2016">
        <v>24.12</v>
      </c>
      <c r="I2016">
        <v>24.455189000000001</v>
      </c>
      <c r="J2016">
        <v>35.549999999999997</v>
      </c>
      <c r="K2016">
        <v>36</v>
      </c>
      <c r="M2016">
        <v>0</v>
      </c>
      <c r="N2016" s="2">
        <v>212</v>
      </c>
      <c r="O2016">
        <v>5184.5</v>
      </c>
      <c r="P2016">
        <v>7</v>
      </c>
      <c r="Q2016">
        <v>205</v>
      </c>
      <c r="R2016">
        <v>12.22</v>
      </c>
      <c r="S2016">
        <v>0</v>
      </c>
      <c r="T2016">
        <v>96</v>
      </c>
      <c r="U2016" s="2">
        <v>3412.8</v>
      </c>
      <c r="V2016">
        <v>0</v>
      </c>
      <c r="W2016" t="s">
        <v>29</v>
      </c>
      <c r="X2016" t="str">
        <f>IF(Table2[[#This Row],[Qty available]]&gt;Table2[[#This Row],[Qty on hand]],"Check","OK")</f>
        <v>OK</v>
      </c>
    </row>
    <row r="2017" spans="1:24" x14ac:dyDescent="0.3">
      <c r="A2017" t="s">
        <v>227</v>
      </c>
      <c r="B2017" t="s">
        <v>228</v>
      </c>
      <c r="C2017" t="s">
        <v>25</v>
      </c>
      <c r="D2017" t="s">
        <v>26</v>
      </c>
      <c r="E2017" t="s">
        <v>27</v>
      </c>
      <c r="F2017" s="1" t="s">
        <v>52</v>
      </c>
      <c r="G2017" s="2">
        <v>23.88</v>
      </c>
      <c r="H2017">
        <v>23.88</v>
      </c>
      <c r="I2017">
        <v>24.183312999999998</v>
      </c>
      <c r="J2017">
        <v>35.549999999999997</v>
      </c>
      <c r="K2017">
        <v>36</v>
      </c>
      <c r="L2017" s="2">
        <v>32</v>
      </c>
      <c r="M2017">
        <v>190</v>
      </c>
      <c r="N2017" s="2">
        <v>163</v>
      </c>
      <c r="O2017">
        <v>3941.88</v>
      </c>
      <c r="P2017">
        <v>21</v>
      </c>
      <c r="Q2017">
        <v>142</v>
      </c>
      <c r="R2017">
        <v>5.16</v>
      </c>
      <c r="S2017">
        <v>5</v>
      </c>
      <c r="T2017">
        <v>239</v>
      </c>
      <c r="U2017" s="2">
        <v>8496.4500000000007</v>
      </c>
      <c r="V2017">
        <v>0</v>
      </c>
      <c r="W2017" t="s">
        <v>29</v>
      </c>
      <c r="X2017" t="str">
        <f>IF(Table2[[#This Row],[Qty available]]&gt;Table2[[#This Row],[Qty on hand]],"Check","OK")</f>
        <v>OK</v>
      </c>
    </row>
    <row r="2018" spans="1:24" x14ac:dyDescent="0.3">
      <c r="A2018" t="s">
        <v>229</v>
      </c>
      <c r="B2018" t="s">
        <v>230</v>
      </c>
      <c r="C2018" t="s">
        <v>25</v>
      </c>
      <c r="D2018" t="s">
        <v>26</v>
      </c>
      <c r="E2018" t="s">
        <v>27</v>
      </c>
      <c r="F2018" s="1" t="s">
        <v>28</v>
      </c>
      <c r="G2018" s="2">
        <v>4.4800000000000004</v>
      </c>
      <c r="H2018">
        <v>4.4800000000000004</v>
      </c>
      <c r="I2018">
        <v>4.3899999999999997</v>
      </c>
      <c r="J2018">
        <v>6.34</v>
      </c>
      <c r="K2018">
        <v>48</v>
      </c>
      <c r="M2018">
        <v>0</v>
      </c>
      <c r="N2018" s="2">
        <v>0</v>
      </c>
      <c r="O2018">
        <v>0</v>
      </c>
      <c r="P2018">
        <v>0</v>
      </c>
      <c r="Q2018">
        <v>0</v>
      </c>
      <c r="S2018">
        <v>230</v>
      </c>
      <c r="T2018">
        <v>0</v>
      </c>
      <c r="U2018" s="2">
        <v>0</v>
      </c>
      <c r="V2018">
        <v>0</v>
      </c>
      <c r="W2018" t="s">
        <v>29</v>
      </c>
      <c r="X2018" t="str">
        <f>IF(Table2[[#This Row],[Qty available]]&gt;Table2[[#This Row],[Qty on hand]],"Check","OK")</f>
        <v>OK</v>
      </c>
    </row>
    <row r="2019" spans="1:24" x14ac:dyDescent="0.3">
      <c r="A2019" t="s">
        <v>229</v>
      </c>
      <c r="B2019" t="s">
        <v>230</v>
      </c>
      <c r="C2019" t="s">
        <v>25</v>
      </c>
      <c r="D2019" t="s">
        <v>26</v>
      </c>
      <c r="E2019" t="s">
        <v>27</v>
      </c>
      <c r="F2019" s="1" t="s">
        <v>30</v>
      </c>
      <c r="G2019" s="2">
        <v>4.54</v>
      </c>
      <c r="H2019">
        <v>4.54</v>
      </c>
      <c r="I2019">
        <v>4.3899999999999997</v>
      </c>
      <c r="J2019">
        <v>6.34</v>
      </c>
      <c r="K2019">
        <v>48</v>
      </c>
      <c r="M2019">
        <v>0</v>
      </c>
      <c r="N2019" s="2">
        <v>0</v>
      </c>
      <c r="O2019">
        <v>0</v>
      </c>
      <c r="P2019">
        <v>0</v>
      </c>
      <c r="Q2019">
        <v>0</v>
      </c>
      <c r="S2019">
        <v>261</v>
      </c>
      <c r="T2019">
        <v>0</v>
      </c>
      <c r="U2019" s="2">
        <v>0</v>
      </c>
      <c r="V2019">
        <v>0</v>
      </c>
      <c r="W2019" t="s">
        <v>29</v>
      </c>
      <c r="X2019" t="str">
        <f>IF(Table2[[#This Row],[Qty available]]&gt;Table2[[#This Row],[Qty on hand]],"Check","OK")</f>
        <v>OK</v>
      </c>
    </row>
    <row r="2020" spans="1:24" x14ac:dyDescent="0.3">
      <c r="A2020" t="s">
        <v>229</v>
      </c>
      <c r="B2020" t="s">
        <v>230</v>
      </c>
      <c r="C2020" t="s">
        <v>25</v>
      </c>
      <c r="D2020" t="s">
        <v>26</v>
      </c>
      <c r="E2020" t="s">
        <v>27</v>
      </c>
      <c r="F2020" s="1" t="s">
        <v>31</v>
      </c>
      <c r="G2020" s="2">
        <v>4.49</v>
      </c>
      <c r="H2020">
        <v>4.49</v>
      </c>
      <c r="I2020">
        <v>4.3899999999999997</v>
      </c>
      <c r="J2020">
        <v>6.34</v>
      </c>
      <c r="K2020">
        <v>48</v>
      </c>
      <c r="M2020">
        <v>0</v>
      </c>
      <c r="N2020" s="2">
        <v>0</v>
      </c>
      <c r="O2020">
        <v>0</v>
      </c>
      <c r="P2020">
        <v>0</v>
      </c>
      <c r="Q2020">
        <v>0</v>
      </c>
      <c r="S2020">
        <v>291</v>
      </c>
      <c r="T2020">
        <v>0</v>
      </c>
      <c r="U2020" s="2">
        <v>0</v>
      </c>
      <c r="V2020">
        <v>0</v>
      </c>
      <c r="W2020" t="s">
        <v>29</v>
      </c>
      <c r="X2020" t="str">
        <f>IF(Table2[[#This Row],[Qty available]]&gt;Table2[[#This Row],[Qty on hand]],"Check","OK")</f>
        <v>OK</v>
      </c>
    </row>
    <row r="2021" spans="1:24" x14ac:dyDescent="0.3">
      <c r="A2021" t="s">
        <v>229</v>
      </c>
      <c r="B2021" t="s">
        <v>230</v>
      </c>
      <c r="C2021" t="s">
        <v>25</v>
      </c>
      <c r="D2021" t="s">
        <v>26</v>
      </c>
      <c r="E2021" t="s">
        <v>27</v>
      </c>
      <c r="F2021" s="1" t="s">
        <v>32</v>
      </c>
      <c r="G2021" s="2">
        <v>4.4400000000000004</v>
      </c>
      <c r="H2021">
        <v>4.4400000000000004</v>
      </c>
      <c r="I2021">
        <v>4.3899999999999997</v>
      </c>
      <c r="J2021">
        <v>6.34</v>
      </c>
      <c r="K2021">
        <v>48</v>
      </c>
      <c r="M2021">
        <v>0</v>
      </c>
      <c r="N2021" s="2">
        <v>0</v>
      </c>
      <c r="O2021">
        <v>0</v>
      </c>
      <c r="P2021">
        <v>0</v>
      </c>
      <c r="Q2021">
        <v>0</v>
      </c>
      <c r="S2021">
        <v>322</v>
      </c>
      <c r="T2021">
        <v>0</v>
      </c>
      <c r="U2021" s="2">
        <v>0</v>
      </c>
      <c r="V2021">
        <v>0</v>
      </c>
      <c r="W2021" t="s">
        <v>29</v>
      </c>
      <c r="X2021" t="str">
        <f>IF(Table2[[#This Row],[Qty available]]&gt;Table2[[#This Row],[Qty on hand]],"Check","OK")</f>
        <v>OK</v>
      </c>
    </row>
    <row r="2022" spans="1:24" x14ac:dyDescent="0.3">
      <c r="A2022" t="s">
        <v>229</v>
      </c>
      <c r="B2022" t="s">
        <v>230</v>
      </c>
      <c r="C2022" t="s">
        <v>25</v>
      </c>
      <c r="D2022" t="s">
        <v>26</v>
      </c>
      <c r="E2022" t="s">
        <v>27</v>
      </c>
      <c r="F2022" s="1" t="s">
        <v>33</v>
      </c>
      <c r="G2022" s="2">
        <v>4.49</v>
      </c>
      <c r="H2022">
        <v>4.49</v>
      </c>
      <c r="I2022">
        <v>4.3899999999999997</v>
      </c>
      <c r="J2022">
        <v>6.34</v>
      </c>
      <c r="K2022">
        <v>48</v>
      </c>
      <c r="M2022">
        <v>0</v>
      </c>
      <c r="N2022" s="2">
        <v>0</v>
      </c>
      <c r="O2022">
        <v>0</v>
      </c>
      <c r="P2022">
        <v>0</v>
      </c>
      <c r="Q2022">
        <v>0</v>
      </c>
      <c r="S2022">
        <v>353</v>
      </c>
      <c r="T2022">
        <v>0</v>
      </c>
      <c r="U2022" s="2">
        <v>0</v>
      </c>
      <c r="V2022">
        <v>0</v>
      </c>
      <c r="W2022" t="s">
        <v>29</v>
      </c>
      <c r="X2022" t="str">
        <f>IF(Table2[[#This Row],[Qty available]]&gt;Table2[[#This Row],[Qty on hand]],"Check","OK")</f>
        <v>OK</v>
      </c>
    </row>
    <row r="2023" spans="1:24" x14ac:dyDescent="0.3">
      <c r="A2023" t="s">
        <v>229</v>
      </c>
      <c r="B2023" t="s">
        <v>230</v>
      </c>
      <c r="C2023" t="s">
        <v>25</v>
      </c>
      <c r="D2023" t="s">
        <v>26</v>
      </c>
      <c r="E2023" t="s">
        <v>27</v>
      </c>
      <c r="F2023" s="1" t="s">
        <v>34</v>
      </c>
      <c r="G2023" s="2">
        <v>4.4800000000000004</v>
      </c>
      <c r="H2023">
        <v>4.4800000000000004</v>
      </c>
      <c r="I2023">
        <v>4.3899999999999997</v>
      </c>
      <c r="J2023">
        <v>6.61</v>
      </c>
      <c r="K2023">
        <v>48</v>
      </c>
      <c r="M2023">
        <v>0</v>
      </c>
      <c r="N2023" s="2">
        <v>0</v>
      </c>
      <c r="O2023">
        <v>0</v>
      </c>
      <c r="P2023">
        <v>0</v>
      </c>
      <c r="Q2023">
        <v>0</v>
      </c>
      <c r="S2023">
        <v>381</v>
      </c>
      <c r="T2023">
        <v>0</v>
      </c>
      <c r="U2023" s="2">
        <v>0</v>
      </c>
      <c r="V2023">
        <v>0</v>
      </c>
      <c r="W2023" t="s">
        <v>29</v>
      </c>
      <c r="X2023" t="str">
        <f>IF(Table2[[#This Row],[Qty available]]&gt;Table2[[#This Row],[Qty on hand]],"Check","OK")</f>
        <v>OK</v>
      </c>
    </row>
    <row r="2024" spans="1:24" x14ac:dyDescent="0.3">
      <c r="A2024" t="s">
        <v>229</v>
      </c>
      <c r="B2024" t="s">
        <v>230</v>
      </c>
      <c r="C2024" t="s">
        <v>25</v>
      </c>
      <c r="D2024" t="s">
        <v>26</v>
      </c>
      <c r="E2024" t="s">
        <v>27</v>
      </c>
      <c r="F2024" s="1" t="s">
        <v>35</v>
      </c>
      <c r="G2024" s="2">
        <v>4.51</v>
      </c>
      <c r="H2024">
        <v>4.51</v>
      </c>
      <c r="I2024">
        <v>4.3899999999999997</v>
      </c>
      <c r="J2024">
        <v>6.61</v>
      </c>
      <c r="K2024">
        <v>48</v>
      </c>
      <c r="M2024">
        <v>0</v>
      </c>
      <c r="N2024" s="2">
        <v>0</v>
      </c>
      <c r="O2024">
        <v>0</v>
      </c>
      <c r="P2024">
        <v>0</v>
      </c>
      <c r="Q2024">
        <v>0</v>
      </c>
      <c r="S2024">
        <v>412</v>
      </c>
      <c r="T2024">
        <v>0</v>
      </c>
      <c r="U2024" s="2">
        <v>0</v>
      </c>
      <c r="V2024">
        <v>0</v>
      </c>
      <c r="W2024" t="s">
        <v>29</v>
      </c>
      <c r="X2024" t="str">
        <f>IF(Table2[[#This Row],[Qty available]]&gt;Table2[[#This Row],[Qty on hand]],"Check","OK")</f>
        <v>OK</v>
      </c>
    </row>
    <row r="2025" spans="1:24" x14ac:dyDescent="0.3">
      <c r="A2025" t="s">
        <v>229</v>
      </c>
      <c r="B2025" t="s">
        <v>230</v>
      </c>
      <c r="C2025" t="s">
        <v>25</v>
      </c>
      <c r="D2025" t="s">
        <v>26</v>
      </c>
      <c r="E2025" t="s">
        <v>27</v>
      </c>
      <c r="F2025" s="1" t="s">
        <v>36</v>
      </c>
      <c r="G2025" s="2">
        <v>4.67</v>
      </c>
      <c r="H2025">
        <v>4.67</v>
      </c>
      <c r="I2025">
        <v>4.3899999999999997</v>
      </c>
      <c r="J2025">
        <v>6.61</v>
      </c>
      <c r="K2025">
        <v>48</v>
      </c>
      <c r="M2025">
        <v>0</v>
      </c>
      <c r="N2025" s="2">
        <v>0</v>
      </c>
      <c r="O2025">
        <v>0</v>
      </c>
      <c r="P2025">
        <v>0</v>
      </c>
      <c r="Q2025">
        <v>0</v>
      </c>
      <c r="S2025">
        <v>442</v>
      </c>
      <c r="T2025">
        <v>0</v>
      </c>
      <c r="U2025" s="2">
        <v>0</v>
      </c>
      <c r="V2025">
        <v>0</v>
      </c>
      <c r="W2025" t="s">
        <v>29</v>
      </c>
      <c r="X2025" t="str">
        <f>IF(Table2[[#This Row],[Qty available]]&gt;Table2[[#This Row],[Qty on hand]],"Check","OK")</f>
        <v>OK</v>
      </c>
    </row>
    <row r="2026" spans="1:24" x14ac:dyDescent="0.3">
      <c r="A2026" t="s">
        <v>229</v>
      </c>
      <c r="B2026" t="s">
        <v>230</v>
      </c>
      <c r="C2026" t="s">
        <v>25</v>
      </c>
      <c r="D2026" t="s">
        <v>26</v>
      </c>
      <c r="E2026" t="s">
        <v>27</v>
      </c>
      <c r="F2026" s="1" t="s">
        <v>37</v>
      </c>
      <c r="G2026" s="2">
        <v>4.74</v>
      </c>
      <c r="H2026">
        <v>4.74</v>
      </c>
      <c r="I2026">
        <v>4.3899999999999997</v>
      </c>
      <c r="J2026">
        <v>6.61</v>
      </c>
      <c r="K2026">
        <v>48</v>
      </c>
      <c r="M2026">
        <v>0</v>
      </c>
      <c r="N2026" s="2">
        <v>0</v>
      </c>
      <c r="O2026">
        <v>0</v>
      </c>
      <c r="P2026">
        <v>0</v>
      </c>
      <c r="Q2026">
        <v>0</v>
      </c>
      <c r="S2026">
        <v>473</v>
      </c>
      <c r="T2026">
        <v>0</v>
      </c>
      <c r="U2026" s="2">
        <v>0</v>
      </c>
      <c r="V2026">
        <v>0</v>
      </c>
      <c r="W2026" t="s">
        <v>29</v>
      </c>
      <c r="X2026" t="str">
        <f>IF(Table2[[#This Row],[Qty available]]&gt;Table2[[#This Row],[Qty on hand]],"Check","OK")</f>
        <v>OK</v>
      </c>
    </row>
    <row r="2027" spans="1:24" x14ac:dyDescent="0.3">
      <c r="A2027" t="s">
        <v>229</v>
      </c>
      <c r="B2027" t="s">
        <v>230</v>
      </c>
      <c r="C2027" t="s">
        <v>25</v>
      </c>
      <c r="D2027" t="s">
        <v>26</v>
      </c>
      <c r="E2027" t="s">
        <v>27</v>
      </c>
      <c r="F2027" s="1" t="s">
        <v>38</v>
      </c>
      <c r="G2027" s="2">
        <v>4.62</v>
      </c>
      <c r="H2027">
        <v>4.62</v>
      </c>
      <c r="I2027">
        <v>4.3899999999999997</v>
      </c>
      <c r="J2027">
        <v>6.61</v>
      </c>
      <c r="K2027">
        <v>48</v>
      </c>
      <c r="M2027">
        <v>0</v>
      </c>
      <c r="N2027" s="2">
        <v>0</v>
      </c>
      <c r="O2027">
        <v>0</v>
      </c>
      <c r="P2027">
        <v>0</v>
      </c>
      <c r="Q2027">
        <v>0</v>
      </c>
      <c r="S2027">
        <v>503</v>
      </c>
      <c r="T2027">
        <v>0</v>
      </c>
      <c r="U2027" s="2">
        <v>0</v>
      </c>
      <c r="V2027">
        <v>0</v>
      </c>
      <c r="W2027" t="s">
        <v>29</v>
      </c>
      <c r="X2027" t="str">
        <f>IF(Table2[[#This Row],[Qty available]]&gt;Table2[[#This Row],[Qty on hand]],"Check","OK")</f>
        <v>OK</v>
      </c>
    </row>
    <row r="2028" spans="1:24" x14ac:dyDescent="0.3">
      <c r="A2028" t="s">
        <v>229</v>
      </c>
      <c r="B2028" t="s">
        <v>230</v>
      </c>
      <c r="C2028" t="s">
        <v>25</v>
      </c>
      <c r="D2028" t="s">
        <v>26</v>
      </c>
      <c r="E2028" t="s">
        <v>27</v>
      </c>
      <c r="F2028" s="1" t="s">
        <v>39</v>
      </c>
      <c r="G2028" s="2">
        <v>4.58</v>
      </c>
      <c r="H2028">
        <v>4.58</v>
      </c>
      <c r="I2028">
        <v>4.3899999999999997</v>
      </c>
      <c r="J2028">
        <v>6.61</v>
      </c>
      <c r="K2028">
        <v>48</v>
      </c>
      <c r="M2028">
        <v>0</v>
      </c>
      <c r="N2028" s="2">
        <v>0</v>
      </c>
      <c r="O2028">
        <v>0</v>
      </c>
      <c r="P2028">
        <v>0</v>
      </c>
      <c r="Q2028">
        <v>0</v>
      </c>
      <c r="S2028">
        <v>534</v>
      </c>
      <c r="T2028">
        <v>0</v>
      </c>
      <c r="U2028" s="2">
        <v>0</v>
      </c>
      <c r="V2028">
        <v>0</v>
      </c>
      <c r="W2028" t="s">
        <v>29</v>
      </c>
      <c r="X2028" t="str">
        <f>IF(Table2[[#This Row],[Qty available]]&gt;Table2[[#This Row],[Qty on hand]],"Check","OK")</f>
        <v>OK</v>
      </c>
    </row>
    <row r="2029" spans="1:24" x14ac:dyDescent="0.3">
      <c r="A2029" t="s">
        <v>229</v>
      </c>
      <c r="B2029" t="s">
        <v>230</v>
      </c>
      <c r="C2029" t="s">
        <v>25</v>
      </c>
      <c r="D2029" t="s">
        <v>26</v>
      </c>
      <c r="E2029" t="s">
        <v>27</v>
      </c>
      <c r="F2029" s="1" t="s">
        <v>40</v>
      </c>
      <c r="G2029" s="2">
        <v>4.72</v>
      </c>
      <c r="H2029">
        <v>4.72</v>
      </c>
      <c r="I2029">
        <v>4.3899999999999997</v>
      </c>
      <c r="J2029">
        <v>6.61</v>
      </c>
      <c r="K2029">
        <v>48</v>
      </c>
      <c r="M2029">
        <v>0</v>
      </c>
      <c r="N2029" s="2">
        <v>0</v>
      </c>
      <c r="O2029">
        <v>0</v>
      </c>
      <c r="P2029">
        <v>0</v>
      </c>
      <c r="Q2029">
        <v>0</v>
      </c>
      <c r="S2029">
        <v>565</v>
      </c>
      <c r="T2029">
        <v>0</v>
      </c>
      <c r="U2029" s="2">
        <v>0</v>
      </c>
      <c r="V2029">
        <v>0</v>
      </c>
      <c r="W2029" t="s">
        <v>29</v>
      </c>
      <c r="X2029" t="str">
        <f>IF(Table2[[#This Row],[Qty available]]&gt;Table2[[#This Row],[Qty on hand]],"Check","OK")</f>
        <v>OK</v>
      </c>
    </row>
    <row r="2030" spans="1:24" x14ac:dyDescent="0.3">
      <c r="A2030" t="s">
        <v>229</v>
      </c>
      <c r="B2030" t="s">
        <v>230</v>
      </c>
      <c r="C2030" t="s">
        <v>25</v>
      </c>
      <c r="D2030" t="s">
        <v>26</v>
      </c>
      <c r="E2030" t="s">
        <v>27</v>
      </c>
      <c r="F2030" s="1" t="s">
        <v>41</v>
      </c>
      <c r="G2030" s="2">
        <v>4.6399999999999997</v>
      </c>
      <c r="H2030">
        <v>4.6399999999999997</v>
      </c>
      <c r="I2030">
        <v>4.3899999999999997</v>
      </c>
      <c r="J2030">
        <v>6.61</v>
      </c>
      <c r="K2030">
        <v>48</v>
      </c>
      <c r="M2030">
        <v>0</v>
      </c>
      <c r="N2030" s="2">
        <v>0</v>
      </c>
      <c r="O2030">
        <v>0</v>
      </c>
      <c r="P2030">
        <v>0</v>
      </c>
      <c r="Q2030">
        <v>0</v>
      </c>
      <c r="S2030">
        <v>595</v>
      </c>
      <c r="T2030">
        <v>0</v>
      </c>
      <c r="U2030" s="2">
        <v>0</v>
      </c>
      <c r="V2030">
        <v>0</v>
      </c>
      <c r="W2030" t="s">
        <v>29</v>
      </c>
      <c r="X2030" t="str">
        <f>IF(Table2[[#This Row],[Qty available]]&gt;Table2[[#This Row],[Qty on hand]],"Check","OK")</f>
        <v>OK</v>
      </c>
    </row>
    <row r="2031" spans="1:24" x14ac:dyDescent="0.3">
      <c r="A2031" t="s">
        <v>229</v>
      </c>
      <c r="B2031" t="s">
        <v>230</v>
      </c>
      <c r="C2031" t="s">
        <v>25</v>
      </c>
      <c r="D2031" t="s">
        <v>26</v>
      </c>
      <c r="E2031" t="s">
        <v>27</v>
      </c>
      <c r="F2031" s="1" t="s">
        <v>42</v>
      </c>
      <c r="G2031" s="2">
        <v>4.62</v>
      </c>
      <c r="H2031">
        <v>4.62</v>
      </c>
      <c r="I2031">
        <v>4.62</v>
      </c>
      <c r="J2031">
        <v>6.61</v>
      </c>
      <c r="K2031">
        <v>48</v>
      </c>
      <c r="L2031" s="2">
        <v>43</v>
      </c>
      <c r="M2031">
        <v>834</v>
      </c>
      <c r="N2031" s="2">
        <v>510</v>
      </c>
      <c r="O2031">
        <v>2356.1999999999998</v>
      </c>
      <c r="P2031">
        <v>33</v>
      </c>
      <c r="Q2031">
        <v>477</v>
      </c>
      <c r="R2031">
        <v>20.69</v>
      </c>
      <c r="S2031">
        <v>1</v>
      </c>
      <c r="T2031">
        <v>324</v>
      </c>
      <c r="U2031" s="2">
        <v>2141.64</v>
      </c>
      <c r="V2031">
        <v>0</v>
      </c>
      <c r="W2031" t="s">
        <v>29</v>
      </c>
      <c r="X2031" t="str">
        <f>IF(Table2[[#This Row],[Qty available]]&gt;Table2[[#This Row],[Qty on hand]],"Check","OK")</f>
        <v>OK</v>
      </c>
    </row>
    <row r="2032" spans="1:24" x14ac:dyDescent="0.3">
      <c r="A2032" t="s">
        <v>229</v>
      </c>
      <c r="B2032" t="s">
        <v>230</v>
      </c>
      <c r="C2032" t="s">
        <v>25</v>
      </c>
      <c r="D2032" t="s">
        <v>26</v>
      </c>
      <c r="E2032" t="s">
        <v>27</v>
      </c>
      <c r="F2032" s="1" t="s">
        <v>43</v>
      </c>
      <c r="G2032" s="2">
        <v>4.72</v>
      </c>
      <c r="H2032">
        <v>4.72</v>
      </c>
      <c r="I2032">
        <v>4.6752950000000002</v>
      </c>
      <c r="J2032">
        <v>6.61</v>
      </c>
      <c r="K2032">
        <v>48</v>
      </c>
      <c r="L2032" s="2">
        <v>42</v>
      </c>
      <c r="M2032">
        <v>631</v>
      </c>
      <c r="N2032" s="2">
        <v>644</v>
      </c>
      <c r="O2032">
        <v>3010.89</v>
      </c>
      <c r="P2032">
        <v>78</v>
      </c>
      <c r="Q2032">
        <v>566</v>
      </c>
      <c r="R2032">
        <v>10.199999999999999</v>
      </c>
      <c r="S2032">
        <v>0</v>
      </c>
      <c r="T2032">
        <v>497</v>
      </c>
      <c r="U2032" s="2">
        <v>3285.17</v>
      </c>
      <c r="V2032">
        <v>0</v>
      </c>
      <c r="W2032" t="s">
        <v>29</v>
      </c>
      <c r="X2032" t="str">
        <f>IF(Table2[[#This Row],[Qty available]]&gt;Table2[[#This Row],[Qty on hand]],"Check","OK")</f>
        <v>OK</v>
      </c>
    </row>
    <row r="2033" spans="1:24" x14ac:dyDescent="0.3">
      <c r="A2033" t="s">
        <v>229</v>
      </c>
      <c r="B2033" t="s">
        <v>230</v>
      </c>
      <c r="C2033" t="s">
        <v>25</v>
      </c>
      <c r="D2033" t="s">
        <v>26</v>
      </c>
      <c r="E2033" t="s">
        <v>27</v>
      </c>
      <c r="F2033" s="1" t="s">
        <v>44</v>
      </c>
      <c r="G2033" s="2">
        <v>4.7300000000000004</v>
      </c>
      <c r="H2033">
        <v>4.7300000000000004</v>
      </c>
      <c r="I2033">
        <v>4.7022219999999999</v>
      </c>
      <c r="J2033">
        <v>6.61</v>
      </c>
      <c r="K2033">
        <v>48</v>
      </c>
      <c r="L2033" s="2">
        <v>53</v>
      </c>
      <c r="M2033">
        <v>624</v>
      </c>
      <c r="N2033" s="2">
        <v>333</v>
      </c>
      <c r="O2033">
        <v>1565.84</v>
      </c>
      <c r="P2033">
        <v>166</v>
      </c>
      <c r="Q2033">
        <v>167</v>
      </c>
      <c r="R2033">
        <v>2.4900000000000002</v>
      </c>
      <c r="S2033">
        <v>2</v>
      </c>
      <c r="T2033">
        <v>935</v>
      </c>
      <c r="U2033" s="2">
        <v>6180.35</v>
      </c>
      <c r="V2033">
        <v>0</v>
      </c>
      <c r="W2033" t="s">
        <v>29</v>
      </c>
      <c r="X2033" t="str">
        <f>IF(Table2[[#This Row],[Qty available]]&gt;Table2[[#This Row],[Qty on hand]],"Check","OK")</f>
        <v>OK</v>
      </c>
    </row>
    <row r="2034" spans="1:24" x14ac:dyDescent="0.3">
      <c r="A2034" t="s">
        <v>229</v>
      </c>
      <c r="B2034" t="s">
        <v>230</v>
      </c>
      <c r="C2034" t="s">
        <v>25</v>
      </c>
      <c r="D2034" t="s">
        <v>26</v>
      </c>
      <c r="E2034" t="s">
        <v>27</v>
      </c>
      <c r="F2034" s="1" t="s">
        <v>45</v>
      </c>
      <c r="G2034" s="2">
        <v>4.62</v>
      </c>
      <c r="H2034">
        <v>4.62</v>
      </c>
      <c r="I2034">
        <v>4.6377649999999999</v>
      </c>
      <c r="J2034">
        <v>6.61</v>
      </c>
      <c r="K2034">
        <v>48</v>
      </c>
      <c r="L2034" s="2">
        <v>46</v>
      </c>
      <c r="M2034">
        <v>1208</v>
      </c>
      <c r="N2034" s="2">
        <v>886</v>
      </c>
      <c r="O2034">
        <v>4109.0600000000004</v>
      </c>
      <c r="P2034">
        <v>33</v>
      </c>
      <c r="Q2034">
        <v>853</v>
      </c>
      <c r="R2034">
        <v>5.58</v>
      </c>
      <c r="S2034">
        <v>0</v>
      </c>
      <c r="T2034">
        <v>655</v>
      </c>
      <c r="U2034" s="2">
        <v>4329.55</v>
      </c>
      <c r="V2034">
        <v>0</v>
      </c>
      <c r="W2034" t="s">
        <v>29</v>
      </c>
      <c r="X2034" t="str">
        <f>IF(Table2[[#This Row],[Qty available]]&gt;Table2[[#This Row],[Qty on hand]],"Check","OK")</f>
        <v>OK</v>
      </c>
    </row>
    <row r="2035" spans="1:24" x14ac:dyDescent="0.3">
      <c r="A2035" t="s">
        <v>229</v>
      </c>
      <c r="B2035" t="s">
        <v>230</v>
      </c>
      <c r="C2035" t="s">
        <v>25</v>
      </c>
      <c r="D2035" t="s">
        <v>26</v>
      </c>
      <c r="E2035" t="s">
        <v>27</v>
      </c>
      <c r="F2035" s="1" t="s">
        <v>46</v>
      </c>
      <c r="G2035" s="2">
        <v>4.71</v>
      </c>
      <c r="H2035">
        <v>4.71</v>
      </c>
      <c r="I2035">
        <v>4.6694950000000004</v>
      </c>
      <c r="J2035">
        <v>6.89</v>
      </c>
      <c r="K2035">
        <v>48</v>
      </c>
      <c r="L2035" s="2">
        <v>46</v>
      </c>
      <c r="M2035">
        <v>694</v>
      </c>
      <c r="N2035" s="2">
        <v>1148</v>
      </c>
      <c r="O2035">
        <v>5360.58</v>
      </c>
      <c r="P2035">
        <v>50</v>
      </c>
      <c r="Q2035">
        <v>1098</v>
      </c>
      <c r="R2035">
        <v>7.3</v>
      </c>
      <c r="S2035">
        <v>0</v>
      </c>
      <c r="T2035">
        <v>432</v>
      </c>
      <c r="U2035" s="2">
        <v>2976.48</v>
      </c>
      <c r="V2035">
        <v>0</v>
      </c>
      <c r="W2035" t="s">
        <v>29</v>
      </c>
      <c r="X2035" t="str">
        <f>IF(Table2[[#This Row],[Qty available]]&gt;Table2[[#This Row],[Qty on hand]],"Check","OK")</f>
        <v>OK</v>
      </c>
    </row>
    <row r="2036" spans="1:24" x14ac:dyDescent="0.3">
      <c r="A2036" t="s">
        <v>229</v>
      </c>
      <c r="B2036" t="s">
        <v>230</v>
      </c>
      <c r="C2036" t="s">
        <v>25</v>
      </c>
      <c r="D2036" t="s">
        <v>26</v>
      </c>
      <c r="E2036" t="s">
        <v>27</v>
      </c>
      <c r="F2036" s="1" t="s">
        <v>47</v>
      </c>
      <c r="G2036" s="2">
        <v>4.57</v>
      </c>
      <c r="H2036">
        <v>4.57</v>
      </c>
      <c r="I2036">
        <v>4.6645519999999996</v>
      </c>
      <c r="J2036">
        <v>6.89</v>
      </c>
      <c r="K2036">
        <v>48</v>
      </c>
      <c r="L2036" s="2">
        <v>47</v>
      </c>
      <c r="M2036">
        <v>60</v>
      </c>
      <c r="N2036" s="2">
        <v>848</v>
      </c>
      <c r="O2036">
        <v>3955.54</v>
      </c>
      <c r="P2036">
        <v>166</v>
      </c>
      <c r="Q2036">
        <v>682</v>
      </c>
      <c r="R2036">
        <v>7.53</v>
      </c>
      <c r="S2036">
        <v>3</v>
      </c>
      <c r="T2036">
        <v>360</v>
      </c>
      <c r="U2036" s="2">
        <v>2480.4</v>
      </c>
      <c r="V2036">
        <v>0</v>
      </c>
      <c r="W2036" t="s">
        <v>29</v>
      </c>
      <c r="X2036" t="str">
        <f>IF(Table2[[#This Row],[Qty available]]&gt;Table2[[#This Row],[Qty on hand]],"Check","OK")</f>
        <v>OK</v>
      </c>
    </row>
    <row r="2037" spans="1:24" x14ac:dyDescent="0.3">
      <c r="A2037" t="s">
        <v>229</v>
      </c>
      <c r="B2037" t="s">
        <v>230</v>
      </c>
      <c r="C2037" t="s">
        <v>25</v>
      </c>
      <c r="D2037" t="s">
        <v>26</v>
      </c>
      <c r="E2037" t="s">
        <v>27</v>
      </c>
      <c r="F2037" s="1" t="s">
        <v>48</v>
      </c>
      <c r="G2037" s="2">
        <v>4.8899999999999997</v>
      </c>
      <c r="H2037">
        <v>4.8899999999999997</v>
      </c>
      <c r="I2037">
        <v>4.7957749999999999</v>
      </c>
      <c r="J2037">
        <v>6.89</v>
      </c>
      <c r="K2037">
        <v>48</v>
      </c>
      <c r="L2037" s="2">
        <v>41</v>
      </c>
      <c r="M2037">
        <v>1181</v>
      </c>
      <c r="N2037" s="2">
        <v>1619</v>
      </c>
      <c r="O2037">
        <v>7764.36</v>
      </c>
      <c r="P2037">
        <v>100</v>
      </c>
      <c r="Q2037">
        <v>1519</v>
      </c>
      <c r="R2037">
        <v>17.13</v>
      </c>
      <c r="S2037">
        <v>0</v>
      </c>
      <c r="T2037">
        <v>410</v>
      </c>
      <c r="U2037" s="2">
        <v>2824.9</v>
      </c>
      <c r="V2037">
        <v>0</v>
      </c>
      <c r="W2037" t="s">
        <v>29</v>
      </c>
      <c r="X2037" t="str">
        <f>IF(Table2[[#This Row],[Qty available]]&gt;Table2[[#This Row],[Qty on hand]],"Check","OK")</f>
        <v>OK</v>
      </c>
    </row>
    <row r="2038" spans="1:24" x14ac:dyDescent="0.3">
      <c r="A2038" t="s">
        <v>229</v>
      </c>
      <c r="B2038" t="s">
        <v>230</v>
      </c>
      <c r="C2038" t="s">
        <v>25</v>
      </c>
      <c r="D2038" t="s">
        <v>26</v>
      </c>
      <c r="E2038" t="s">
        <v>27</v>
      </c>
      <c r="F2038" s="1" t="s">
        <v>49</v>
      </c>
      <c r="G2038" s="2">
        <v>4.7699999999999996</v>
      </c>
      <c r="H2038">
        <v>4.7699999999999996</v>
      </c>
      <c r="I2038">
        <v>4.7880580000000004</v>
      </c>
      <c r="J2038">
        <v>6.89</v>
      </c>
      <c r="K2038">
        <v>48</v>
      </c>
      <c r="L2038" s="2">
        <v>45</v>
      </c>
      <c r="M2038">
        <v>692</v>
      </c>
      <c r="N2038" s="2">
        <v>1725</v>
      </c>
      <c r="O2038">
        <v>8259.4</v>
      </c>
      <c r="P2038">
        <v>117</v>
      </c>
      <c r="Q2038">
        <v>1608</v>
      </c>
      <c r="R2038">
        <v>16.72</v>
      </c>
      <c r="S2038">
        <v>0</v>
      </c>
      <c r="T2038">
        <v>586</v>
      </c>
      <c r="U2038" s="2">
        <v>4037.54</v>
      </c>
      <c r="V2038">
        <v>0</v>
      </c>
      <c r="W2038" t="s">
        <v>29</v>
      </c>
      <c r="X2038" t="str">
        <f>IF(Table2[[#This Row],[Qty available]]&gt;Table2[[#This Row],[Qty on hand]],"Check","OK")</f>
        <v>OK</v>
      </c>
    </row>
    <row r="2039" spans="1:24" x14ac:dyDescent="0.3">
      <c r="A2039" t="s">
        <v>229</v>
      </c>
      <c r="B2039" t="s">
        <v>230</v>
      </c>
      <c r="C2039" t="s">
        <v>25</v>
      </c>
      <c r="D2039" t="s">
        <v>26</v>
      </c>
      <c r="E2039" t="s">
        <v>27</v>
      </c>
      <c r="F2039" s="1" t="s">
        <v>50</v>
      </c>
      <c r="G2039" s="2">
        <v>4.8899999999999997</v>
      </c>
      <c r="H2039">
        <v>4.8899999999999997</v>
      </c>
      <c r="I2039">
        <v>4.7880529999999997</v>
      </c>
      <c r="J2039">
        <v>6.89</v>
      </c>
      <c r="K2039">
        <v>48</v>
      </c>
      <c r="M2039">
        <v>0</v>
      </c>
      <c r="N2039" s="2">
        <v>976</v>
      </c>
      <c r="O2039">
        <v>4673.1400000000003</v>
      </c>
      <c r="P2039">
        <v>50</v>
      </c>
      <c r="Q2039">
        <v>926</v>
      </c>
      <c r="R2039">
        <v>7.27</v>
      </c>
      <c r="S2039">
        <v>2</v>
      </c>
      <c r="T2039">
        <v>749</v>
      </c>
      <c r="U2039" s="2">
        <v>5160.6099999999997</v>
      </c>
      <c r="V2039">
        <v>0</v>
      </c>
      <c r="W2039" t="s">
        <v>29</v>
      </c>
      <c r="X2039" t="str">
        <f>IF(Table2[[#This Row],[Qty available]]&gt;Table2[[#This Row],[Qty on hand]],"Check","OK")</f>
        <v>OK</v>
      </c>
    </row>
    <row r="2040" spans="1:24" x14ac:dyDescent="0.3">
      <c r="A2040" t="s">
        <v>229</v>
      </c>
      <c r="B2040" t="s">
        <v>230</v>
      </c>
      <c r="C2040" t="s">
        <v>25</v>
      </c>
      <c r="D2040" t="s">
        <v>26</v>
      </c>
      <c r="E2040" t="s">
        <v>27</v>
      </c>
      <c r="F2040" s="1" t="s">
        <v>51</v>
      </c>
      <c r="G2040" s="2">
        <v>4.7699999999999996</v>
      </c>
      <c r="H2040">
        <v>4.7699999999999996</v>
      </c>
      <c r="I2040">
        <v>4.7800849999999997</v>
      </c>
      <c r="J2040">
        <v>6.89</v>
      </c>
      <c r="K2040">
        <v>48</v>
      </c>
      <c r="L2040" s="2">
        <v>47</v>
      </c>
      <c r="M2040">
        <v>771</v>
      </c>
      <c r="N2040" s="2">
        <v>1291</v>
      </c>
      <c r="O2040">
        <v>6171.09</v>
      </c>
      <c r="P2040">
        <v>117</v>
      </c>
      <c r="Q2040">
        <v>1174</v>
      </c>
      <c r="R2040">
        <v>9.4700000000000006</v>
      </c>
      <c r="S2040">
        <v>1</v>
      </c>
      <c r="T2040">
        <v>456</v>
      </c>
      <c r="U2040" s="2">
        <v>3141.84</v>
      </c>
      <c r="V2040">
        <v>0</v>
      </c>
      <c r="W2040" t="s">
        <v>29</v>
      </c>
      <c r="X2040" t="str">
        <f>IF(Table2[[#This Row],[Qty available]]&gt;Table2[[#This Row],[Qty on hand]],"Check","OK")</f>
        <v>OK</v>
      </c>
    </row>
    <row r="2041" spans="1:24" x14ac:dyDescent="0.3">
      <c r="A2041" t="s">
        <v>229</v>
      </c>
      <c r="B2041" t="s">
        <v>230</v>
      </c>
      <c r="C2041" t="s">
        <v>25</v>
      </c>
      <c r="D2041" t="s">
        <v>26</v>
      </c>
      <c r="E2041" t="s">
        <v>27</v>
      </c>
      <c r="F2041" s="1" t="s">
        <v>52</v>
      </c>
      <c r="G2041" s="2">
        <v>4.7699999999999996</v>
      </c>
      <c r="H2041">
        <v>4.7699999999999996</v>
      </c>
      <c r="I2041">
        <v>4.7800840000000004</v>
      </c>
      <c r="J2041">
        <v>6.89</v>
      </c>
      <c r="K2041">
        <v>48</v>
      </c>
      <c r="M2041">
        <v>0</v>
      </c>
      <c r="N2041" s="2">
        <v>713</v>
      </c>
      <c r="O2041">
        <v>3408.2</v>
      </c>
      <c r="P2041">
        <v>83</v>
      </c>
      <c r="Q2041">
        <v>630</v>
      </c>
      <c r="R2041">
        <v>5.26</v>
      </c>
      <c r="S2041">
        <v>0</v>
      </c>
      <c r="T2041">
        <v>578</v>
      </c>
      <c r="U2041" s="2">
        <v>3982.42</v>
      </c>
      <c r="V2041">
        <v>0</v>
      </c>
      <c r="W2041" t="s">
        <v>29</v>
      </c>
      <c r="X2041" t="str">
        <f>IF(Table2[[#This Row],[Qty available]]&gt;Table2[[#This Row],[Qty on hand]],"Check","OK")</f>
        <v>OK</v>
      </c>
    </row>
    <row r="2042" spans="1:24" x14ac:dyDescent="0.3">
      <c r="A2042" t="s">
        <v>231</v>
      </c>
      <c r="B2042" t="s">
        <v>232</v>
      </c>
      <c r="C2042" t="s">
        <v>25</v>
      </c>
      <c r="D2042" t="s">
        <v>26</v>
      </c>
      <c r="E2042" t="s">
        <v>27</v>
      </c>
      <c r="F2042" s="1" t="s">
        <v>28</v>
      </c>
      <c r="G2042" s="2">
        <v>455.6</v>
      </c>
      <c r="H2042">
        <v>486.24</v>
      </c>
      <c r="I2042">
        <v>489.54790300000002</v>
      </c>
      <c r="J2042">
        <v>658.3</v>
      </c>
      <c r="K2042">
        <v>50</v>
      </c>
      <c r="L2042" s="2">
        <v>48</v>
      </c>
      <c r="M2042">
        <v>50</v>
      </c>
      <c r="N2042" s="2">
        <v>124</v>
      </c>
      <c r="O2042">
        <v>60703.94</v>
      </c>
      <c r="P2042">
        <v>2</v>
      </c>
      <c r="Q2042">
        <v>122</v>
      </c>
      <c r="R2042">
        <v>22.32</v>
      </c>
      <c r="S2042">
        <v>2</v>
      </c>
      <c r="T2042">
        <v>22</v>
      </c>
      <c r="U2042" s="2">
        <v>14482.6</v>
      </c>
      <c r="V2042">
        <v>0</v>
      </c>
      <c r="W2042" t="s">
        <v>29</v>
      </c>
      <c r="X2042" t="str">
        <f>IF(Table2[[#This Row],[Qty available]]&gt;Table2[[#This Row],[Qty on hand]],"Check","OK")</f>
        <v>OK</v>
      </c>
    </row>
    <row r="2043" spans="1:24" x14ac:dyDescent="0.3">
      <c r="A2043" t="s">
        <v>231</v>
      </c>
      <c r="B2043" t="s">
        <v>232</v>
      </c>
      <c r="C2043" t="s">
        <v>25</v>
      </c>
      <c r="D2043" t="s">
        <v>26</v>
      </c>
      <c r="E2043" t="s">
        <v>27</v>
      </c>
      <c r="F2043" s="1" t="s">
        <v>30</v>
      </c>
      <c r="G2043" s="2">
        <v>460.73</v>
      </c>
      <c r="H2043">
        <v>491.72</v>
      </c>
      <c r="I2043">
        <v>489.54792800000001</v>
      </c>
      <c r="J2043">
        <v>658.3</v>
      </c>
      <c r="K2043">
        <v>50</v>
      </c>
      <c r="M2043">
        <v>0</v>
      </c>
      <c r="N2043" s="2">
        <v>111</v>
      </c>
      <c r="O2043">
        <v>54339.82</v>
      </c>
      <c r="P2043">
        <v>4</v>
      </c>
      <c r="Q2043">
        <v>107</v>
      </c>
      <c r="R2043">
        <v>22.1</v>
      </c>
      <c r="S2043">
        <v>4</v>
      </c>
      <c r="T2043">
        <v>13</v>
      </c>
      <c r="U2043" s="2">
        <v>8557.9</v>
      </c>
      <c r="V2043">
        <v>0</v>
      </c>
      <c r="W2043" t="s">
        <v>29</v>
      </c>
      <c r="X2043" t="str">
        <f>IF(Table2[[#This Row],[Qty available]]&gt;Table2[[#This Row],[Qty on hand]],"Check","OK")</f>
        <v>OK</v>
      </c>
    </row>
    <row r="2044" spans="1:24" x14ac:dyDescent="0.3">
      <c r="A2044" t="s">
        <v>231</v>
      </c>
      <c r="B2044" t="s">
        <v>232</v>
      </c>
      <c r="C2044" t="s">
        <v>25</v>
      </c>
      <c r="D2044" t="s">
        <v>26</v>
      </c>
      <c r="E2044" t="s">
        <v>27</v>
      </c>
      <c r="F2044" s="1" t="s">
        <v>31</v>
      </c>
      <c r="G2044" s="2">
        <v>455.34</v>
      </c>
      <c r="H2044">
        <v>485.96</v>
      </c>
      <c r="I2044">
        <v>488.449118</v>
      </c>
      <c r="J2044">
        <v>658.3</v>
      </c>
      <c r="K2044">
        <v>50</v>
      </c>
      <c r="L2044" s="2">
        <v>43</v>
      </c>
      <c r="M2044">
        <v>49</v>
      </c>
      <c r="N2044" s="2">
        <v>136</v>
      </c>
      <c r="O2044">
        <v>66429.08</v>
      </c>
      <c r="P2044">
        <v>8</v>
      </c>
      <c r="Q2044">
        <v>128</v>
      </c>
      <c r="R2044">
        <v>29.97</v>
      </c>
      <c r="S2044">
        <v>13</v>
      </c>
      <c r="T2044">
        <v>24</v>
      </c>
      <c r="U2044" s="2">
        <v>15799.2</v>
      </c>
      <c r="V2044">
        <v>0</v>
      </c>
      <c r="W2044" t="s">
        <v>29</v>
      </c>
      <c r="X2044" t="str">
        <f>IF(Table2[[#This Row],[Qty available]]&gt;Table2[[#This Row],[Qty on hand]],"Check","OK")</f>
        <v>OK</v>
      </c>
    </row>
    <row r="2045" spans="1:24" x14ac:dyDescent="0.3">
      <c r="A2045" t="s">
        <v>231</v>
      </c>
      <c r="B2045" t="s">
        <v>232</v>
      </c>
      <c r="C2045" t="s">
        <v>25</v>
      </c>
      <c r="D2045" t="s">
        <v>26</v>
      </c>
      <c r="E2045" t="s">
        <v>27</v>
      </c>
      <c r="F2045" s="1" t="s">
        <v>32</v>
      </c>
      <c r="G2045" s="2">
        <v>468.47</v>
      </c>
      <c r="H2045">
        <v>499.98</v>
      </c>
      <c r="I2045">
        <v>490.35911299999998</v>
      </c>
      <c r="J2045">
        <v>658.3</v>
      </c>
      <c r="K2045">
        <v>50</v>
      </c>
      <c r="L2045" s="2">
        <v>43</v>
      </c>
      <c r="M2045">
        <v>27</v>
      </c>
      <c r="N2045" s="2">
        <v>124</v>
      </c>
      <c r="O2045">
        <v>60804.53</v>
      </c>
      <c r="P2045">
        <v>4</v>
      </c>
      <c r="Q2045">
        <v>120</v>
      </c>
      <c r="R2045">
        <v>21.44</v>
      </c>
      <c r="S2045">
        <v>10</v>
      </c>
      <c r="T2045">
        <v>39</v>
      </c>
      <c r="U2045" s="2">
        <v>25673.7</v>
      </c>
      <c r="V2045">
        <v>0</v>
      </c>
      <c r="W2045" t="s">
        <v>29</v>
      </c>
      <c r="X2045" t="str">
        <f>IF(Table2[[#This Row],[Qty available]]&gt;Table2[[#This Row],[Qty on hand]],"Check","OK")</f>
        <v>OK</v>
      </c>
    </row>
    <row r="2046" spans="1:24" x14ac:dyDescent="0.3">
      <c r="A2046" t="s">
        <v>231</v>
      </c>
      <c r="B2046" t="s">
        <v>232</v>
      </c>
      <c r="C2046" t="s">
        <v>25</v>
      </c>
      <c r="D2046" t="s">
        <v>26</v>
      </c>
      <c r="E2046" t="s">
        <v>27</v>
      </c>
      <c r="F2046" s="1" t="s">
        <v>33</v>
      </c>
      <c r="G2046" s="2">
        <v>457.89</v>
      </c>
      <c r="H2046">
        <v>488.68</v>
      </c>
      <c r="I2046">
        <v>490.05885000000001</v>
      </c>
      <c r="J2046">
        <v>658.3</v>
      </c>
      <c r="K2046">
        <v>50</v>
      </c>
      <c r="L2046" s="2">
        <v>56</v>
      </c>
      <c r="M2046">
        <v>27</v>
      </c>
      <c r="N2046" s="2">
        <v>113</v>
      </c>
      <c r="O2046">
        <v>55376.65</v>
      </c>
      <c r="P2046">
        <v>8</v>
      </c>
      <c r="Q2046">
        <v>105</v>
      </c>
      <c r="R2046">
        <v>14.7</v>
      </c>
      <c r="S2046">
        <v>2</v>
      </c>
      <c r="T2046">
        <v>38</v>
      </c>
      <c r="U2046" s="2">
        <v>25015.4</v>
      </c>
      <c r="V2046">
        <v>0</v>
      </c>
      <c r="W2046" t="s">
        <v>29</v>
      </c>
      <c r="X2046" t="str">
        <f>IF(Table2[[#This Row],[Qty available]]&gt;Table2[[#This Row],[Qty on hand]],"Check","OK")</f>
        <v>OK</v>
      </c>
    </row>
    <row r="2047" spans="1:24" x14ac:dyDescent="0.3">
      <c r="A2047" t="s">
        <v>231</v>
      </c>
      <c r="B2047" t="s">
        <v>232</v>
      </c>
      <c r="C2047" t="s">
        <v>25</v>
      </c>
      <c r="D2047" t="s">
        <v>26</v>
      </c>
      <c r="E2047" t="s">
        <v>27</v>
      </c>
      <c r="F2047" s="1" t="s">
        <v>34</v>
      </c>
      <c r="G2047" s="2">
        <v>456.99</v>
      </c>
      <c r="H2047">
        <v>487.72</v>
      </c>
      <c r="I2047">
        <v>490.058876</v>
      </c>
      <c r="J2047">
        <v>696.19</v>
      </c>
      <c r="K2047">
        <v>50</v>
      </c>
      <c r="M2047">
        <v>0</v>
      </c>
      <c r="N2047" s="2">
        <v>89</v>
      </c>
      <c r="O2047">
        <v>43615.24</v>
      </c>
      <c r="P2047">
        <v>6</v>
      </c>
      <c r="Q2047">
        <v>83</v>
      </c>
      <c r="R2047">
        <v>11.33</v>
      </c>
      <c r="S2047">
        <v>3</v>
      </c>
      <c r="T2047">
        <v>24</v>
      </c>
      <c r="U2047" s="2">
        <v>16708.560000000001</v>
      </c>
      <c r="V2047">
        <v>0</v>
      </c>
      <c r="W2047" t="s">
        <v>29</v>
      </c>
      <c r="X2047" t="str">
        <f>IF(Table2[[#This Row],[Qty available]]&gt;Table2[[#This Row],[Qty on hand]],"Check","OK")</f>
        <v>OK</v>
      </c>
    </row>
    <row r="2048" spans="1:24" x14ac:dyDescent="0.3">
      <c r="A2048" t="s">
        <v>231</v>
      </c>
      <c r="B2048" t="s">
        <v>232</v>
      </c>
      <c r="C2048" t="s">
        <v>25</v>
      </c>
      <c r="D2048" t="s">
        <v>26</v>
      </c>
      <c r="E2048" t="s">
        <v>27</v>
      </c>
      <c r="F2048" s="1" t="s">
        <v>35</v>
      </c>
      <c r="G2048" s="2">
        <v>468.33</v>
      </c>
      <c r="H2048">
        <v>499.83</v>
      </c>
      <c r="I2048">
        <v>492.33317599999998</v>
      </c>
      <c r="J2048">
        <v>696.19</v>
      </c>
      <c r="K2048">
        <v>50</v>
      </c>
      <c r="L2048" s="2">
        <v>50</v>
      </c>
      <c r="M2048">
        <v>27</v>
      </c>
      <c r="N2048" s="2">
        <v>85</v>
      </c>
      <c r="O2048">
        <v>41848.32</v>
      </c>
      <c r="P2048">
        <v>8</v>
      </c>
      <c r="Q2048">
        <v>77</v>
      </c>
      <c r="R2048">
        <v>11.75</v>
      </c>
      <c r="S2048">
        <v>3</v>
      </c>
      <c r="T2048">
        <v>31</v>
      </c>
      <c r="U2048" s="2">
        <v>21581.89</v>
      </c>
      <c r="V2048">
        <v>0</v>
      </c>
      <c r="W2048" t="s">
        <v>29</v>
      </c>
      <c r="X2048" t="str">
        <f>IF(Table2[[#This Row],[Qty available]]&gt;Table2[[#This Row],[Qty on hand]],"Check","OK")</f>
        <v>OK</v>
      </c>
    </row>
    <row r="2049" spans="1:24" x14ac:dyDescent="0.3">
      <c r="A2049" t="s">
        <v>231</v>
      </c>
      <c r="B2049" t="s">
        <v>232</v>
      </c>
      <c r="C2049" t="s">
        <v>25</v>
      </c>
      <c r="D2049" t="s">
        <v>26</v>
      </c>
      <c r="E2049" t="s">
        <v>27</v>
      </c>
      <c r="F2049" s="1" t="s">
        <v>36</v>
      </c>
      <c r="G2049" s="2">
        <v>483.52</v>
      </c>
      <c r="H2049">
        <v>516.04</v>
      </c>
      <c r="I2049">
        <v>492.33311099999997</v>
      </c>
      <c r="J2049">
        <v>696.19</v>
      </c>
      <c r="K2049">
        <v>50</v>
      </c>
      <c r="M2049">
        <v>0</v>
      </c>
      <c r="N2049" s="2">
        <v>45</v>
      </c>
      <c r="O2049">
        <v>22154.99</v>
      </c>
      <c r="P2049">
        <v>5</v>
      </c>
      <c r="Q2049">
        <v>40</v>
      </c>
      <c r="R2049">
        <v>6.02</v>
      </c>
      <c r="S2049">
        <v>1</v>
      </c>
      <c r="T2049">
        <v>40</v>
      </c>
      <c r="U2049" s="2">
        <v>27847.599999999999</v>
      </c>
      <c r="V2049">
        <v>0</v>
      </c>
      <c r="W2049" t="s">
        <v>29</v>
      </c>
      <c r="X2049" t="str">
        <f>IF(Table2[[#This Row],[Qty available]]&gt;Table2[[#This Row],[Qty on hand]],"Check","OK")</f>
        <v>OK</v>
      </c>
    </row>
    <row r="2050" spans="1:24" x14ac:dyDescent="0.3">
      <c r="A2050" t="s">
        <v>231</v>
      </c>
      <c r="B2050" t="s">
        <v>232</v>
      </c>
      <c r="C2050" t="s">
        <v>25</v>
      </c>
      <c r="D2050" t="s">
        <v>26</v>
      </c>
      <c r="E2050" t="s">
        <v>27</v>
      </c>
      <c r="F2050" s="1" t="s">
        <v>37</v>
      </c>
      <c r="G2050" s="2">
        <v>475.88</v>
      </c>
      <c r="H2050">
        <v>507.88</v>
      </c>
      <c r="I2050">
        <v>501.02108099999998</v>
      </c>
      <c r="J2050">
        <v>696.19</v>
      </c>
      <c r="K2050">
        <v>50</v>
      </c>
      <c r="L2050" s="2">
        <v>44</v>
      </c>
      <c r="M2050">
        <v>57</v>
      </c>
      <c r="N2050" s="2">
        <v>74</v>
      </c>
      <c r="O2050">
        <v>37075.56</v>
      </c>
      <c r="P2050">
        <v>4</v>
      </c>
      <c r="Q2050">
        <v>70</v>
      </c>
      <c r="R2050">
        <v>9.82</v>
      </c>
      <c r="S2050">
        <v>3</v>
      </c>
      <c r="T2050">
        <v>28</v>
      </c>
      <c r="U2050" s="2">
        <v>19493.32</v>
      </c>
      <c r="V2050">
        <v>0</v>
      </c>
      <c r="W2050" t="s">
        <v>29</v>
      </c>
      <c r="X2050" t="str">
        <f>IF(Table2[[#This Row],[Qty available]]&gt;Table2[[#This Row],[Qty on hand]],"Check","OK")</f>
        <v>OK</v>
      </c>
    </row>
    <row r="2051" spans="1:24" x14ac:dyDescent="0.3">
      <c r="A2051" t="s">
        <v>231</v>
      </c>
      <c r="B2051" t="s">
        <v>232</v>
      </c>
      <c r="C2051" t="s">
        <v>25</v>
      </c>
      <c r="D2051" t="s">
        <v>26</v>
      </c>
      <c r="E2051" t="s">
        <v>27</v>
      </c>
      <c r="F2051" s="1" t="s">
        <v>38</v>
      </c>
      <c r="G2051" s="2">
        <v>465.27</v>
      </c>
      <c r="H2051">
        <v>496.56</v>
      </c>
      <c r="I2051">
        <v>499.09938499999998</v>
      </c>
      <c r="J2051">
        <v>696.19</v>
      </c>
      <c r="K2051">
        <v>50</v>
      </c>
      <c r="L2051" s="2">
        <v>44</v>
      </c>
      <c r="M2051">
        <v>56</v>
      </c>
      <c r="N2051" s="2">
        <v>130</v>
      </c>
      <c r="O2051">
        <v>64882.92</v>
      </c>
      <c r="P2051">
        <v>7</v>
      </c>
      <c r="Q2051">
        <v>123</v>
      </c>
      <c r="R2051">
        <v>24.85</v>
      </c>
      <c r="S2051">
        <v>33</v>
      </c>
      <c r="T2051">
        <v>0</v>
      </c>
      <c r="U2051" s="2">
        <v>0</v>
      </c>
      <c r="V2051">
        <v>0</v>
      </c>
      <c r="W2051" t="s">
        <v>29</v>
      </c>
      <c r="X2051" t="str">
        <f>IF(Table2[[#This Row],[Qty available]]&gt;Table2[[#This Row],[Qty on hand]],"Check","OK")</f>
        <v>OK</v>
      </c>
    </row>
    <row r="2052" spans="1:24" x14ac:dyDescent="0.3">
      <c r="A2052" t="s">
        <v>231</v>
      </c>
      <c r="B2052" t="s">
        <v>232</v>
      </c>
      <c r="C2052" t="s">
        <v>25</v>
      </c>
      <c r="D2052" t="s">
        <v>26</v>
      </c>
      <c r="E2052" t="s">
        <v>27</v>
      </c>
      <c r="F2052" s="1" t="s">
        <v>39</v>
      </c>
      <c r="G2052" s="2">
        <v>481.12</v>
      </c>
      <c r="H2052">
        <v>513.48</v>
      </c>
      <c r="I2052">
        <v>499.09938799999998</v>
      </c>
      <c r="J2052">
        <v>696.19</v>
      </c>
      <c r="K2052">
        <v>50</v>
      </c>
      <c r="M2052">
        <v>0</v>
      </c>
      <c r="N2052" s="2">
        <v>98</v>
      </c>
      <c r="O2052">
        <v>48911.74</v>
      </c>
      <c r="P2052">
        <v>2</v>
      </c>
      <c r="Q2052">
        <v>96</v>
      </c>
      <c r="R2052">
        <v>21.47</v>
      </c>
      <c r="S2052">
        <v>0</v>
      </c>
      <c r="T2052">
        <v>32</v>
      </c>
      <c r="U2052" s="2">
        <v>22278.080000000002</v>
      </c>
      <c r="V2052">
        <v>0</v>
      </c>
      <c r="W2052" t="s">
        <v>29</v>
      </c>
      <c r="X2052" t="str">
        <f>IF(Table2[[#This Row],[Qty available]]&gt;Table2[[#This Row],[Qty on hand]],"Check","OK")</f>
        <v>OK</v>
      </c>
    </row>
    <row r="2053" spans="1:24" x14ac:dyDescent="0.3">
      <c r="A2053" t="s">
        <v>231</v>
      </c>
      <c r="B2053" t="s">
        <v>232</v>
      </c>
      <c r="C2053" t="s">
        <v>25</v>
      </c>
      <c r="D2053" t="s">
        <v>26</v>
      </c>
      <c r="E2053" t="s">
        <v>27</v>
      </c>
      <c r="F2053" s="1" t="s">
        <v>40</v>
      </c>
      <c r="G2053" s="2">
        <v>468.35</v>
      </c>
      <c r="H2053">
        <v>499.85</v>
      </c>
      <c r="I2053">
        <v>499.26147700000001</v>
      </c>
      <c r="J2053">
        <v>696.19</v>
      </c>
      <c r="K2053">
        <v>50</v>
      </c>
      <c r="L2053" s="2">
        <v>44</v>
      </c>
      <c r="M2053">
        <v>27</v>
      </c>
      <c r="N2053" s="2">
        <v>88</v>
      </c>
      <c r="O2053">
        <v>43935.01</v>
      </c>
      <c r="P2053">
        <v>7</v>
      </c>
      <c r="Q2053">
        <v>81</v>
      </c>
      <c r="R2053">
        <v>16.760000000000002</v>
      </c>
      <c r="S2053">
        <v>1</v>
      </c>
      <c r="T2053">
        <v>37</v>
      </c>
      <c r="U2053" s="2">
        <v>25759.03</v>
      </c>
      <c r="V2053">
        <v>0</v>
      </c>
      <c r="W2053" t="s">
        <v>29</v>
      </c>
      <c r="X2053" t="str">
        <f>IF(Table2[[#This Row],[Qty available]]&gt;Table2[[#This Row],[Qty on hand]],"Check","OK")</f>
        <v>OK</v>
      </c>
    </row>
    <row r="2054" spans="1:24" x14ac:dyDescent="0.3">
      <c r="A2054" t="s">
        <v>231</v>
      </c>
      <c r="B2054" t="s">
        <v>232</v>
      </c>
      <c r="C2054" t="s">
        <v>25</v>
      </c>
      <c r="D2054" t="s">
        <v>26</v>
      </c>
      <c r="E2054" t="s">
        <v>27</v>
      </c>
      <c r="F2054" s="1" t="s">
        <v>41</v>
      </c>
      <c r="G2054" s="2">
        <v>483.69</v>
      </c>
      <c r="H2054">
        <v>516.22</v>
      </c>
      <c r="I2054">
        <v>503.24306799999999</v>
      </c>
      <c r="J2054">
        <v>696.19</v>
      </c>
      <c r="K2054">
        <v>50</v>
      </c>
      <c r="L2054" s="2">
        <v>56</v>
      </c>
      <c r="M2054">
        <v>27</v>
      </c>
      <c r="N2054" s="2">
        <v>88</v>
      </c>
      <c r="O2054">
        <v>44285.39</v>
      </c>
      <c r="P2054">
        <v>2</v>
      </c>
      <c r="Q2054">
        <v>86</v>
      </c>
      <c r="R2054">
        <v>12.05</v>
      </c>
      <c r="S2054">
        <v>14</v>
      </c>
      <c r="T2054">
        <v>27</v>
      </c>
      <c r="U2054" s="2">
        <v>18797.13</v>
      </c>
      <c r="V2054">
        <v>0</v>
      </c>
      <c r="W2054" t="s">
        <v>29</v>
      </c>
      <c r="X2054" t="str">
        <f>IF(Table2[[#This Row],[Qty available]]&gt;Table2[[#This Row],[Qty on hand]],"Check","OK")</f>
        <v>OK</v>
      </c>
    </row>
    <row r="2055" spans="1:24" x14ac:dyDescent="0.3">
      <c r="A2055" t="s">
        <v>231</v>
      </c>
      <c r="B2055" t="s">
        <v>232</v>
      </c>
      <c r="C2055" t="s">
        <v>25</v>
      </c>
      <c r="D2055" t="s">
        <v>26</v>
      </c>
      <c r="E2055" t="s">
        <v>27</v>
      </c>
      <c r="F2055" s="1" t="s">
        <v>42</v>
      </c>
      <c r="G2055" s="2">
        <v>473.48</v>
      </c>
      <c r="H2055">
        <v>505.32</v>
      </c>
      <c r="I2055">
        <v>503.730704</v>
      </c>
      <c r="J2055">
        <v>696.19</v>
      </c>
      <c r="K2055">
        <v>50</v>
      </c>
      <c r="L2055" s="2">
        <v>44</v>
      </c>
      <c r="M2055">
        <v>27</v>
      </c>
      <c r="N2055" s="2">
        <v>71</v>
      </c>
      <c r="O2055">
        <v>35764.879999999997</v>
      </c>
      <c r="P2055">
        <v>4</v>
      </c>
      <c r="Q2055">
        <v>67</v>
      </c>
      <c r="R2055">
        <v>8.64</v>
      </c>
      <c r="S2055">
        <v>6</v>
      </c>
      <c r="T2055">
        <v>44</v>
      </c>
      <c r="U2055" s="2">
        <v>30632.36</v>
      </c>
      <c r="V2055">
        <v>0</v>
      </c>
      <c r="W2055" t="s">
        <v>29</v>
      </c>
      <c r="X2055" t="str">
        <f>IF(Table2[[#This Row],[Qty available]]&gt;Table2[[#This Row],[Qty on hand]],"Check","OK")</f>
        <v>OK</v>
      </c>
    </row>
    <row r="2056" spans="1:24" x14ac:dyDescent="0.3">
      <c r="A2056" t="s">
        <v>231</v>
      </c>
      <c r="B2056" t="s">
        <v>232</v>
      </c>
      <c r="C2056" t="s">
        <v>25</v>
      </c>
      <c r="D2056" t="s">
        <v>26</v>
      </c>
      <c r="E2056" t="s">
        <v>27</v>
      </c>
      <c r="F2056" s="1" t="s">
        <v>43</v>
      </c>
      <c r="G2056" s="2">
        <v>471.73</v>
      </c>
      <c r="H2056">
        <v>503.45</v>
      </c>
      <c r="I2056">
        <v>503.65342500000003</v>
      </c>
      <c r="J2056">
        <v>696.19</v>
      </c>
      <c r="K2056">
        <v>50</v>
      </c>
      <c r="L2056" s="2">
        <v>49</v>
      </c>
      <c r="M2056">
        <v>27</v>
      </c>
      <c r="N2056" s="2">
        <v>73</v>
      </c>
      <c r="O2056">
        <v>36766.699999999997</v>
      </c>
      <c r="P2056">
        <v>8</v>
      </c>
      <c r="Q2056">
        <v>65</v>
      </c>
      <c r="R2056">
        <v>9.89</v>
      </c>
      <c r="S2056">
        <v>2</v>
      </c>
      <c r="T2056">
        <v>25</v>
      </c>
      <c r="U2056" s="2">
        <v>17404.75</v>
      </c>
      <c r="V2056">
        <v>0</v>
      </c>
      <c r="W2056" t="s">
        <v>29</v>
      </c>
      <c r="X2056" t="str">
        <f>IF(Table2[[#This Row],[Qty available]]&gt;Table2[[#This Row],[Qty on hand]],"Check","OK")</f>
        <v>OK</v>
      </c>
    </row>
    <row r="2057" spans="1:24" x14ac:dyDescent="0.3">
      <c r="A2057" t="s">
        <v>231</v>
      </c>
      <c r="B2057" t="s">
        <v>232</v>
      </c>
      <c r="C2057" t="s">
        <v>25</v>
      </c>
      <c r="D2057" t="s">
        <v>26</v>
      </c>
      <c r="E2057" t="s">
        <v>27</v>
      </c>
      <c r="F2057" s="1" t="s">
        <v>44</v>
      </c>
      <c r="G2057" s="2">
        <v>474.14</v>
      </c>
      <c r="H2057">
        <v>506.03</v>
      </c>
      <c r="I2057">
        <v>503.65333299999998</v>
      </c>
      <c r="J2057">
        <v>696.19</v>
      </c>
      <c r="K2057">
        <v>50</v>
      </c>
      <c r="M2057">
        <v>0</v>
      </c>
      <c r="N2057" s="2">
        <v>45</v>
      </c>
      <c r="O2057">
        <v>22664.400000000001</v>
      </c>
      <c r="P2057">
        <v>3</v>
      </c>
      <c r="Q2057">
        <v>42</v>
      </c>
      <c r="R2057">
        <v>6.1</v>
      </c>
      <c r="S2057">
        <v>5</v>
      </c>
      <c r="T2057">
        <v>28</v>
      </c>
      <c r="U2057" s="2">
        <v>19493.32</v>
      </c>
      <c r="V2057">
        <v>0</v>
      </c>
      <c r="W2057" t="s">
        <v>29</v>
      </c>
      <c r="X2057" t="str">
        <f>IF(Table2[[#This Row],[Qty available]]&gt;Table2[[#This Row],[Qty on hand]],"Check","OK")</f>
        <v>OK</v>
      </c>
    </row>
    <row r="2058" spans="1:24" x14ac:dyDescent="0.3">
      <c r="A2058" t="s">
        <v>231</v>
      </c>
      <c r="B2058" t="s">
        <v>232</v>
      </c>
      <c r="C2058" t="s">
        <v>25</v>
      </c>
      <c r="D2058" t="s">
        <v>26</v>
      </c>
      <c r="E2058" t="s">
        <v>27</v>
      </c>
      <c r="F2058" s="1" t="s">
        <v>45</v>
      </c>
      <c r="G2058" s="2">
        <v>465.28</v>
      </c>
      <c r="H2058">
        <v>496.57</v>
      </c>
      <c r="I2058">
        <v>503.65333299999998</v>
      </c>
      <c r="J2058">
        <v>696.19</v>
      </c>
      <c r="K2058">
        <v>50</v>
      </c>
      <c r="M2058">
        <v>0</v>
      </c>
      <c r="N2058" s="2">
        <v>45</v>
      </c>
      <c r="O2058">
        <v>22664.400000000001</v>
      </c>
      <c r="P2058">
        <v>7</v>
      </c>
      <c r="Q2058">
        <v>38</v>
      </c>
      <c r="R2058">
        <v>11.16</v>
      </c>
      <c r="S2058">
        <v>36</v>
      </c>
      <c r="T2058">
        <v>0</v>
      </c>
      <c r="U2058" s="2">
        <v>0</v>
      </c>
      <c r="V2058">
        <v>0</v>
      </c>
      <c r="W2058" t="s">
        <v>29</v>
      </c>
      <c r="X2058" t="str">
        <f>IF(Table2[[#This Row],[Qty available]]&gt;Table2[[#This Row],[Qty on hand]],"Check","OK")</f>
        <v>OK</v>
      </c>
    </row>
    <row r="2059" spans="1:24" x14ac:dyDescent="0.3">
      <c r="A2059" t="s">
        <v>231</v>
      </c>
      <c r="B2059" t="s">
        <v>232</v>
      </c>
      <c r="C2059" t="s">
        <v>25</v>
      </c>
      <c r="D2059" t="s">
        <v>26</v>
      </c>
      <c r="E2059" t="s">
        <v>27</v>
      </c>
      <c r="F2059" s="1" t="s">
        <v>46</v>
      </c>
      <c r="G2059" s="2">
        <v>474.94</v>
      </c>
      <c r="H2059">
        <v>506.88</v>
      </c>
      <c r="I2059">
        <v>505.73666700000001</v>
      </c>
      <c r="J2059">
        <v>736.26</v>
      </c>
      <c r="K2059">
        <v>50</v>
      </c>
      <c r="L2059" s="2">
        <v>59</v>
      </c>
      <c r="M2059">
        <v>82</v>
      </c>
      <c r="N2059" s="2">
        <v>84</v>
      </c>
      <c r="O2059">
        <v>42481.88</v>
      </c>
      <c r="P2059">
        <v>2</v>
      </c>
      <c r="Q2059">
        <v>82</v>
      </c>
      <c r="R2059">
        <v>15.21</v>
      </c>
      <c r="S2059">
        <v>1</v>
      </c>
      <c r="T2059">
        <v>43</v>
      </c>
      <c r="U2059" s="2">
        <v>31659.18</v>
      </c>
      <c r="V2059">
        <v>0</v>
      </c>
      <c r="W2059" t="s">
        <v>29</v>
      </c>
      <c r="X2059" t="str">
        <f>IF(Table2[[#This Row],[Qty available]]&gt;Table2[[#This Row],[Qty on hand]],"Check","OK")</f>
        <v>OK</v>
      </c>
    </row>
    <row r="2060" spans="1:24" x14ac:dyDescent="0.3">
      <c r="A2060" t="s">
        <v>231</v>
      </c>
      <c r="B2060" t="s">
        <v>232</v>
      </c>
      <c r="C2060" t="s">
        <v>25</v>
      </c>
      <c r="D2060" t="s">
        <v>26</v>
      </c>
      <c r="E2060" t="s">
        <v>27</v>
      </c>
      <c r="F2060" s="1" t="s">
        <v>47</v>
      </c>
      <c r="G2060" s="2">
        <v>474.81</v>
      </c>
      <c r="H2060">
        <v>506.74</v>
      </c>
      <c r="I2060">
        <v>505.98750000000001</v>
      </c>
      <c r="J2060">
        <v>736.26</v>
      </c>
      <c r="K2060">
        <v>50</v>
      </c>
      <c r="L2060" s="2">
        <v>46</v>
      </c>
      <c r="M2060">
        <v>28</v>
      </c>
      <c r="N2060" s="2">
        <v>88</v>
      </c>
      <c r="O2060">
        <v>44526.9</v>
      </c>
      <c r="P2060">
        <v>8</v>
      </c>
      <c r="Q2060">
        <v>80</v>
      </c>
      <c r="R2060">
        <v>16.89</v>
      </c>
      <c r="S2060">
        <v>6</v>
      </c>
      <c r="T2060">
        <v>24</v>
      </c>
      <c r="U2060" s="2">
        <v>17670.240000000002</v>
      </c>
      <c r="V2060">
        <v>0</v>
      </c>
      <c r="W2060" t="s">
        <v>29</v>
      </c>
      <c r="X2060" t="str">
        <f>IF(Table2[[#This Row],[Qty available]]&gt;Table2[[#This Row],[Qty on hand]],"Check","OK")</f>
        <v>OK</v>
      </c>
    </row>
    <row r="2061" spans="1:24" x14ac:dyDescent="0.3">
      <c r="A2061" t="s">
        <v>231</v>
      </c>
      <c r="B2061" t="s">
        <v>232</v>
      </c>
      <c r="C2061" t="s">
        <v>25</v>
      </c>
      <c r="D2061" t="s">
        <v>26</v>
      </c>
      <c r="E2061" t="s">
        <v>27</v>
      </c>
      <c r="F2061" s="1" t="s">
        <v>48</v>
      </c>
      <c r="G2061" s="2">
        <v>497.91</v>
      </c>
      <c r="H2061">
        <v>531.4</v>
      </c>
      <c r="I2061">
        <v>514.45827599999996</v>
      </c>
      <c r="J2061">
        <v>736.26</v>
      </c>
      <c r="K2061">
        <v>50</v>
      </c>
      <c r="L2061" s="2">
        <v>43</v>
      </c>
      <c r="M2061">
        <v>44</v>
      </c>
      <c r="N2061" s="2">
        <v>87</v>
      </c>
      <c r="O2061">
        <v>44757.87</v>
      </c>
      <c r="P2061">
        <v>9</v>
      </c>
      <c r="Q2061">
        <v>78</v>
      </c>
      <c r="R2061">
        <v>9.8800000000000008</v>
      </c>
      <c r="S2061">
        <v>0</v>
      </c>
      <c r="T2061">
        <v>45</v>
      </c>
      <c r="U2061" s="2">
        <v>33131.699999999997</v>
      </c>
      <c r="V2061">
        <v>0</v>
      </c>
      <c r="W2061" t="s">
        <v>29</v>
      </c>
      <c r="X2061" t="str">
        <f>IF(Table2[[#This Row],[Qty available]]&gt;Table2[[#This Row],[Qty on hand]],"Check","OK")</f>
        <v>OK</v>
      </c>
    </row>
    <row r="2062" spans="1:24" x14ac:dyDescent="0.3">
      <c r="A2062" t="s">
        <v>231</v>
      </c>
      <c r="B2062" t="s">
        <v>232</v>
      </c>
      <c r="C2062" t="s">
        <v>25</v>
      </c>
      <c r="D2062" t="s">
        <v>26</v>
      </c>
      <c r="E2062" t="s">
        <v>27</v>
      </c>
      <c r="F2062" s="1" t="s">
        <v>49</v>
      </c>
      <c r="G2062" s="2">
        <v>480.54</v>
      </c>
      <c r="H2062">
        <v>512.86</v>
      </c>
      <c r="I2062">
        <v>514.07971399999997</v>
      </c>
      <c r="J2062">
        <v>736.26</v>
      </c>
      <c r="K2062">
        <v>50</v>
      </c>
      <c r="L2062" s="2">
        <v>60</v>
      </c>
      <c r="M2062">
        <v>27</v>
      </c>
      <c r="N2062" s="2">
        <v>70</v>
      </c>
      <c r="O2062">
        <v>35985.58</v>
      </c>
      <c r="P2062">
        <v>3</v>
      </c>
      <c r="Q2062">
        <v>67</v>
      </c>
      <c r="R2062">
        <v>8.14</v>
      </c>
      <c r="S2062">
        <v>3</v>
      </c>
      <c r="T2062">
        <v>44</v>
      </c>
      <c r="U2062" s="2">
        <v>32395.439999999999</v>
      </c>
      <c r="V2062">
        <v>0</v>
      </c>
      <c r="W2062" t="s">
        <v>29</v>
      </c>
      <c r="X2062" t="str">
        <f>IF(Table2[[#This Row],[Qty available]]&gt;Table2[[#This Row],[Qty on hand]],"Check","OK")</f>
        <v>OK</v>
      </c>
    </row>
    <row r="2063" spans="1:24" x14ac:dyDescent="0.3">
      <c r="A2063" t="s">
        <v>231</v>
      </c>
      <c r="B2063" t="s">
        <v>232</v>
      </c>
      <c r="C2063" t="s">
        <v>25</v>
      </c>
      <c r="D2063" t="s">
        <v>26</v>
      </c>
      <c r="E2063" t="s">
        <v>27</v>
      </c>
      <c r="F2063" s="1" t="s">
        <v>50</v>
      </c>
      <c r="G2063" s="2">
        <v>491.01</v>
      </c>
      <c r="H2063">
        <v>524.03</v>
      </c>
      <c r="I2063">
        <v>516.84937500000001</v>
      </c>
      <c r="J2063">
        <v>736.26</v>
      </c>
      <c r="K2063">
        <v>50</v>
      </c>
      <c r="L2063" s="2">
        <v>49</v>
      </c>
      <c r="M2063">
        <v>27</v>
      </c>
      <c r="N2063" s="2">
        <v>64</v>
      </c>
      <c r="O2063">
        <v>33078.36</v>
      </c>
      <c r="P2063">
        <v>6</v>
      </c>
      <c r="Q2063">
        <v>58</v>
      </c>
      <c r="R2063">
        <v>6.82</v>
      </c>
      <c r="S2063">
        <v>12</v>
      </c>
      <c r="T2063">
        <v>33</v>
      </c>
      <c r="U2063" s="2">
        <v>24296.58</v>
      </c>
      <c r="V2063">
        <v>0</v>
      </c>
      <c r="W2063" t="s">
        <v>29</v>
      </c>
      <c r="X2063" t="str">
        <f>IF(Table2[[#This Row],[Qty available]]&gt;Table2[[#This Row],[Qty on hand]],"Check","OK")</f>
        <v>OK</v>
      </c>
    </row>
    <row r="2064" spans="1:24" x14ac:dyDescent="0.3">
      <c r="A2064" t="s">
        <v>231</v>
      </c>
      <c r="B2064" t="s">
        <v>232</v>
      </c>
      <c r="C2064" t="s">
        <v>25</v>
      </c>
      <c r="D2064" t="s">
        <v>26</v>
      </c>
      <c r="E2064" t="s">
        <v>27</v>
      </c>
      <c r="F2064" s="1" t="s">
        <v>51</v>
      </c>
      <c r="G2064" s="2">
        <v>494.61</v>
      </c>
      <c r="H2064">
        <v>527.87</v>
      </c>
      <c r="I2064">
        <v>522.08865900000001</v>
      </c>
      <c r="J2064">
        <v>736.26</v>
      </c>
      <c r="K2064">
        <v>50</v>
      </c>
      <c r="L2064" s="2">
        <v>45</v>
      </c>
      <c r="M2064">
        <v>58</v>
      </c>
      <c r="N2064" s="2">
        <v>82</v>
      </c>
      <c r="O2064">
        <v>42811.27</v>
      </c>
      <c r="P2064">
        <v>3</v>
      </c>
      <c r="Q2064">
        <v>79</v>
      </c>
      <c r="R2064">
        <v>9.2100000000000009</v>
      </c>
      <c r="S2064">
        <v>1</v>
      </c>
      <c r="T2064">
        <v>40</v>
      </c>
      <c r="U2064" s="2">
        <v>29450.400000000001</v>
      </c>
      <c r="V2064">
        <v>0</v>
      </c>
      <c r="W2064" t="s">
        <v>29</v>
      </c>
      <c r="X2064" t="str">
        <f>IF(Table2[[#This Row],[Qty available]]&gt;Table2[[#This Row],[Qty on hand]],"Check","OK")</f>
        <v>OK</v>
      </c>
    </row>
    <row r="2065" spans="1:24" x14ac:dyDescent="0.3">
      <c r="A2065" t="s">
        <v>231</v>
      </c>
      <c r="B2065" t="s">
        <v>232</v>
      </c>
      <c r="C2065" t="s">
        <v>25</v>
      </c>
      <c r="D2065" t="s">
        <v>26</v>
      </c>
      <c r="E2065" t="s">
        <v>27</v>
      </c>
      <c r="F2065" s="1" t="s">
        <v>52</v>
      </c>
      <c r="G2065" s="2">
        <v>490.95</v>
      </c>
      <c r="H2065">
        <v>523.97</v>
      </c>
      <c r="I2065">
        <v>522.08866699999999</v>
      </c>
      <c r="J2065">
        <v>736.26</v>
      </c>
      <c r="K2065">
        <v>50</v>
      </c>
      <c r="M2065">
        <v>0</v>
      </c>
      <c r="N2065" s="2">
        <v>45</v>
      </c>
      <c r="O2065">
        <v>23493.99</v>
      </c>
      <c r="P2065">
        <v>6</v>
      </c>
      <c r="Q2065">
        <v>39</v>
      </c>
      <c r="R2065">
        <v>5.38</v>
      </c>
      <c r="S2065">
        <v>6</v>
      </c>
      <c r="T2065">
        <v>37</v>
      </c>
      <c r="U2065" s="2">
        <v>27241.62</v>
      </c>
      <c r="V2065">
        <v>0</v>
      </c>
      <c r="W2065" t="s">
        <v>29</v>
      </c>
      <c r="X2065" t="str">
        <f>IF(Table2[[#This Row],[Qty available]]&gt;Table2[[#This Row],[Qty on hand]],"Check","OK")</f>
        <v>OK</v>
      </c>
    </row>
    <row r="2066" spans="1:24" x14ac:dyDescent="0.3">
      <c r="A2066" t="s">
        <v>233</v>
      </c>
      <c r="B2066" t="s">
        <v>234</v>
      </c>
      <c r="C2066" t="s">
        <v>91</v>
      </c>
      <c r="D2066" t="s">
        <v>92</v>
      </c>
      <c r="E2066" t="s">
        <v>66</v>
      </c>
      <c r="F2066" s="1" t="s">
        <v>28</v>
      </c>
      <c r="G2066" s="2">
        <v>11.49</v>
      </c>
      <c r="H2066">
        <v>12.55</v>
      </c>
      <c r="I2066">
        <v>12.359277000000001</v>
      </c>
      <c r="J2066">
        <v>17.079999999999998</v>
      </c>
      <c r="K2066">
        <v>38</v>
      </c>
      <c r="L2066" s="2">
        <v>35</v>
      </c>
      <c r="M2066">
        <v>17</v>
      </c>
      <c r="N2066" s="2">
        <v>761</v>
      </c>
      <c r="O2066">
        <v>9405.41</v>
      </c>
      <c r="P2066">
        <v>72</v>
      </c>
      <c r="Q2066">
        <v>689</v>
      </c>
      <c r="R2066">
        <v>33.450000000000003</v>
      </c>
      <c r="S2066">
        <v>1</v>
      </c>
      <c r="T2066">
        <v>113</v>
      </c>
      <c r="U2066" s="2">
        <v>1930.04</v>
      </c>
      <c r="V2066">
        <v>0</v>
      </c>
      <c r="W2066" t="s">
        <v>29</v>
      </c>
      <c r="X2066" t="str">
        <f>IF(Table2[[#This Row],[Qty available]]&gt;Table2[[#This Row],[Qty on hand]],"Check","OK")</f>
        <v>OK</v>
      </c>
    </row>
    <row r="2067" spans="1:24" x14ac:dyDescent="0.3">
      <c r="A2067" t="s">
        <v>233</v>
      </c>
      <c r="B2067" t="s">
        <v>234</v>
      </c>
      <c r="C2067" t="s">
        <v>91</v>
      </c>
      <c r="D2067" t="s">
        <v>92</v>
      </c>
      <c r="E2067" t="s">
        <v>66</v>
      </c>
      <c r="F2067" s="1" t="s">
        <v>30</v>
      </c>
      <c r="G2067" s="2">
        <v>12.09</v>
      </c>
      <c r="H2067">
        <v>13.21</v>
      </c>
      <c r="I2067">
        <v>12.35928</v>
      </c>
      <c r="J2067">
        <v>17.079999999999998</v>
      </c>
      <c r="K2067">
        <v>38</v>
      </c>
      <c r="M2067">
        <v>0</v>
      </c>
      <c r="N2067" s="2">
        <v>514</v>
      </c>
      <c r="O2067">
        <v>6352.67</v>
      </c>
      <c r="P2067">
        <v>72</v>
      </c>
      <c r="Q2067">
        <v>442</v>
      </c>
      <c r="R2067">
        <v>14.75</v>
      </c>
      <c r="S2067">
        <v>0</v>
      </c>
      <c r="T2067">
        <v>247</v>
      </c>
      <c r="U2067" s="2">
        <v>4218.76</v>
      </c>
      <c r="V2067">
        <v>0</v>
      </c>
      <c r="W2067" t="s">
        <v>29</v>
      </c>
      <c r="X2067" t="str">
        <f>IF(Table2[[#This Row],[Qty available]]&gt;Table2[[#This Row],[Qty on hand]],"Check","OK")</f>
        <v>OK</v>
      </c>
    </row>
    <row r="2068" spans="1:24" x14ac:dyDescent="0.3">
      <c r="A2068" t="s">
        <v>233</v>
      </c>
      <c r="B2068" t="s">
        <v>234</v>
      </c>
      <c r="C2068" t="s">
        <v>91</v>
      </c>
      <c r="D2068" t="s">
        <v>92</v>
      </c>
      <c r="E2068" t="s">
        <v>66</v>
      </c>
      <c r="F2068" s="1" t="s">
        <v>31</v>
      </c>
      <c r="G2068" s="2">
        <v>12.16</v>
      </c>
      <c r="H2068">
        <v>13.29</v>
      </c>
      <c r="I2068">
        <v>12.35927</v>
      </c>
      <c r="J2068">
        <v>17.079999999999998</v>
      </c>
      <c r="K2068">
        <v>38</v>
      </c>
      <c r="M2068">
        <v>0</v>
      </c>
      <c r="N2068" s="2">
        <v>274</v>
      </c>
      <c r="O2068">
        <v>3386.44</v>
      </c>
      <c r="P2068">
        <v>29</v>
      </c>
      <c r="Q2068">
        <v>245</v>
      </c>
      <c r="R2068">
        <v>5.94</v>
      </c>
      <c r="S2068">
        <v>0</v>
      </c>
      <c r="T2068">
        <v>240</v>
      </c>
      <c r="U2068" s="2">
        <v>4099.2</v>
      </c>
      <c r="V2068">
        <v>0</v>
      </c>
      <c r="W2068" t="s">
        <v>29</v>
      </c>
      <c r="X2068" t="str">
        <f>IF(Table2[[#This Row],[Qty available]]&gt;Table2[[#This Row],[Qty on hand]],"Check","OK")</f>
        <v>OK</v>
      </c>
    </row>
    <row r="2069" spans="1:24" x14ac:dyDescent="0.3">
      <c r="A2069" t="s">
        <v>233</v>
      </c>
      <c r="B2069" t="s">
        <v>234</v>
      </c>
      <c r="C2069" t="s">
        <v>91</v>
      </c>
      <c r="D2069" t="s">
        <v>92</v>
      </c>
      <c r="E2069" t="s">
        <v>66</v>
      </c>
      <c r="F2069" s="1" t="s">
        <v>32</v>
      </c>
      <c r="G2069" s="2">
        <v>12.17</v>
      </c>
      <c r="H2069">
        <v>13.3</v>
      </c>
      <c r="I2069">
        <v>12.803352</v>
      </c>
      <c r="J2069">
        <v>17.079999999999998</v>
      </c>
      <c r="K2069">
        <v>38</v>
      </c>
      <c r="L2069" s="2">
        <v>37</v>
      </c>
      <c r="M2069">
        <v>245</v>
      </c>
      <c r="N2069" s="2">
        <v>361</v>
      </c>
      <c r="O2069">
        <v>4622.01</v>
      </c>
      <c r="P2069">
        <v>72</v>
      </c>
      <c r="Q2069">
        <v>289</v>
      </c>
      <c r="R2069">
        <v>7.36</v>
      </c>
      <c r="S2069">
        <v>1</v>
      </c>
      <c r="T2069">
        <v>158</v>
      </c>
      <c r="U2069" s="2">
        <v>2698.64</v>
      </c>
      <c r="V2069">
        <v>0</v>
      </c>
      <c r="W2069" t="s">
        <v>29</v>
      </c>
      <c r="X2069" t="str">
        <f>IF(Table2[[#This Row],[Qty available]]&gt;Table2[[#This Row],[Qty on hand]],"Check","OK")</f>
        <v>OK</v>
      </c>
    </row>
    <row r="2070" spans="1:24" x14ac:dyDescent="0.3">
      <c r="A2070" t="s">
        <v>233</v>
      </c>
      <c r="B2070" t="s">
        <v>234</v>
      </c>
      <c r="C2070" t="s">
        <v>91</v>
      </c>
      <c r="D2070" t="s">
        <v>92</v>
      </c>
      <c r="E2070" t="s">
        <v>66</v>
      </c>
      <c r="F2070" s="1" t="s">
        <v>33</v>
      </c>
      <c r="G2070" s="2">
        <v>11.96</v>
      </c>
      <c r="H2070">
        <v>13.07</v>
      </c>
      <c r="I2070">
        <v>12.816015</v>
      </c>
      <c r="J2070">
        <v>17.079999999999998</v>
      </c>
      <c r="K2070">
        <v>38</v>
      </c>
      <c r="L2070" s="2">
        <v>50</v>
      </c>
      <c r="M2070">
        <v>18</v>
      </c>
      <c r="N2070" s="2">
        <v>261</v>
      </c>
      <c r="O2070">
        <v>3344.98</v>
      </c>
      <c r="P2070">
        <v>57</v>
      </c>
      <c r="Q2070">
        <v>204</v>
      </c>
      <c r="R2070">
        <v>6.65</v>
      </c>
      <c r="S2070">
        <v>1</v>
      </c>
      <c r="T2070">
        <v>118</v>
      </c>
      <c r="U2070" s="2">
        <v>2015.44</v>
      </c>
      <c r="V2070">
        <v>0</v>
      </c>
      <c r="W2070" t="s">
        <v>29</v>
      </c>
      <c r="X2070" t="str">
        <f>IF(Table2[[#This Row],[Qty available]]&gt;Table2[[#This Row],[Qty on hand]],"Check","OK")</f>
        <v>OK</v>
      </c>
    </row>
    <row r="2071" spans="1:24" x14ac:dyDescent="0.3">
      <c r="A2071" t="s">
        <v>233</v>
      </c>
      <c r="B2071" t="s">
        <v>234</v>
      </c>
      <c r="C2071" t="s">
        <v>91</v>
      </c>
      <c r="D2071" t="s">
        <v>92</v>
      </c>
      <c r="E2071" t="s">
        <v>66</v>
      </c>
      <c r="F2071" s="1" t="s">
        <v>34</v>
      </c>
      <c r="G2071" s="2">
        <v>11.92</v>
      </c>
      <c r="H2071">
        <v>13.02</v>
      </c>
      <c r="I2071">
        <v>12.912658</v>
      </c>
      <c r="J2071">
        <v>17.690000000000001</v>
      </c>
      <c r="K2071">
        <v>38</v>
      </c>
      <c r="L2071" s="2">
        <v>37</v>
      </c>
      <c r="M2071">
        <v>235</v>
      </c>
      <c r="N2071" s="2">
        <v>316</v>
      </c>
      <c r="O2071">
        <v>4080.4</v>
      </c>
      <c r="P2071">
        <v>21</v>
      </c>
      <c r="Q2071">
        <v>295</v>
      </c>
      <c r="R2071">
        <v>8.91</v>
      </c>
      <c r="S2071">
        <v>0</v>
      </c>
      <c r="T2071">
        <v>180</v>
      </c>
      <c r="U2071" s="2">
        <v>3184.2</v>
      </c>
      <c r="V2071">
        <v>0</v>
      </c>
      <c r="W2071" t="s">
        <v>29</v>
      </c>
      <c r="X2071" t="str">
        <f>IF(Table2[[#This Row],[Qty available]]&gt;Table2[[#This Row],[Qty on hand]],"Check","OK")</f>
        <v>OK</v>
      </c>
    </row>
    <row r="2072" spans="1:24" x14ac:dyDescent="0.3">
      <c r="A2072" t="s">
        <v>233</v>
      </c>
      <c r="B2072" t="s">
        <v>234</v>
      </c>
      <c r="C2072" t="s">
        <v>91</v>
      </c>
      <c r="D2072" t="s">
        <v>92</v>
      </c>
      <c r="E2072" t="s">
        <v>66</v>
      </c>
      <c r="F2072" s="1" t="s">
        <v>35</v>
      </c>
      <c r="G2072" s="2">
        <v>11.95</v>
      </c>
      <c r="H2072">
        <v>13.06</v>
      </c>
      <c r="I2072">
        <v>12.999617000000001</v>
      </c>
      <c r="J2072">
        <v>17.690000000000001</v>
      </c>
      <c r="K2072">
        <v>38</v>
      </c>
      <c r="L2072" s="2">
        <v>54</v>
      </c>
      <c r="M2072">
        <v>455</v>
      </c>
      <c r="N2072" s="2">
        <v>392</v>
      </c>
      <c r="O2072">
        <v>5095.8500000000004</v>
      </c>
      <c r="P2072">
        <v>43</v>
      </c>
      <c r="Q2072">
        <v>349</v>
      </c>
      <c r="R2072">
        <v>7.44</v>
      </c>
      <c r="S2072">
        <v>0</v>
      </c>
      <c r="T2072">
        <v>379</v>
      </c>
      <c r="U2072" s="2">
        <v>6704.51</v>
      </c>
      <c r="V2072">
        <v>0</v>
      </c>
      <c r="W2072" t="s">
        <v>29</v>
      </c>
      <c r="X2072" t="str">
        <f>IF(Table2[[#This Row],[Qty available]]&gt;Table2[[#This Row],[Qty on hand]],"Check","OK")</f>
        <v>OK</v>
      </c>
    </row>
    <row r="2073" spans="1:24" x14ac:dyDescent="0.3">
      <c r="A2073" t="s">
        <v>233</v>
      </c>
      <c r="B2073" t="s">
        <v>234</v>
      </c>
      <c r="C2073" t="s">
        <v>91</v>
      </c>
      <c r="D2073" t="s">
        <v>92</v>
      </c>
      <c r="E2073" t="s">
        <v>66</v>
      </c>
      <c r="F2073" s="1" t="s">
        <v>36</v>
      </c>
      <c r="G2073" s="2">
        <v>11.99</v>
      </c>
      <c r="H2073">
        <v>13.1</v>
      </c>
      <c r="I2073">
        <v>13.012938999999999</v>
      </c>
      <c r="J2073">
        <v>17.690000000000001</v>
      </c>
      <c r="K2073">
        <v>38</v>
      </c>
      <c r="L2073" s="2">
        <v>36</v>
      </c>
      <c r="M2073">
        <v>60</v>
      </c>
      <c r="N2073" s="2">
        <v>330</v>
      </c>
      <c r="O2073">
        <v>4294.2700000000004</v>
      </c>
      <c r="P2073">
        <v>64</v>
      </c>
      <c r="Q2073">
        <v>266</v>
      </c>
      <c r="R2073">
        <v>6.16</v>
      </c>
      <c r="S2073">
        <v>0</v>
      </c>
      <c r="T2073">
        <v>122</v>
      </c>
      <c r="U2073" s="2">
        <v>2158.1799999999998</v>
      </c>
      <c r="V2073">
        <v>0</v>
      </c>
      <c r="W2073" t="s">
        <v>29</v>
      </c>
      <c r="X2073" t="str">
        <f>IF(Table2[[#This Row],[Qty available]]&gt;Table2[[#This Row],[Qty on hand]],"Check","OK")</f>
        <v>OK</v>
      </c>
    </row>
    <row r="2074" spans="1:24" x14ac:dyDescent="0.3">
      <c r="A2074" t="s">
        <v>233</v>
      </c>
      <c r="B2074" t="s">
        <v>234</v>
      </c>
      <c r="C2074" t="s">
        <v>91</v>
      </c>
      <c r="D2074" t="s">
        <v>92</v>
      </c>
      <c r="E2074" t="s">
        <v>66</v>
      </c>
      <c r="F2074" s="1" t="s">
        <v>37</v>
      </c>
      <c r="G2074" s="2">
        <v>12.14</v>
      </c>
      <c r="H2074">
        <v>13.27</v>
      </c>
      <c r="I2074">
        <v>13.012935000000001</v>
      </c>
      <c r="J2074">
        <v>17.690000000000001</v>
      </c>
      <c r="K2074">
        <v>38</v>
      </c>
      <c r="M2074">
        <v>0</v>
      </c>
      <c r="N2074" s="2">
        <v>310</v>
      </c>
      <c r="O2074">
        <v>4034.01</v>
      </c>
      <c r="P2074">
        <v>29</v>
      </c>
      <c r="Q2074">
        <v>281</v>
      </c>
      <c r="R2074">
        <v>7.82</v>
      </c>
      <c r="S2074">
        <v>4</v>
      </c>
      <c r="T2074">
        <v>20</v>
      </c>
      <c r="U2074" s="2">
        <v>353.8</v>
      </c>
      <c r="V2074">
        <v>0</v>
      </c>
      <c r="W2074" t="s">
        <v>29</v>
      </c>
      <c r="X2074" t="str">
        <f>IF(Table2[[#This Row],[Qty available]]&gt;Table2[[#This Row],[Qty on hand]],"Check","OK")</f>
        <v>OK</v>
      </c>
    </row>
    <row r="2075" spans="1:24" x14ac:dyDescent="0.3">
      <c r="A2075" t="s">
        <v>233</v>
      </c>
      <c r="B2075" t="s">
        <v>234</v>
      </c>
      <c r="C2075" t="s">
        <v>91</v>
      </c>
      <c r="D2075" t="s">
        <v>92</v>
      </c>
      <c r="E2075" t="s">
        <v>66</v>
      </c>
      <c r="F2075" s="1" t="s">
        <v>38</v>
      </c>
      <c r="G2075" s="2">
        <v>12.05</v>
      </c>
      <c r="H2075">
        <v>13.17</v>
      </c>
      <c r="I2075">
        <v>13.098929</v>
      </c>
      <c r="J2075">
        <v>17.690000000000001</v>
      </c>
      <c r="K2075">
        <v>38</v>
      </c>
      <c r="L2075" s="2">
        <v>62</v>
      </c>
      <c r="M2075">
        <v>375</v>
      </c>
      <c r="N2075" s="2">
        <v>495</v>
      </c>
      <c r="O2075">
        <v>6483.97</v>
      </c>
      <c r="P2075">
        <v>64</v>
      </c>
      <c r="Q2075">
        <v>431</v>
      </c>
      <c r="R2075">
        <v>19.38</v>
      </c>
      <c r="S2075">
        <v>2</v>
      </c>
      <c r="T2075">
        <v>190</v>
      </c>
      <c r="U2075" s="2">
        <v>3361.1</v>
      </c>
      <c r="V2075">
        <v>0</v>
      </c>
      <c r="W2075" t="s">
        <v>29</v>
      </c>
      <c r="X2075" t="str">
        <f>IF(Table2[[#This Row],[Qty available]]&gt;Table2[[#This Row],[Qty on hand]],"Check","OK")</f>
        <v>OK</v>
      </c>
    </row>
    <row r="2076" spans="1:24" x14ac:dyDescent="0.3">
      <c r="A2076" t="s">
        <v>233</v>
      </c>
      <c r="B2076" t="s">
        <v>234</v>
      </c>
      <c r="C2076" t="s">
        <v>91</v>
      </c>
      <c r="D2076" t="s">
        <v>92</v>
      </c>
      <c r="E2076" t="s">
        <v>66</v>
      </c>
      <c r="F2076" s="1" t="s">
        <v>39</v>
      </c>
      <c r="G2076" s="2">
        <v>11.84</v>
      </c>
      <c r="H2076">
        <v>12.94</v>
      </c>
      <c r="I2076">
        <v>13.049409000000001</v>
      </c>
      <c r="J2076">
        <v>17.690000000000001</v>
      </c>
      <c r="K2076">
        <v>38</v>
      </c>
      <c r="L2076" s="2">
        <v>34</v>
      </c>
      <c r="M2076">
        <v>224</v>
      </c>
      <c r="N2076" s="2">
        <v>440</v>
      </c>
      <c r="O2076">
        <v>5741.74</v>
      </c>
      <c r="P2076">
        <v>43</v>
      </c>
      <c r="Q2076">
        <v>397</v>
      </c>
      <c r="R2076">
        <v>11.83</v>
      </c>
      <c r="S2076">
        <v>0</v>
      </c>
      <c r="T2076">
        <v>279</v>
      </c>
      <c r="U2076" s="2">
        <v>4935.51</v>
      </c>
      <c r="V2076">
        <v>0</v>
      </c>
      <c r="W2076" t="s">
        <v>29</v>
      </c>
      <c r="X2076" t="str">
        <f>IF(Table2[[#This Row],[Qty available]]&gt;Table2[[#This Row],[Qty on hand]],"Check","OK")</f>
        <v>OK</v>
      </c>
    </row>
    <row r="2077" spans="1:24" x14ac:dyDescent="0.3">
      <c r="A2077" t="s">
        <v>233</v>
      </c>
      <c r="B2077" t="s">
        <v>234</v>
      </c>
      <c r="C2077" t="s">
        <v>91</v>
      </c>
      <c r="D2077" t="s">
        <v>92</v>
      </c>
      <c r="E2077" t="s">
        <v>66</v>
      </c>
      <c r="F2077" s="1" t="s">
        <v>40</v>
      </c>
      <c r="G2077" s="2">
        <v>11.91</v>
      </c>
      <c r="H2077">
        <v>13.01</v>
      </c>
      <c r="I2077">
        <v>13.03553</v>
      </c>
      <c r="J2077">
        <v>17.690000000000001</v>
      </c>
      <c r="K2077">
        <v>38</v>
      </c>
      <c r="L2077" s="2">
        <v>36</v>
      </c>
      <c r="M2077">
        <v>239</v>
      </c>
      <c r="N2077" s="2">
        <v>472</v>
      </c>
      <c r="O2077">
        <v>6152.77</v>
      </c>
      <c r="P2077">
        <v>43</v>
      </c>
      <c r="Q2077">
        <v>429</v>
      </c>
      <c r="R2077">
        <v>9.18</v>
      </c>
      <c r="S2077">
        <v>1</v>
      </c>
      <c r="T2077">
        <v>207</v>
      </c>
      <c r="U2077" s="2">
        <v>3661.83</v>
      </c>
      <c r="V2077">
        <v>0</v>
      </c>
      <c r="W2077" t="s">
        <v>29</v>
      </c>
      <c r="X2077" t="str">
        <f>IF(Table2[[#This Row],[Qty available]]&gt;Table2[[#This Row],[Qty on hand]],"Check","OK")</f>
        <v>OK</v>
      </c>
    </row>
    <row r="2078" spans="1:24" x14ac:dyDescent="0.3">
      <c r="A2078" t="s">
        <v>233</v>
      </c>
      <c r="B2078" t="s">
        <v>234</v>
      </c>
      <c r="C2078" t="s">
        <v>91</v>
      </c>
      <c r="D2078" t="s">
        <v>92</v>
      </c>
      <c r="E2078" t="s">
        <v>66</v>
      </c>
      <c r="F2078" s="1" t="s">
        <v>41</v>
      </c>
      <c r="G2078" s="2">
        <v>11.8</v>
      </c>
      <c r="H2078">
        <v>12.89</v>
      </c>
      <c r="I2078">
        <v>13.035543000000001</v>
      </c>
      <c r="J2078">
        <v>17.690000000000001</v>
      </c>
      <c r="K2078">
        <v>38</v>
      </c>
      <c r="M2078">
        <v>0</v>
      </c>
      <c r="N2078" s="2">
        <v>184</v>
      </c>
      <c r="O2078">
        <v>2398.54</v>
      </c>
      <c r="P2078">
        <v>43</v>
      </c>
      <c r="Q2078">
        <v>141</v>
      </c>
      <c r="R2078">
        <v>3.12</v>
      </c>
      <c r="S2078">
        <v>1</v>
      </c>
      <c r="T2078">
        <v>288</v>
      </c>
      <c r="U2078" s="2">
        <v>5094.72</v>
      </c>
      <c r="V2078">
        <v>0</v>
      </c>
      <c r="W2078" t="s">
        <v>29</v>
      </c>
      <c r="X2078" t="str">
        <f>IF(Table2[[#This Row],[Qty available]]&gt;Table2[[#This Row],[Qty on hand]],"Check","OK")</f>
        <v>OK</v>
      </c>
    </row>
    <row r="2079" spans="1:24" x14ac:dyDescent="0.3">
      <c r="A2079" t="s">
        <v>233</v>
      </c>
      <c r="B2079" t="s">
        <v>234</v>
      </c>
      <c r="C2079" t="s">
        <v>91</v>
      </c>
      <c r="D2079" t="s">
        <v>92</v>
      </c>
      <c r="E2079" t="s">
        <v>66</v>
      </c>
      <c r="F2079" s="1" t="s">
        <v>42</v>
      </c>
      <c r="G2079" s="2">
        <v>12.46</v>
      </c>
      <c r="H2079">
        <v>13.61</v>
      </c>
      <c r="I2079">
        <v>13.372472999999999</v>
      </c>
      <c r="J2079">
        <v>17.690000000000001</v>
      </c>
      <c r="K2079">
        <v>38</v>
      </c>
      <c r="L2079" s="2">
        <v>43</v>
      </c>
      <c r="M2079">
        <v>261</v>
      </c>
      <c r="N2079" s="2">
        <v>186</v>
      </c>
      <c r="O2079">
        <v>2487.2800000000002</v>
      </c>
      <c r="P2079">
        <v>43</v>
      </c>
      <c r="Q2079">
        <v>143</v>
      </c>
      <c r="R2079">
        <v>3.24</v>
      </c>
      <c r="S2079">
        <v>1</v>
      </c>
      <c r="T2079">
        <v>259</v>
      </c>
      <c r="U2079" s="2">
        <v>4581.71</v>
      </c>
      <c r="V2079">
        <v>0</v>
      </c>
      <c r="W2079" t="s">
        <v>29</v>
      </c>
      <c r="X2079" t="str">
        <f>IF(Table2[[#This Row],[Qty available]]&gt;Table2[[#This Row],[Qty on hand]],"Check","OK")</f>
        <v>OK</v>
      </c>
    </row>
    <row r="2080" spans="1:24" x14ac:dyDescent="0.3">
      <c r="A2080" t="s">
        <v>233</v>
      </c>
      <c r="B2080" t="s">
        <v>234</v>
      </c>
      <c r="C2080" t="s">
        <v>91</v>
      </c>
      <c r="D2080" t="s">
        <v>92</v>
      </c>
      <c r="E2080" t="s">
        <v>66</v>
      </c>
      <c r="F2080" s="1" t="s">
        <v>43</v>
      </c>
      <c r="G2080" s="2">
        <v>12.85</v>
      </c>
      <c r="H2080">
        <v>14.04</v>
      </c>
      <c r="I2080">
        <v>13.807499999999999</v>
      </c>
      <c r="J2080">
        <v>17.690000000000001</v>
      </c>
      <c r="K2080">
        <v>38</v>
      </c>
      <c r="L2080" s="2">
        <v>34</v>
      </c>
      <c r="M2080">
        <v>348</v>
      </c>
      <c r="N2080" s="2">
        <v>316</v>
      </c>
      <c r="O2080">
        <v>4363.17</v>
      </c>
      <c r="P2080">
        <v>36</v>
      </c>
      <c r="Q2080">
        <v>280</v>
      </c>
      <c r="R2080">
        <v>5.37</v>
      </c>
      <c r="S2080">
        <v>2</v>
      </c>
      <c r="T2080">
        <v>218</v>
      </c>
      <c r="U2080" s="2">
        <v>3856.42</v>
      </c>
      <c r="V2080">
        <v>0</v>
      </c>
      <c r="W2080" t="s">
        <v>29</v>
      </c>
      <c r="X2080" t="str">
        <f>IF(Table2[[#This Row],[Qty available]]&gt;Table2[[#This Row],[Qty on hand]],"Check","OK")</f>
        <v>OK</v>
      </c>
    </row>
    <row r="2081" spans="1:24" x14ac:dyDescent="0.3">
      <c r="A2081" t="s">
        <v>233</v>
      </c>
      <c r="B2081" t="s">
        <v>234</v>
      </c>
      <c r="C2081" t="s">
        <v>91</v>
      </c>
      <c r="D2081" t="s">
        <v>92</v>
      </c>
      <c r="E2081" t="s">
        <v>66</v>
      </c>
      <c r="F2081" s="1" t="s">
        <v>44</v>
      </c>
      <c r="G2081" s="2">
        <v>12.89</v>
      </c>
      <c r="H2081">
        <v>14.08</v>
      </c>
      <c r="I2081">
        <v>13.807454999999999</v>
      </c>
      <c r="J2081">
        <v>17.690000000000001</v>
      </c>
      <c r="K2081">
        <v>38</v>
      </c>
      <c r="M2081">
        <v>0</v>
      </c>
      <c r="N2081" s="2">
        <v>110</v>
      </c>
      <c r="O2081">
        <v>1518.82</v>
      </c>
      <c r="P2081">
        <v>72</v>
      </c>
      <c r="Q2081">
        <v>38</v>
      </c>
      <c r="R2081">
        <v>2.12</v>
      </c>
      <c r="S2081">
        <v>0</v>
      </c>
      <c r="T2081">
        <v>206</v>
      </c>
      <c r="U2081" s="2">
        <v>3644.14</v>
      </c>
      <c r="V2081">
        <v>0</v>
      </c>
      <c r="W2081" t="s">
        <v>29</v>
      </c>
      <c r="X2081" t="str">
        <f>IF(Table2[[#This Row],[Qty available]]&gt;Table2[[#This Row],[Qty on hand]],"Check","OK")</f>
        <v>OK</v>
      </c>
    </row>
    <row r="2082" spans="1:24" x14ac:dyDescent="0.3">
      <c r="A2082" t="s">
        <v>233</v>
      </c>
      <c r="B2082" t="s">
        <v>234</v>
      </c>
      <c r="C2082" t="s">
        <v>91</v>
      </c>
      <c r="D2082" t="s">
        <v>92</v>
      </c>
      <c r="E2082" t="s">
        <v>66</v>
      </c>
      <c r="F2082" s="1" t="s">
        <v>45</v>
      </c>
      <c r="G2082" s="2">
        <v>12.86</v>
      </c>
      <c r="H2082">
        <v>14.05</v>
      </c>
      <c r="I2082">
        <v>14.019472</v>
      </c>
      <c r="J2082">
        <v>17.690000000000001</v>
      </c>
      <c r="K2082">
        <v>38</v>
      </c>
      <c r="L2082" s="2">
        <v>35</v>
      </c>
      <c r="M2082">
        <v>764</v>
      </c>
      <c r="N2082" s="2">
        <v>757</v>
      </c>
      <c r="O2082">
        <v>10612.74</v>
      </c>
      <c r="P2082">
        <v>57</v>
      </c>
      <c r="Q2082">
        <v>700</v>
      </c>
      <c r="R2082">
        <v>18.39</v>
      </c>
      <c r="S2082">
        <v>2</v>
      </c>
      <c r="T2082">
        <v>117</v>
      </c>
      <c r="U2082" s="2">
        <v>2069.73</v>
      </c>
      <c r="V2082">
        <v>0</v>
      </c>
      <c r="W2082" t="s">
        <v>29</v>
      </c>
      <c r="X2082" t="str">
        <f>IF(Table2[[#This Row],[Qty available]]&gt;Table2[[#This Row],[Qty on hand]],"Check","OK")</f>
        <v>OK</v>
      </c>
    </row>
    <row r="2083" spans="1:24" x14ac:dyDescent="0.3">
      <c r="A2083" t="s">
        <v>233</v>
      </c>
      <c r="B2083" t="s">
        <v>234</v>
      </c>
      <c r="C2083" t="s">
        <v>91</v>
      </c>
      <c r="D2083" t="s">
        <v>92</v>
      </c>
      <c r="E2083" t="s">
        <v>66</v>
      </c>
      <c r="F2083" s="1" t="s">
        <v>46</v>
      </c>
      <c r="G2083" s="2">
        <v>12.7</v>
      </c>
      <c r="H2083">
        <v>13.88</v>
      </c>
      <c r="I2083">
        <v>14.019469000000001</v>
      </c>
      <c r="J2083">
        <v>18.32</v>
      </c>
      <c r="K2083">
        <v>38</v>
      </c>
      <c r="M2083">
        <v>0</v>
      </c>
      <c r="N2083" s="2">
        <v>490</v>
      </c>
      <c r="O2083">
        <v>6869.54</v>
      </c>
      <c r="P2083">
        <v>64</v>
      </c>
      <c r="Q2083">
        <v>426</v>
      </c>
      <c r="R2083">
        <v>10.68</v>
      </c>
      <c r="S2083">
        <v>0</v>
      </c>
      <c r="T2083">
        <v>267</v>
      </c>
      <c r="U2083" s="2">
        <v>4891.4399999999996</v>
      </c>
      <c r="V2083">
        <v>0</v>
      </c>
      <c r="W2083" t="s">
        <v>29</v>
      </c>
      <c r="X2083" t="str">
        <f>IF(Table2[[#This Row],[Qty available]]&gt;Table2[[#This Row],[Qty on hand]],"Check","OK")</f>
        <v>OK</v>
      </c>
    </row>
    <row r="2084" spans="1:24" x14ac:dyDescent="0.3">
      <c r="A2084" t="s">
        <v>233</v>
      </c>
      <c r="B2084" t="s">
        <v>234</v>
      </c>
      <c r="C2084" t="s">
        <v>91</v>
      </c>
      <c r="D2084" t="s">
        <v>92</v>
      </c>
      <c r="E2084" t="s">
        <v>66</v>
      </c>
      <c r="F2084" s="1" t="s">
        <v>47</v>
      </c>
      <c r="G2084" s="2">
        <v>12.57</v>
      </c>
      <c r="H2084">
        <v>13.73</v>
      </c>
      <c r="I2084">
        <v>13.960635999999999</v>
      </c>
      <c r="J2084">
        <v>18.32</v>
      </c>
      <c r="K2084">
        <v>38</v>
      </c>
      <c r="L2084" s="2">
        <v>37</v>
      </c>
      <c r="M2084">
        <v>125</v>
      </c>
      <c r="N2084" s="2">
        <v>393</v>
      </c>
      <c r="O2084">
        <v>5486.53</v>
      </c>
      <c r="P2084">
        <v>43</v>
      </c>
      <c r="Q2084">
        <v>350</v>
      </c>
      <c r="R2084">
        <v>8.34</v>
      </c>
      <c r="S2084">
        <v>0</v>
      </c>
      <c r="T2084">
        <v>222</v>
      </c>
      <c r="U2084" s="2">
        <v>4067.04</v>
      </c>
      <c r="V2084">
        <v>0</v>
      </c>
      <c r="W2084" t="s">
        <v>29</v>
      </c>
      <c r="X2084" t="str">
        <f>IF(Table2[[#This Row],[Qty available]]&gt;Table2[[#This Row],[Qty on hand]],"Check","OK")</f>
        <v>OK</v>
      </c>
    </row>
    <row r="2085" spans="1:24" x14ac:dyDescent="0.3">
      <c r="A2085" t="s">
        <v>233</v>
      </c>
      <c r="B2085" t="s">
        <v>234</v>
      </c>
      <c r="C2085" t="s">
        <v>91</v>
      </c>
      <c r="D2085" t="s">
        <v>92</v>
      </c>
      <c r="E2085" t="s">
        <v>66</v>
      </c>
      <c r="F2085" s="1" t="s">
        <v>48</v>
      </c>
      <c r="G2085" s="2">
        <v>12.86</v>
      </c>
      <c r="H2085">
        <v>14.05</v>
      </c>
      <c r="I2085">
        <v>13.960660000000001</v>
      </c>
      <c r="J2085">
        <v>18.32</v>
      </c>
      <c r="K2085">
        <v>38</v>
      </c>
      <c r="M2085">
        <v>0</v>
      </c>
      <c r="N2085" s="2">
        <v>106</v>
      </c>
      <c r="O2085">
        <v>1479.83</v>
      </c>
      <c r="P2085">
        <v>36</v>
      </c>
      <c r="Q2085">
        <v>70</v>
      </c>
      <c r="R2085">
        <v>1.74</v>
      </c>
      <c r="S2085">
        <v>0</v>
      </c>
      <c r="T2085">
        <v>287</v>
      </c>
      <c r="U2085" s="2">
        <v>5257.84</v>
      </c>
      <c r="V2085">
        <v>0</v>
      </c>
      <c r="W2085" t="s">
        <v>29</v>
      </c>
      <c r="X2085" t="str">
        <f>IF(Table2[[#This Row],[Qty available]]&gt;Table2[[#This Row],[Qty on hand]],"Check","OK")</f>
        <v>OK</v>
      </c>
    </row>
    <row r="2086" spans="1:24" x14ac:dyDescent="0.3">
      <c r="A2086" t="s">
        <v>233</v>
      </c>
      <c r="B2086" t="s">
        <v>234</v>
      </c>
      <c r="C2086" t="s">
        <v>91</v>
      </c>
      <c r="D2086" t="s">
        <v>92</v>
      </c>
      <c r="E2086" t="s">
        <v>66</v>
      </c>
      <c r="F2086" s="1" t="s">
        <v>49</v>
      </c>
      <c r="G2086" s="2">
        <v>12.86</v>
      </c>
      <c r="H2086">
        <v>14.05</v>
      </c>
      <c r="I2086">
        <v>14.034663</v>
      </c>
      <c r="J2086">
        <v>18.32</v>
      </c>
      <c r="K2086">
        <v>38</v>
      </c>
      <c r="L2086" s="2">
        <v>32</v>
      </c>
      <c r="M2086">
        <v>512</v>
      </c>
      <c r="N2086" s="2">
        <v>356</v>
      </c>
      <c r="O2086">
        <v>4996.34</v>
      </c>
      <c r="P2086">
        <v>29</v>
      </c>
      <c r="Q2086">
        <v>327</v>
      </c>
      <c r="R2086">
        <v>6.07</v>
      </c>
      <c r="S2086">
        <v>0</v>
      </c>
      <c r="T2086">
        <v>262</v>
      </c>
      <c r="U2086" s="2">
        <v>4799.84</v>
      </c>
      <c r="V2086">
        <v>0</v>
      </c>
      <c r="W2086" t="s">
        <v>29</v>
      </c>
      <c r="X2086" t="str">
        <f>IF(Table2[[#This Row],[Qty available]]&gt;Table2[[#This Row],[Qty on hand]],"Check","OK")</f>
        <v>OK</v>
      </c>
    </row>
    <row r="2087" spans="1:24" x14ac:dyDescent="0.3">
      <c r="A2087" t="s">
        <v>233</v>
      </c>
      <c r="B2087" t="s">
        <v>234</v>
      </c>
      <c r="C2087" t="s">
        <v>91</v>
      </c>
      <c r="D2087" t="s">
        <v>92</v>
      </c>
      <c r="E2087" t="s">
        <v>66</v>
      </c>
      <c r="F2087" s="1" t="s">
        <v>50</v>
      </c>
      <c r="G2087" s="2">
        <v>12.86</v>
      </c>
      <c r="H2087">
        <v>14.05</v>
      </c>
      <c r="I2087">
        <v>14.041111000000001</v>
      </c>
      <c r="J2087">
        <v>18.32</v>
      </c>
      <c r="K2087">
        <v>38</v>
      </c>
      <c r="L2087" s="2">
        <v>47</v>
      </c>
      <c r="M2087">
        <v>258</v>
      </c>
      <c r="N2087" s="2">
        <v>234</v>
      </c>
      <c r="O2087">
        <v>3285.62</v>
      </c>
      <c r="P2087">
        <v>50</v>
      </c>
      <c r="Q2087">
        <v>184</v>
      </c>
      <c r="R2087">
        <v>3.27</v>
      </c>
      <c r="S2087">
        <v>1</v>
      </c>
      <c r="T2087">
        <v>380</v>
      </c>
      <c r="U2087" s="2">
        <v>6961.6</v>
      </c>
      <c r="V2087">
        <v>0</v>
      </c>
      <c r="W2087" t="s">
        <v>29</v>
      </c>
      <c r="X2087" t="str">
        <f>IF(Table2[[#This Row],[Qty available]]&gt;Table2[[#This Row],[Qty on hand]],"Check","OK")</f>
        <v>OK</v>
      </c>
    </row>
    <row r="2088" spans="1:24" x14ac:dyDescent="0.3">
      <c r="A2088" t="s">
        <v>233</v>
      </c>
      <c r="B2088" t="s">
        <v>234</v>
      </c>
      <c r="C2088" t="s">
        <v>91</v>
      </c>
      <c r="D2088" t="s">
        <v>92</v>
      </c>
      <c r="E2088" t="s">
        <v>66</v>
      </c>
      <c r="F2088" s="1" t="s">
        <v>51</v>
      </c>
      <c r="G2088" s="2">
        <v>12.92</v>
      </c>
      <c r="H2088">
        <v>14.12</v>
      </c>
      <c r="I2088">
        <v>14.074206999999999</v>
      </c>
      <c r="J2088">
        <v>18.32</v>
      </c>
      <c r="K2088">
        <v>38</v>
      </c>
      <c r="L2088" s="2">
        <v>35</v>
      </c>
      <c r="M2088">
        <v>169</v>
      </c>
      <c r="N2088" s="2">
        <v>328</v>
      </c>
      <c r="O2088">
        <v>4616.34</v>
      </c>
      <c r="P2088">
        <v>57</v>
      </c>
      <c r="Q2088">
        <v>271</v>
      </c>
      <c r="R2088">
        <v>6.01</v>
      </c>
      <c r="S2088">
        <v>0</v>
      </c>
      <c r="T2088">
        <v>75</v>
      </c>
      <c r="U2088" s="2">
        <v>1374</v>
      </c>
      <c r="V2088">
        <v>0</v>
      </c>
      <c r="W2088" t="s">
        <v>29</v>
      </c>
      <c r="X2088" t="str">
        <f>IF(Table2[[#This Row],[Qty available]]&gt;Table2[[#This Row],[Qty on hand]],"Check","OK")</f>
        <v>OK</v>
      </c>
    </row>
    <row r="2089" spans="1:24" x14ac:dyDescent="0.3">
      <c r="A2089" t="s">
        <v>233</v>
      </c>
      <c r="B2089" t="s">
        <v>234</v>
      </c>
      <c r="C2089" t="s">
        <v>91</v>
      </c>
      <c r="D2089" t="s">
        <v>92</v>
      </c>
      <c r="E2089" t="s">
        <v>66</v>
      </c>
      <c r="F2089" s="1" t="s">
        <v>52</v>
      </c>
      <c r="G2089" s="2">
        <v>12.92</v>
      </c>
      <c r="H2089">
        <v>14.12</v>
      </c>
      <c r="I2089">
        <v>14.101542</v>
      </c>
      <c r="J2089">
        <v>18.32</v>
      </c>
      <c r="K2089">
        <v>38</v>
      </c>
      <c r="L2089" s="2">
        <v>33</v>
      </c>
      <c r="M2089">
        <v>486</v>
      </c>
      <c r="N2089" s="2">
        <v>577</v>
      </c>
      <c r="O2089">
        <v>8136.59</v>
      </c>
      <c r="P2089">
        <v>29</v>
      </c>
      <c r="Q2089">
        <v>548</v>
      </c>
      <c r="R2089">
        <v>10.96</v>
      </c>
      <c r="S2089">
        <v>2</v>
      </c>
      <c r="T2089">
        <v>237</v>
      </c>
      <c r="U2089" s="2">
        <v>4341.84</v>
      </c>
      <c r="V2089">
        <v>0</v>
      </c>
      <c r="W2089" t="s">
        <v>29</v>
      </c>
      <c r="X2089" t="str">
        <f>IF(Table2[[#This Row],[Qty available]]&gt;Table2[[#This Row],[Qty on hand]],"Check","OK")</f>
        <v>OK</v>
      </c>
    </row>
    <row r="2090" spans="1:24" x14ac:dyDescent="0.3">
      <c r="A2090" t="s">
        <v>235</v>
      </c>
      <c r="B2090" t="s">
        <v>236</v>
      </c>
      <c r="C2090" t="s">
        <v>77</v>
      </c>
      <c r="D2090" t="s">
        <v>78</v>
      </c>
      <c r="E2090" t="s">
        <v>27</v>
      </c>
      <c r="F2090" s="1" t="s">
        <v>28</v>
      </c>
      <c r="G2090" s="2">
        <v>131.03</v>
      </c>
      <c r="H2090">
        <v>143.47999999999999</v>
      </c>
      <c r="I2090">
        <v>143.54499999999999</v>
      </c>
      <c r="J2090">
        <v>200.87</v>
      </c>
      <c r="K2090">
        <v>56</v>
      </c>
      <c r="L2090" s="2">
        <v>52</v>
      </c>
      <c r="M2090">
        <v>3</v>
      </c>
      <c r="N2090" s="2">
        <v>18</v>
      </c>
      <c r="O2090">
        <v>2583.81</v>
      </c>
      <c r="P2090">
        <v>0</v>
      </c>
      <c r="Q2090">
        <v>18</v>
      </c>
      <c r="R2090">
        <v>59.14</v>
      </c>
      <c r="S2090">
        <v>11</v>
      </c>
      <c r="T2090">
        <v>2</v>
      </c>
      <c r="U2090" s="2">
        <v>401.74</v>
      </c>
      <c r="V2090">
        <v>0</v>
      </c>
      <c r="W2090" t="s">
        <v>29</v>
      </c>
      <c r="X2090" t="str">
        <f>IF(Table2[[#This Row],[Qty available]]&gt;Table2[[#This Row],[Qty on hand]],"Check","OK")</f>
        <v>OK</v>
      </c>
    </row>
    <row r="2091" spans="1:24" x14ac:dyDescent="0.3">
      <c r="A2091" t="s">
        <v>235</v>
      </c>
      <c r="B2091" t="s">
        <v>236</v>
      </c>
      <c r="C2091" t="s">
        <v>77</v>
      </c>
      <c r="D2091" t="s">
        <v>78</v>
      </c>
      <c r="E2091" t="s">
        <v>27</v>
      </c>
      <c r="F2091" s="1" t="s">
        <v>30</v>
      </c>
      <c r="G2091" s="2">
        <v>133.93</v>
      </c>
      <c r="H2091">
        <v>146.66</v>
      </c>
      <c r="I2091">
        <v>143.54499999999999</v>
      </c>
      <c r="J2091">
        <v>200.87</v>
      </c>
      <c r="K2091">
        <v>56</v>
      </c>
      <c r="M2091">
        <v>0</v>
      </c>
      <c r="N2091" s="2">
        <v>16</v>
      </c>
      <c r="O2091">
        <v>2296.7199999999998</v>
      </c>
      <c r="P2091">
        <v>0</v>
      </c>
      <c r="Q2091">
        <v>16</v>
      </c>
      <c r="R2091">
        <v>42.06</v>
      </c>
      <c r="S2091">
        <v>24</v>
      </c>
      <c r="T2091">
        <v>2</v>
      </c>
      <c r="U2091" s="2">
        <v>401.74</v>
      </c>
      <c r="V2091">
        <v>0</v>
      </c>
      <c r="W2091" t="s">
        <v>29</v>
      </c>
      <c r="X2091" t="str">
        <f>IF(Table2[[#This Row],[Qty available]]&gt;Table2[[#This Row],[Qty on hand]],"Check","OK")</f>
        <v>OK</v>
      </c>
    </row>
    <row r="2092" spans="1:24" x14ac:dyDescent="0.3">
      <c r="A2092" t="s">
        <v>235</v>
      </c>
      <c r="B2092" t="s">
        <v>236</v>
      </c>
      <c r="C2092" t="s">
        <v>77</v>
      </c>
      <c r="D2092" t="s">
        <v>78</v>
      </c>
      <c r="E2092" t="s">
        <v>27</v>
      </c>
      <c r="F2092" s="1" t="s">
        <v>31</v>
      </c>
      <c r="G2092" s="2">
        <v>133.81</v>
      </c>
      <c r="H2092">
        <v>146.52000000000001</v>
      </c>
      <c r="I2092">
        <v>143.54461499999999</v>
      </c>
      <c r="J2092">
        <v>200.87</v>
      </c>
      <c r="K2092">
        <v>56</v>
      </c>
      <c r="M2092">
        <v>0</v>
      </c>
      <c r="N2092" s="2">
        <v>13</v>
      </c>
      <c r="O2092">
        <v>1866.08</v>
      </c>
      <c r="P2092">
        <v>1</v>
      </c>
      <c r="Q2092">
        <v>12</v>
      </c>
      <c r="R2092">
        <v>24.14</v>
      </c>
      <c r="S2092">
        <v>27</v>
      </c>
      <c r="T2092">
        <v>3</v>
      </c>
      <c r="U2092" s="2">
        <v>602.61</v>
      </c>
      <c r="V2092">
        <v>0</v>
      </c>
      <c r="W2092" t="s">
        <v>29</v>
      </c>
      <c r="X2092" t="str">
        <f>IF(Table2[[#This Row],[Qty available]]&gt;Table2[[#This Row],[Qty on hand]],"Check","OK")</f>
        <v>OK</v>
      </c>
    </row>
    <row r="2093" spans="1:24" x14ac:dyDescent="0.3">
      <c r="A2093" t="s">
        <v>235</v>
      </c>
      <c r="B2093" t="s">
        <v>236</v>
      </c>
      <c r="C2093" t="s">
        <v>77</v>
      </c>
      <c r="D2093" t="s">
        <v>78</v>
      </c>
      <c r="E2093" t="s">
        <v>27</v>
      </c>
      <c r="F2093" s="1" t="s">
        <v>32</v>
      </c>
      <c r="G2093" s="2">
        <v>129.93</v>
      </c>
      <c r="H2093">
        <v>142.28</v>
      </c>
      <c r="I2093">
        <v>143.101765</v>
      </c>
      <c r="J2093">
        <v>200.87</v>
      </c>
      <c r="K2093">
        <v>56</v>
      </c>
      <c r="L2093" s="2">
        <v>49</v>
      </c>
      <c r="M2093">
        <v>7</v>
      </c>
      <c r="N2093" s="2">
        <v>17</v>
      </c>
      <c r="O2093">
        <v>2432.73</v>
      </c>
      <c r="P2093">
        <v>1</v>
      </c>
      <c r="Q2093">
        <v>16</v>
      </c>
      <c r="R2093">
        <v>27.93</v>
      </c>
      <c r="S2093">
        <v>14</v>
      </c>
      <c r="T2093">
        <v>3</v>
      </c>
      <c r="U2093" s="2">
        <v>602.61</v>
      </c>
      <c r="V2093">
        <v>0</v>
      </c>
      <c r="W2093" t="s">
        <v>29</v>
      </c>
      <c r="X2093" t="str">
        <f>IF(Table2[[#This Row],[Qty available]]&gt;Table2[[#This Row],[Qty on hand]],"Check","OK")</f>
        <v>OK</v>
      </c>
    </row>
    <row r="2094" spans="1:24" x14ac:dyDescent="0.3">
      <c r="A2094" t="s">
        <v>235</v>
      </c>
      <c r="B2094" t="s">
        <v>236</v>
      </c>
      <c r="C2094" t="s">
        <v>77</v>
      </c>
      <c r="D2094" t="s">
        <v>78</v>
      </c>
      <c r="E2094" t="s">
        <v>27</v>
      </c>
      <c r="F2094" s="1" t="s">
        <v>33</v>
      </c>
      <c r="G2094" s="2">
        <v>131.38</v>
      </c>
      <c r="H2094">
        <v>143.86000000000001</v>
      </c>
      <c r="I2094">
        <v>143.101429</v>
      </c>
      <c r="J2094">
        <v>200.87</v>
      </c>
      <c r="K2094">
        <v>56</v>
      </c>
      <c r="M2094">
        <v>0</v>
      </c>
      <c r="N2094" s="2">
        <v>14</v>
      </c>
      <c r="O2094">
        <v>2003.42</v>
      </c>
      <c r="P2094">
        <v>1</v>
      </c>
      <c r="Q2094">
        <v>13</v>
      </c>
      <c r="R2094">
        <v>20.440000000000001</v>
      </c>
      <c r="S2094">
        <v>11</v>
      </c>
      <c r="T2094">
        <v>3</v>
      </c>
      <c r="U2094" s="2">
        <v>602.61</v>
      </c>
      <c r="V2094">
        <v>0</v>
      </c>
      <c r="W2094" t="s">
        <v>29</v>
      </c>
      <c r="X2094" t="str">
        <f>IF(Table2[[#This Row],[Qty available]]&gt;Table2[[#This Row],[Qty on hand]],"Check","OK")</f>
        <v>OK</v>
      </c>
    </row>
    <row r="2095" spans="1:24" x14ac:dyDescent="0.3">
      <c r="A2095" t="s">
        <v>235</v>
      </c>
      <c r="B2095" t="s">
        <v>236</v>
      </c>
      <c r="C2095" t="s">
        <v>77</v>
      </c>
      <c r="D2095" t="s">
        <v>78</v>
      </c>
      <c r="E2095" t="s">
        <v>27</v>
      </c>
      <c r="F2095" s="1" t="s">
        <v>34</v>
      </c>
      <c r="G2095" s="2">
        <v>132.25</v>
      </c>
      <c r="H2095">
        <v>144.82</v>
      </c>
      <c r="I2095">
        <v>143.55357100000001</v>
      </c>
      <c r="J2095">
        <v>206.44</v>
      </c>
      <c r="K2095">
        <v>56</v>
      </c>
      <c r="L2095" s="2">
        <v>53</v>
      </c>
      <c r="M2095">
        <v>5</v>
      </c>
      <c r="N2095" s="2">
        <v>14</v>
      </c>
      <c r="O2095">
        <v>2009.75</v>
      </c>
      <c r="P2095">
        <v>1</v>
      </c>
      <c r="Q2095">
        <v>13</v>
      </c>
      <c r="R2095">
        <v>16.36</v>
      </c>
      <c r="S2095">
        <v>8</v>
      </c>
      <c r="T2095">
        <v>5</v>
      </c>
      <c r="U2095" s="2">
        <v>1032.2</v>
      </c>
      <c r="V2095">
        <v>0</v>
      </c>
      <c r="W2095" t="s">
        <v>29</v>
      </c>
      <c r="X2095" t="str">
        <f>IF(Table2[[#This Row],[Qty available]]&gt;Table2[[#This Row],[Qty on hand]],"Check","OK")</f>
        <v>OK</v>
      </c>
    </row>
    <row r="2096" spans="1:24" x14ac:dyDescent="0.3">
      <c r="A2096" t="s">
        <v>235</v>
      </c>
      <c r="B2096" t="s">
        <v>236</v>
      </c>
      <c r="C2096" t="s">
        <v>77</v>
      </c>
      <c r="D2096" t="s">
        <v>78</v>
      </c>
      <c r="E2096" t="s">
        <v>27</v>
      </c>
      <c r="F2096" s="1" t="s">
        <v>35</v>
      </c>
      <c r="G2096" s="2">
        <v>138.03</v>
      </c>
      <c r="H2096">
        <v>151.15</v>
      </c>
      <c r="I2096">
        <v>143.55363600000001</v>
      </c>
      <c r="J2096">
        <v>206.44</v>
      </c>
      <c r="K2096">
        <v>56</v>
      </c>
      <c r="M2096">
        <v>0</v>
      </c>
      <c r="N2096" s="2">
        <v>11</v>
      </c>
      <c r="O2096">
        <v>1579.09</v>
      </c>
      <c r="P2096">
        <v>1</v>
      </c>
      <c r="Q2096">
        <v>10</v>
      </c>
      <c r="R2096">
        <v>12.86</v>
      </c>
      <c r="S2096">
        <v>18</v>
      </c>
      <c r="T2096">
        <v>3</v>
      </c>
      <c r="U2096" s="2">
        <v>619.32000000000005</v>
      </c>
      <c r="V2096">
        <v>0</v>
      </c>
      <c r="W2096" t="s">
        <v>29</v>
      </c>
      <c r="X2096" t="str">
        <f>IF(Table2[[#This Row],[Qty available]]&gt;Table2[[#This Row],[Qty on hand]],"Check","OK")</f>
        <v>OK</v>
      </c>
    </row>
    <row r="2097" spans="1:24" x14ac:dyDescent="0.3">
      <c r="A2097" t="s">
        <v>235</v>
      </c>
      <c r="B2097" t="s">
        <v>236</v>
      </c>
      <c r="C2097" t="s">
        <v>77</v>
      </c>
      <c r="D2097" t="s">
        <v>78</v>
      </c>
      <c r="E2097" t="s">
        <v>27</v>
      </c>
      <c r="F2097" s="1" t="s">
        <v>36</v>
      </c>
      <c r="G2097" s="2">
        <v>140.96</v>
      </c>
      <c r="H2097">
        <v>154.35</v>
      </c>
      <c r="I2097">
        <v>148.69499999999999</v>
      </c>
      <c r="J2097">
        <v>206.44</v>
      </c>
      <c r="K2097">
        <v>56</v>
      </c>
      <c r="L2097" s="2">
        <v>48</v>
      </c>
      <c r="M2097">
        <v>10</v>
      </c>
      <c r="N2097" s="2">
        <v>18</v>
      </c>
      <c r="O2097">
        <v>2676.51</v>
      </c>
      <c r="P2097">
        <v>1</v>
      </c>
      <c r="Q2097">
        <v>17</v>
      </c>
      <c r="R2097">
        <v>20.81</v>
      </c>
      <c r="S2097">
        <v>10</v>
      </c>
      <c r="T2097">
        <v>3</v>
      </c>
      <c r="U2097" s="2">
        <v>619.32000000000005</v>
      </c>
      <c r="V2097">
        <v>0</v>
      </c>
      <c r="W2097" t="s">
        <v>29</v>
      </c>
      <c r="X2097" t="str">
        <f>IF(Table2[[#This Row],[Qty available]]&gt;Table2[[#This Row],[Qty on hand]],"Check","OK")</f>
        <v>OK</v>
      </c>
    </row>
    <row r="2098" spans="1:24" x14ac:dyDescent="0.3">
      <c r="A2098" t="s">
        <v>235</v>
      </c>
      <c r="B2098" t="s">
        <v>236</v>
      </c>
      <c r="C2098" t="s">
        <v>77</v>
      </c>
      <c r="D2098" t="s">
        <v>78</v>
      </c>
      <c r="E2098" t="s">
        <v>27</v>
      </c>
      <c r="F2098" s="1" t="s">
        <v>37</v>
      </c>
      <c r="G2098" s="2">
        <v>141.41</v>
      </c>
      <c r="H2098">
        <v>154.85</v>
      </c>
      <c r="I2098">
        <v>148.69499999999999</v>
      </c>
      <c r="J2098">
        <v>206.44</v>
      </c>
      <c r="K2098">
        <v>56</v>
      </c>
      <c r="M2098">
        <v>0</v>
      </c>
      <c r="N2098" s="2">
        <v>14</v>
      </c>
      <c r="O2098">
        <v>2081.73</v>
      </c>
      <c r="P2098">
        <v>1</v>
      </c>
      <c r="Q2098">
        <v>13</v>
      </c>
      <c r="R2098">
        <v>18.399999999999999</v>
      </c>
      <c r="S2098">
        <v>1</v>
      </c>
      <c r="T2098">
        <v>4</v>
      </c>
      <c r="U2098" s="2">
        <v>825.76</v>
      </c>
      <c r="V2098">
        <v>0</v>
      </c>
      <c r="W2098" t="s">
        <v>29</v>
      </c>
      <c r="X2098" t="str">
        <f>IF(Table2[[#This Row],[Qty available]]&gt;Table2[[#This Row],[Qty on hand]],"Check","OK")</f>
        <v>OK</v>
      </c>
    </row>
    <row r="2099" spans="1:24" x14ac:dyDescent="0.3">
      <c r="A2099" t="s">
        <v>235</v>
      </c>
      <c r="B2099" t="s">
        <v>236</v>
      </c>
      <c r="C2099" t="s">
        <v>77</v>
      </c>
      <c r="D2099" t="s">
        <v>78</v>
      </c>
      <c r="E2099" t="s">
        <v>27</v>
      </c>
      <c r="F2099" s="1" t="s">
        <v>38</v>
      </c>
      <c r="G2099" s="2">
        <v>141.09</v>
      </c>
      <c r="H2099">
        <v>154.5</v>
      </c>
      <c r="I2099">
        <v>148.69454500000001</v>
      </c>
      <c r="J2099">
        <v>206.44</v>
      </c>
      <c r="K2099">
        <v>56</v>
      </c>
      <c r="M2099">
        <v>0</v>
      </c>
      <c r="N2099" s="2">
        <v>11</v>
      </c>
      <c r="O2099">
        <v>1635.64</v>
      </c>
      <c r="P2099">
        <v>1</v>
      </c>
      <c r="Q2099">
        <v>10</v>
      </c>
      <c r="R2099">
        <v>14.3</v>
      </c>
      <c r="S2099">
        <v>1</v>
      </c>
      <c r="T2099">
        <v>3</v>
      </c>
      <c r="U2099" s="2">
        <v>619.32000000000005</v>
      </c>
      <c r="V2099">
        <v>0</v>
      </c>
      <c r="W2099" t="s">
        <v>29</v>
      </c>
      <c r="X2099" t="str">
        <f>IF(Table2[[#This Row],[Qty available]]&gt;Table2[[#This Row],[Qty on hand]],"Check","OK")</f>
        <v>OK</v>
      </c>
    </row>
    <row r="2100" spans="1:24" x14ac:dyDescent="0.3">
      <c r="A2100" t="s">
        <v>235</v>
      </c>
      <c r="B2100" t="s">
        <v>236</v>
      </c>
      <c r="C2100" t="s">
        <v>77</v>
      </c>
      <c r="D2100" t="s">
        <v>78</v>
      </c>
      <c r="E2100" t="s">
        <v>27</v>
      </c>
      <c r="F2100" s="1" t="s">
        <v>39</v>
      </c>
      <c r="G2100" s="2">
        <v>140.80000000000001</v>
      </c>
      <c r="H2100">
        <v>154.18</v>
      </c>
      <c r="I2100">
        <v>150.63062500000001</v>
      </c>
      <c r="J2100">
        <v>206.44</v>
      </c>
      <c r="K2100">
        <v>56</v>
      </c>
      <c r="L2100" s="2">
        <v>49</v>
      </c>
      <c r="M2100">
        <v>6</v>
      </c>
      <c r="N2100" s="2">
        <v>16</v>
      </c>
      <c r="O2100">
        <v>2410.09</v>
      </c>
      <c r="P2100">
        <v>0</v>
      </c>
      <c r="Q2100">
        <v>16</v>
      </c>
      <c r="R2100">
        <v>26.29</v>
      </c>
      <c r="S2100">
        <v>27</v>
      </c>
      <c r="T2100">
        <v>1</v>
      </c>
      <c r="U2100" s="2">
        <v>206.44</v>
      </c>
      <c r="V2100">
        <v>0</v>
      </c>
      <c r="W2100" t="s">
        <v>29</v>
      </c>
      <c r="X2100" t="str">
        <f>IF(Table2[[#This Row],[Qty available]]&gt;Table2[[#This Row],[Qty on hand]],"Check","OK")</f>
        <v>OK</v>
      </c>
    </row>
    <row r="2101" spans="1:24" x14ac:dyDescent="0.3">
      <c r="A2101" t="s">
        <v>235</v>
      </c>
      <c r="B2101" t="s">
        <v>236</v>
      </c>
      <c r="C2101" t="s">
        <v>77</v>
      </c>
      <c r="D2101" t="s">
        <v>78</v>
      </c>
      <c r="E2101" t="s">
        <v>27</v>
      </c>
      <c r="F2101" s="1" t="s">
        <v>40</v>
      </c>
      <c r="G2101" s="2">
        <v>140.68</v>
      </c>
      <c r="H2101">
        <v>154.05000000000001</v>
      </c>
      <c r="I2101">
        <v>150.63076899999999</v>
      </c>
      <c r="J2101">
        <v>206.44</v>
      </c>
      <c r="K2101">
        <v>56</v>
      </c>
      <c r="M2101">
        <v>0</v>
      </c>
      <c r="N2101" s="2">
        <v>13</v>
      </c>
      <c r="O2101">
        <v>1958.2</v>
      </c>
      <c r="P2101">
        <v>0</v>
      </c>
      <c r="Q2101">
        <v>13</v>
      </c>
      <c r="R2101">
        <v>24.41</v>
      </c>
      <c r="S2101">
        <v>2</v>
      </c>
      <c r="T2101">
        <v>3</v>
      </c>
      <c r="U2101" s="2">
        <v>619.32000000000005</v>
      </c>
      <c r="V2101">
        <v>0</v>
      </c>
      <c r="W2101" t="s">
        <v>29</v>
      </c>
      <c r="X2101" t="str">
        <f>IF(Table2[[#This Row],[Qty available]]&gt;Table2[[#This Row],[Qty on hand]],"Check","OK")</f>
        <v>OK</v>
      </c>
    </row>
    <row r="2102" spans="1:24" x14ac:dyDescent="0.3">
      <c r="A2102" t="s">
        <v>235</v>
      </c>
      <c r="B2102" t="s">
        <v>236</v>
      </c>
      <c r="C2102" t="s">
        <v>77</v>
      </c>
      <c r="D2102" t="s">
        <v>78</v>
      </c>
      <c r="E2102" t="s">
        <v>27</v>
      </c>
      <c r="F2102" s="1" t="s">
        <v>41</v>
      </c>
      <c r="G2102" s="2">
        <v>142.09</v>
      </c>
      <c r="H2102">
        <v>155.59</v>
      </c>
      <c r="I2102">
        <v>150.630909</v>
      </c>
      <c r="J2102">
        <v>206.44</v>
      </c>
      <c r="K2102">
        <v>56</v>
      </c>
      <c r="M2102">
        <v>0</v>
      </c>
      <c r="N2102" s="2">
        <v>11</v>
      </c>
      <c r="O2102">
        <v>1656.94</v>
      </c>
      <c r="P2102">
        <v>1</v>
      </c>
      <c r="Q2102">
        <v>10</v>
      </c>
      <c r="R2102">
        <v>24.1</v>
      </c>
      <c r="S2102">
        <v>9</v>
      </c>
      <c r="T2102">
        <v>2</v>
      </c>
      <c r="U2102" s="2">
        <v>412.88</v>
      </c>
      <c r="V2102">
        <v>0</v>
      </c>
      <c r="W2102" t="s">
        <v>29</v>
      </c>
      <c r="X2102" t="str">
        <f>IF(Table2[[#This Row],[Qty available]]&gt;Table2[[#This Row],[Qty on hand]],"Check","OK")</f>
        <v>OK</v>
      </c>
    </row>
    <row r="2103" spans="1:24" x14ac:dyDescent="0.3">
      <c r="A2103" t="s">
        <v>235</v>
      </c>
      <c r="B2103" t="s">
        <v>236</v>
      </c>
      <c r="C2103" t="s">
        <v>77</v>
      </c>
      <c r="D2103" t="s">
        <v>78</v>
      </c>
      <c r="E2103" t="s">
        <v>27</v>
      </c>
      <c r="F2103" s="1" t="s">
        <v>42</v>
      </c>
      <c r="G2103" s="2">
        <v>139.91999999999999</v>
      </c>
      <c r="H2103">
        <v>153.22</v>
      </c>
      <c r="I2103">
        <v>151.18545499999999</v>
      </c>
      <c r="J2103">
        <v>206.44</v>
      </c>
      <c r="K2103">
        <v>56</v>
      </c>
      <c r="L2103" s="2">
        <v>50</v>
      </c>
      <c r="M2103">
        <v>3</v>
      </c>
      <c r="N2103" s="2">
        <v>11</v>
      </c>
      <c r="O2103">
        <v>1663.04</v>
      </c>
      <c r="P2103">
        <v>1</v>
      </c>
      <c r="Q2103">
        <v>10</v>
      </c>
      <c r="R2103">
        <v>18.07</v>
      </c>
      <c r="S2103">
        <v>0</v>
      </c>
      <c r="T2103">
        <v>3</v>
      </c>
      <c r="U2103" s="2">
        <v>619.32000000000005</v>
      </c>
      <c r="V2103">
        <v>0</v>
      </c>
      <c r="W2103" t="s">
        <v>29</v>
      </c>
      <c r="X2103" t="str">
        <f>IF(Table2[[#This Row],[Qty available]]&gt;Table2[[#This Row],[Qty on hand]],"Check","OK")</f>
        <v>OK</v>
      </c>
    </row>
    <row r="2104" spans="1:24" x14ac:dyDescent="0.3">
      <c r="A2104" t="s">
        <v>235</v>
      </c>
      <c r="B2104" t="s">
        <v>236</v>
      </c>
      <c r="C2104" t="s">
        <v>77</v>
      </c>
      <c r="D2104" t="s">
        <v>78</v>
      </c>
      <c r="E2104" t="s">
        <v>27</v>
      </c>
      <c r="F2104" s="1" t="s">
        <v>43</v>
      </c>
      <c r="G2104" s="2">
        <v>137.94999999999999</v>
      </c>
      <c r="H2104">
        <v>151.06</v>
      </c>
      <c r="I2104">
        <v>151.185</v>
      </c>
      <c r="J2104">
        <v>206.44</v>
      </c>
      <c r="K2104">
        <v>56</v>
      </c>
      <c r="M2104">
        <v>0</v>
      </c>
      <c r="N2104" s="2">
        <v>8</v>
      </c>
      <c r="O2104">
        <v>1209.48</v>
      </c>
      <c r="P2104">
        <v>1</v>
      </c>
      <c r="Q2104">
        <v>7</v>
      </c>
      <c r="R2104">
        <v>13</v>
      </c>
      <c r="S2104">
        <v>15</v>
      </c>
      <c r="T2104">
        <v>3</v>
      </c>
      <c r="U2104" s="2">
        <v>619.32000000000005</v>
      </c>
      <c r="V2104">
        <v>0</v>
      </c>
      <c r="W2104" t="s">
        <v>29</v>
      </c>
      <c r="X2104" t="str">
        <f>IF(Table2[[#This Row],[Qty available]]&gt;Table2[[#This Row],[Qty on hand]],"Check","OK")</f>
        <v>OK</v>
      </c>
    </row>
    <row r="2105" spans="1:24" x14ac:dyDescent="0.3">
      <c r="A2105" t="s">
        <v>235</v>
      </c>
      <c r="B2105" t="s">
        <v>236</v>
      </c>
      <c r="C2105" t="s">
        <v>77</v>
      </c>
      <c r="D2105" t="s">
        <v>78</v>
      </c>
      <c r="E2105" t="s">
        <v>27</v>
      </c>
      <c r="F2105" s="1" t="s">
        <v>44</v>
      </c>
      <c r="G2105" s="2">
        <v>142.25</v>
      </c>
      <c r="H2105">
        <v>155.77000000000001</v>
      </c>
      <c r="I2105">
        <v>153.324444</v>
      </c>
      <c r="J2105">
        <v>206.44</v>
      </c>
      <c r="K2105">
        <v>56</v>
      </c>
      <c r="L2105" s="2">
        <v>68</v>
      </c>
      <c r="M2105">
        <v>7</v>
      </c>
      <c r="N2105" s="2">
        <v>9</v>
      </c>
      <c r="O2105">
        <v>1379.92</v>
      </c>
      <c r="P2105">
        <v>0</v>
      </c>
      <c r="Q2105">
        <v>9</v>
      </c>
      <c r="R2105">
        <v>9.86</v>
      </c>
      <c r="S2105">
        <v>8</v>
      </c>
      <c r="T2105">
        <v>6</v>
      </c>
      <c r="U2105" s="2">
        <v>1238.6400000000001</v>
      </c>
      <c r="V2105">
        <v>0</v>
      </c>
      <c r="W2105" t="s">
        <v>29</v>
      </c>
      <c r="X2105" t="str">
        <f>IF(Table2[[#This Row],[Qty available]]&gt;Table2[[#This Row],[Qty on hand]],"Check","OK")</f>
        <v>OK</v>
      </c>
    </row>
    <row r="2106" spans="1:24" x14ac:dyDescent="0.3">
      <c r="A2106" t="s">
        <v>235</v>
      </c>
      <c r="B2106" t="s">
        <v>236</v>
      </c>
      <c r="C2106" t="s">
        <v>77</v>
      </c>
      <c r="D2106" t="s">
        <v>78</v>
      </c>
      <c r="E2106" t="s">
        <v>27</v>
      </c>
      <c r="F2106" s="1" t="s">
        <v>45</v>
      </c>
      <c r="G2106" s="2">
        <v>140.43</v>
      </c>
      <c r="H2106">
        <v>153.77000000000001</v>
      </c>
      <c r="I2106">
        <v>153.32499999999999</v>
      </c>
      <c r="J2106">
        <v>206.44</v>
      </c>
      <c r="K2106">
        <v>56</v>
      </c>
      <c r="M2106">
        <v>0</v>
      </c>
      <c r="N2106" s="2">
        <v>4</v>
      </c>
      <c r="O2106">
        <v>613.29999999999995</v>
      </c>
      <c r="P2106">
        <v>1</v>
      </c>
      <c r="Q2106">
        <v>3</v>
      </c>
      <c r="R2106">
        <v>3.76</v>
      </c>
      <c r="S2106">
        <v>3</v>
      </c>
      <c r="T2106">
        <v>5</v>
      </c>
      <c r="U2106" s="2">
        <v>1032.2</v>
      </c>
      <c r="V2106">
        <v>0</v>
      </c>
      <c r="W2106" t="s">
        <v>29</v>
      </c>
      <c r="X2106" t="str">
        <f>IF(Table2[[#This Row],[Qty available]]&gt;Table2[[#This Row],[Qty on hand]],"Check","OK")</f>
        <v>OK</v>
      </c>
    </row>
    <row r="2107" spans="1:24" x14ac:dyDescent="0.3">
      <c r="A2107" t="s">
        <v>235</v>
      </c>
      <c r="B2107" t="s">
        <v>236</v>
      </c>
      <c r="C2107" t="s">
        <v>77</v>
      </c>
      <c r="D2107" t="s">
        <v>78</v>
      </c>
      <c r="E2107" t="s">
        <v>27</v>
      </c>
      <c r="F2107" s="1" t="s">
        <v>46</v>
      </c>
      <c r="G2107" s="2">
        <v>137.36000000000001</v>
      </c>
      <c r="H2107">
        <v>150.41</v>
      </c>
      <c r="I2107">
        <v>151.306667</v>
      </c>
      <c r="J2107">
        <v>212.16</v>
      </c>
      <c r="K2107">
        <v>56</v>
      </c>
      <c r="L2107" s="2">
        <v>54</v>
      </c>
      <c r="M2107">
        <v>9</v>
      </c>
      <c r="N2107" s="2">
        <v>12</v>
      </c>
      <c r="O2107">
        <v>1815.68</v>
      </c>
      <c r="P2107">
        <v>1</v>
      </c>
      <c r="Q2107">
        <v>11</v>
      </c>
      <c r="R2107">
        <v>12.86</v>
      </c>
      <c r="S2107">
        <v>4</v>
      </c>
      <c r="T2107">
        <v>1</v>
      </c>
      <c r="U2107" s="2">
        <v>212.16</v>
      </c>
      <c r="V2107">
        <v>0</v>
      </c>
      <c r="W2107" t="s">
        <v>29</v>
      </c>
      <c r="X2107" t="str">
        <f>IF(Table2[[#This Row],[Qty available]]&gt;Table2[[#This Row],[Qty on hand]],"Check","OK")</f>
        <v>OK</v>
      </c>
    </row>
    <row r="2108" spans="1:24" x14ac:dyDescent="0.3">
      <c r="A2108" t="s">
        <v>235</v>
      </c>
      <c r="B2108" t="s">
        <v>236</v>
      </c>
      <c r="C2108" t="s">
        <v>77</v>
      </c>
      <c r="D2108" t="s">
        <v>78</v>
      </c>
      <c r="E2108" t="s">
        <v>27</v>
      </c>
      <c r="F2108" s="1" t="s">
        <v>47</v>
      </c>
      <c r="G2108" s="2">
        <v>149.03</v>
      </c>
      <c r="H2108">
        <v>163.19</v>
      </c>
      <c r="I2108">
        <v>157.24842100000001</v>
      </c>
      <c r="J2108">
        <v>212.16</v>
      </c>
      <c r="K2108">
        <v>56</v>
      </c>
      <c r="L2108" s="2">
        <v>51</v>
      </c>
      <c r="M2108">
        <v>12</v>
      </c>
      <c r="N2108" s="2">
        <v>19</v>
      </c>
      <c r="O2108">
        <v>2987.72</v>
      </c>
      <c r="P2108">
        <v>1</v>
      </c>
      <c r="Q2108">
        <v>18</v>
      </c>
      <c r="R2108">
        <v>22.21</v>
      </c>
      <c r="S2108">
        <v>13</v>
      </c>
      <c r="T2108">
        <v>5</v>
      </c>
      <c r="U2108" s="2">
        <v>1060.8</v>
      </c>
      <c r="V2108">
        <v>0</v>
      </c>
      <c r="W2108" t="s">
        <v>29</v>
      </c>
      <c r="X2108" t="str">
        <f>IF(Table2[[#This Row],[Qty available]]&gt;Table2[[#This Row],[Qty on hand]],"Check","OK")</f>
        <v>OK</v>
      </c>
    </row>
    <row r="2109" spans="1:24" x14ac:dyDescent="0.3">
      <c r="A2109" t="s">
        <v>235</v>
      </c>
      <c r="B2109" t="s">
        <v>236</v>
      </c>
      <c r="C2109" t="s">
        <v>77</v>
      </c>
      <c r="D2109" t="s">
        <v>78</v>
      </c>
      <c r="E2109" t="s">
        <v>27</v>
      </c>
      <c r="F2109" s="1" t="s">
        <v>48</v>
      </c>
      <c r="G2109" s="2">
        <v>151.09</v>
      </c>
      <c r="H2109">
        <v>165.45</v>
      </c>
      <c r="I2109">
        <v>157.24812499999999</v>
      </c>
      <c r="J2109">
        <v>212.16</v>
      </c>
      <c r="K2109">
        <v>56</v>
      </c>
      <c r="M2109">
        <v>0</v>
      </c>
      <c r="N2109" s="2">
        <v>16</v>
      </c>
      <c r="O2109">
        <v>2515.9699999999998</v>
      </c>
      <c r="P2109">
        <v>1</v>
      </c>
      <c r="Q2109">
        <v>15</v>
      </c>
      <c r="R2109">
        <v>22.6</v>
      </c>
      <c r="S2109">
        <v>21</v>
      </c>
      <c r="T2109">
        <v>3</v>
      </c>
      <c r="U2109" s="2">
        <v>636.48</v>
      </c>
      <c r="V2109">
        <v>0</v>
      </c>
      <c r="W2109" t="s">
        <v>29</v>
      </c>
      <c r="X2109" t="str">
        <f>IF(Table2[[#This Row],[Qty available]]&gt;Table2[[#This Row],[Qty on hand]],"Check","OK")</f>
        <v>OK</v>
      </c>
    </row>
    <row r="2110" spans="1:24" x14ac:dyDescent="0.3">
      <c r="A2110" t="s">
        <v>235</v>
      </c>
      <c r="B2110" t="s">
        <v>236</v>
      </c>
      <c r="C2110" t="s">
        <v>77</v>
      </c>
      <c r="D2110" t="s">
        <v>78</v>
      </c>
      <c r="E2110" t="s">
        <v>27</v>
      </c>
      <c r="F2110" s="1" t="s">
        <v>49</v>
      </c>
      <c r="G2110" s="2">
        <v>148.62</v>
      </c>
      <c r="H2110">
        <v>162.74</v>
      </c>
      <c r="I2110">
        <v>157.24785700000001</v>
      </c>
      <c r="J2110">
        <v>212.16</v>
      </c>
      <c r="K2110">
        <v>56</v>
      </c>
      <c r="M2110">
        <v>0</v>
      </c>
      <c r="N2110" s="2">
        <v>14</v>
      </c>
      <c r="O2110">
        <v>2201.4699999999998</v>
      </c>
      <c r="P2110">
        <v>0</v>
      </c>
      <c r="Q2110">
        <v>14</v>
      </c>
      <c r="R2110">
        <v>18.399999999999999</v>
      </c>
      <c r="S2110">
        <v>24</v>
      </c>
      <c r="T2110">
        <v>2</v>
      </c>
      <c r="U2110" s="2">
        <v>424.32</v>
      </c>
      <c r="V2110">
        <v>0</v>
      </c>
      <c r="W2110" t="s">
        <v>29</v>
      </c>
      <c r="X2110" t="str">
        <f>IF(Table2[[#This Row],[Qty available]]&gt;Table2[[#This Row],[Qty on hand]],"Check","OK")</f>
        <v>OK</v>
      </c>
    </row>
    <row r="2111" spans="1:24" x14ac:dyDescent="0.3">
      <c r="A2111" t="s">
        <v>235</v>
      </c>
      <c r="B2111" t="s">
        <v>236</v>
      </c>
      <c r="C2111" t="s">
        <v>77</v>
      </c>
      <c r="D2111" t="s">
        <v>78</v>
      </c>
      <c r="E2111" t="s">
        <v>27</v>
      </c>
      <c r="F2111" s="1" t="s">
        <v>50</v>
      </c>
      <c r="G2111" s="2">
        <v>148.30000000000001</v>
      </c>
      <c r="H2111">
        <v>162.38999999999999</v>
      </c>
      <c r="I2111">
        <v>157.24785700000001</v>
      </c>
      <c r="J2111">
        <v>212.16</v>
      </c>
      <c r="K2111">
        <v>56</v>
      </c>
      <c r="M2111">
        <v>0</v>
      </c>
      <c r="N2111" s="2">
        <v>14</v>
      </c>
      <c r="O2111">
        <v>2201.4699999999998</v>
      </c>
      <c r="P2111">
        <v>1</v>
      </c>
      <c r="Q2111">
        <v>13</v>
      </c>
      <c r="R2111">
        <v>36.4</v>
      </c>
      <c r="S2111">
        <v>54</v>
      </c>
      <c r="T2111">
        <v>0</v>
      </c>
      <c r="U2111" s="2">
        <v>0</v>
      </c>
      <c r="V2111">
        <v>0</v>
      </c>
      <c r="W2111" t="s">
        <v>29</v>
      </c>
      <c r="X2111" t="str">
        <f>IF(Table2[[#This Row],[Qty available]]&gt;Table2[[#This Row],[Qty on hand]],"Check","OK")</f>
        <v>OK</v>
      </c>
    </row>
    <row r="2112" spans="1:24" x14ac:dyDescent="0.3">
      <c r="A2112" t="s">
        <v>235</v>
      </c>
      <c r="B2112" t="s">
        <v>236</v>
      </c>
      <c r="C2112" t="s">
        <v>77</v>
      </c>
      <c r="D2112" t="s">
        <v>78</v>
      </c>
      <c r="E2112" t="s">
        <v>27</v>
      </c>
      <c r="F2112" s="1" t="s">
        <v>51</v>
      </c>
      <c r="G2112" s="2">
        <v>147.5</v>
      </c>
      <c r="H2112">
        <v>161.52000000000001</v>
      </c>
      <c r="I2112">
        <v>158.00200000000001</v>
      </c>
      <c r="J2112">
        <v>212.16</v>
      </c>
      <c r="K2112">
        <v>56</v>
      </c>
      <c r="L2112" s="2">
        <v>48</v>
      </c>
      <c r="M2112">
        <v>3</v>
      </c>
      <c r="N2112" s="2">
        <v>15</v>
      </c>
      <c r="O2112">
        <v>2370.0300000000002</v>
      </c>
      <c r="P2112">
        <v>1</v>
      </c>
      <c r="Q2112">
        <v>14</v>
      </c>
      <c r="R2112">
        <v>49.29</v>
      </c>
      <c r="S2112">
        <v>26</v>
      </c>
      <c r="T2112">
        <v>2</v>
      </c>
      <c r="U2112" s="2">
        <v>424.32</v>
      </c>
      <c r="V2112">
        <v>0</v>
      </c>
      <c r="W2112" t="s">
        <v>29</v>
      </c>
      <c r="X2112" t="str">
        <f>IF(Table2[[#This Row],[Qty available]]&gt;Table2[[#This Row],[Qty on hand]],"Check","OK")</f>
        <v>OK</v>
      </c>
    </row>
    <row r="2113" spans="1:24" x14ac:dyDescent="0.3">
      <c r="A2113" t="s">
        <v>235</v>
      </c>
      <c r="B2113" t="s">
        <v>236</v>
      </c>
      <c r="C2113" t="s">
        <v>77</v>
      </c>
      <c r="D2113" t="s">
        <v>78</v>
      </c>
      <c r="E2113" t="s">
        <v>27</v>
      </c>
      <c r="F2113" s="1" t="s">
        <v>52</v>
      </c>
      <c r="G2113" s="2">
        <v>147.79</v>
      </c>
      <c r="H2113">
        <v>161.83000000000001</v>
      </c>
      <c r="I2113">
        <v>158.63999999999999</v>
      </c>
      <c r="J2113">
        <v>212.16</v>
      </c>
      <c r="K2113">
        <v>56</v>
      </c>
      <c r="L2113" s="2">
        <v>100</v>
      </c>
      <c r="M2113">
        <v>3</v>
      </c>
      <c r="N2113" s="2">
        <v>15</v>
      </c>
      <c r="O2113">
        <v>2379.6</v>
      </c>
      <c r="P2113">
        <v>1</v>
      </c>
      <c r="Q2113">
        <v>14</v>
      </c>
      <c r="R2113">
        <v>39.43</v>
      </c>
      <c r="S2113">
        <v>0</v>
      </c>
      <c r="T2113">
        <v>3</v>
      </c>
      <c r="U2113" s="2">
        <v>636.48</v>
      </c>
      <c r="V2113">
        <v>0</v>
      </c>
      <c r="W2113" t="s">
        <v>29</v>
      </c>
      <c r="X2113" t="str">
        <f>IF(Table2[[#This Row],[Qty available]]&gt;Table2[[#This Row],[Qty on hand]],"Check","OK")</f>
        <v>OK</v>
      </c>
    </row>
    <row r="2114" spans="1:24" x14ac:dyDescent="0.3">
      <c r="A2114" t="s">
        <v>237</v>
      </c>
      <c r="B2114" t="s">
        <v>238</v>
      </c>
      <c r="C2114" t="s">
        <v>77</v>
      </c>
      <c r="D2114" t="s">
        <v>78</v>
      </c>
      <c r="E2114" t="s">
        <v>66</v>
      </c>
      <c r="F2114" s="1" t="s">
        <v>28</v>
      </c>
      <c r="G2114" s="2">
        <v>235.75</v>
      </c>
      <c r="H2114">
        <v>235.75</v>
      </c>
      <c r="I2114">
        <v>235.28573299999999</v>
      </c>
      <c r="J2114">
        <v>320.29000000000002</v>
      </c>
      <c r="K2114">
        <v>51</v>
      </c>
      <c r="L2114" s="2">
        <v>50</v>
      </c>
      <c r="M2114">
        <v>28</v>
      </c>
      <c r="N2114" s="2">
        <v>75</v>
      </c>
      <c r="O2114">
        <v>17646.43</v>
      </c>
      <c r="P2114">
        <v>11</v>
      </c>
      <c r="Q2114">
        <v>64</v>
      </c>
      <c r="R2114">
        <v>9.2100000000000009</v>
      </c>
      <c r="S2114">
        <v>2</v>
      </c>
      <c r="T2114">
        <v>36</v>
      </c>
      <c r="U2114" s="2">
        <v>11530.44</v>
      </c>
      <c r="V2114">
        <v>0</v>
      </c>
      <c r="W2114" t="s">
        <v>29</v>
      </c>
      <c r="X2114" t="str">
        <f>IF(Table2[[#This Row],[Qty available]]&gt;Table2[[#This Row],[Qty on hand]],"Check","OK")</f>
        <v>OK</v>
      </c>
    </row>
    <row r="2115" spans="1:24" x14ac:dyDescent="0.3">
      <c r="A2115" t="s">
        <v>237</v>
      </c>
      <c r="B2115" t="s">
        <v>238</v>
      </c>
      <c r="C2115" t="s">
        <v>77</v>
      </c>
      <c r="D2115" t="s">
        <v>78</v>
      </c>
      <c r="E2115" t="s">
        <v>66</v>
      </c>
      <c r="F2115" s="1" t="s">
        <v>30</v>
      </c>
      <c r="G2115" s="2">
        <v>234.73</v>
      </c>
      <c r="H2115">
        <v>234.73</v>
      </c>
      <c r="I2115">
        <v>235.19836699999999</v>
      </c>
      <c r="J2115">
        <v>320.29000000000002</v>
      </c>
      <c r="K2115">
        <v>51</v>
      </c>
      <c r="L2115" s="2">
        <v>46</v>
      </c>
      <c r="M2115">
        <v>14</v>
      </c>
      <c r="N2115" s="2">
        <v>49</v>
      </c>
      <c r="O2115">
        <v>11524.72</v>
      </c>
      <c r="P2115">
        <v>4</v>
      </c>
      <c r="Q2115">
        <v>45</v>
      </c>
      <c r="R2115">
        <v>5.8</v>
      </c>
      <c r="S2115">
        <v>5</v>
      </c>
      <c r="T2115">
        <v>40</v>
      </c>
      <c r="U2115" s="2">
        <v>12811.6</v>
      </c>
      <c r="V2115">
        <v>0</v>
      </c>
      <c r="W2115" t="s">
        <v>29</v>
      </c>
      <c r="X2115" t="str">
        <f>IF(Table2[[#This Row],[Qty available]]&gt;Table2[[#This Row],[Qty on hand]],"Check","OK")</f>
        <v>OK</v>
      </c>
    </row>
    <row r="2116" spans="1:24" x14ac:dyDescent="0.3">
      <c r="A2116" t="s">
        <v>237</v>
      </c>
      <c r="B2116" t="s">
        <v>238</v>
      </c>
      <c r="C2116" t="s">
        <v>77</v>
      </c>
      <c r="D2116" t="s">
        <v>78</v>
      </c>
      <c r="E2116" t="s">
        <v>66</v>
      </c>
      <c r="F2116" s="1" t="s">
        <v>31</v>
      </c>
      <c r="G2116" s="2">
        <v>232.43</v>
      </c>
      <c r="H2116">
        <v>232.43</v>
      </c>
      <c r="I2116">
        <v>233.524</v>
      </c>
      <c r="J2116">
        <v>320.29000000000002</v>
      </c>
      <c r="K2116">
        <v>51</v>
      </c>
      <c r="L2116" s="2">
        <v>48</v>
      </c>
      <c r="M2116">
        <v>75</v>
      </c>
      <c r="N2116" s="2">
        <v>75</v>
      </c>
      <c r="O2116">
        <v>17514.3</v>
      </c>
      <c r="P2116">
        <v>8</v>
      </c>
      <c r="Q2116">
        <v>67</v>
      </c>
      <c r="R2116">
        <v>7.8</v>
      </c>
      <c r="S2116">
        <v>2</v>
      </c>
      <c r="T2116">
        <v>49</v>
      </c>
      <c r="U2116" s="2">
        <v>15694.21</v>
      </c>
      <c r="V2116">
        <v>0</v>
      </c>
      <c r="W2116" t="s">
        <v>29</v>
      </c>
      <c r="X2116" t="str">
        <f>IF(Table2[[#This Row],[Qty available]]&gt;Table2[[#This Row],[Qty on hand]],"Check","OK")</f>
        <v>OK</v>
      </c>
    </row>
    <row r="2117" spans="1:24" x14ac:dyDescent="0.3">
      <c r="A2117" t="s">
        <v>237</v>
      </c>
      <c r="B2117" t="s">
        <v>238</v>
      </c>
      <c r="C2117" t="s">
        <v>77</v>
      </c>
      <c r="D2117" t="s">
        <v>78</v>
      </c>
      <c r="E2117" t="s">
        <v>66</v>
      </c>
      <c r="F2117" s="1" t="s">
        <v>32</v>
      </c>
      <c r="G2117" s="2">
        <v>239.01</v>
      </c>
      <c r="H2117">
        <v>239.01</v>
      </c>
      <c r="I2117">
        <v>233.52391299999999</v>
      </c>
      <c r="J2117">
        <v>320.29000000000002</v>
      </c>
      <c r="K2117">
        <v>51</v>
      </c>
      <c r="M2117">
        <v>0</v>
      </c>
      <c r="N2117" s="2">
        <v>46</v>
      </c>
      <c r="O2117">
        <v>10742.1</v>
      </c>
      <c r="P2117">
        <v>7</v>
      </c>
      <c r="Q2117">
        <v>39</v>
      </c>
      <c r="R2117">
        <v>5.12</v>
      </c>
      <c r="S2117">
        <v>6</v>
      </c>
      <c r="T2117">
        <v>29</v>
      </c>
      <c r="U2117" s="2">
        <v>9288.41</v>
      </c>
      <c r="V2117">
        <v>0</v>
      </c>
      <c r="W2117" t="s">
        <v>29</v>
      </c>
      <c r="X2117" t="str">
        <f>IF(Table2[[#This Row],[Qty available]]&gt;Table2[[#This Row],[Qty on hand]],"Check","OK")</f>
        <v>OK</v>
      </c>
    </row>
    <row r="2118" spans="1:24" x14ac:dyDescent="0.3">
      <c r="A2118" t="s">
        <v>237</v>
      </c>
      <c r="B2118" t="s">
        <v>238</v>
      </c>
      <c r="C2118" t="s">
        <v>77</v>
      </c>
      <c r="D2118" t="s">
        <v>78</v>
      </c>
      <c r="E2118" t="s">
        <v>66</v>
      </c>
      <c r="F2118" s="1" t="s">
        <v>33</v>
      </c>
      <c r="G2118" s="2">
        <v>230.23</v>
      </c>
      <c r="H2118">
        <v>230.23</v>
      </c>
      <c r="I2118">
        <v>231.482268</v>
      </c>
      <c r="J2118">
        <v>320.29000000000002</v>
      </c>
      <c r="K2118">
        <v>51</v>
      </c>
      <c r="L2118" s="2">
        <v>48</v>
      </c>
      <c r="M2118">
        <v>75</v>
      </c>
      <c r="N2118" s="2">
        <v>97</v>
      </c>
      <c r="O2118">
        <v>22453.78</v>
      </c>
      <c r="P2118">
        <v>2</v>
      </c>
      <c r="Q2118">
        <v>95</v>
      </c>
      <c r="R2118">
        <v>12.5</v>
      </c>
      <c r="S2118">
        <v>2</v>
      </c>
      <c r="T2118">
        <v>24</v>
      </c>
      <c r="U2118" s="2">
        <v>7686.96</v>
      </c>
      <c r="V2118">
        <v>0</v>
      </c>
      <c r="W2118" t="s">
        <v>29</v>
      </c>
      <c r="X2118" t="str">
        <f>IF(Table2[[#This Row],[Qty available]]&gt;Table2[[#This Row],[Qty on hand]],"Check","OK")</f>
        <v>OK</v>
      </c>
    </row>
    <row r="2119" spans="1:24" x14ac:dyDescent="0.3">
      <c r="A2119" t="s">
        <v>237</v>
      </c>
      <c r="B2119" t="s">
        <v>238</v>
      </c>
      <c r="C2119" t="s">
        <v>77</v>
      </c>
      <c r="D2119" t="s">
        <v>78</v>
      </c>
      <c r="E2119" t="s">
        <v>66</v>
      </c>
      <c r="F2119" s="1" t="s">
        <v>34</v>
      </c>
      <c r="G2119" s="2">
        <v>238.64</v>
      </c>
      <c r="H2119">
        <v>238.64</v>
      </c>
      <c r="I2119">
        <v>233.45866699999999</v>
      </c>
      <c r="J2119">
        <v>339.26</v>
      </c>
      <c r="K2119">
        <v>51</v>
      </c>
      <c r="L2119" s="2">
        <v>50</v>
      </c>
      <c r="M2119">
        <v>37</v>
      </c>
      <c r="N2119" s="2">
        <v>120</v>
      </c>
      <c r="O2119">
        <v>28015.040000000001</v>
      </c>
      <c r="P2119">
        <v>8</v>
      </c>
      <c r="Q2119">
        <v>112</v>
      </c>
      <c r="R2119">
        <v>23.03</v>
      </c>
      <c r="S2119">
        <v>0</v>
      </c>
      <c r="T2119">
        <v>14</v>
      </c>
      <c r="U2119" s="2">
        <v>4749.6400000000003</v>
      </c>
      <c r="V2119">
        <v>0</v>
      </c>
      <c r="W2119" t="s">
        <v>29</v>
      </c>
      <c r="X2119" t="str">
        <f>IF(Table2[[#This Row],[Qty available]]&gt;Table2[[#This Row],[Qty on hand]],"Check","OK")</f>
        <v>OK</v>
      </c>
    </row>
    <row r="2120" spans="1:24" x14ac:dyDescent="0.3">
      <c r="A2120" t="s">
        <v>237</v>
      </c>
      <c r="B2120" t="s">
        <v>238</v>
      </c>
      <c r="C2120" t="s">
        <v>77</v>
      </c>
      <c r="D2120" t="s">
        <v>78</v>
      </c>
      <c r="E2120" t="s">
        <v>66</v>
      </c>
      <c r="F2120" s="1" t="s">
        <v>35</v>
      </c>
      <c r="G2120" s="2">
        <v>253.2</v>
      </c>
      <c r="H2120">
        <v>253.2</v>
      </c>
      <c r="I2120">
        <v>233.45863199999999</v>
      </c>
      <c r="J2120">
        <v>339.26</v>
      </c>
      <c r="K2120">
        <v>51</v>
      </c>
      <c r="M2120">
        <v>0</v>
      </c>
      <c r="N2120" s="2">
        <v>95</v>
      </c>
      <c r="O2120">
        <v>22178.57</v>
      </c>
      <c r="P2120">
        <v>6</v>
      </c>
      <c r="Q2120">
        <v>89</v>
      </c>
      <c r="R2120">
        <v>19.39</v>
      </c>
      <c r="S2120">
        <v>3</v>
      </c>
      <c r="T2120">
        <v>25</v>
      </c>
      <c r="U2120" s="2">
        <v>8481.5</v>
      </c>
      <c r="V2120">
        <v>0</v>
      </c>
      <c r="W2120" t="s">
        <v>29</v>
      </c>
      <c r="X2120" t="str">
        <f>IF(Table2[[#This Row],[Qty available]]&gt;Table2[[#This Row],[Qty on hand]],"Check","OK")</f>
        <v>OK</v>
      </c>
    </row>
    <row r="2121" spans="1:24" x14ac:dyDescent="0.3">
      <c r="A2121" t="s">
        <v>237</v>
      </c>
      <c r="B2121" t="s">
        <v>238</v>
      </c>
      <c r="C2121" t="s">
        <v>77</v>
      </c>
      <c r="D2121" t="s">
        <v>78</v>
      </c>
      <c r="E2121" t="s">
        <v>66</v>
      </c>
      <c r="F2121" s="1" t="s">
        <v>36</v>
      </c>
      <c r="G2121" s="2">
        <v>248.17</v>
      </c>
      <c r="H2121">
        <v>248.17</v>
      </c>
      <c r="I2121">
        <v>236.12186700000001</v>
      </c>
      <c r="J2121">
        <v>339.26</v>
      </c>
      <c r="K2121">
        <v>51</v>
      </c>
      <c r="L2121" s="2">
        <v>44</v>
      </c>
      <c r="M2121">
        <v>21</v>
      </c>
      <c r="N2121" s="2">
        <v>75</v>
      </c>
      <c r="O2121">
        <v>17709.14</v>
      </c>
      <c r="P2121">
        <v>10</v>
      </c>
      <c r="Q2121">
        <v>65</v>
      </c>
      <c r="R2121">
        <v>11.92</v>
      </c>
      <c r="S2121">
        <v>6</v>
      </c>
      <c r="T2121">
        <v>41</v>
      </c>
      <c r="U2121" s="2">
        <v>13909.66</v>
      </c>
      <c r="V2121">
        <v>0</v>
      </c>
      <c r="W2121" t="s">
        <v>29</v>
      </c>
      <c r="X2121" t="str">
        <f>IF(Table2[[#This Row],[Qty available]]&gt;Table2[[#This Row],[Qty on hand]],"Check","OK")</f>
        <v>OK</v>
      </c>
    </row>
    <row r="2122" spans="1:24" x14ac:dyDescent="0.3">
      <c r="A2122" t="s">
        <v>237</v>
      </c>
      <c r="B2122" t="s">
        <v>238</v>
      </c>
      <c r="C2122" t="s">
        <v>77</v>
      </c>
      <c r="D2122" t="s">
        <v>78</v>
      </c>
      <c r="E2122" t="s">
        <v>66</v>
      </c>
      <c r="F2122" s="1" t="s">
        <v>37</v>
      </c>
      <c r="G2122" s="2">
        <v>248.55</v>
      </c>
      <c r="H2122">
        <v>248.55</v>
      </c>
      <c r="I2122">
        <v>237.584</v>
      </c>
      <c r="J2122">
        <v>339.26</v>
      </c>
      <c r="K2122">
        <v>51</v>
      </c>
      <c r="L2122" s="2">
        <v>50</v>
      </c>
      <c r="M2122">
        <v>10</v>
      </c>
      <c r="N2122" s="2">
        <v>30</v>
      </c>
      <c r="O2122">
        <v>7127.52</v>
      </c>
      <c r="P2122">
        <v>6</v>
      </c>
      <c r="Q2122">
        <v>24</v>
      </c>
      <c r="R2122">
        <v>3.26</v>
      </c>
      <c r="S2122">
        <v>11</v>
      </c>
      <c r="T2122">
        <v>55</v>
      </c>
      <c r="U2122" s="2">
        <v>18659.3</v>
      </c>
      <c r="V2122">
        <v>0</v>
      </c>
      <c r="W2122" t="s">
        <v>29</v>
      </c>
      <c r="X2122" t="str">
        <f>IF(Table2[[#This Row],[Qty available]]&gt;Table2[[#This Row],[Qty on hand]],"Check","OK")</f>
        <v>OK</v>
      </c>
    </row>
    <row r="2123" spans="1:24" x14ac:dyDescent="0.3">
      <c r="A2123" t="s">
        <v>237</v>
      </c>
      <c r="B2123" t="s">
        <v>238</v>
      </c>
      <c r="C2123" t="s">
        <v>77</v>
      </c>
      <c r="D2123" t="s">
        <v>78</v>
      </c>
      <c r="E2123" t="s">
        <v>66</v>
      </c>
      <c r="F2123" s="1" t="s">
        <v>38</v>
      </c>
      <c r="G2123" s="2">
        <v>244.83</v>
      </c>
      <c r="H2123">
        <v>244.83</v>
      </c>
      <c r="I2123">
        <v>243.309853</v>
      </c>
      <c r="J2123">
        <v>339.26</v>
      </c>
      <c r="K2123">
        <v>51</v>
      </c>
      <c r="L2123" s="2">
        <v>50</v>
      </c>
      <c r="M2123">
        <v>113</v>
      </c>
      <c r="N2123" s="2">
        <v>136</v>
      </c>
      <c r="O2123">
        <v>33090.14</v>
      </c>
      <c r="P2123">
        <v>3</v>
      </c>
      <c r="Q2123">
        <v>133</v>
      </c>
      <c r="R2123">
        <v>17.170000000000002</v>
      </c>
      <c r="S2123">
        <v>3</v>
      </c>
      <c r="T2123">
        <v>7</v>
      </c>
      <c r="U2123" s="2">
        <v>2374.8200000000002</v>
      </c>
      <c r="V2123">
        <v>0</v>
      </c>
      <c r="W2123" t="s">
        <v>29</v>
      </c>
      <c r="X2123" t="str">
        <f>IF(Table2[[#This Row],[Qty available]]&gt;Table2[[#This Row],[Qty on hand]],"Check","OK")</f>
        <v>OK</v>
      </c>
    </row>
    <row r="2124" spans="1:24" x14ac:dyDescent="0.3">
      <c r="A2124" t="s">
        <v>237</v>
      </c>
      <c r="B2124" t="s">
        <v>238</v>
      </c>
      <c r="C2124" t="s">
        <v>77</v>
      </c>
      <c r="D2124" t="s">
        <v>78</v>
      </c>
      <c r="E2124" t="s">
        <v>66</v>
      </c>
      <c r="F2124" s="1" t="s">
        <v>39</v>
      </c>
      <c r="G2124" s="2">
        <v>248.63</v>
      </c>
      <c r="H2124">
        <v>248.63</v>
      </c>
      <c r="I2124">
        <v>243.30989400000001</v>
      </c>
      <c r="J2124">
        <v>339.26</v>
      </c>
      <c r="K2124">
        <v>51</v>
      </c>
      <c r="M2124">
        <v>0</v>
      </c>
      <c r="N2124" s="2">
        <v>94</v>
      </c>
      <c r="O2124">
        <v>22871.13</v>
      </c>
      <c r="P2124">
        <v>7</v>
      </c>
      <c r="Q2124">
        <v>87</v>
      </c>
      <c r="R2124">
        <v>11.88</v>
      </c>
      <c r="S2124">
        <v>3</v>
      </c>
      <c r="T2124">
        <v>42</v>
      </c>
      <c r="U2124" s="2">
        <v>14248.92</v>
      </c>
      <c r="V2124">
        <v>0</v>
      </c>
      <c r="W2124" t="s">
        <v>29</v>
      </c>
      <c r="X2124" t="str">
        <f>IF(Table2[[#This Row],[Qty available]]&gt;Table2[[#This Row],[Qty on hand]],"Check","OK")</f>
        <v>OK</v>
      </c>
    </row>
    <row r="2125" spans="1:24" x14ac:dyDescent="0.3">
      <c r="A2125" t="s">
        <v>237</v>
      </c>
      <c r="B2125" t="s">
        <v>238</v>
      </c>
      <c r="C2125" t="s">
        <v>77</v>
      </c>
      <c r="D2125" t="s">
        <v>78</v>
      </c>
      <c r="E2125" t="s">
        <v>66</v>
      </c>
      <c r="F2125" s="1" t="s">
        <v>40</v>
      </c>
      <c r="G2125" s="2">
        <v>249.38</v>
      </c>
      <c r="H2125">
        <v>249.38</v>
      </c>
      <c r="I2125">
        <v>243.309853</v>
      </c>
      <c r="J2125">
        <v>339.26</v>
      </c>
      <c r="K2125">
        <v>51</v>
      </c>
      <c r="M2125">
        <v>0</v>
      </c>
      <c r="N2125" s="2">
        <v>68</v>
      </c>
      <c r="O2125">
        <v>16545.07</v>
      </c>
      <c r="P2125">
        <v>3</v>
      </c>
      <c r="Q2125">
        <v>65</v>
      </c>
      <c r="R2125">
        <v>11.92</v>
      </c>
      <c r="S2125">
        <v>2</v>
      </c>
      <c r="T2125">
        <v>26</v>
      </c>
      <c r="U2125" s="2">
        <v>8820.76</v>
      </c>
      <c r="V2125">
        <v>0</v>
      </c>
      <c r="W2125" t="s">
        <v>29</v>
      </c>
      <c r="X2125" t="str">
        <f>IF(Table2[[#This Row],[Qty available]]&gt;Table2[[#This Row],[Qty on hand]],"Check","OK")</f>
        <v>OK</v>
      </c>
    </row>
    <row r="2126" spans="1:24" x14ac:dyDescent="0.3">
      <c r="A2126" t="s">
        <v>237</v>
      </c>
      <c r="B2126" t="s">
        <v>238</v>
      </c>
      <c r="C2126" t="s">
        <v>77</v>
      </c>
      <c r="D2126" t="s">
        <v>78</v>
      </c>
      <c r="E2126" t="s">
        <v>66</v>
      </c>
      <c r="F2126" s="1" t="s">
        <v>41</v>
      </c>
      <c r="G2126" s="2">
        <v>253.08</v>
      </c>
      <c r="H2126">
        <v>253.08</v>
      </c>
      <c r="I2126">
        <v>245.354839</v>
      </c>
      <c r="J2126">
        <v>339.26</v>
      </c>
      <c r="K2126">
        <v>51</v>
      </c>
      <c r="L2126" s="2">
        <v>82</v>
      </c>
      <c r="M2126">
        <v>18</v>
      </c>
      <c r="N2126" s="2">
        <v>62</v>
      </c>
      <c r="O2126">
        <v>15212</v>
      </c>
      <c r="P2126">
        <v>6</v>
      </c>
      <c r="Q2126">
        <v>56</v>
      </c>
      <c r="R2126">
        <v>8.86</v>
      </c>
      <c r="S2126">
        <v>4</v>
      </c>
      <c r="T2126">
        <v>24</v>
      </c>
      <c r="U2126" s="2">
        <v>8142.24</v>
      </c>
      <c r="V2126">
        <v>0</v>
      </c>
      <c r="W2126" t="s">
        <v>29</v>
      </c>
      <c r="X2126" t="str">
        <f>IF(Table2[[#This Row],[Qty available]]&gt;Table2[[#This Row],[Qty on hand]],"Check","OK")</f>
        <v>OK</v>
      </c>
    </row>
    <row r="2127" spans="1:24" x14ac:dyDescent="0.3">
      <c r="A2127" t="s">
        <v>237</v>
      </c>
      <c r="B2127" t="s">
        <v>238</v>
      </c>
      <c r="C2127" t="s">
        <v>77</v>
      </c>
      <c r="D2127" t="s">
        <v>78</v>
      </c>
      <c r="E2127" t="s">
        <v>66</v>
      </c>
      <c r="F2127" s="1" t="s">
        <v>42</v>
      </c>
      <c r="G2127" s="2">
        <v>244.53</v>
      </c>
      <c r="H2127">
        <v>244.53</v>
      </c>
      <c r="I2127">
        <v>244.95263700000001</v>
      </c>
      <c r="J2127">
        <v>339.26</v>
      </c>
      <c r="K2127">
        <v>51</v>
      </c>
      <c r="L2127" s="2">
        <v>47</v>
      </c>
      <c r="M2127">
        <v>59</v>
      </c>
      <c r="N2127" s="2">
        <v>91</v>
      </c>
      <c r="O2127">
        <v>22290.69</v>
      </c>
      <c r="P2127">
        <v>10</v>
      </c>
      <c r="Q2127">
        <v>81</v>
      </c>
      <c r="R2127">
        <v>14.95</v>
      </c>
      <c r="S2127">
        <v>6</v>
      </c>
      <c r="T2127">
        <v>30</v>
      </c>
      <c r="U2127" s="2">
        <v>10177.799999999999</v>
      </c>
      <c r="V2127">
        <v>0</v>
      </c>
      <c r="W2127" t="s">
        <v>29</v>
      </c>
      <c r="X2127" t="str">
        <f>IF(Table2[[#This Row],[Qty available]]&gt;Table2[[#This Row],[Qty on hand]],"Check","OK")</f>
        <v>OK</v>
      </c>
    </row>
    <row r="2128" spans="1:24" x14ac:dyDescent="0.3">
      <c r="A2128" t="s">
        <v>237</v>
      </c>
      <c r="B2128" t="s">
        <v>238</v>
      </c>
      <c r="C2128" t="s">
        <v>77</v>
      </c>
      <c r="D2128" t="s">
        <v>78</v>
      </c>
      <c r="E2128" t="s">
        <v>66</v>
      </c>
      <c r="F2128" s="1" t="s">
        <v>43</v>
      </c>
      <c r="G2128" s="2">
        <v>249.1</v>
      </c>
      <c r="H2128">
        <v>249.1</v>
      </c>
      <c r="I2128">
        <v>244.952642</v>
      </c>
      <c r="J2128">
        <v>339.26</v>
      </c>
      <c r="K2128">
        <v>51</v>
      </c>
      <c r="M2128">
        <v>0</v>
      </c>
      <c r="N2128" s="2">
        <v>53</v>
      </c>
      <c r="O2128">
        <v>12982.49</v>
      </c>
      <c r="P2128">
        <v>2</v>
      </c>
      <c r="Q2128">
        <v>51</v>
      </c>
      <c r="R2128">
        <v>7.49</v>
      </c>
      <c r="S2128">
        <v>4</v>
      </c>
      <c r="T2128">
        <v>38</v>
      </c>
      <c r="U2128" s="2">
        <v>12891.88</v>
      </c>
      <c r="V2128">
        <v>0</v>
      </c>
      <c r="W2128" t="s">
        <v>29</v>
      </c>
      <c r="X2128" t="str">
        <f>IF(Table2[[#This Row],[Qty available]]&gt;Table2[[#This Row],[Qty on hand]],"Check","OK")</f>
        <v>OK</v>
      </c>
    </row>
    <row r="2129" spans="1:24" x14ac:dyDescent="0.3">
      <c r="A2129" t="s">
        <v>237</v>
      </c>
      <c r="B2129" t="s">
        <v>238</v>
      </c>
      <c r="C2129" t="s">
        <v>77</v>
      </c>
      <c r="D2129" t="s">
        <v>78</v>
      </c>
      <c r="E2129" t="s">
        <v>66</v>
      </c>
      <c r="F2129" s="1" t="s">
        <v>44</v>
      </c>
      <c r="G2129" s="2">
        <v>246.8</v>
      </c>
      <c r="H2129">
        <v>246.8</v>
      </c>
      <c r="I2129">
        <v>244.95249999999999</v>
      </c>
      <c r="J2129">
        <v>339.26</v>
      </c>
      <c r="K2129">
        <v>51</v>
      </c>
      <c r="M2129">
        <v>0</v>
      </c>
      <c r="N2129" s="2">
        <v>16</v>
      </c>
      <c r="O2129">
        <v>3919.24</v>
      </c>
      <c r="P2129">
        <v>10</v>
      </c>
      <c r="Q2129">
        <v>6</v>
      </c>
      <c r="R2129">
        <v>2</v>
      </c>
      <c r="S2129">
        <v>2</v>
      </c>
      <c r="T2129">
        <v>37</v>
      </c>
      <c r="U2129" s="2">
        <v>12552.62</v>
      </c>
      <c r="V2129">
        <v>0</v>
      </c>
      <c r="W2129" t="s">
        <v>29</v>
      </c>
      <c r="X2129" t="str">
        <f>IF(Table2[[#This Row],[Qty available]]&gt;Table2[[#This Row],[Qty on hand]],"Check","OK")</f>
        <v>OK</v>
      </c>
    </row>
    <row r="2130" spans="1:24" x14ac:dyDescent="0.3">
      <c r="A2130" t="s">
        <v>237</v>
      </c>
      <c r="B2130" t="s">
        <v>238</v>
      </c>
      <c r="C2130" t="s">
        <v>77</v>
      </c>
      <c r="D2130" t="s">
        <v>78</v>
      </c>
      <c r="E2130" t="s">
        <v>66</v>
      </c>
      <c r="F2130" s="1" t="s">
        <v>45</v>
      </c>
      <c r="G2130" s="2">
        <v>248.45</v>
      </c>
      <c r="H2130">
        <v>248.45</v>
      </c>
      <c r="I2130">
        <v>247.98753199999999</v>
      </c>
      <c r="J2130">
        <v>339.26</v>
      </c>
      <c r="K2130">
        <v>51</v>
      </c>
      <c r="L2130" s="2">
        <v>49</v>
      </c>
      <c r="M2130">
        <v>105</v>
      </c>
      <c r="N2130" s="2">
        <v>77</v>
      </c>
      <c r="O2130">
        <v>19095.04</v>
      </c>
      <c r="P2130">
        <v>8</v>
      </c>
      <c r="Q2130">
        <v>69</v>
      </c>
      <c r="R2130">
        <v>8.5</v>
      </c>
      <c r="S2130">
        <v>2</v>
      </c>
      <c r="T2130">
        <v>44</v>
      </c>
      <c r="U2130" s="2">
        <v>14927.44</v>
      </c>
      <c r="V2130">
        <v>0</v>
      </c>
      <c r="W2130" t="s">
        <v>29</v>
      </c>
      <c r="X2130" t="str">
        <f>IF(Table2[[#This Row],[Qty available]]&gt;Table2[[#This Row],[Qty on hand]],"Check","OK")</f>
        <v>OK</v>
      </c>
    </row>
    <row r="2131" spans="1:24" x14ac:dyDescent="0.3">
      <c r="A2131" t="s">
        <v>237</v>
      </c>
      <c r="B2131" t="s">
        <v>238</v>
      </c>
      <c r="C2131" t="s">
        <v>77</v>
      </c>
      <c r="D2131" t="s">
        <v>78</v>
      </c>
      <c r="E2131" t="s">
        <v>66</v>
      </c>
      <c r="F2131" s="1" t="s">
        <v>46</v>
      </c>
      <c r="G2131" s="2">
        <v>252.83</v>
      </c>
      <c r="H2131">
        <v>252.83</v>
      </c>
      <c r="I2131">
        <v>248.90507199999999</v>
      </c>
      <c r="J2131">
        <v>359.35</v>
      </c>
      <c r="K2131">
        <v>51</v>
      </c>
      <c r="L2131" s="2">
        <v>50</v>
      </c>
      <c r="M2131">
        <v>18</v>
      </c>
      <c r="N2131" s="2">
        <v>69</v>
      </c>
      <c r="O2131">
        <v>17174.45</v>
      </c>
      <c r="P2131">
        <v>4</v>
      </c>
      <c r="Q2131">
        <v>65</v>
      </c>
      <c r="R2131">
        <v>8.2899999999999991</v>
      </c>
      <c r="S2131">
        <v>8</v>
      </c>
      <c r="T2131">
        <v>26</v>
      </c>
      <c r="U2131" s="2">
        <v>9343.1</v>
      </c>
      <c r="V2131">
        <v>0</v>
      </c>
      <c r="W2131" t="s">
        <v>29</v>
      </c>
      <c r="X2131" t="str">
        <f>IF(Table2[[#This Row],[Qty available]]&gt;Table2[[#This Row],[Qty on hand]],"Check","OK")</f>
        <v>OK</v>
      </c>
    </row>
    <row r="2132" spans="1:24" x14ac:dyDescent="0.3">
      <c r="A2132" t="s">
        <v>237</v>
      </c>
      <c r="B2132" t="s">
        <v>238</v>
      </c>
      <c r="C2132" t="s">
        <v>77</v>
      </c>
      <c r="D2132" t="s">
        <v>78</v>
      </c>
      <c r="E2132" t="s">
        <v>66</v>
      </c>
      <c r="F2132" s="1" t="s">
        <v>47</v>
      </c>
      <c r="G2132" s="2">
        <v>264.58999999999997</v>
      </c>
      <c r="H2132">
        <v>264.58999999999997</v>
      </c>
      <c r="I2132">
        <v>255.791111</v>
      </c>
      <c r="J2132">
        <v>359.35</v>
      </c>
      <c r="K2132">
        <v>51</v>
      </c>
      <c r="L2132" s="2">
        <v>49</v>
      </c>
      <c r="M2132">
        <v>54</v>
      </c>
      <c r="N2132" s="2">
        <v>90</v>
      </c>
      <c r="O2132">
        <v>23021.200000000001</v>
      </c>
      <c r="P2132">
        <v>2</v>
      </c>
      <c r="Q2132">
        <v>88</v>
      </c>
      <c r="R2132">
        <v>11.23</v>
      </c>
      <c r="S2132">
        <v>1</v>
      </c>
      <c r="T2132">
        <v>33</v>
      </c>
      <c r="U2132" s="2">
        <v>11858.55</v>
      </c>
      <c r="V2132">
        <v>0</v>
      </c>
      <c r="W2132" t="s">
        <v>29</v>
      </c>
      <c r="X2132" t="str">
        <f>IF(Table2[[#This Row],[Qty available]]&gt;Table2[[#This Row],[Qty on hand]],"Check","OK")</f>
        <v>OK</v>
      </c>
    </row>
    <row r="2133" spans="1:24" x14ac:dyDescent="0.3">
      <c r="A2133" t="s">
        <v>237</v>
      </c>
      <c r="B2133" t="s">
        <v>238</v>
      </c>
      <c r="C2133" t="s">
        <v>77</v>
      </c>
      <c r="D2133" t="s">
        <v>78</v>
      </c>
      <c r="E2133" t="s">
        <v>66</v>
      </c>
      <c r="F2133" s="1" t="s">
        <v>48</v>
      </c>
      <c r="G2133" s="2">
        <v>263.76</v>
      </c>
      <c r="H2133">
        <v>263.76</v>
      </c>
      <c r="I2133">
        <v>255.791111</v>
      </c>
      <c r="J2133">
        <v>359.35</v>
      </c>
      <c r="K2133">
        <v>51</v>
      </c>
      <c r="M2133">
        <v>0</v>
      </c>
      <c r="N2133" s="2">
        <v>63</v>
      </c>
      <c r="O2133">
        <v>16114.84</v>
      </c>
      <c r="P2133">
        <v>10</v>
      </c>
      <c r="Q2133">
        <v>53</v>
      </c>
      <c r="R2133">
        <v>9.31</v>
      </c>
      <c r="S2133">
        <v>6</v>
      </c>
      <c r="T2133">
        <v>27</v>
      </c>
      <c r="U2133" s="2">
        <v>9702.4500000000007</v>
      </c>
      <c r="V2133">
        <v>0</v>
      </c>
      <c r="W2133" t="s">
        <v>29</v>
      </c>
      <c r="X2133" t="str">
        <f>IF(Table2[[#This Row],[Qty available]]&gt;Table2[[#This Row],[Qty on hand]],"Check","OK")</f>
        <v>OK</v>
      </c>
    </row>
    <row r="2134" spans="1:24" x14ac:dyDescent="0.3">
      <c r="A2134" t="s">
        <v>237</v>
      </c>
      <c r="B2134" t="s">
        <v>238</v>
      </c>
      <c r="C2134" t="s">
        <v>77</v>
      </c>
      <c r="D2134" t="s">
        <v>78</v>
      </c>
      <c r="E2134" t="s">
        <v>66</v>
      </c>
      <c r="F2134" s="1" t="s">
        <v>49</v>
      </c>
      <c r="G2134" s="2">
        <v>259.77</v>
      </c>
      <c r="H2134">
        <v>259.77</v>
      </c>
      <c r="I2134">
        <v>255.790952</v>
      </c>
      <c r="J2134">
        <v>359.35</v>
      </c>
      <c r="K2134">
        <v>51</v>
      </c>
      <c r="M2134">
        <v>0</v>
      </c>
      <c r="N2134" s="2">
        <v>21</v>
      </c>
      <c r="O2134">
        <v>5371.61</v>
      </c>
      <c r="P2134">
        <v>3</v>
      </c>
      <c r="Q2134">
        <v>18</v>
      </c>
      <c r="R2134">
        <v>2.71</v>
      </c>
      <c r="S2134">
        <v>0</v>
      </c>
      <c r="T2134">
        <v>42</v>
      </c>
      <c r="U2134" s="2">
        <v>15092.7</v>
      </c>
      <c r="V2134">
        <v>0</v>
      </c>
      <c r="W2134" t="s">
        <v>29</v>
      </c>
      <c r="X2134" t="str">
        <f>IF(Table2[[#This Row],[Qty available]]&gt;Table2[[#This Row],[Qty on hand]],"Check","OK")</f>
        <v>OK</v>
      </c>
    </row>
    <row r="2135" spans="1:24" x14ac:dyDescent="0.3">
      <c r="A2135" t="s">
        <v>237</v>
      </c>
      <c r="B2135" t="s">
        <v>238</v>
      </c>
      <c r="C2135" t="s">
        <v>77</v>
      </c>
      <c r="D2135" t="s">
        <v>78</v>
      </c>
      <c r="E2135" t="s">
        <v>66</v>
      </c>
      <c r="F2135" s="1" t="s">
        <v>50</v>
      </c>
      <c r="G2135" s="2">
        <v>262.31</v>
      </c>
      <c r="H2135">
        <v>262.31</v>
      </c>
      <c r="I2135">
        <v>261.10912500000001</v>
      </c>
      <c r="J2135">
        <v>359.35</v>
      </c>
      <c r="K2135">
        <v>51</v>
      </c>
      <c r="L2135" s="2">
        <v>83</v>
      </c>
      <c r="M2135">
        <v>93</v>
      </c>
      <c r="N2135" s="2">
        <v>80</v>
      </c>
      <c r="O2135">
        <v>20888.73</v>
      </c>
      <c r="P2135">
        <v>8</v>
      </c>
      <c r="Q2135">
        <v>72</v>
      </c>
      <c r="R2135">
        <v>10.1</v>
      </c>
      <c r="S2135">
        <v>2</v>
      </c>
      <c r="T2135">
        <v>34</v>
      </c>
      <c r="U2135" s="2">
        <v>12217.9</v>
      </c>
      <c r="V2135">
        <v>0</v>
      </c>
      <c r="W2135" t="s">
        <v>29</v>
      </c>
      <c r="X2135" t="str">
        <f>IF(Table2[[#This Row],[Qty available]]&gt;Table2[[#This Row],[Qty on hand]],"Check","OK")</f>
        <v>OK</v>
      </c>
    </row>
    <row r="2136" spans="1:24" x14ac:dyDescent="0.3">
      <c r="A2136" t="s">
        <v>237</v>
      </c>
      <c r="B2136" t="s">
        <v>238</v>
      </c>
      <c r="C2136" t="s">
        <v>77</v>
      </c>
      <c r="D2136" t="s">
        <v>78</v>
      </c>
      <c r="E2136" t="s">
        <v>66</v>
      </c>
      <c r="F2136" s="1" t="s">
        <v>51</v>
      </c>
      <c r="G2136" s="2">
        <v>259.33</v>
      </c>
      <c r="H2136">
        <v>259.33</v>
      </c>
      <c r="I2136">
        <v>261.10912999999999</v>
      </c>
      <c r="J2136">
        <v>359.35</v>
      </c>
      <c r="K2136">
        <v>51</v>
      </c>
      <c r="M2136">
        <v>0</v>
      </c>
      <c r="N2136" s="2">
        <v>23</v>
      </c>
      <c r="O2136">
        <v>6005.51</v>
      </c>
      <c r="P2136">
        <v>11</v>
      </c>
      <c r="Q2136">
        <v>12</v>
      </c>
      <c r="R2136">
        <v>2.27</v>
      </c>
      <c r="S2136">
        <v>7</v>
      </c>
      <c r="T2136">
        <v>57</v>
      </c>
      <c r="U2136" s="2">
        <v>20482.95</v>
      </c>
      <c r="V2136">
        <v>0</v>
      </c>
      <c r="W2136" t="s">
        <v>29</v>
      </c>
      <c r="X2136" t="str">
        <f>IF(Table2[[#This Row],[Qty available]]&gt;Table2[[#This Row],[Qty on hand]],"Check","OK")</f>
        <v>OK</v>
      </c>
    </row>
    <row r="2137" spans="1:24" x14ac:dyDescent="0.3">
      <c r="A2137" t="s">
        <v>237</v>
      </c>
      <c r="B2137" t="s">
        <v>238</v>
      </c>
      <c r="C2137" t="s">
        <v>77</v>
      </c>
      <c r="D2137" t="s">
        <v>78</v>
      </c>
      <c r="E2137" t="s">
        <v>66</v>
      </c>
      <c r="F2137" s="1" t="s">
        <v>52</v>
      </c>
      <c r="G2137" s="2">
        <v>261.08999999999997</v>
      </c>
      <c r="H2137">
        <v>261.08999999999997</v>
      </c>
      <c r="I2137">
        <v>261.09677399999998</v>
      </c>
      <c r="J2137">
        <v>359.35</v>
      </c>
      <c r="K2137">
        <v>51</v>
      </c>
      <c r="L2137" s="2">
        <v>47</v>
      </c>
      <c r="M2137">
        <v>42</v>
      </c>
      <c r="N2137" s="2">
        <v>31</v>
      </c>
      <c r="O2137">
        <v>8094</v>
      </c>
      <c r="P2137">
        <v>3</v>
      </c>
      <c r="Q2137">
        <v>28</v>
      </c>
      <c r="R2137">
        <v>3.26</v>
      </c>
      <c r="S2137">
        <v>1</v>
      </c>
      <c r="T2137">
        <v>34</v>
      </c>
      <c r="U2137" s="2">
        <v>12217.9</v>
      </c>
      <c r="V2137">
        <v>0</v>
      </c>
      <c r="W2137" t="s">
        <v>29</v>
      </c>
      <c r="X2137" t="str">
        <f>IF(Table2[[#This Row],[Qty available]]&gt;Table2[[#This Row],[Qty on hand]],"Check","OK")</f>
        <v>OK</v>
      </c>
    </row>
    <row r="2138" spans="1:24" x14ac:dyDescent="0.3">
      <c r="A2138" t="s">
        <v>239</v>
      </c>
      <c r="B2138" t="s">
        <v>240</v>
      </c>
      <c r="C2138" t="s">
        <v>77</v>
      </c>
      <c r="D2138" t="s">
        <v>78</v>
      </c>
      <c r="E2138" t="s">
        <v>27</v>
      </c>
      <c r="F2138" s="1" t="s">
        <v>28</v>
      </c>
      <c r="G2138" s="2">
        <v>115.45</v>
      </c>
      <c r="H2138">
        <v>115.45</v>
      </c>
      <c r="I2138">
        <v>116.097857</v>
      </c>
      <c r="J2138">
        <v>155.35</v>
      </c>
      <c r="K2138">
        <v>31</v>
      </c>
      <c r="L2138" s="2">
        <v>26</v>
      </c>
      <c r="M2138">
        <v>22</v>
      </c>
      <c r="N2138" s="2">
        <v>42</v>
      </c>
      <c r="O2138">
        <v>4876.1099999999997</v>
      </c>
      <c r="P2138">
        <v>1</v>
      </c>
      <c r="Q2138">
        <v>41</v>
      </c>
      <c r="R2138">
        <v>15.77</v>
      </c>
      <c r="S2138">
        <v>16</v>
      </c>
      <c r="T2138">
        <v>7</v>
      </c>
      <c r="U2138" s="2">
        <v>1087.45</v>
      </c>
      <c r="V2138">
        <v>0</v>
      </c>
      <c r="W2138" t="s">
        <v>29</v>
      </c>
      <c r="X2138" t="str">
        <f>IF(Table2[[#This Row],[Qty available]]&gt;Table2[[#This Row],[Qty on hand]],"Check","OK")</f>
        <v>OK</v>
      </c>
    </row>
    <row r="2139" spans="1:24" x14ac:dyDescent="0.3">
      <c r="A2139" t="s">
        <v>239</v>
      </c>
      <c r="B2139" t="s">
        <v>240</v>
      </c>
      <c r="C2139" t="s">
        <v>77</v>
      </c>
      <c r="D2139" t="s">
        <v>78</v>
      </c>
      <c r="E2139" t="s">
        <v>27</v>
      </c>
      <c r="F2139" s="1" t="s">
        <v>30</v>
      </c>
      <c r="G2139" s="2">
        <v>115</v>
      </c>
      <c r="H2139">
        <v>115</v>
      </c>
      <c r="I2139">
        <v>115.853846</v>
      </c>
      <c r="J2139">
        <v>155.35</v>
      </c>
      <c r="K2139">
        <v>31</v>
      </c>
      <c r="L2139" s="2">
        <v>29</v>
      </c>
      <c r="M2139">
        <v>12</v>
      </c>
      <c r="N2139" s="2">
        <v>39</v>
      </c>
      <c r="O2139">
        <v>4518.3</v>
      </c>
      <c r="P2139">
        <v>1</v>
      </c>
      <c r="Q2139">
        <v>38</v>
      </c>
      <c r="R2139">
        <v>12.5</v>
      </c>
      <c r="S2139">
        <v>4</v>
      </c>
      <c r="T2139">
        <v>15</v>
      </c>
      <c r="U2139" s="2">
        <v>2330.25</v>
      </c>
      <c r="V2139">
        <v>0</v>
      </c>
      <c r="W2139" t="s">
        <v>29</v>
      </c>
      <c r="X2139" t="str">
        <f>IF(Table2[[#This Row],[Qty available]]&gt;Table2[[#This Row],[Qty on hand]],"Check","OK")</f>
        <v>OK</v>
      </c>
    </row>
    <row r="2140" spans="1:24" x14ac:dyDescent="0.3">
      <c r="A2140" t="s">
        <v>239</v>
      </c>
      <c r="B2140" t="s">
        <v>240</v>
      </c>
      <c r="C2140" t="s">
        <v>77</v>
      </c>
      <c r="D2140" t="s">
        <v>78</v>
      </c>
      <c r="E2140" t="s">
        <v>27</v>
      </c>
      <c r="F2140" s="1" t="s">
        <v>31</v>
      </c>
      <c r="G2140" s="2">
        <v>114.81</v>
      </c>
      <c r="H2140">
        <v>114.81</v>
      </c>
      <c r="I2140">
        <v>115.512</v>
      </c>
      <c r="J2140">
        <v>155.35</v>
      </c>
      <c r="K2140">
        <v>31</v>
      </c>
      <c r="L2140" s="2">
        <v>29</v>
      </c>
      <c r="M2140">
        <v>19</v>
      </c>
      <c r="N2140" s="2">
        <v>40</v>
      </c>
      <c r="O2140">
        <v>4620.4799999999996</v>
      </c>
      <c r="P2140">
        <v>2</v>
      </c>
      <c r="Q2140">
        <v>38</v>
      </c>
      <c r="R2140">
        <v>13</v>
      </c>
      <c r="S2140">
        <v>7</v>
      </c>
      <c r="T2140">
        <v>18</v>
      </c>
      <c r="U2140" s="2">
        <v>2796.3</v>
      </c>
      <c r="V2140">
        <v>0</v>
      </c>
      <c r="W2140" t="s">
        <v>29</v>
      </c>
      <c r="X2140" t="str">
        <f>IF(Table2[[#This Row],[Qty available]]&gt;Table2[[#This Row],[Qty on hand]],"Check","OK")</f>
        <v>OK</v>
      </c>
    </row>
    <row r="2141" spans="1:24" x14ac:dyDescent="0.3">
      <c r="A2141" t="s">
        <v>239</v>
      </c>
      <c r="B2141" t="s">
        <v>240</v>
      </c>
      <c r="C2141" t="s">
        <v>77</v>
      </c>
      <c r="D2141" t="s">
        <v>78</v>
      </c>
      <c r="E2141" t="s">
        <v>27</v>
      </c>
      <c r="F2141" s="1" t="s">
        <v>32</v>
      </c>
      <c r="G2141" s="2">
        <v>116.02</v>
      </c>
      <c r="H2141">
        <v>116.02</v>
      </c>
      <c r="I2141">
        <v>115.663571</v>
      </c>
      <c r="J2141">
        <v>155.35</v>
      </c>
      <c r="K2141">
        <v>31</v>
      </c>
      <c r="L2141" s="2">
        <v>29</v>
      </c>
      <c r="M2141">
        <v>17</v>
      </c>
      <c r="N2141" s="2">
        <v>42</v>
      </c>
      <c r="O2141">
        <v>4857.87</v>
      </c>
      <c r="P2141">
        <v>4</v>
      </c>
      <c r="Q2141">
        <v>38</v>
      </c>
      <c r="R2141">
        <v>11.5</v>
      </c>
      <c r="S2141">
        <v>7</v>
      </c>
      <c r="T2141">
        <v>15</v>
      </c>
      <c r="U2141" s="2">
        <v>2330.25</v>
      </c>
      <c r="V2141">
        <v>0</v>
      </c>
      <c r="W2141" t="s">
        <v>29</v>
      </c>
      <c r="X2141" t="str">
        <f>IF(Table2[[#This Row],[Qty available]]&gt;Table2[[#This Row],[Qty on hand]],"Check","OK")</f>
        <v>OK</v>
      </c>
    </row>
    <row r="2142" spans="1:24" x14ac:dyDescent="0.3">
      <c r="A2142" t="s">
        <v>239</v>
      </c>
      <c r="B2142" t="s">
        <v>240</v>
      </c>
      <c r="C2142" t="s">
        <v>77</v>
      </c>
      <c r="D2142" t="s">
        <v>78</v>
      </c>
      <c r="E2142" t="s">
        <v>27</v>
      </c>
      <c r="F2142" s="1" t="s">
        <v>33</v>
      </c>
      <c r="G2142" s="2">
        <v>118.44</v>
      </c>
      <c r="H2142">
        <v>118.44</v>
      </c>
      <c r="I2142">
        <v>115.66333299999999</v>
      </c>
      <c r="J2142">
        <v>155.35</v>
      </c>
      <c r="K2142">
        <v>31</v>
      </c>
      <c r="M2142">
        <v>0</v>
      </c>
      <c r="N2142" s="2">
        <v>21</v>
      </c>
      <c r="O2142">
        <v>2428.9299999999998</v>
      </c>
      <c r="P2142">
        <v>4</v>
      </c>
      <c r="Q2142">
        <v>17</v>
      </c>
      <c r="R2142">
        <v>5.1100000000000003</v>
      </c>
      <c r="S2142">
        <v>1</v>
      </c>
      <c r="T2142">
        <v>21</v>
      </c>
      <c r="U2142" s="2">
        <v>3262.35</v>
      </c>
      <c r="V2142">
        <v>0</v>
      </c>
      <c r="W2142" t="s">
        <v>29</v>
      </c>
      <c r="X2142" t="str">
        <f>IF(Table2[[#This Row],[Qty available]]&gt;Table2[[#This Row],[Qty on hand]],"Check","OK")</f>
        <v>OK</v>
      </c>
    </row>
    <row r="2143" spans="1:24" x14ac:dyDescent="0.3">
      <c r="A2143" t="s">
        <v>239</v>
      </c>
      <c r="B2143" t="s">
        <v>240</v>
      </c>
      <c r="C2143" t="s">
        <v>77</v>
      </c>
      <c r="D2143" t="s">
        <v>78</v>
      </c>
      <c r="E2143" t="s">
        <v>27</v>
      </c>
      <c r="F2143" s="1" t="s">
        <v>34</v>
      </c>
      <c r="G2143" s="2">
        <v>114.18</v>
      </c>
      <c r="H2143">
        <v>114.18</v>
      </c>
      <c r="I2143">
        <v>115.663</v>
      </c>
      <c r="J2143">
        <v>164.19</v>
      </c>
      <c r="K2143">
        <v>31</v>
      </c>
      <c r="M2143">
        <v>0</v>
      </c>
      <c r="N2143" s="2">
        <v>10</v>
      </c>
      <c r="O2143">
        <v>1156.6300000000001</v>
      </c>
      <c r="P2143">
        <v>2</v>
      </c>
      <c r="Q2143">
        <v>8</v>
      </c>
      <c r="R2143">
        <v>2.74</v>
      </c>
      <c r="S2143">
        <v>12</v>
      </c>
      <c r="T2143">
        <v>11</v>
      </c>
      <c r="U2143" s="2">
        <v>1806.09</v>
      </c>
      <c r="V2143">
        <v>0</v>
      </c>
      <c r="W2143" t="s">
        <v>29</v>
      </c>
      <c r="X2143" t="str">
        <f>IF(Table2[[#This Row],[Qty available]]&gt;Table2[[#This Row],[Qty on hand]],"Check","OK")</f>
        <v>OK</v>
      </c>
    </row>
    <row r="2144" spans="1:24" x14ac:dyDescent="0.3">
      <c r="A2144" t="s">
        <v>239</v>
      </c>
      <c r="B2144" t="s">
        <v>240</v>
      </c>
      <c r="C2144" t="s">
        <v>77</v>
      </c>
      <c r="D2144" t="s">
        <v>78</v>
      </c>
      <c r="E2144" t="s">
        <v>27</v>
      </c>
      <c r="F2144" s="1" t="s">
        <v>35</v>
      </c>
      <c r="G2144" s="2">
        <v>121.19</v>
      </c>
      <c r="H2144">
        <v>121.19</v>
      </c>
      <c r="I2144">
        <v>119.961714</v>
      </c>
      <c r="J2144">
        <v>164.19</v>
      </c>
      <c r="K2144">
        <v>31</v>
      </c>
      <c r="L2144" s="2">
        <v>29</v>
      </c>
      <c r="M2144">
        <v>35</v>
      </c>
      <c r="N2144" s="2">
        <v>35</v>
      </c>
      <c r="O2144">
        <v>4198.66</v>
      </c>
      <c r="P2144">
        <v>2</v>
      </c>
      <c r="Q2144">
        <v>33</v>
      </c>
      <c r="R2144">
        <v>10.71</v>
      </c>
      <c r="S2144">
        <v>7</v>
      </c>
      <c r="T2144">
        <v>10</v>
      </c>
      <c r="U2144" s="2">
        <v>1641.9</v>
      </c>
      <c r="V2144">
        <v>0</v>
      </c>
      <c r="W2144" t="s">
        <v>29</v>
      </c>
      <c r="X2144" t="str">
        <f>IF(Table2[[#This Row],[Qty available]]&gt;Table2[[#This Row],[Qty on hand]],"Check","OK")</f>
        <v>OK</v>
      </c>
    </row>
    <row r="2145" spans="1:24" x14ac:dyDescent="0.3">
      <c r="A2145" t="s">
        <v>239</v>
      </c>
      <c r="B2145" t="s">
        <v>240</v>
      </c>
      <c r="C2145" t="s">
        <v>77</v>
      </c>
      <c r="D2145" t="s">
        <v>78</v>
      </c>
      <c r="E2145" t="s">
        <v>27</v>
      </c>
      <c r="F2145" s="1" t="s">
        <v>36</v>
      </c>
      <c r="G2145" s="2">
        <v>122.76</v>
      </c>
      <c r="H2145">
        <v>122.76</v>
      </c>
      <c r="I2145">
        <v>121.399697</v>
      </c>
      <c r="J2145">
        <v>164.19</v>
      </c>
      <c r="K2145">
        <v>31</v>
      </c>
      <c r="L2145" s="2">
        <v>29</v>
      </c>
      <c r="M2145">
        <v>37</v>
      </c>
      <c r="N2145" s="2">
        <v>66</v>
      </c>
      <c r="O2145">
        <v>8012.38</v>
      </c>
      <c r="P2145">
        <v>3</v>
      </c>
      <c r="Q2145">
        <v>63</v>
      </c>
      <c r="R2145">
        <v>31.08</v>
      </c>
      <c r="S2145">
        <v>18</v>
      </c>
      <c r="T2145">
        <v>6</v>
      </c>
      <c r="U2145" s="2">
        <v>985.14</v>
      </c>
      <c r="V2145">
        <v>0</v>
      </c>
      <c r="W2145" t="s">
        <v>29</v>
      </c>
      <c r="X2145" t="str">
        <f>IF(Table2[[#This Row],[Qty available]]&gt;Table2[[#This Row],[Qty on hand]],"Check","OK")</f>
        <v>OK</v>
      </c>
    </row>
    <row r="2146" spans="1:24" x14ac:dyDescent="0.3">
      <c r="A2146" t="s">
        <v>239</v>
      </c>
      <c r="B2146" t="s">
        <v>240</v>
      </c>
      <c r="C2146" t="s">
        <v>77</v>
      </c>
      <c r="D2146" t="s">
        <v>78</v>
      </c>
      <c r="E2146" t="s">
        <v>27</v>
      </c>
      <c r="F2146" s="1" t="s">
        <v>37</v>
      </c>
      <c r="G2146" s="2">
        <v>123.19</v>
      </c>
      <c r="H2146">
        <v>123.19</v>
      </c>
      <c r="I2146">
        <v>121.399767</v>
      </c>
      <c r="J2146">
        <v>164.19</v>
      </c>
      <c r="K2146">
        <v>31</v>
      </c>
      <c r="M2146">
        <v>0</v>
      </c>
      <c r="N2146" s="2">
        <v>43</v>
      </c>
      <c r="O2146">
        <v>5220.1899999999996</v>
      </c>
      <c r="P2146">
        <v>2</v>
      </c>
      <c r="Q2146">
        <v>41</v>
      </c>
      <c r="R2146">
        <v>14.49</v>
      </c>
      <c r="S2146">
        <v>7</v>
      </c>
      <c r="T2146">
        <v>23</v>
      </c>
      <c r="U2146" s="2">
        <v>3776.37</v>
      </c>
      <c r="V2146">
        <v>0</v>
      </c>
      <c r="W2146" t="s">
        <v>29</v>
      </c>
      <c r="X2146" t="str">
        <f>IF(Table2[[#This Row],[Qty available]]&gt;Table2[[#This Row],[Qty on hand]],"Check","OK")</f>
        <v>OK</v>
      </c>
    </row>
    <row r="2147" spans="1:24" x14ac:dyDescent="0.3">
      <c r="A2147" t="s">
        <v>239</v>
      </c>
      <c r="B2147" t="s">
        <v>240</v>
      </c>
      <c r="C2147" t="s">
        <v>77</v>
      </c>
      <c r="D2147" t="s">
        <v>78</v>
      </c>
      <c r="E2147" t="s">
        <v>27</v>
      </c>
      <c r="F2147" s="1" t="s">
        <v>38</v>
      </c>
      <c r="G2147" s="2">
        <v>123.5</v>
      </c>
      <c r="H2147">
        <v>123.5</v>
      </c>
      <c r="I2147">
        <v>121.39960000000001</v>
      </c>
      <c r="J2147">
        <v>164.19</v>
      </c>
      <c r="K2147">
        <v>31</v>
      </c>
      <c r="M2147">
        <v>0</v>
      </c>
      <c r="N2147" s="2">
        <v>25</v>
      </c>
      <c r="O2147">
        <v>3034.99</v>
      </c>
      <c r="P2147">
        <v>2</v>
      </c>
      <c r="Q2147">
        <v>23</v>
      </c>
      <c r="R2147">
        <v>6.91</v>
      </c>
      <c r="S2147">
        <v>4</v>
      </c>
      <c r="T2147">
        <v>18</v>
      </c>
      <c r="U2147" s="2">
        <v>2955.42</v>
      </c>
      <c r="V2147">
        <v>0</v>
      </c>
      <c r="W2147" t="s">
        <v>29</v>
      </c>
      <c r="X2147" t="str">
        <f>IF(Table2[[#This Row],[Qty available]]&gt;Table2[[#This Row],[Qty on hand]],"Check","OK")</f>
        <v>OK</v>
      </c>
    </row>
    <row r="2148" spans="1:24" x14ac:dyDescent="0.3">
      <c r="A2148" t="s">
        <v>239</v>
      </c>
      <c r="B2148" t="s">
        <v>240</v>
      </c>
      <c r="C2148" t="s">
        <v>77</v>
      </c>
      <c r="D2148" t="s">
        <v>78</v>
      </c>
      <c r="E2148" t="s">
        <v>27</v>
      </c>
      <c r="F2148" s="1" t="s">
        <v>39</v>
      </c>
      <c r="G2148" s="2">
        <v>122.83</v>
      </c>
      <c r="H2148">
        <v>122.83</v>
      </c>
      <c r="I2148">
        <v>122.12875</v>
      </c>
      <c r="J2148">
        <v>164.19</v>
      </c>
      <c r="K2148">
        <v>31</v>
      </c>
      <c r="L2148" s="2">
        <v>36</v>
      </c>
      <c r="M2148">
        <v>26</v>
      </c>
      <c r="N2148" s="2">
        <v>40</v>
      </c>
      <c r="O2148">
        <v>4885.1499999999996</v>
      </c>
      <c r="P2148">
        <v>1</v>
      </c>
      <c r="Q2148">
        <v>39</v>
      </c>
      <c r="R2148">
        <v>10.11</v>
      </c>
      <c r="S2148">
        <v>2</v>
      </c>
      <c r="T2148">
        <v>11</v>
      </c>
      <c r="U2148" s="2">
        <v>1806.09</v>
      </c>
      <c r="V2148">
        <v>0</v>
      </c>
      <c r="W2148" t="s">
        <v>29</v>
      </c>
      <c r="X2148" t="str">
        <f>IF(Table2[[#This Row],[Qty available]]&gt;Table2[[#This Row],[Qty on hand]],"Check","OK")</f>
        <v>OK</v>
      </c>
    </row>
    <row r="2149" spans="1:24" x14ac:dyDescent="0.3">
      <c r="A2149" t="s">
        <v>239</v>
      </c>
      <c r="B2149" t="s">
        <v>240</v>
      </c>
      <c r="C2149" t="s">
        <v>77</v>
      </c>
      <c r="D2149" t="s">
        <v>78</v>
      </c>
      <c r="E2149" t="s">
        <v>27</v>
      </c>
      <c r="F2149" s="1" t="s">
        <v>40</v>
      </c>
      <c r="G2149" s="2">
        <v>124.19</v>
      </c>
      <c r="H2149">
        <v>124.19</v>
      </c>
      <c r="I2149">
        <v>122.128846</v>
      </c>
      <c r="J2149">
        <v>164.19</v>
      </c>
      <c r="K2149">
        <v>31</v>
      </c>
      <c r="M2149">
        <v>0</v>
      </c>
      <c r="N2149" s="2">
        <v>26</v>
      </c>
      <c r="O2149">
        <v>3175.35</v>
      </c>
      <c r="P2149">
        <v>3</v>
      </c>
      <c r="Q2149">
        <v>23</v>
      </c>
      <c r="R2149">
        <v>7.95</v>
      </c>
      <c r="S2149">
        <v>2</v>
      </c>
      <c r="T2149">
        <v>14</v>
      </c>
      <c r="U2149" s="2">
        <v>2298.66</v>
      </c>
      <c r="V2149">
        <v>0</v>
      </c>
      <c r="W2149" t="s">
        <v>29</v>
      </c>
      <c r="X2149" t="str">
        <f>IF(Table2[[#This Row],[Qty available]]&gt;Table2[[#This Row],[Qty on hand]],"Check","OK")</f>
        <v>OK</v>
      </c>
    </row>
    <row r="2150" spans="1:24" x14ac:dyDescent="0.3">
      <c r="A2150" t="s">
        <v>239</v>
      </c>
      <c r="B2150" t="s">
        <v>240</v>
      </c>
      <c r="C2150" t="s">
        <v>77</v>
      </c>
      <c r="D2150" t="s">
        <v>78</v>
      </c>
      <c r="E2150" t="s">
        <v>27</v>
      </c>
      <c r="F2150" s="1" t="s">
        <v>41</v>
      </c>
      <c r="G2150" s="2">
        <v>124.54</v>
      </c>
      <c r="H2150">
        <v>124.54</v>
      </c>
      <c r="I2150">
        <v>123.010909</v>
      </c>
      <c r="J2150">
        <v>164.19</v>
      </c>
      <c r="K2150">
        <v>31</v>
      </c>
      <c r="L2150" s="2">
        <v>37</v>
      </c>
      <c r="M2150">
        <v>15</v>
      </c>
      <c r="N2150" s="2">
        <v>22</v>
      </c>
      <c r="O2150">
        <v>2706.24</v>
      </c>
      <c r="P2150">
        <v>3</v>
      </c>
      <c r="Q2150">
        <v>19</v>
      </c>
      <c r="R2150">
        <v>6.57</v>
      </c>
      <c r="S2150">
        <v>6</v>
      </c>
      <c r="T2150">
        <v>19</v>
      </c>
      <c r="U2150" s="2">
        <v>3119.61</v>
      </c>
      <c r="V2150">
        <v>0</v>
      </c>
      <c r="W2150" t="s">
        <v>29</v>
      </c>
      <c r="X2150" t="str">
        <f>IF(Table2[[#This Row],[Qty available]]&gt;Table2[[#This Row],[Qty on hand]],"Check","OK")</f>
        <v>OK</v>
      </c>
    </row>
    <row r="2151" spans="1:24" x14ac:dyDescent="0.3">
      <c r="A2151" t="s">
        <v>239</v>
      </c>
      <c r="B2151" t="s">
        <v>240</v>
      </c>
      <c r="C2151" t="s">
        <v>77</v>
      </c>
      <c r="D2151" t="s">
        <v>78</v>
      </c>
      <c r="E2151" t="s">
        <v>27</v>
      </c>
      <c r="F2151" s="1" t="s">
        <v>42</v>
      </c>
      <c r="G2151" s="2">
        <v>123.18</v>
      </c>
      <c r="H2151">
        <v>123.18</v>
      </c>
      <c r="I2151">
        <v>123.100769</v>
      </c>
      <c r="J2151">
        <v>164.19</v>
      </c>
      <c r="K2151">
        <v>31</v>
      </c>
      <c r="L2151" s="2">
        <v>29</v>
      </c>
      <c r="M2151">
        <v>25</v>
      </c>
      <c r="N2151" s="2">
        <v>39</v>
      </c>
      <c r="O2151">
        <v>4800.93</v>
      </c>
      <c r="P2151">
        <v>2</v>
      </c>
      <c r="Q2151">
        <v>37</v>
      </c>
      <c r="R2151">
        <v>12.5</v>
      </c>
      <c r="S2151">
        <v>0</v>
      </c>
      <c r="T2151">
        <v>8</v>
      </c>
      <c r="U2151" s="2">
        <v>1313.52</v>
      </c>
      <c r="V2151">
        <v>0</v>
      </c>
      <c r="W2151" t="s">
        <v>29</v>
      </c>
      <c r="X2151" t="str">
        <f>IF(Table2[[#This Row],[Qty available]]&gt;Table2[[#This Row],[Qty on hand]],"Check","OK")</f>
        <v>OK</v>
      </c>
    </row>
    <row r="2152" spans="1:24" x14ac:dyDescent="0.3">
      <c r="A2152" t="s">
        <v>239</v>
      </c>
      <c r="B2152" t="s">
        <v>240</v>
      </c>
      <c r="C2152" t="s">
        <v>77</v>
      </c>
      <c r="D2152" t="s">
        <v>78</v>
      </c>
      <c r="E2152" t="s">
        <v>27</v>
      </c>
      <c r="F2152" s="1" t="s">
        <v>43</v>
      </c>
      <c r="G2152" s="2">
        <v>123.56</v>
      </c>
      <c r="H2152">
        <v>123.56</v>
      </c>
      <c r="I2152">
        <v>123.266327</v>
      </c>
      <c r="J2152">
        <v>164.19</v>
      </c>
      <c r="K2152">
        <v>31</v>
      </c>
      <c r="L2152" s="2">
        <v>29</v>
      </c>
      <c r="M2152">
        <v>22</v>
      </c>
      <c r="N2152" s="2">
        <v>49</v>
      </c>
      <c r="O2152">
        <v>6040.05</v>
      </c>
      <c r="P2152">
        <v>3</v>
      </c>
      <c r="Q2152">
        <v>46</v>
      </c>
      <c r="R2152">
        <v>16.329999999999998</v>
      </c>
      <c r="S2152">
        <v>2</v>
      </c>
      <c r="T2152">
        <v>12</v>
      </c>
      <c r="U2152" s="2">
        <v>1970.28</v>
      </c>
      <c r="V2152">
        <v>0</v>
      </c>
      <c r="W2152" t="s">
        <v>29</v>
      </c>
      <c r="X2152" t="str">
        <f>IF(Table2[[#This Row],[Qty available]]&gt;Table2[[#This Row],[Qty on hand]],"Check","OK")</f>
        <v>OK</v>
      </c>
    </row>
    <row r="2153" spans="1:24" x14ac:dyDescent="0.3">
      <c r="A2153" t="s">
        <v>239</v>
      </c>
      <c r="B2153" t="s">
        <v>240</v>
      </c>
      <c r="C2153" t="s">
        <v>77</v>
      </c>
      <c r="D2153" t="s">
        <v>78</v>
      </c>
      <c r="E2153" t="s">
        <v>27</v>
      </c>
      <c r="F2153" s="1" t="s">
        <v>44</v>
      </c>
      <c r="G2153" s="2">
        <v>124.23</v>
      </c>
      <c r="H2153">
        <v>124.23</v>
      </c>
      <c r="I2153">
        <v>123.266364</v>
      </c>
      <c r="J2153">
        <v>164.19</v>
      </c>
      <c r="K2153">
        <v>31</v>
      </c>
      <c r="M2153">
        <v>0</v>
      </c>
      <c r="N2153" s="2">
        <v>33</v>
      </c>
      <c r="O2153">
        <v>4067.79</v>
      </c>
      <c r="P2153">
        <v>3</v>
      </c>
      <c r="Q2153">
        <v>30</v>
      </c>
      <c r="R2153">
        <v>12.05</v>
      </c>
      <c r="S2153">
        <v>1</v>
      </c>
      <c r="T2153">
        <v>16</v>
      </c>
      <c r="U2153" s="2">
        <v>2627.04</v>
      </c>
      <c r="V2153">
        <v>0</v>
      </c>
      <c r="W2153" t="s">
        <v>29</v>
      </c>
      <c r="X2153" t="str">
        <f>IF(Table2[[#This Row],[Qty available]]&gt;Table2[[#This Row],[Qty on hand]],"Check","OK")</f>
        <v>OK</v>
      </c>
    </row>
    <row r="2154" spans="1:24" x14ac:dyDescent="0.3">
      <c r="A2154" t="s">
        <v>239</v>
      </c>
      <c r="B2154" t="s">
        <v>240</v>
      </c>
      <c r="C2154" t="s">
        <v>77</v>
      </c>
      <c r="D2154" t="s">
        <v>78</v>
      </c>
      <c r="E2154" t="s">
        <v>27</v>
      </c>
      <c r="F2154" s="1" t="s">
        <v>45</v>
      </c>
      <c r="G2154" s="2">
        <v>123.98</v>
      </c>
      <c r="H2154">
        <v>123.98</v>
      </c>
      <c r="I2154">
        <v>123.551765</v>
      </c>
      <c r="J2154">
        <v>164.19</v>
      </c>
      <c r="K2154">
        <v>31</v>
      </c>
      <c r="L2154" s="2">
        <v>26</v>
      </c>
      <c r="M2154">
        <v>22</v>
      </c>
      <c r="N2154" s="2">
        <v>51</v>
      </c>
      <c r="O2154">
        <v>6301.14</v>
      </c>
      <c r="P2154">
        <v>1</v>
      </c>
      <c r="Q2154">
        <v>50</v>
      </c>
      <c r="R2154">
        <v>20.95</v>
      </c>
      <c r="S2154">
        <v>27</v>
      </c>
      <c r="T2154">
        <v>4</v>
      </c>
      <c r="U2154" s="2">
        <v>656.76</v>
      </c>
      <c r="V2154">
        <v>0</v>
      </c>
      <c r="W2154" t="s">
        <v>29</v>
      </c>
      <c r="X2154" t="str">
        <f>IF(Table2[[#This Row],[Qty available]]&gt;Table2[[#This Row],[Qty on hand]],"Check","OK")</f>
        <v>OK</v>
      </c>
    </row>
    <row r="2155" spans="1:24" x14ac:dyDescent="0.3">
      <c r="A2155" t="s">
        <v>239</v>
      </c>
      <c r="B2155" t="s">
        <v>240</v>
      </c>
      <c r="C2155" t="s">
        <v>77</v>
      </c>
      <c r="D2155" t="s">
        <v>78</v>
      </c>
      <c r="E2155" t="s">
        <v>27</v>
      </c>
      <c r="F2155" s="1" t="s">
        <v>46</v>
      </c>
      <c r="G2155" s="2">
        <v>125.26</v>
      </c>
      <c r="H2155">
        <v>125.26</v>
      </c>
      <c r="I2155">
        <v>123.55175</v>
      </c>
      <c r="J2155">
        <v>173.54</v>
      </c>
      <c r="K2155">
        <v>31</v>
      </c>
      <c r="M2155">
        <v>0</v>
      </c>
      <c r="N2155" s="2">
        <v>40</v>
      </c>
      <c r="O2155">
        <v>4942.07</v>
      </c>
      <c r="P2155">
        <v>2</v>
      </c>
      <c r="Q2155">
        <v>38</v>
      </c>
      <c r="R2155">
        <v>16.59</v>
      </c>
      <c r="S2155">
        <v>4</v>
      </c>
      <c r="T2155">
        <v>11</v>
      </c>
      <c r="U2155" s="2">
        <v>1908.94</v>
      </c>
      <c r="V2155">
        <v>0</v>
      </c>
      <c r="W2155" t="s">
        <v>29</v>
      </c>
      <c r="X2155" t="str">
        <f>IF(Table2[[#This Row],[Qty available]]&gt;Table2[[#This Row],[Qty on hand]],"Check","OK")</f>
        <v>OK</v>
      </c>
    </row>
    <row r="2156" spans="1:24" x14ac:dyDescent="0.3">
      <c r="A2156" t="s">
        <v>239</v>
      </c>
      <c r="B2156" t="s">
        <v>240</v>
      </c>
      <c r="C2156" t="s">
        <v>77</v>
      </c>
      <c r="D2156" t="s">
        <v>78</v>
      </c>
      <c r="E2156" t="s">
        <v>27</v>
      </c>
      <c r="F2156" s="1" t="s">
        <v>47</v>
      </c>
      <c r="G2156" s="2">
        <v>130.12</v>
      </c>
      <c r="H2156">
        <v>130.12</v>
      </c>
      <c r="I2156">
        <v>123.551613</v>
      </c>
      <c r="J2156">
        <v>173.54</v>
      </c>
      <c r="K2156">
        <v>31</v>
      </c>
      <c r="M2156">
        <v>0</v>
      </c>
      <c r="N2156" s="2">
        <v>31</v>
      </c>
      <c r="O2156">
        <v>3830.1</v>
      </c>
      <c r="P2156">
        <v>4</v>
      </c>
      <c r="Q2156">
        <v>27</v>
      </c>
      <c r="R2156">
        <v>16.61</v>
      </c>
      <c r="S2156">
        <v>7</v>
      </c>
      <c r="T2156">
        <v>9</v>
      </c>
      <c r="U2156" s="2">
        <v>1561.86</v>
      </c>
      <c r="V2156">
        <v>0</v>
      </c>
      <c r="W2156" t="s">
        <v>29</v>
      </c>
      <c r="X2156" t="str">
        <f>IF(Table2[[#This Row],[Qty available]]&gt;Table2[[#This Row],[Qty on hand]],"Check","OK")</f>
        <v>OK</v>
      </c>
    </row>
    <row r="2157" spans="1:24" x14ac:dyDescent="0.3">
      <c r="A2157" t="s">
        <v>239</v>
      </c>
      <c r="B2157" t="s">
        <v>240</v>
      </c>
      <c r="C2157" t="s">
        <v>77</v>
      </c>
      <c r="D2157" t="s">
        <v>78</v>
      </c>
      <c r="E2157" t="s">
        <v>27</v>
      </c>
      <c r="F2157" s="1" t="s">
        <v>48</v>
      </c>
      <c r="G2157" s="2">
        <v>128.96</v>
      </c>
      <c r="H2157">
        <v>128.96</v>
      </c>
      <c r="I2157">
        <v>125.735682</v>
      </c>
      <c r="J2157">
        <v>173.54</v>
      </c>
      <c r="K2157">
        <v>31</v>
      </c>
      <c r="L2157" s="2">
        <v>35</v>
      </c>
      <c r="M2157">
        <v>21</v>
      </c>
      <c r="N2157" s="2">
        <v>44</v>
      </c>
      <c r="O2157">
        <v>5532.37</v>
      </c>
      <c r="P2157">
        <v>2</v>
      </c>
      <c r="Q2157">
        <v>42</v>
      </c>
      <c r="R2157">
        <v>19.98</v>
      </c>
      <c r="S2157">
        <v>6</v>
      </c>
      <c r="T2157">
        <v>8</v>
      </c>
      <c r="U2157" s="2">
        <v>1388.32</v>
      </c>
      <c r="V2157">
        <v>0</v>
      </c>
      <c r="W2157" t="s">
        <v>29</v>
      </c>
      <c r="X2157" t="str">
        <f>IF(Table2[[#This Row],[Qty available]]&gt;Table2[[#This Row],[Qty on hand]],"Check","OK")</f>
        <v>OK</v>
      </c>
    </row>
    <row r="2158" spans="1:24" x14ac:dyDescent="0.3">
      <c r="A2158" t="s">
        <v>239</v>
      </c>
      <c r="B2158" t="s">
        <v>240</v>
      </c>
      <c r="C2158" t="s">
        <v>77</v>
      </c>
      <c r="D2158" t="s">
        <v>78</v>
      </c>
      <c r="E2158" t="s">
        <v>27</v>
      </c>
      <c r="F2158" s="1" t="s">
        <v>49</v>
      </c>
      <c r="G2158" s="2">
        <v>131.91</v>
      </c>
      <c r="H2158">
        <v>131.91</v>
      </c>
      <c r="I2158">
        <v>126.36562499999999</v>
      </c>
      <c r="J2158">
        <v>173.54</v>
      </c>
      <c r="K2158">
        <v>31</v>
      </c>
      <c r="L2158" s="2">
        <v>28</v>
      </c>
      <c r="M2158">
        <v>5</v>
      </c>
      <c r="N2158" s="2">
        <v>32</v>
      </c>
      <c r="O2158">
        <v>4043.7</v>
      </c>
      <c r="P2158">
        <v>2</v>
      </c>
      <c r="Q2158">
        <v>30</v>
      </c>
      <c r="R2158">
        <v>12.37</v>
      </c>
      <c r="S2158">
        <v>2</v>
      </c>
      <c r="T2158">
        <v>17</v>
      </c>
      <c r="U2158" s="2">
        <v>2950.18</v>
      </c>
      <c r="V2158">
        <v>0</v>
      </c>
      <c r="W2158" t="s">
        <v>29</v>
      </c>
      <c r="X2158" t="str">
        <f>IF(Table2[[#This Row],[Qty available]]&gt;Table2[[#This Row],[Qty on hand]],"Check","OK")</f>
        <v>OK</v>
      </c>
    </row>
    <row r="2159" spans="1:24" x14ac:dyDescent="0.3">
      <c r="A2159" t="s">
        <v>239</v>
      </c>
      <c r="B2159" t="s">
        <v>240</v>
      </c>
      <c r="C2159" t="s">
        <v>77</v>
      </c>
      <c r="D2159" t="s">
        <v>78</v>
      </c>
      <c r="E2159" t="s">
        <v>27</v>
      </c>
      <c r="F2159" s="1" t="s">
        <v>50</v>
      </c>
      <c r="G2159" s="2">
        <v>133.16999999999999</v>
      </c>
      <c r="H2159">
        <v>133.16999999999999</v>
      </c>
      <c r="I2159">
        <v>126.365882</v>
      </c>
      <c r="J2159">
        <v>173.54</v>
      </c>
      <c r="K2159">
        <v>31</v>
      </c>
      <c r="M2159">
        <v>0</v>
      </c>
      <c r="N2159" s="2">
        <v>17</v>
      </c>
      <c r="O2159">
        <v>2148.2199999999998</v>
      </c>
      <c r="P2159">
        <v>3</v>
      </c>
      <c r="Q2159">
        <v>14</v>
      </c>
      <c r="R2159">
        <v>5.53</v>
      </c>
      <c r="S2159">
        <v>2</v>
      </c>
      <c r="T2159">
        <v>15</v>
      </c>
      <c r="U2159" s="2">
        <v>2603.1</v>
      </c>
      <c r="V2159">
        <v>0</v>
      </c>
      <c r="W2159" t="s">
        <v>29</v>
      </c>
      <c r="X2159" t="str">
        <f>IF(Table2[[#This Row],[Qty available]]&gt;Table2[[#This Row],[Qty on hand]],"Check","OK")</f>
        <v>OK</v>
      </c>
    </row>
    <row r="2160" spans="1:24" x14ac:dyDescent="0.3">
      <c r="A2160" t="s">
        <v>239</v>
      </c>
      <c r="B2160" t="s">
        <v>240</v>
      </c>
      <c r="C2160" t="s">
        <v>77</v>
      </c>
      <c r="D2160" t="s">
        <v>78</v>
      </c>
      <c r="E2160" t="s">
        <v>27</v>
      </c>
      <c r="F2160" s="1" t="s">
        <v>51</v>
      </c>
      <c r="G2160" s="2">
        <v>129.6</v>
      </c>
      <c r="H2160">
        <v>129.6</v>
      </c>
      <c r="I2160">
        <v>128.19043500000001</v>
      </c>
      <c r="J2160">
        <v>173.54</v>
      </c>
      <c r="K2160">
        <v>31</v>
      </c>
      <c r="L2160" s="2">
        <v>38</v>
      </c>
      <c r="M2160">
        <v>22</v>
      </c>
      <c r="N2160" s="2">
        <v>23</v>
      </c>
      <c r="O2160">
        <v>2948.38</v>
      </c>
      <c r="P2160">
        <v>2</v>
      </c>
      <c r="Q2160">
        <v>21</v>
      </c>
      <c r="R2160">
        <v>6.3</v>
      </c>
      <c r="S2160">
        <v>4</v>
      </c>
      <c r="T2160">
        <v>16</v>
      </c>
      <c r="U2160" s="2">
        <v>2776.64</v>
      </c>
      <c r="V2160">
        <v>0</v>
      </c>
      <c r="W2160" t="s">
        <v>29</v>
      </c>
      <c r="X2160" t="str">
        <f>IF(Table2[[#This Row],[Qty available]]&gt;Table2[[#This Row],[Qty on hand]],"Check","OK")</f>
        <v>OK</v>
      </c>
    </row>
    <row r="2161" spans="1:24" x14ac:dyDescent="0.3">
      <c r="A2161" t="s">
        <v>239</v>
      </c>
      <c r="B2161" t="s">
        <v>240</v>
      </c>
      <c r="C2161" t="s">
        <v>77</v>
      </c>
      <c r="D2161" t="s">
        <v>78</v>
      </c>
      <c r="E2161" t="s">
        <v>27</v>
      </c>
      <c r="F2161" s="1" t="s">
        <v>52</v>
      </c>
      <c r="G2161" s="2">
        <v>132.82</v>
      </c>
      <c r="H2161">
        <v>132.82</v>
      </c>
      <c r="I2161">
        <v>131.015333</v>
      </c>
      <c r="J2161">
        <v>173.54</v>
      </c>
      <c r="K2161">
        <v>31</v>
      </c>
      <c r="L2161" s="2">
        <v>29</v>
      </c>
      <c r="M2161">
        <v>36</v>
      </c>
      <c r="N2161" s="2">
        <v>45</v>
      </c>
      <c r="O2161">
        <v>5895.69</v>
      </c>
      <c r="P2161">
        <v>3</v>
      </c>
      <c r="Q2161">
        <v>42</v>
      </c>
      <c r="R2161">
        <v>13.14</v>
      </c>
      <c r="S2161">
        <v>0</v>
      </c>
      <c r="T2161">
        <v>14</v>
      </c>
      <c r="U2161" s="2">
        <v>2429.56</v>
      </c>
      <c r="V2161">
        <v>0</v>
      </c>
      <c r="W2161" t="s">
        <v>29</v>
      </c>
      <c r="X2161" t="str">
        <f>IF(Table2[[#This Row],[Qty available]]&gt;Table2[[#This Row],[Qty on hand]],"Check","OK")</f>
        <v>OK</v>
      </c>
    </row>
    <row r="2162" spans="1:24" x14ac:dyDescent="0.3">
      <c r="A2162" t="s">
        <v>241</v>
      </c>
      <c r="B2162" t="s">
        <v>242</v>
      </c>
      <c r="C2162" t="s">
        <v>91</v>
      </c>
      <c r="D2162" t="s">
        <v>92</v>
      </c>
      <c r="E2162" t="s">
        <v>66</v>
      </c>
      <c r="F2162" s="1" t="s">
        <v>28</v>
      </c>
      <c r="G2162" s="2">
        <v>9.93</v>
      </c>
      <c r="H2162">
        <v>9.93</v>
      </c>
      <c r="I2162">
        <v>10.107847</v>
      </c>
      <c r="J2162">
        <v>14.31</v>
      </c>
      <c r="K2162">
        <v>34</v>
      </c>
      <c r="M2162">
        <v>0</v>
      </c>
      <c r="N2162" s="2">
        <v>288</v>
      </c>
      <c r="O2162">
        <v>2911.06</v>
      </c>
      <c r="P2162">
        <v>12</v>
      </c>
      <c r="Q2162">
        <v>276</v>
      </c>
      <c r="R2162">
        <v>15.32</v>
      </c>
      <c r="S2162">
        <v>0</v>
      </c>
      <c r="T2162">
        <v>77</v>
      </c>
      <c r="U2162" s="2">
        <v>1101.8699999999999</v>
      </c>
      <c r="V2162">
        <v>0</v>
      </c>
      <c r="W2162" t="s">
        <v>29</v>
      </c>
      <c r="X2162" t="str">
        <f>IF(Table2[[#This Row],[Qty available]]&gt;Table2[[#This Row],[Qty on hand]],"Check","OK")</f>
        <v>OK</v>
      </c>
    </row>
    <row r="2163" spans="1:24" x14ac:dyDescent="0.3">
      <c r="A2163" t="s">
        <v>241</v>
      </c>
      <c r="B2163" t="s">
        <v>242</v>
      </c>
      <c r="C2163" t="s">
        <v>91</v>
      </c>
      <c r="D2163" t="s">
        <v>92</v>
      </c>
      <c r="E2163" t="s">
        <v>66</v>
      </c>
      <c r="F2163" s="1" t="s">
        <v>30</v>
      </c>
      <c r="G2163" s="2">
        <v>10.54</v>
      </c>
      <c r="H2163">
        <v>10.54</v>
      </c>
      <c r="I2163">
        <v>10.115219</v>
      </c>
      <c r="J2163">
        <v>14.31</v>
      </c>
      <c r="K2163">
        <v>34</v>
      </c>
      <c r="L2163" s="2">
        <v>30</v>
      </c>
      <c r="M2163">
        <v>5</v>
      </c>
      <c r="N2163" s="2">
        <v>228</v>
      </c>
      <c r="O2163">
        <v>2306.27</v>
      </c>
      <c r="P2163">
        <v>15</v>
      </c>
      <c r="Q2163">
        <v>213</v>
      </c>
      <c r="R2163">
        <v>15.06</v>
      </c>
      <c r="S2163">
        <v>9</v>
      </c>
      <c r="T2163">
        <v>65</v>
      </c>
      <c r="U2163" s="2">
        <v>930.15</v>
      </c>
      <c r="V2163">
        <v>0</v>
      </c>
      <c r="W2163" t="s">
        <v>29</v>
      </c>
      <c r="X2163" t="str">
        <f>IF(Table2[[#This Row],[Qty available]]&gt;Table2[[#This Row],[Qty on hand]],"Check","OK")</f>
        <v>OK</v>
      </c>
    </row>
    <row r="2164" spans="1:24" x14ac:dyDescent="0.3">
      <c r="A2164" t="s">
        <v>241</v>
      </c>
      <c r="B2164" t="s">
        <v>242</v>
      </c>
      <c r="C2164" t="s">
        <v>91</v>
      </c>
      <c r="D2164" t="s">
        <v>92</v>
      </c>
      <c r="E2164" t="s">
        <v>66</v>
      </c>
      <c r="F2164" s="1" t="s">
        <v>31</v>
      </c>
      <c r="G2164" s="2">
        <v>10.7</v>
      </c>
      <c r="H2164">
        <v>10.7</v>
      </c>
      <c r="I2164">
        <v>10.115205</v>
      </c>
      <c r="J2164">
        <v>14.31</v>
      </c>
      <c r="K2164">
        <v>34</v>
      </c>
      <c r="M2164">
        <v>0</v>
      </c>
      <c r="N2164" s="2">
        <v>146</v>
      </c>
      <c r="O2164">
        <v>1476.82</v>
      </c>
      <c r="P2164">
        <v>15</v>
      </c>
      <c r="Q2164">
        <v>131</v>
      </c>
      <c r="R2164">
        <v>8.4700000000000006</v>
      </c>
      <c r="S2164">
        <v>2</v>
      </c>
      <c r="T2164">
        <v>82</v>
      </c>
      <c r="U2164" s="2">
        <v>1173.42</v>
      </c>
      <c r="V2164">
        <v>0</v>
      </c>
      <c r="W2164" t="s">
        <v>29</v>
      </c>
      <c r="X2164" t="str">
        <f>IF(Table2[[#This Row],[Qty available]]&gt;Table2[[#This Row],[Qty on hand]],"Check","OK")</f>
        <v>OK</v>
      </c>
    </row>
    <row r="2165" spans="1:24" x14ac:dyDescent="0.3">
      <c r="A2165" t="s">
        <v>241</v>
      </c>
      <c r="B2165" t="s">
        <v>242</v>
      </c>
      <c r="C2165" t="s">
        <v>91</v>
      </c>
      <c r="D2165" t="s">
        <v>92</v>
      </c>
      <c r="E2165" t="s">
        <v>66</v>
      </c>
      <c r="F2165" s="1" t="s">
        <v>32</v>
      </c>
      <c r="G2165" s="2">
        <v>10.31</v>
      </c>
      <c r="H2165">
        <v>10.31</v>
      </c>
      <c r="I2165">
        <v>10.184182</v>
      </c>
      <c r="J2165">
        <v>14.31</v>
      </c>
      <c r="K2165">
        <v>34</v>
      </c>
      <c r="L2165" s="2">
        <v>34</v>
      </c>
      <c r="M2165">
        <v>80</v>
      </c>
      <c r="N2165" s="2">
        <v>165</v>
      </c>
      <c r="O2165">
        <v>1680.39</v>
      </c>
      <c r="P2165">
        <v>19</v>
      </c>
      <c r="Q2165">
        <v>146</v>
      </c>
      <c r="R2165">
        <v>10.43</v>
      </c>
      <c r="S2165">
        <v>2</v>
      </c>
      <c r="T2165">
        <v>61</v>
      </c>
      <c r="U2165" s="2">
        <v>872.91</v>
      </c>
      <c r="V2165">
        <v>0</v>
      </c>
      <c r="W2165" t="s">
        <v>29</v>
      </c>
      <c r="X2165" t="str">
        <f>IF(Table2[[#This Row],[Qty available]]&gt;Table2[[#This Row],[Qty on hand]],"Check","OK")</f>
        <v>OK</v>
      </c>
    </row>
    <row r="2166" spans="1:24" x14ac:dyDescent="0.3">
      <c r="A2166" t="s">
        <v>241</v>
      </c>
      <c r="B2166" t="s">
        <v>242</v>
      </c>
      <c r="C2166" t="s">
        <v>91</v>
      </c>
      <c r="D2166" t="s">
        <v>92</v>
      </c>
      <c r="E2166" t="s">
        <v>66</v>
      </c>
      <c r="F2166" s="1" t="s">
        <v>33</v>
      </c>
      <c r="G2166" s="2">
        <v>10.6</v>
      </c>
      <c r="H2166">
        <v>10.6</v>
      </c>
      <c r="I2166">
        <v>10.330947</v>
      </c>
      <c r="J2166">
        <v>14.31</v>
      </c>
      <c r="K2166">
        <v>34</v>
      </c>
      <c r="L2166" s="2">
        <v>30</v>
      </c>
      <c r="M2166">
        <v>90</v>
      </c>
      <c r="N2166" s="2">
        <v>190</v>
      </c>
      <c r="O2166">
        <v>1962.88</v>
      </c>
      <c r="P2166">
        <v>5</v>
      </c>
      <c r="Q2166">
        <v>185</v>
      </c>
      <c r="R2166">
        <v>12.01</v>
      </c>
      <c r="S2166">
        <v>1</v>
      </c>
      <c r="T2166">
        <v>65</v>
      </c>
      <c r="U2166" s="2">
        <v>930.15</v>
      </c>
      <c r="V2166">
        <v>0</v>
      </c>
      <c r="W2166" t="s">
        <v>29</v>
      </c>
      <c r="X2166" t="str">
        <f>IF(Table2[[#This Row],[Qty available]]&gt;Table2[[#This Row],[Qty on hand]],"Check","OK")</f>
        <v>OK</v>
      </c>
    </row>
    <row r="2167" spans="1:24" x14ac:dyDescent="0.3">
      <c r="A2167" t="s">
        <v>241</v>
      </c>
      <c r="B2167" t="s">
        <v>242</v>
      </c>
      <c r="C2167" t="s">
        <v>91</v>
      </c>
      <c r="D2167" t="s">
        <v>92</v>
      </c>
      <c r="E2167" t="s">
        <v>66</v>
      </c>
      <c r="F2167" s="1" t="s">
        <v>34</v>
      </c>
      <c r="G2167" s="2">
        <v>10.54</v>
      </c>
      <c r="H2167">
        <v>10.54</v>
      </c>
      <c r="I2167">
        <v>10.330909</v>
      </c>
      <c r="J2167">
        <v>15.15</v>
      </c>
      <c r="K2167">
        <v>34</v>
      </c>
      <c r="M2167">
        <v>0</v>
      </c>
      <c r="N2167" s="2">
        <v>66</v>
      </c>
      <c r="O2167">
        <v>681.84</v>
      </c>
      <c r="P2167">
        <v>10</v>
      </c>
      <c r="Q2167">
        <v>56</v>
      </c>
      <c r="R2167">
        <v>3.39</v>
      </c>
      <c r="S2167">
        <v>4</v>
      </c>
      <c r="T2167">
        <v>124</v>
      </c>
      <c r="U2167" s="2">
        <v>1878.6</v>
      </c>
      <c r="V2167">
        <v>0</v>
      </c>
      <c r="W2167" t="s">
        <v>29</v>
      </c>
      <c r="X2167" t="str">
        <f>IF(Table2[[#This Row],[Qty available]]&gt;Table2[[#This Row],[Qty on hand]],"Check","OK")</f>
        <v>OK</v>
      </c>
    </row>
    <row r="2168" spans="1:24" x14ac:dyDescent="0.3">
      <c r="A2168" t="s">
        <v>241</v>
      </c>
      <c r="B2168" t="s">
        <v>242</v>
      </c>
      <c r="C2168" t="s">
        <v>91</v>
      </c>
      <c r="D2168" t="s">
        <v>92</v>
      </c>
      <c r="E2168" t="s">
        <v>66</v>
      </c>
      <c r="F2168" s="1" t="s">
        <v>35</v>
      </c>
      <c r="G2168" s="2">
        <v>10.58</v>
      </c>
      <c r="H2168">
        <v>10.58</v>
      </c>
      <c r="I2168">
        <v>10.524076000000001</v>
      </c>
      <c r="J2168">
        <v>15.15</v>
      </c>
      <c r="K2168">
        <v>34</v>
      </c>
      <c r="L2168" s="2">
        <v>30</v>
      </c>
      <c r="M2168">
        <v>228</v>
      </c>
      <c r="N2168" s="2">
        <v>211</v>
      </c>
      <c r="O2168">
        <v>2220.58</v>
      </c>
      <c r="P2168">
        <v>19</v>
      </c>
      <c r="Q2168">
        <v>192</v>
      </c>
      <c r="R2168">
        <v>9.9700000000000006</v>
      </c>
      <c r="S2168">
        <v>2</v>
      </c>
      <c r="T2168">
        <v>83</v>
      </c>
      <c r="U2168" s="2">
        <v>1257.45</v>
      </c>
      <c r="V2168">
        <v>0</v>
      </c>
      <c r="W2168" t="s">
        <v>29</v>
      </c>
      <c r="X2168" t="str">
        <f>IF(Table2[[#This Row],[Qty available]]&gt;Table2[[#This Row],[Qty on hand]],"Check","OK")</f>
        <v>OK</v>
      </c>
    </row>
    <row r="2169" spans="1:24" x14ac:dyDescent="0.3">
      <c r="A2169" t="s">
        <v>241</v>
      </c>
      <c r="B2169" t="s">
        <v>242</v>
      </c>
      <c r="C2169" t="s">
        <v>91</v>
      </c>
      <c r="D2169" t="s">
        <v>92</v>
      </c>
      <c r="E2169" t="s">
        <v>66</v>
      </c>
      <c r="F2169" s="1" t="s">
        <v>36</v>
      </c>
      <c r="G2169" s="2">
        <v>10.57</v>
      </c>
      <c r="H2169">
        <v>10.57</v>
      </c>
      <c r="I2169">
        <v>10.542714</v>
      </c>
      <c r="J2169">
        <v>15.15</v>
      </c>
      <c r="K2169">
        <v>34</v>
      </c>
      <c r="L2169" s="2">
        <v>29</v>
      </c>
      <c r="M2169">
        <v>144</v>
      </c>
      <c r="N2169" s="2">
        <v>280</v>
      </c>
      <c r="O2169">
        <v>2951.96</v>
      </c>
      <c r="P2169">
        <v>17</v>
      </c>
      <c r="Q2169">
        <v>263</v>
      </c>
      <c r="R2169">
        <v>12.62</v>
      </c>
      <c r="S2169">
        <v>2</v>
      </c>
      <c r="T2169">
        <v>75</v>
      </c>
      <c r="U2169" s="2">
        <v>1136.25</v>
      </c>
      <c r="V2169">
        <v>0</v>
      </c>
      <c r="W2169" t="s">
        <v>29</v>
      </c>
      <c r="X2169" t="str">
        <f>IF(Table2[[#This Row],[Qty available]]&gt;Table2[[#This Row],[Qty on hand]],"Check","OK")</f>
        <v>OK</v>
      </c>
    </row>
    <row r="2170" spans="1:24" x14ac:dyDescent="0.3">
      <c r="A2170" t="s">
        <v>241</v>
      </c>
      <c r="B2170" t="s">
        <v>242</v>
      </c>
      <c r="C2170" t="s">
        <v>91</v>
      </c>
      <c r="D2170" t="s">
        <v>92</v>
      </c>
      <c r="E2170" t="s">
        <v>66</v>
      </c>
      <c r="F2170" s="1" t="s">
        <v>37</v>
      </c>
      <c r="G2170" s="2">
        <v>10.62</v>
      </c>
      <c r="H2170">
        <v>10.62</v>
      </c>
      <c r="I2170">
        <v>10.542724</v>
      </c>
      <c r="J2170">
        <v>15.15</v>
      </c>
      <c r="K2170">
        <v>34</v>
      </c>
      <c r="M2170">
        <v>0</v>
      </c>
      <c r="N2170" s="2">
        <v>246</v>
      </c>
      <c r="O2170">
        <v>2593.5100000000002</v>
      </c>
      <c r="P2170">
        <v>12</v>
      </c>
      <c r="Q2170">
        <v>234</v>
      </c>
      <c r="R2170">
        <v>16.84</v>
      </c>
      <c r="S2170">
        <v>0</v>
      </c>
      <c r="T2170">
        <v>34</v>
      </c>
      <c r="U2170" s="2">
        <v>515.1</v>
      </c>
      <c r="V2170">
        <v>0</v>
      </c>
      <c r="W2170" t="s">
        <v>29</v>
      </c>
      <c r="X2170" t="str">
        <f>IF(Table2[[#This Row],[Qty available]]&gt;Table2[[#This Row],[Qty on hand]],"Check","OK")</f>
        <v>OK</v>
      </c>
    </row>
    <row r="2171" spans="1:24" x14ac:dyDescent="0.3">
      <c r="A2171" t="s">
        <v>241</v>
      </c>
      <c r="B2171" t="s">
        <v>242</v>
      </c>
      <c r="C2171" t="s">
        <v>91</v>
      </c>
      <c r="D2171" t="s">
        <v>92</v>
      </c>
      <c r="E2171" t="s">
        <v>66</v>
      </c>
      <c r="F2171" s="1" t="s">
        <v>38</v>
      </c>
      <c r="G2171" s="2">
        <v>10.55</v>
      </c>
      <c r="H2171">
        <v>10.55</v>
      </c>
      <c r="I2171">
        <v>10.542737000000001</v>
      </c>
      <c r="J2171">
        <v>15.15</v>
      </c>
      <c r="K2171">
        <v>34</v>
      </c>
      <c r="M2171">
        <v>0</v>
      </c>
      <c r="N2171" s="2">
        <v>179</v>
      </c>
      <c r="O2171">
        <v>1887.15</v>
      </c>
      <c r="P2171">
        <v>15</v>
      </c>
      <c r="Q2171">
        <v>164</v>
      </c>
      <c r="R2171">
        <v>13.22</v>
      </c>
      <c r="S2171">
        <v>0</v>
      </c>
      <c r="T2171">
        <v>67</v>
      </c>
      <c r="U2171" s="2">
        <v>1015.05</v>
      </c>
      <c r="V2171">
        <v>0</v>
      </c>
      <c r="W2171" t="s">
        <v>29</v>
      </c>
      <c r="X2171" t="str">
        <f>IF(Table2[[#This Row],[Qty available]]&gt;Table2[[#This Row],[Qty on hand]],"Check","OK")</f>
        <v>OK</v>
      </c>
    </row>
    <row r="2172" spans="1:24" x14ac:dyDescent="0.3">
      <c r="A2172" t="s">
        <v>241</v>
      </c>
      <c r="B2172" t="s">
        <v>242</v>
      </c>
      <c r="C2172" t="s">
        <v>91</v>
      </c>
      <c r="D2172" t="s">
        <v>92</v>
      </c>
      <c r="E2172" t="s">
        <v>66</v>
      </c>
      <c r="F2172" s="1" t="s">
        <v>39</v>
      </c>
      <c r="G2172" s="2">
        <v>10.32</v>
      </c>
      <c r="H2172">
        <v>10.32</v>
      </c>
      <c r="I2172">
        <v>10.52764</v>
      </c>
      <c r="J2172">
        <v>15.15</v>
      </c>
      <c r="K2172">
        <v>34</v>
      </c>
      <c r="L2172" s="2">
        <v>32</v>
      </c>
      <c r="M2172">
        <v>13</v>
      </c>
      <c r="N2172" s="2">
        <v>89</v>
      </c>
      <c r="O2172">
        <v>936.96</v>
      </c>
      <c r="P2172">
        <v>19</v>
      </c>
      <c r="Q2172">
        <v>70</v>
      </c>
      <c r="R2172">
        <v>5.73</v>
      </c>
      <c r="S2172">
        <v>0</v>
      </c>
      <c r="T2172">
        <v>103</v>
      </c>
      <c r="U2172" s="2">
        <v>1560.45</v>
      </c>
      <c r="V2172">
        <v>0</v>
      </c>
      <c r="W2172" t="s">
        <v>29</v>
      </c>
      <c r="X2172" t="str">
        <f>IF(Table2[[#This Row],[Qty available]]&gt;Table2[[#This Row],[Qty on hand]],"Check","OK")</f>
        <v>OK</v>
      </c>
    </row>
    <row r="2173" spans="1:24" x14ac:dyDescent="0.3">
      <c r="A2173" t="s">
        <v>241</v>
      </c>
      <c r="B2173" t="s">
        <v>242</v>
      </c>
      <c r="C2173" t="s">
        <v>91</v>
      </c>
      <c r="D2173" t="s">
        <v>92</v>
      </c>
      <c r="E2173" t="s">
        <v>66</v>
      </c>
      <c r="F2173" s="1" t="s">
        <v>40</v>
      </c>
      <c r="G2173" s="2">
        <v>10.68</v>
      </c>
      <c r="H2173">
        <v>10.68</v>
      </c>
      <c r="I2173">
        <v>10.605511999999999</v>
      </c>
      <c r="J2173">
        <v>15.15</v>
      </c>
      <c r="K2173">
        <v>34</v>
      </c>
      <c r="L2173" s="2">
        <v>34</v>
      </c>
      <c r="M2173">
        <v>93</v>
      </c>
      <c r="N2173" s="2">
        <v>127</v>
      </c>
      <c r="O2173">
        <v>1346.9</v>
      </c>
      <c r="P2173">
        <v>24</v>
      </c>
      <c r="Q2173">
        <v>103</v>
      </c>
      <c r="R2173">
        <v>7.42</v>
      </c>
      <c r="S2173">
        <v>3</v>
      </c>
      <c r="T2173">
        <v>55</v>
      </c>
      <c r="U2173" s="2">
        <v>833.25</v>
      </c>
      <c r="V2173">
        <v>0</v>
      </c>
      <c r="W2173" t="s">
        <v>29</v>
      </c>
      <c r="X2173" t="str">
        <f>IF(Table2[[#This Row],[Qty available]]&gt;Table2[[#This Row],[Qty on hand]],"Check","OK")</f>
        <v>OK</v>
      </c>
    </row>
    <row r="2174" spans="1:24" x14ac:dyDescent="0.3">
      <c r="A2174" t="s">
        <v>241</v>
      </c>
      <c r="B2174" t="s">
        <v>242</v>
      </c>
      <c r="C2174" t="s">
        <v>91</v>
      </c>
      <c r="D2174" t="s">
        <v>92</v>
      </c>
      <c r="E2174" t="s">
        <v>66</v>
      </c>
      <c r="F2174" s="1" t="s">
        <v>41</v>
      </c>
      <c r="G2174" s="2">
        <v>10.42</v>
      </c>
      <c r="H2174">
        <v>10.42</v>
      </c>
      <c r="I2174">
        <v>10.513118</v>
      </c>
      <c r="J2174">
        <v>15.15</v>
      </c>
      <c r="K2174">
        <v>34</v>
      </c>
      <c r="L2174" s="2">
        <v>42</v>
      </c>
      <c r="M2174">
        <v>126</v>
      </c>
      <c r="N2174" s="2">
        <v>170</v>
      </c>
      <c r="O2174">
        <v>1787.23</v>
      </c>
      <c r="P2174">
        <v>22</v>
      </c>
      <c r="Q2174">
        <v>148</v>
      </c>
      <c r="R2174">
        <v>9.27</v>
      </c>
      <c r="S2174">
        <v>0</v>
      </c>
      <c r="T2174">
        <v>83</v>
      </c>
      <c r="U2174" s="2">
        <v>1257.45</v>
      </c>
      <c r="V2174">
        <v>0</v>
      </c>
      <c r="W2174" t="s">
        <v>29</v>
      </c>
      <c r="X2174" t="str">
        <f>IF(Table2[[#This Row],[Qty available]]&gt;Table2[[#This Row],[Qty on hand]],"Check","OK")</f>
        <v>OK</v>
      </c>
    </row>
    <row r="2175" spans="1:24" x14ac:dyDescent="0.3">
      <c r="A2175" t="s">
        <v>241</v>
      </c>
      <c r="B2175" t="s">
        <v>242</v>
      </c>
      <c r="C2175" t="s">
        <v>91</v>
      </c>
      <c r="D2175" t="s">
        <v>92</v>
      </c>
      <c r="E2175" t="s">
        <v>66</v>
      </c>
      <c r="F2175" s="1" t="s">
        <v>42</v>
      </c>
      <c r="G2175" s="2">
        <v>10.92</v>
      </c>
      <c r="H2175">
        <v>10.92</v>
      </c>
      <c r="I2175">
        <v>10.513235</v>
      </c>
      <c r="J2175">
        <v>15.15</v>
      </c>
      <c r="K2175">
        <v>34</v>
      </c>
      <c r="M2175">
        <v>0</v>
      </c>
      <c r="N2175" s="2">
        <v>34</v>
      </c>
      <c r="O2175">
        <v>357.45</v>
      </c>
      <c r="P2175">
        <v>5</v>
      </c>
      <c r="Q2175">
        <v>29</v>
      </c>
      <c r="R2175">
        <v>1.63</v>
      </c>
      <c r="S2175">
        <v>0</v>
      </c>
      <c r="T2175">
        <v>136</v>
      </c>
      <c r="U2175" s="2">
        <v>2060.4</v>
      </c>
      <c r="V2175">
        <v>0</v>
      </c>
      <c r="W2175" t="s">
        <v>29</v>
      </c>
      <c r="X2175" t="str">
        <f>IF(Table2[[#This Row],[Qty available]]&gt;Table2[[#This Row],[Qty on hand]],"Check","OK")</f>
        <v>OK</v>
      </c>
    </row>
    <row r="2176" spans="1:24" x14ac:dyDescent="0.3">
      <c r="A2176" t="s">
        <v>241</v>
      </c>
      <c r="B2176" t="s">
        <v>242</v>
      </c>
      <c r="C2176" t="s">
        <v>91</v>
      </c>
      <c r="D2176" t="s">
        <v>92</v>
      </c>
      <c r="E2176" t="s">
        <v>66</v>
      </c>
      <c r="F2176" s="1" t="s">
        <v>43</v>
      </c>
      <c r="G2176" s="2">
        <v>11.23</v>
      </c>
      <c r="H2176">
        <v>11.23</v>
      </c>
      <c r="I2176">
        <v>11.166214</v>
      </c>
      <c r="J2176">
        <v>15.15</v>
      </c>
      <c r="K2176">
        <v>34</v>
      </c>
      <c r="L2176" s="2">
        <v>29</v>
      </c>
      <c r="M2176">
        <v>348</v>
      </c>
      <c r="N2176" s="2">
        <v>346</v>
      </c>
      <c r="O2176">
        <v>3863.51</v>
      </c>
      <c r="P2176">
        <v>22</v>
      </c>
      <c r="Q2176">
        <v>324</v>
      </c>
      <c r="R2176">
        <v>17.64</v>
      </c>
      <c r="S2176">
        <v>2</v>
      </c>
      <c r="T2176">
        <v>36</v>
      </c>
      <c r="U2176" s="2">
        <v>545.4</v>
      </c>
      <c r="V2176">
        <v>0</v>
      </c>
      <c r="W2176" t="s">
        <v>29</v>
      </c>
      <c r="X2176" t="str">
        <f>IF(Table2[[#This Row],[Qty available]]&gt;Table2[[#This Row],[Qty on hand]],"Check","OK")</f>
        <v>OK</v>
      </c>
    </row>
    <row r="2177" spans="1:24" x14ac:dyDescent="0.3">
      <c r="A2177" t="s">
        <v>241</v>
      </c>
      <c r="B2177" t="s">
        <v>242</v>
      </c>
      <c r="C2177" t="s">
        <v>91</v>
      </c>
      <c r="D2177" t="s">
        <v>92</v>
      </c>
      <c r="E2177" t="s">
        <v>66</v>
      </c>
      <c r="F2177" s="1" t="s">
        <v>44</v>
      </c>
      <c r="G2177" s="2">
        <v>11.2</v>
      </c>
      <c r="H2177">
        <v>11.2</v>
      </c>
      <c r="I2177">
        <v>11.166214999999999</v>
      </c>
      <c r="J2177">
        <v>15.15</v>
      </c>
      <c r="K2177">
        <v>34</v>
      </c>
      <c r="M2177">
        <v>0</v>
      </c>
      <c r="N2177" s="2">
        <v>251</v>
      </c>
      <c r="O2177">
        <v>2802.72</v>
      </c>
      <c r="P2177">
        <v>5</v>
      </c>
      <c r="Q2177">
        <v>246</v>
      </c>
      <c r="R2177">
        <v>12.36</v>
      </c>
      <c r="S2177">
        <v>8</v>
      </c>
      <c r="T2177">
        <v>95</v>
      </c>
      <c r="U2177" s="2">
        <v>1439.25</v>
      </c>
      <c r="V2177">
        <v>0</v>
      </c>
      <c r="W2177" t="s">
        <v>29</v>
      </c>
      <c r="X2177" t="str">
        <f>IF(Table2[[#This Row],[Qty available]]&gt;Table2[[#This Row],[Qty on hand]],"Check","OK")</f>
        <v>OK</v>
      </c>
    </row>
    <row r="2178" spans="1:24" x14ac:dyDescent="0.3">
      <c r="A2178" t="s">
        <v>241</v>
      </c>
      <c r="B2178" t="s">
        <v>242</v>
      </c>
      <c r="C2178" t="s">
        <v>91</v>
      </c>
      <c r="D2178" t="s">
        <v>92</v>
      </c>
      <c r="E2178" t="s">
        <v>66</v>
      </c>
      <c r="F2178" s="1" t="s">
        <v>45</v>
      </c>
      <c r="G2178" s="2">
        <v>11.25</v>
      </c>
      <c r="H2178">
        <v>11.25</v>
      </c>
      <c r="I2178">
        <v>11.191082</v>
      </c>
      <c r="J2178">
        <v>15.15</v>
      </c>
      <c r="K2178">
        <v>34</v>
      </c>
      <c r="L2178" s="2">
        <v>31</v>
      </c>
      <c r="M2178">
        <v>106</v>
      </c>
      <c r="N2178" s="2">
        <v>268</v>
      </c>
      <c r="O2178">
        <v>2999.21</v>
      </c>
      <c r="P2178">
        <v>17</v>
      </c>
      <c r="Q2178">
        <v>251</v>
      </c>
      <c r="R2178">
        <v>16.010000000000002</v>
      </c>
      <c r="S2178">
        <v>5</v>
      </c>
      <c r="T2178">
        <v>89</v>
      </c>
      <c r="U2178" s="2">
        <v>1348.35</v>
      </c>
      <c r="V2178">
        <v>0</v>
      </c>
      <c r="W2178" t="s">
        <v>29</v>
      </c>
      <c r="X2178" t="str">
        <f>IF(Table2[[#This Row],[Qty available]]&gt;Table2[[#This Row],[Qty on hand]],"Check","OK")</f>
        <v>OK</v>
      </c>
    </row>
    <row r="2179" spans="1:24" x14ac:dyDescent="0.3">
      <c r="A2179" t="s">
        <v>241</v>
      </c>
      <c r="B2179" t="s">
        <v>242</v>
      </c>
      <c r="C2179" t="s">
        <v>91</v>
      </c>
      <c r="D2179" t="s">
        <v>92</v>
      </c>
      <c r="E2179" t="s">
        <v>66</v>
      </c>
      <c r="F2179" s="1" t="s">
        <v>46</v>
      </c>
      <c r="G2179" s="2">
        <v>10.94</v>
      </c>
      <c r="H2179">
        <v>10.94</v>
      </c>
      <c r="I2179">
        <v>11.191067</v>
      </c>
      <c r="J2179">
        <v>16.04</v>
      </c>
      <c r="K2179">
        <v>34</v>
      </c>
      <c r="M2179">
        <v>0</v>
      </c>
      <c r="N2179" s="2">
        <v>225</v>
      </c>
      <c r="O2179">
        <v>2517.9899999999998</v>
      </c>
      <c r="P2179">
        <v>5</v>
      </c>
      <c r="Q2179">
        <v>220</v>
      </c>
      <c r="R2179">
        <v>12.74</v>
      </c>
      <c r="S2179">
        <v>3</v>
      </c>
      <c r="T2179">
        <v>43</v>
      </c>
      <c r="U2179" s="2">
        <v>689.72</v>
      </c>
      <c r="V2179">
        <v>0</v>
      </c>
      <c r="W2179" t="s">
        <v>29</v>
      </c>
      <c r="X2179" t="str">
        <f>IF(Table2[[#This Row],[Qty available]]&gt;Table2[[#This Row],[Qty on hand]],"Check","OK")</f>
        <v>OK</v>
      </c>
    </row>
    <row r="2180" spans="1:24" x14ac:dyDescent="0.3">
      <c r="A2180" t="s">
        <v>241</v>
      </c>
      <c r="B2180" t="s">
        <v>242</v>
      </c>
      <c r="C2180" t="s">
        <v>91</v>
      </c>
      <c r="D2180" t="s">
        <v>92</v>
      </c>
      <c r="E2180" t="s">
        <v>66</v>
      </c>
      <c r="F2180" s="1" t="s">
        <v>47</v>
      </c>
      <c r="G2180" s="2">
        <v>10.98</v>
      </c>
      <c r="H2180">
        <v>10.98</v>
      </c>
      <c r="I2180">
        <v>11.159896</v>
      </c>
      <c r="J2180">
        <v>16.04</v>
      </c>
      <c r="K2180">
        <v>34</v>
      </c>
      <c r="L2180" s="2">
        <v>31</v>
      </c>
      <c r="M2180">
        <v>39</v>
      </c>
      <c r="N2180" s="2">
        <v>192</v>
      </c>
      <c r="O2180">
        <v>2142.6999999999998</v>
      </c>
      <c r="P2180">
        <v>5</v>
      </c>
      <c r="Q2180">
        <v>187</v>
      </c>
      <c r="R2180">
        <v>12.1</v>
      </c>
      <c r="S2180">
        <v>4</v>
      </c>
      <c r="T2180">
        <v>72</v>
      </c>
      <c r="U2180" s="2">
        <v>1154.8800000000001</v>
      </c>
      <c r="V2180">
        <v>0</v>
      </c>
      <c r="W2180" t="s">
        <v>29</v>
      </c>
      <c r="X2180" t="str">
        <f>IF(Table2[[#This Row],[Qty available]]&gt;Table2[[#This Row],[Qty on hand]],"Check","OK")</f>
        <v>OK</v>
      </c>
    </row>
    <row r="2181" spans="1:24" x14ac:dyDescent="0.3">
      <c r="A2181" t="s">
        <v>241</v>
      </c>
      <c r="B2181" t="s">
        <v>242</v>
      </c>
      <c r="C2181" t="s">
        <v>91</v>
      </c>
      <c r="D2181" t="s">
        <v>92</v>
      </c>
      <c r="E2181" t="s">
        <v>66</v>
      </c>
      <c r="F2181" s="1" t="s">
        <v>48</v>
      </c>
      <c r="G2181" s="2">
        <v>11.03</v>
      </c>
      <c r="H2181">
        <v>11.03</v>
      </c>
      <c r="I2181">
        <v>11.127840000000001</v>
      </c>
      <c r="J2181">
        <v>16.04</v>
      </c>
      <c r="K2181">
        <v>34</v>
      </c>
      <c r="L2181" s="2">
        <v>32</v>
      </c>
      <c r="M2181">
        <v>63</v>
      </c>
      <c r="N2181" s="2">
        <v>125</v>
      </c>
      <c r="O2181">
        <v>1390.98</v>
      </c>
      <c r="P2181">
        <v>7</v>
      </c>
      <c r="Q2181">
        <v>118</v>
      </c>
      <c r="R2181">
        <v>6.49</v>
      </c>
      <c r="S2181">
        <v>0</v>
      </c>
      <c r="T2181">
        <v>130</v>
      </c>
      <c r="U2181" s="2">
        <v>2085.1999999999998</v>
      </c>
      <c r="V2181">
        <v>0</v>
      </c>
      <c r="W2181" t="s">
        <v>29</v>
      </c>
      <c r="X2181" t="str">
        <f>IF(Table2[[#This Row],[Qty available]]&gt;Table2[[#This Row],[Qty on hand]],"Check","OK")</f>
        <v>OK</v>
      </c>
    </row>
    <row r="2182" spans="1:24" x14ac:dyDescent="0.3">
      <c r="A2182" t="s">
        <v>241</v>
      </c>
      <c r="B2182" t="s">
        <v>242</v>
      </c>
      <c r="C2182" t="s">
        <v>91</v>
      </c>
      <c r="D2182" t="s">
        <v>92</v>
      </c>
      <c r="E2182" t="s">
        <v>66</v>
      </c>
      <c r="F2182" s="1" t="s">
        <v>49</v>
      </c>
      <c r="G2182" s="2">
        <v>10.96</v>
      </c>
      <c r="H2182">
        <v>10.96</v>
      </c>
      <c r="I2182">
        <v>11.036275</v>
      </c>
      <c r="J2182">
        <v>16.04</v>
      </c>
      <c r="K2182">
        <v>34</v>
      </c>
      <c r="L2182" s="2">
        <v>32</v>
      </c>
      <c r="M2182">
        <v>150</v>
      </c>
      <c r="N2182" s="2">
        <v>153</v>
      </c>
      <c r="O2182">
        <v>1688.55</v>
      </c>
      <c r="P2182">
        <v>15</v>
      </c>
      <c r="Q2182">
        <v>138</v>
      </c>
      <c r="R2182">
        <v>6.21</v>
      </c>
      <c r="S2182">
        <v>1</v>
      </c>
      <c r="T2182">
        <v>122</v>
      </c>
      <c r="U2182" s="2">
        <v>1956.88</v>
      </c>
      <c r="V2182">
        <v>0</v>
      </c>
      <c r="W2182" t="s">
        <v>29</v>
      </c>
      <c r="X2182" t="str">
        <f>IF(Table2[[#This Row],[Qty available]]&gt;Table2[[#This Row],[Qty on hand]],"Check","OK")</f>
        <v>OK</v>
      </c>
    </row>
    <row r="2183" spans="1:24" x14ac:dyDescent="0.3">
      <c r="A2183" t="s">
        <v>241</v>
      </c>
      <c r="B2183" t="s">
        <v>242</v>
      </c>
      <c r="C2183" t="s">
        <v>91</v>
      </c>
      <c r="D2183" t="s">
        <v>92</v>
      </c>
      <c r="E2183" t="s">
        <v>66</v>
      </c>
      <c r="F2183" s="1" t="s">
        <v>50</v>
      </c>
      <c r="G2183" s="2">
        <v>11.06</v>
      </c>
      <c r="H2183">
        <v>11.06</v>
      </c>
      <c r="I2183">
        <v>11.036279</v>
      </c>
      <c r="J2183">
        <v>16.04</v>
      </c>
      <c r="K2183">
        <v>34</v>
      </c>
      <c r="M2183">
        <v>0</v>
      </c>
      <c r="N2183" s="2">
        <v>86</v>
      </c>
      <c r="O2183">
        <v>949.12</v>
      </c>
      <c r="P2183">
        <v>5</v>
      </c>
      <c r="Q2183">
        <v>81</v>
      </c>
      <c r="R2183">
        <v>3.5</v>
      </c>
      <c r="S2183">
        <v>0</v>
      </c>
      <c r="T2183">
        <v>67</v>
      </c>
      <c r="U2183" s="2">
        <v>1074.68</v>
      </c>
      <c r="V2183">
        <v>0</v>
      </c>
      <c r="W2183" t="s">
        <v>29</v>
      </c>
      <c r="X2183" t="str">
        <f>IF(Table2[[#This Row],[Qty available]]&gt;Table2[[#This Row],[Qty on hand]],"Check","OK")</f>
        <v>OK</v>
      </c>
    </row>
    <row r="2184" spans="1:24" x14ac:dyDescent="0.3">
      <c r="A2184" t="s">
        <v>241</v>
      </c>
      <c r="B2184" t="s">
        <v>242</v>
      </c>
      <c r="C2184" t="s">
        <v>91</v>
      </c>
      <c r="D2184" t="s">
        <v>92</v>
      </c>
      <c r="E2184" t="s">
        <v>66</v>
      </c>
      <c r="F2184" s="1" t="s">
        <v>51</v>
      </c>
      <c r="G2184" s="2">
        <v>11.11</v>
      </c>
      <c r="H2184">
        <v>11.11</v>
      </c>
      <c r="I2184">
        <v>11.087263999999999</v>
      </c>
      <c r="J2184">
        <v>16.04</v>
      </c>
      <c r="K2184">
        <v>34</v>
      </c>
      <c r="L2184" s="2">
        <v>34</v>
      </c>
      <c r="M2184">
        <v>193</v>
      </c>
      <c r="N2184" s="2">
        <v>201</v>
      </c>
      <c r="O2184">
        <v>2228.54</v>
      </c>
      <c r="P2184">
        <v>15</v>
      </c>
      <c r="Q2184">
        <v>186</v>
      </c>
      <c r="R2184">
        <v>9.89</v>
      </c>
      <c r="S2184">
        <v>0</v>
      </c>
      <c r="T2184">
        <v>78</v>
      </c>
      <c r="U2184" s="2">
        <v>1251.1199999999999</v>
      </c>
      <c r="V2184">
        <v>0</v>
      </c>
      <c r="W2184" t="s">
        <v>29</v>
      </c>
      <c r="X2184" t="str">
        <f>IF(Table2[[#This Row],[Qty available]]&gt;Table2[[#This Row],[Qty on hand]],"Check","OK")</f>
        <v>OK</v>
      </c>
    </row>
    <row r="2185" spans="1:24" x14ac:dyDescent="0.3">
      <c r="A2185" t="s">
        <v>241</v>
      </c>
      <c r="B2185" t="s">
        <v>242</v>
      </c>
      <c r="C2185" t="s">
        <v>91</v>
      </c>
      <c r="D2185" t="s">
        <v>92</v>
      </c>
      <c r="E2185" t="s">
        <v>66</v>
      </c>
      <c r="F2185" s="1" t="s">
        <v>52</v>
      </c>
      <c r="G2185" s="2">
        <v>11.21</v>
      </c>
      <c r="H2185">
        <v>11.21</v>
      </c>
      <c r="I2185">
        <v>11.087273</v>
      </c>
      <c r="J2185">
        <v>16.04</v>
      </c>
      <c r="K2185">
        <v>34</v>
      </c>
      <c r="M2185">
        <v>0</v>
      </c>
      <c r="N2185" s="2">
        <v>110</v>
      </c>
      <c r="O2185">
        <v>1219.5999999999999</v>
      </c>
      <c r="P2185">
        <v>5</v>
      </c>
      <c r="Q2185">
        <v>105</v>
      </c>
      <c r="R2185">
        <v>6.13</v>
      </c>
      <c r="S2185">
        <v>4</v>
      </c>
      <c r="T2185">
        <v>91</v>
      </c>
      <c r="U2185" s="2">
        <v>1459.64</v>
      </c>
      <c r="V2185">
        <v>0</v>
      </c>
      <c r="W2185" t="s">
        <v>29</v>
      </c>
      <c r="X2185" t="str">
        <f>IF(Table2[[#This Row],[Qty available]]&gt;Table2[[#This Row],[Qty on hand]],"Check","OK")</f>
        <v>OK</v>
      </c>
    </row>
    <row r="2186" spans="1:24" x14ac:dyDescent="0.3">
      <c r="A2186" t="s">
        <v>243</v>
      </c>
      <c r="B2186" t="s">
        <v>244</v>
      </c>
      <c r="C2186" t="s">
        <v>57</v>
      </c>
      <c r="D2186" t="s">
        <v>58</v>
      </c>
      <c r="E2186" t="s">
        <v>66</v>
      </c>
      <c r="F2186" s="1" t="s">
        <v>28</v>
      </c>
      <c r="G2186" s="2">
        <v>563.11</v>
      </c>
      <c r="H2186">
        <v>563.11</v>
      </c>
      <c r="I2186">
        <v>567.51800000000003</v>
      </c>
      <c r="J2186">
        <v>777.67</v>
      </c>
      <c r="K2186">
        <v>44</v>
      </c>
      <c r="L2186" s="2">
        <v>41</v>
      </c>
      <c r="M2186">
        <v>20</v>
      </c>
      <c r="N2186" s="2">
        <v>5</v>
      </c>
      <c r="O2186">
        <v>2837.59</v>
      </c>
      <c r="P2186">
        <v>5</v>
      </c>
      <c r="Q2186">
        <v>0</v>
      </c>
      <c r="R2186">
        <v>0.4</v>
      </c>
      <c r="S2186">
        <v>0</v>
      </c>
      <c r="T2186">
        <v>54</v>
      </c>
      <c r="U2186" s="2">
        <v>41994.18</v>
      </c>
      <c r="V2186">
        <v>0</v>
      </c>
      <c r="W2186" t="s">
        <v>29</v>
      </c>
      <c r="X2186" t="str">
        <f>IF(Table2[[#This Row],[Qty available]]&gt;Table2[[#This Row],[Qty on hand]],"Check","OK")</f>
        <v>OK</v>
      </c>
    </row>
    <row r="2187" spans="1:24" x14ac:dyDescent="0.3">
      <c r="A2187" t="s">
        <v>243</v>
      </c>
      <c r="B2187" t="s">
        <v>244</v>
      </c>
      <c r="C2187" t="s">
        <v>57</v>
      </c>
      <c r="D2187" t="s">
        <v>58</v>
      </c>
      <c r="E2187" t="s">
        <v>66</v>
      </c>
      <c r="F2187" s="1" t="s">
        <v>30</v>
      </c>
      <c r="G2187" s="2">
        <v>559.97</v>
      </c>
      <c r="H2187">
        <v>559.97</v>
      </c>
      <c r="I2187">
        <v>560.26480400000003</v>
      </c>
      <c r="J2187">
        <v>777.67</v>
      </c>
      <c r="K2187">
        <v>44</v>
      </c>
      <c r="L2187" s="2">
        <v>43</v>
      </c>
      <c r="M2187">
        <v>123</v>
      </c>
      <c r="N2187" s="2">
        <v>102</v>
      </c>
      <c r="O2187">
        <v>57147.01</v>
      </c>
      <c r="P2187">
        <v>4</v>
      </c>
      <c r="Q2187">
        <v>98</v>
      </c>
      <c r="R2187">
        <v>9.7100000000000009</v>
      </c>
      <c r="S2187">
        <v>3</v>
      </c>
      <c r="T2187">
        <v>26</v>
      </c>
      <c r="U2187" s="2">
        <v>20219.419999999998</v>
      </c>
      <c r="V2187">
        <v>0</v>
      </c>
      <c r="W2187" t="s">
        <v>29</v>
      </c>
      <c r="X2187" t="str">
        <f>IF(Table2[[#This Row],[Qty available]]&gt;Table2[[#This Row],[Qty on hand]],"Check","OK")</f>
        <v>OK</v>
      </c>
    </row>
    <row r="2188" spans="1:24" x14ac:dyDescent="0.3">
      <c r="A2188" t="s">
        <v>243</v>
      </c>
      <c r="B2188" t="s">
        <v>244</v>
      </c>
      <c r="C2188" t="s">
        <v>57</v>
      </c>
      <c r="D2188" t="s">
        <v>58</v>
      </c>
      <c r="E2188" t="s">
        <v>66</v>
      </c>
      <c r="F2188" s="1" t="s">
        <v>31</v>
      </c>
      <c r="G2188" s="2">
        <v>574.63</v>
      </c>
      <c r="H2188">
        <v>574.63</v>
      </c>
      <c r="I2188">
        <v>560.264769</v>
      </c>
      <c r="J2188">
        <v>777.67</v>
      </c>
      <c r="K2188">
        <v>44</v>
      </c>
      <c r="M2188">
        <v>0</v>
      </c>
      <c r="N2188" s="2">
        <v>65</v>
      </c>
      <c r="O2188">
        <v>36417.21</v>
      </c>
      <c r="P2188">
        <v>10</v>
      </c>
      <c r="Q2188">
        <v>55</v>
      </c>
      <c r="R2188">
        <v>7.22</v>
      </c>
      <c r="S2188">
        <v>7</v>
      </c>
      <c r="T2188">
        <v>37</v>
      </c>
      <c r="U2188" s="2">
        <v>28773.79</v>
      </c>
      <c r="V2188">
        <v>0</v>
      </c>
      <c r="W2188" t="s">
        <v>29</v>
      </c>
      <c r="X2188" t="str">
        <f>IF(Table2[[#This Row],[Qty available]]&gt;Table2[[#This Row],[Qty on hand]],"Check","OK")</f>
        <v>OK</v>
      </c>
    </row>
    <row r="2189" spans="1:24" x14ac:dyDescent="0.3">
      <c r="A2189" t="s">
        <v>243</v>
      </c>
      <c r="B2189" t="s">
        <v>244</v>
      </c>
      <c r="C2189" t="s">
        <v>57</v>
      </c>
      <c r="D2189" t="s">
        <v>58</v>
      </c>
      <c r="E2189" t="s">
        <v>66</v>
      </c>
      <c r="F2189" s="1" t="s">
        <v>32</v>
      </c>
      <c r="G2189" s="2">
        <v>563.76</v>
      </c>
      <c r="H2189">
        <v>563.76</v>
      </c>
      <c r="I2189">
        <v>561.63670000000002</v>
      </c>
      <c r="J2189">
        <v>777.67</v>
      </c>
      <c r="K2189">
        <v>44</v>
      </c>
      <c r="L2189" s="2">
        <v>42</v>
      </c>
      <c r="M2189">
        <v>42</v>
      </c>
      <c r="N2189" s="2">
        <v>100</v>
      </c>
      <c r="O2189">
        <v>56163.67</v>
      </c>
      <c r="P2189">
        <v>8</v>
      </c>
      <c r="Q2189">
        <v>92</v>
      </c>
      <c r="R2189">
        <v>18.78</v>
      </c>
      <c r="S2189">
        <v>5</v>
      </c>
      <c r="T2189">
        <v>7</v>
      </c>
      <c r="U2189" s="2">
        <v>5443.69</v>
      </c>
      <c r="V2189">
        <v>0</v>
      </c>
      <c r="W2189" t="s">
        <v>29</v>
      </c>
      <c r="X2189" t="str">
        <f>IF(Table2[[#This Row],[Qty available]]&gt;Table2[[#This Row],[Qty on hand]],"Check","OK")</f>
        <v>OK</v>
      </c>
    </row>
    <row r="2190" spans="1:24" x14ac:dyDescent="0.3">
      <c r="A2190" t="s">
        <v>243</v>
      </c>
      <c r="B2190" t="s">
        <v>244</v>
      </c>
      <c r="C2190" t="s">
        <v>57</v>
      </c>
      <c r="D2190" t="s">
        <v>58</v>
      </c>
      <c r="E2190" t="s">
        <v>66</v>
      </c>
      <c r="F2190" s="1" t="s">
        <v>33</v>
      </c>
      <c r="G2190" s="2">
        <v>581.58000000000004</v>
      </c>
      <c r="H2190">
        <v>581.58000000000004</v>
      </c>
      <c r="I2190">
        <v>564.96064100000001</v>
      </c>
      <c r="J2190">
        <v>777.67</v>
      </c>
      <c r="K2190">
        <v>44</v>
      </c>
      <c r="L2190" s="2">
        <v>41</v>
      </c>
      <c r="M2190">
        <v>20</v>
      </c>
      <c r="N2190" s="2">
        <v>78</v>
      </c>
      <c r="O2190">
        <v>44066.93</v>
      </c>
      <c r="P2190">
        <v>2</v>
      </c>
      <c r="Q2190">
        <v>76</v>
      </c>
      <c r="R2190">
        <v>11.92</v>
      </c>
      <c r="S2190">
        <v>2</v>
      </c>
      <c r="T2190">
        <v>42</v>
      </c>
      <c r="U2190" s="2">
        <v>32662.14</v>
      </c>
      <c r="V2190">
        <v>0</v>
      </c>
      <c r="W2190" t="s">
        <v>29</v>
      </c>
      <c r="X2190" t="str">
        <f>IF(Table2[[#This Row],[Qty available]]&gt;Table2[[#This Row],[Qty on hand]],"Check","OK")</f>
        <v>OK</v>
      </c>
    </row>
    <row r="2191" spans="1:24" x14ac:dyDescent="0.3">
      <c r="A2191" t="s">
        <v>243</v>
      </c>
      <c r="B2191" t="s">
        <v>244</v>
      </c>
      <c r="C2191" t="s">
        <v>57</v>
      </c>
      <c r="D2191" t="s">
        <v>58</v>
      </c>
      <c r="E2191" t="s">
        <v>66</v>
      </c>
      <c r="F2191" s="1" t="s">
        <v>34</v>
      </c>
      <c r="G2191" s="2">
        <v>584.89</v>
      </c>
      <c r="H2191">
        <v>584.89</v>
      </c>
      <c r="I2191">
        <v>570.08538499999997</v>
      </c>
      <c r="J2191">
        <v>824.04</v>
      </c>
      <c r="K2191">
        <v>44</v>
      </c>
      <c r="L2191" s="2">
        <v>50</v>
      </c>
      <c r="M2191">
        <v>27</v>
      </c>
      <c r="N2191" s="2">
        <v>52</v>
      </c>
      <c r="O2191">
        <v>29644.44</v>
      </c>
      <c r="P2191">
        <v>11</v>
      </c>
      <c r="Q2191">
        <v>41</v>
      </c>
      <c r="R2191">
        <v>6.55</v>
      </c>
      <c r="S2191">
        <v>0</v>
      </c>
      <c r="T2191">
        <v>53</v>
      </c>
      <c r="U2191" s="2">
        <v>43674.12</v>
      </c>
      <c r="V2191">
        <v>0</v>
      </c>
      <c r="W2191" t="s">
        <v>29</v>
      </c>
      <c r="X2191" t="str">
        <f>IF(Table2[[#This Row],[Qty available]]&gt;Table2[[#This Row],[Qty on hand]],"Check","OK")</f>
        <v>OK</v>
      </c>
    </row>
    <row r="2192" spans="1:24" x14ac:dyDescent="0.3">
      <c r="A2192" t="s">
        <v>243</v>
      </c>
      <c r="B2192" t="s">
        <v>244</v>
      </c>
      <c r="C2192" t="s">
        <v>57</v>
      </c>
      <c r="D2192" t="s">
        <v>58</v>
      </c>
      <c r="E2192" t="s">
        <v>66</v>
      </c>
      <c r="F2192" s="1" t="s">
        <v>35</v>
      </c>
      <c r="G2192" s="2">
        <v>590.76</v>
      </c>
      <c r="H2192">
        <v>590.76</v>
      </c>
      <c r="I2192">
        <v>579.32299999999998</v>
      </c>
      <c r="J2192">
        <v>824.04</v>
      </c>
      <c r="K2192">
        <v>44</v>
      </c>
      <c r="L2192" s="2">
        <v>43</v>
      </c>
      <c r="M2192">
        <v>42</v>
      </c>
      <c r="N2192" s="2">
        <v>50</v>
      </c>
      <c r="O2192">
        <v>28966.15</v>
      </c>
      <c r="P2192">
        <v>2</v>
      </c>
      <c r="Q2192">
        <v>48</v>
      </c>
      <c r="R2192">
        <v>4.62</v>
      </c>
      <c r="S2192">
        <v>4</v>
      </c>
      <c r="T2192">
        <v>44</v>
      </c>
      <c r="U2192" s="2">
        <v>36257.760000000002</v>
      </c>
      <c r="V2192">
        <v>0</v>
      </c>
      <c r="W2192" t="s">
        <v>29</v>
      </c>
      <c r="X2192" t="str">
        <f>IF(Table2[[#This Row],[Qty available]]&gt;Table2[[#This Row],[Qty on hand]],"Check","OK")</f>
        <v>OK</v>
      </c>
    </row>
    <row r="2193" spans="1:24" x14ac:dyDescent="0.3">
      <c r="A2193" t="s">
        <v>243</v>
      </c>
      <c r="B2193" t="s">
        <v>244</v>
      </c>
      <c r="C2193" t="s">
        <v>57</v>
      </c>
      <c r="D2193" t="s">
        <v>58</v>
      </c>
      <c r="E2193" t="s">
        <v>66</v>
      </c>
      <c r="F2193" s="1" t="s">
        <v>36</v>
      </c>
      <c r="G2193" s="2">
        <v>591.02</v>
      </c>
      <c r="H2193">
        <v>591.02</v>
      </c>
      <c r="I2193">
        <v>579.32296299999996</v>
      </c>
      <c r="J2193">
        <v>824.04</v>
      </c>
      <c r="K2193">
        <v>44</v>
      </c>
      <c r="M2193">
        <v>0</v>
      </c>
      <c r="N2193" s="2">
        <v>27</v>
      </c>
      <c r="O2193">
        <v>15641.72</v>
      </c>
      <c r="P2193">
        <v>5</v>
      </c>
      <c r="Q2193">
        <v>22</v>
      </c>
      <c r="R2193">
        <v>2.86</v>
      </c>
      <c r="S2193">
        <v>7</v>
      </c>
      <c r="T2193">
        <v>23</v>
      </c>
      <c r="U2193" s="2">
        <v>18952.919999999998</v>
      </c>
      <c r="V2193">
        <v>0</v>
      </c>
      <c r="W2193" t="s">
        <v>29</v>
      </c>
      <c r="X2193" t="str">
        <f>IF(Table2[[#This Row],[Qty available]]&gt;Table2[[#This Row],[Qty on hand]],"Check","OK")</f>
        <v>OK</v>
      </c>
    </row>
    <row r="2194" spans="1:24" x14ac:dyDescent="0.3">
      <c r="A2194" t="s">
        <v>243</v>
      </c>
      <c r="B2194" t="s">
        <v>244</v>
      </c>
      <c r="C2194" t="s">
        <v>57</v>
      </c>
      <c r="D2194" t="s">
        <v>58</v>
      </c>
      <c r="E2194" t="s">
        <v>66</v>
      </c>
      <c r="F2194" s="1" t="s">
        <v>37</v>
      </c>
      <c r="G2194" s="2">
        <v>589.87</v>
      </c>
      <c r="H2194">
        <v>589.87</v>
      </c>
      <c r="I2194">
        <v>586.77461500000004</v>
      </c>
      <c r="J2194">
        <v>824.04</v>
      </c>
      <c r="K2194">
        <v>44</v>
      </c>
      <c r="L2194" s="2">
        <v>72</v>
      </c>
      <c r="M2194">
        <v>65</v>
      </c>
      <c r="N2194" s="2">
        <v>65</v>
      </c>
      <c r="O2194">
        <v>38140.35</v>
      </c>
      <c r="P2194">
        <v>7</v>
      </c>
      <c r="Q2194">
        <v>58</v>
      </c>
      <c r="R2194">
        <v>9.09</v>
      </c>
      <c r="S2194">
        <v>0</v>
      </c>
      <c r="T2194">
        <v>27</v>
      </c>
      <c r="U2194" s="2">
        <v>22249.08</v>
      </c>
      <c r="V2194">
        <v>0</v>
      </c>
      <c r="W2194" t="s">
        <v>29</v>
      </c>
      <c r="X2194" t="str">
        <f>IF(Table2[[#This Row],[Qty available]]&gt;Table2[[#This Row],[Qty on hand]],"Check","OK")</f>
        <v>OK</v>
      </c>
    </row>
    <row r="2195" spans="1:24" x14ac:dyDescent="0.3">
      <c r="A2195" t="s">
        <v>243</v>
      </c>
      <c r="B2195" t="s">
        <v>244</v>
      </c>
      <c r="C2195" t="s">
        <v>57</v>
      </c>
      <c r="D2195" t="s">
        <v>58</v>
      </c>
      <c r="E2195" t="s">
        <v>66</v>
      </c>
      <c r="F2195" s="1" t="s">
        <v>38</v>
      </c>
      <c r="G2195" s="2">
        <v>600.74</v>
      </c>
      <c r="H2195">
        <v>600.74</v>
      </c>
      <c r="I2195">
        <v>593.04722900000002</v>
      </c>
      <c r="J2195">
        <v>824.04</v>
      </c>
      <c r="K2195">
        <v>44</v>
      </c>
      <c r="L2195" s="2">
        <v>56</v>
      </c>
      <c r="M2195">
        <v>53</v>
      </c>
      <c r="N2195" s="2">
        <v>83</v>
      </c>
      <c r="O2195">
        <v>49222.92</v>
      </c>
      <c r="P2195">
        <v>6</v>
      </c>
      <c r="Q2195">
        <v>77</v>
      </c>
      <c r="R2195">
        <v>12.69</v>
      </c>
      <c r="S2195">
        <v>1</v>
      </c>
      <c r="T2195">
        <v>35</v>
      </c>
      <c r="U2195" s="2">
        <v>28841.4</v>
      </c>
      <c r="V2195">
        <v>0</v>
      </c>
      <c r="W2195" t="s">
        <v>29</v>
      </c>
      <c r="X2195" t="str">
        <f>IF(Table2[[#This Row],[Qty available]]&gt;Table2[[#This Row],[Qty on hand]],"Check","OK")</f>
        <v>OK</v>
      </c>
    </row>
    <row r="2196" spans="1:24" x14ac:dyDescent="0.3">
      <c r="A2196" t="s">
        <v>243</v>
      </c>
      <c r="B2196" t="s">
        <v>244</v>
      </c>
      <c r="C2196" t="s">
        <v>57</v>
      </c>
      <c r="D2196" t="s">
        <v>58</v>
      </c>
      <c r="E2196" t="s">
        <v>66</v>
      </c>
      <c r="F2196" s="1" t="s">
        <v>39</v>
      </c>
      <c r="G2196" s="2">
        <v>585.64</v>
      </c>
      <c r="H2196">
        <v>585.64</v>
      </c>
      <c r="I2196">
        <v>590.16060000000004</v>
      </c>
      <c r="J2196">
        <v>824.04</v>
      </c>
      <c r="K2196">
        <v>44</v>
      </c>
      <c r="L2196" s="2">
        <v>38</v>
      </c>
      <c r="M2196">
        <v>53</v>
      </c>
      <c r="N2196" s="2">
        <v>100</v>
      </c>
      <c r="O2196">
        <v>59016.06</v>
      </c>
      <c r="P2196">
        <v>11</v>
      </c>
      <c r="Q2196">
        <v>89</v>
      </c>
      <c r="R2196">
        <v>13.41</v>
      </c>
      <c r="S2196">
        <v>2</v>
      </c>
      <c r="T2196">
        <v>36</v>
      </c>
      <c r="U2196" s="2">
        <v>29665.439999999999</v>
      </c>
      <c r="V2196">
        <v>0</v>
      </c>
      <c r="W2196" t="s">
        <v>29</v>
      </c>
      <c r="X2196" t="str">
        <f>IF(Table2[[#This Row],[Qty available]]&gt;Table2[[#This Row],[Qty on hand]],"Check","OK")</f>
        <v>OK</v>
      </c>
    </row>
    <row r="2197" spans="1:24" x14ac:dyDescent="0.3">
      <c r="A2197" t="s">
        <v>243</v>
      </c>
      <c r="B2197" t="s">
        <v>244</v>
      </c>
      <c r="C2197" t="s">
        <v>57</v>
      </c>
      <c r="D2197" t="s">
        <v>58</v>
      </c>
      <c r="E2197" t="s">
        <v>66</v>
      </c>
      <c r="F2197" s="1" t="s">
        <v>40</v>
      </c>
      <c r="G2197" s="2">
        <v>595.66</v>
      </c>
      <c r="H2197">
        <v>595.66</v>
      </c>
      <c r="I2197">
        <v>591.07712300000003</v>
      </c>
      <c r="J2197">
        <v>824.04</v>
      </c>
      <c r="K2197">
        <v>44</v>
      </c>
      <c r="L2197" s="2">
        <v>56</v>
      </c>
      <c r="M2197">
        <v>20</v>
      </c>
      <c r="N2197" s="2">
        <v>73</v>
      </c>
      <c r="O2197">
        <v>43148.63</v>
      </c>
      <c r="P2197">
        <v>7</v>
      </c>
      <c r="Q2197">
        <v>66</v>
      </c>
      <c r="R2197">
        <v>8.1300000000000008</v>
      </c>
      <c r="S2197">
        <v>2</v>
      </c>
      <c r="T2197">
        <v>47</v>
      </c>
      <c r="U2197" s="2">
        <v>38729.879999999997</v>
      </c>
      <c r="V2197">
        <v>0</v>
      </c>
      <c r="W2197" t="s">
        <v>29</v>
      </c>
      <c r="X2197" t="str">
        <f>IF(Table2[[#This Row],[Qty available]]&gt;Table2[[#This Row],[Qty on hand]],"Check","OK")</f>
        <v>OK</v>
      </c>
    </row>
    <row r="2198" spans="1:24" x14ac:dyDescent="0.3">
      <c r="A2198" t="s">
        <v>243</v>
      </c>
      <c r="B2198" t="s">
        <v>244</v>
      </c>
      <c r="C2198" t="s">
        <v>57</v>
      </c>
      <c r="D2198" t="s">
        <v>58</v>
      </c>
      <c r="E2198" t="s">
        <v>66</v>
      </c>
      <c r="F2198" s="1" t="s">
        <v>41</v>
      </c>
      <c r="G2198" s="2">
        <v>601.30999999999995</v>
      </c>
      <c r="H2198">
        <v>601.30999999999995</v>
      </c>
      <c r="I2198">
        <v>593.60890400000005</v>
      </c>
      <c r="J2198">
        <v>824.04</v>
      </c>
      <c r="K2198">
        <v>44</v>
      </c>
      <c r="L2198" s="2">
        <v>39</v>
      </c>
      <c r="M2198">
        <v>24</v>
      </c>
      <c r="N2198" s="2">
        <v>73</v>
      </c>
      <c r="O2198">
        <v>43333.45</v>
      </c>
      <c r="P2198">
        <v>10</v>
      </c>
      <c r="Q2198">
        <v>63</v>
      </c>
      <c r="R2198">
        <v>8.9700000000000006</v>
      </c>
      <c r="S2198">
        <v>10</v>
      </c>
      <c r="T2198">
        <v>24</v>
      </c>
      <c r="U2198" s="2">
        <v>19776.96</v>
      </c>
      <c r="V2198">
        <v>0</v>
      </c>
      <c r="W2198" t="s">
        <v>29</v>
      </c>
      <c r="X2198" t="str">
        <f>IF(Table2[[#This Row],[Qty available]]&gt;Table2[[#This Row],[Qty on hand]],"Check","OK")</f>
        <v>OK</v>
      </c>
    </row>
    <row r="2199" spans="1:24" x14ac:dyDescent="0.3">
      <c r="A2199" t="s">
        <v>243</v>
      </c>
      <c r="B2199" t="s">
        <v>244</v>
      </c>
      <c r="C2199" t="s">
        <v>57</v>
      </c>
      <c r="D2199" t="s">
        <v>58</v>
      </c>
      <c r="E2199" t="s">
        <v>66</v>
      </c>
      <c r="F2199" s="1" t="s">
        <v>42</v>
      </c>
      <c r="G2199" s="2">
        <v>596.97</v>
      </c>
      <c r="H2199">
        <v>596.97</v>
      </c>
      <c r="I2199">
        <v>595.40719999999999</v>
      </c>
      <c r="J2199">
        <v>824.04</v>
      </c>
      <c r="K2199">
        <v>44</v>
      </c>
      <c r="L2199" s="2">
        <v>61</v>
      </c>
      <c r="M2199">
        <v>84</v>
      </c>
      <c r="N2199" s="2">
        <v>125</v>
      </c>
      <c r="O2199">
        <v>74425.899999999994</v>
      </c>
      <c r="P2199">
        <v>4</v>
      </c>
      <c r="Q2199">
        <v>121</v>
      </c>
      <c r="R2199">
        <v>15.95</v>
      </c>
      <c r="S2199">
        <v>3</v>
      </c>
      <c r="T2199">
        <v>32</v>
      </c>
      <c r="U2199" s="2">
        <v>26369.279999999999</v>
      </c>
      <c r="V2199">
        <v>0</v>
      </c>
      <c r="W2199" t="s">
        <v>29</v>
      </c>
      <c r="X2199" t="str">
        <f>IF(Table2[[#This Row],[Qty available]]&gt;Table2[[#This Row],[Qty on hand]],"Check","OK")</f>
        <v>OK</v>
      </c>
    </row>
    <row r="2200" spans="1:24" x14ac:dyDescent="0.3">
      <c r="A2200" t="s">
        <v>243</v>
      </c>
      <c r="B2200" t="s">
        <v>244</v>
      </c>
      <c r="C2200" t="s">
        <v>57</v>
      </c>
      <c r="D2200" t="s">
        <v>58</v>
      </c>
      <c r="E2200" t="s">
        <v>66</v>
      </c>
      <c r="F2200" s="1" t="s">
        <v>43</v>
      </c>
      <c r="G2200" s="2">
        <v>589.83000000000004</v>
      </c>
      <c r="H2200">
        <v>589.83000000000004</v>
      </c>
      <c r="I2200">
        <v>595.40722200000005</v>
      </c>
      <c r="J2200">
        <v>824.04</v>
      </c>
      <c r="K2200">
        <v>44</v>
      </c>
      <c r="M2200">
        <v>0</v>
      </c>
      <c r="N2200" s="2">
        <v>72</v>
      </c>
      <c r="O2200">
        <v>42869.32</v>
      </c>
      <c r="P2200">
        <v>7</v>
      </c>
      <c r="Q2200">
        <v>65</v>
      </c>
      <c r="R2200">
        <v>8.59</v>
      </c>
      <c r="S2200">
        <v>0</v>
      </c>
      <c r="T2200">
        <v>53</v>
      </c>
      <c r="U2200" s="2">
        <v>43674.12</v>
      </c>
      <c r="V2200">
        <v>0</v>
      </c>
      <c r="W2200" t="s">
        <v>29</v>
      </c>
      <c r="X2200" t="str">
        <f>IF(Table2[[#This Row],[Qty available]]&gt;Table2[[#This Row],[Qty on hand]],"Check","OK")</f>
        <v>OK</v>
      </c>
    </row>
    <row r="2201" spans="1:24" x14ac:dyDescent="0.3">
      <c r="A2201" t="s">
        <v>243</v>
      </c>
      <c r="B2201" t="s">
        <v>244</v>
      </c>
      <c r="C2201" t="s">
        <v>57</v>
      </c>
      <c r="D2201" t="s">
        <v>58</v>
      </c>
      <c r="E2201" t="s">
        <v>66</v>
      </c>
      <c r="F2201" s="1" t="s">
        <v>44</v>
      </c>
      <c r="G2201" s="2">
        <v>580.29999999999995</v>
      </c>
      <c r="H2201">
        <v>580.29999999999995</v>
      </c>
      <c r="I2201">
        <v>595.40728799999999</v>
      </c>
      <c r="J2201">
        <v>824.04</v>
      </c>
      <c r="K2201">
        <v>44</v>
      </c>
      <c r="M2201">
        <v>0</v>
      </c>
      <c r="N2201" s="2">
        <v>59</v>
      </c>
      <c r="O2201">
        <v>35129.03</v>
      </c>
      <c r="P2201">
        <v>11</v>
      </c>
      <c r="Q2201">
        <v>48</v>
      </c>
      <c r="R2201">
        <v>7.91</v>
      </c>
      <c r="S2201">
        <v>5</v>
      </c>
      <c r="T2201">
        <v>13</v>
      </c>
      <c r="U2201" s="2">
        <v>10712.52</v>
      </c>
      <c r="V2201">
        <v>0</v>
      </c>
      <c r="W2201" t="s">
        <v>29</v>
      </c>
      <c r="X2201" t="str">
        <f>IF(Table2[[#This Row],[Qty available]]&gt;Table2[[#This Row],[Qty on hand]],"Check","OK")</f>
        <v>OK</v>
      </c>
    </row>
    <row r="2202" spans="1:24" x14ac:dyDescent="0.3">
      <c r="A2202" t="s">
        <v>243</v>
      </c>
      <c r="B2202" t="s">
        <v>244</v>
      </c>
      <c r="C2202" t="s">
        <v>57</v>
      </c>
      <c r="D2202" t="s">
        <v>58</v>
      </c>
      <c r="E2202" t="s">
        <v>66</v>
      </c>
      <c r="F2202" s="1" t="s">
        <v>45</v>
      </c>
      <c r="G2202" s="2">
        <v>611.95000000000005</v>
      </c>
      <c r="H2202">
        <v>611.95000000000005</v>
      </c>
      <c r="I2202">
        <v>606.83994800000005</v>
      </c>
      <c r="J2202">
        <v>824.04</v>
      </c>
      <c r="K2202">
        <v>44</v>
      </c>
      <c r="L2202" s="2">
        <v>55</v>
      </c>
      <c r="M2202">
        <v>132</v>
      </c>
      <c r="N2202" s="2">
        <v>191</v>
      </c>
      <c r="O2202">
        <v>115906.43</v>
      </c>
      <c r="P2202">
        <v>2</v>
      </c>
      <c r="Q2202">
        <v>189</v>
      </c>
      <c r="R2202">
        <v>38.03</v>
      </c>
      <c r="S2202">
        <v>36</v>
      </c>
      <c r="T2202">
        <v>0</v>
      </c>
      <c r="U2202" s="2">
        <v>0</v>
      </c>
      <c r="V2202">
        <v>0</v>
      </c>
      <c r="W2202" t="s">
        <v>29</v>
      </c>
      <c r="X2202" t="str">
        <f>IF(Table2[[#This Row],[Qty available]]&gt;Table2[[#This Row],[Qty on hand]],"Check","OK")</f>
        <v>OK</v>
      </c>
    </row>
    <row r="2203" spans="1:24" x14ac:dyDescent="0.3">
      <c r="A2203" t="s">
        <v>243</v>
      </c>
      <c r="B2203" t="s">
        <v>244</v>
      </c>
      <c r="C2203" t="s">
        <v>57</v>
      </c>
      <c r="D2203" t="s">
        <v>58</v>
      </c>
      <c r="E2203" t="s">
        <v>66</v>
      </c>
      <c r="F2203" s="1" t="s">
        <v>46</v>
      </c>
      <c r="G2203" s="2">
        <v>600.87</v>
      </c>
      <c r="H2203">
        <v>600.87</v>
      </c>
      <c r="I2203">
        <v>606.27407600000004</v>
      </c>
      <c r="J2203">
        <v>873.17</v>
      </c>
      <c r="K2203">
        <v>44</v>
      </c>
      <c r="L2203" s="2">
        <v>37</v>
      </c>
      <c r="M2203">
        <v>20</v>
      </c>
      <c r="N2203" s="2">
        <v>211</v>
      </c>
      <c r="O2203">
        <v>127923.83</v>
      </c>
      <c r="P2203">
        <v>6</v>
      </c>
      <c r="Q2203">
        <v>205</v>
      </c>
      <c r="R2203">
        <v>208.68</v>
      </c>
      <c r="S2203">
        <v>64</v>
      </c>
      <c r="T2203">
        <v>0</v>
      </c>
      <c r="U2203" s="2">
        <v>0</v>
      </c>
      <c r="V2203">
        <v>0</v>
      </c>
      <c r="W2203" t="s">
        <v>29</v>
      </c>
      <c r="X2203" t="str">
        <f>IF(Table2[[#This Row],[Qty available]]&gt;Table2[[#This Row],[Qty on hand]],"Check","OK")</f>
        <v>OK</v>
      </c>
    </row>
    <row r="2204" spans="1:24" x14ac:dyDescent="0.3">
      <c r="A2204" t="s">
        <v>243</v>
      </c>
      <c r="B2204" t="s">
        <v>244</v>
      </c>
      <c r="C2204" t="s">
        <v>57</v>
      </c>
      <c r="D2204" t="s">
        <v>58</v>
      </c>
      <c r="E2204" t="s">
        <v>66</v>
      </c>
      <c r="F2204" s="1" t="s">
        <v>47</v>
      </c>
      <c r="G2204" s="2">
        <v>601.51</v>
      </c>
      <c r="H2204">
        <v>601.51</v>
      </c>
      <c r="I2204">
        <v>606.27407600000004</v>
      </c>
      <c r="J2204">
        <v>873.17</v>
      </c>
      <c r="K2204">
        <v>44</v>
      </c>
      <c r="M2204">
        <v>0</v>
      </c>
      <c r="N2204" s="2">
        <v>211</v>
      </c>
      <c r="O2204">
        <v>127923.83</v>
      </c>
      <c r="P2204">
        <v>2</v>
      </c>
      <c r="Q2204">
        <v>209</v>
      </c>
      <c r="S2204">
        <v>95</v>
      </c>
      <c r="T2204">
        <v>0</v>
      </c>
      <c r="U2204" s="2">
        <v>0</v>
      </c>
      <c r="V2204">
        <v>0</v>
      </c>
      <c r="W2204" t="s">
        <v>29</v>
      </c>
      <c r="X2204" t="str">
        <f>IF(Table2[[#This Row],[Qty available]]&gt;Table2[[#This Row],[Qty on hand]],"Check","OK")</f>
        <v>OK</v>
      </c>
    </row>
    <row r="2205" spans="1:24" x14ac:dyDescent="0.3">
      <c r="A2205" t="s">
        <v>243</v>
      </c>
      <c r="B2205" t="s">
        <v>244</v>
      </c>
      <c r="C2205" t="s">
        <v>57</v>
      </c>
      <c r="D2205" t="s">
        <v>58</v>
      </c>
      <c r="E2205" t="s">
        <v>66</v>
      </c>
      <c r="F2205" s="1" t="s">
        <v>48</v>
      </c>
      <c r="G2205" s="2">
        <v>612.9</v>
      </c>
      <c r="H2205">
        <v>612.9</v>
      </c>
      <c r="I2205">
        <v>606.27407600000004</v>
      </c>
      <c r="J2205">
        <v>873.17</v>
      </c>
      <c r="K2205">
        <v>44</v>
      </c>
      <c r="M2205">
        <v>0</v>
      </c>
      <c r="N2205" s="2">
        <v>211</v>
      </c>
      <c r="O2205">
        <v>127923.83</v>
      </c>
      <c r="P2205">
        <v>8</v>
      </c>
      <c r="Q2205">
        <v>203</v>
      </c>
      <c r="S2205">
        <v>125</v>
      </c>
      <c r="T2205">
        <v>0</v>
      </c>
      <c r="U2205" s="2">
        <v>0</v>
      </c>
      <c r="V2205">
        <v>0</v>
      </c>
      <c r="W2205" t="s">
        <v>29</v>
      </c>
      <c r="X2205" t="str">
        <f>IF(Table2[[#This Row],[Qty available]]&gt;Table2[[#This Row],[Qty on hand]],"Check","OK")</f>
        <v>OK</v>
      </c>
    </row>
    <row r="2206" spans="1:24" x14ac:dyDescent="0.3">
      <c r="A2206" t="s">
        <v>243</v>
      </c>
      <c r="B2206" t="s">
        <v>244</v>
      </c>
      <c r="C2206" t="s">
        <v>57</v>
      </c>
      <c r="D2206" t="s">
        <v>58</v>
      </c>
      <c r="E2206" t="s">
        <v>66</v>
      </c>
      <c r="F2206" s="1" t="s">
        <v>49</v>
      </c>
      <c r="G2206" s="2">
        <v>616.45000000000005</v>
      </c>
      <c r="H2206">
        <v>616.45000000000005</v>
      </c>
      <c r="I2206">
        <v>606.27407600000004</v>
      </c>
      <c r="J2206">
        <v>873.17</v>
      </c>
      <c r="K2206">
        <v>44</v>
      </c>
      <c r="M2206">
        <v>0</v>
      </c>
      <c r="N2206" s="2">
        <v>211</v>
      </c>
      <c r="O2206">
        <v>127923.83</v>
      </c>
      <c r="P2206">
        <v>12</v>
      </c>
      <c r="Q2206">
        <v>199</v>
      </c>
      <c r="S2206">
        <v>156</v>
      </c>
      <c r="T2206">
        <v>0</v>
      </c>
      <c r="U2206" s="2">
        <v>0</v>
      </c>
      <c r="V2206">
        <v>0</v>
      </c>
      <c r="W2206" t="s">
        <v>29</v>
      </c>
      <c r="X2206" t="str">
        <f>IF(Table2[[#This Row],[Qty available]]&gt;Table2[[#This Row],[Qty on hand]],"Check","OK")</f>
        <v>OK</v>
      </c>
    </row>
    <row r="2207" spans="1:24" x14ac:dyDescent="0.3">
      <c r="A2207" t="s">
        <v>243</v>
      </c>
      <c r="B2207" t="s">
        <v>244</v>
      </c>
      <c r="C2207" t="s">
        <v>57</v>
      </c>
      <c r="D2207" t="s">
        <v>58</v>
      </c>
      <c r="E2207" t="s">
        <v>66</v>
      </c>
      <c r="F2207" s="1" t="s">
        <v>50</v>
      </c>
      <c r="G2207" s="2">
        <v>623.24</v>
      </c>
      <c r="H2207">
        <v>623.24</v>
      </c>
      <c r="I2207">
        <v>606.27407600000004</v>
      </c>
      <c r="J2207">
        <v>873.17</v>
      </c>
      <c r="K2207">
        <v>44</v>
      </c>
      <c r="M2207">
        <v>0</v>
      </c>
      <c r="N2207" s="2">
        <v>211</v>
      </c>
      <c r="O2207">
        <v>127923.83</v>
      </c>
      <c r="P2207">
        <v>4</v>
      </c>
      <c r="Q2207">
        <v>207</v>
      </c>
      <c r="S2207">
        <v>186</v>
      </c>
      <c r="T2207">
        <v>0</v>
      </c>
      <c r="U2207" s="2">
        <v>0</v>
      </c>
      <c r="V2207">
        <v>0</v>
      </c>
      <c r="W2207" t="s">
        <v>29</v>
      </c>
      <c r="X2207" t="str">
        <f>IF(Table2[[#This Row],[Qty available]]&gt;Table2[[#This Row],[Qty on hand]],"Check","OK")</f>
        <v>OK</v>
      </c>
    </row>
    <row r="2208" spans="1:24" x14ac:dyDescent="0.3">
      <c r="A2208" t="s">
        <v>243</v>
      </c>
      <c r="B2208" t="s">
        <v>244</v>
      </c>
      <c r="C2208" t="s">
        <v>57</v>
      </c>
      <c r="D2208" t="s">
        <v>58</v>
      </c>
      <c r="E2208" t="s">
        <v>66</v>
      </c>
      <c r="F2208" s="1" t="s">
        <v>51</v>
      </c>
      <c r="G2208" s="2">
        <v>624.66</v>
      </c>
      <c r="H2208">
        <v>624.66</v>
      </c>
      <c r="I2208">
        <v>606.27407600000004</v>
      </c>
      <c r="J2208">
        <v>873.17</v>
      </c>
      <c r="K2208">
        <v>44</v>
      </c>
      <c r="M2208">
        <v>0</v>
      </c>
      <c r="N2208" s="2">
        <v>211</v>
      </c>
      <c r="O2208">
        <v>127923.83</v>
      </c>
      <c r="P2208">
        <v>4</v>
      </c>
      <c r="Q2208">
        <v>207</v>
      </c>
      <c r="S2208">
        <v>217</v>
      </c>
      <c r="T2208">
        <v>0</v>
      </c>
      <c r="U2208" s="2">
        <v>0</v>
      </c>
      <c r="V2208">
        <v>0</v>
      </c>
      <c r="W2208" t="s">
        <v>29</v>
      </c>
      <c r="X2208" t="str">
        <f>IF(Table2[[#This Row],[Qty available]]&gt;Table2[[#This Row],[Qty on hand]],"Check","OK")</f>
        <v>OK</v>
      </c>
    </row>
    <row r="2209" spans="1:24" x14ac:dyDescent="0.3">
      <c r="A2209" t="s">
        <v>243</v>
      </c>
      <c r="B2209" t="s">
        <v>244</v>
      </c>
      <c r="C2209" t="s">
        <v>57</v>
      </c>
      <c r="D2209" t="s">
        <v>58</v>
      </c>
      <c r="E2209" t="s">
        <v>66</v>
      </c>
      <c r="F2209" s="1" t="s">
        <v>52</v>
      </c>
      <c r="G2209" s="2">
        <v>600.80999999999995</v>
      </c>
      <c r="H2209">
        <v>600.80999999999995</v>
      </c>
      <c r="I2209">
        <v>606.27407600000004</v>
      </c>
      <c r="J2209">
        <v>873.17</v>
      </c>
      <c r="K2209">
        <v>44</v>
      </c>
      <c r="M2209">
        <v>0</v>
      </c>
      <c r="N2209" s="2">
        <v>211</v>
      </c>
      <c r="O2209">
        <v>127923.83</v>
      </c>
      <c r="P2209">
        <v>12</v>
      </c>
      <c r="Q2209">
        <v>199</v>
      </c>
      <c r="S2209">
        <v>248</v>
      </c>
      <c r="T2209">
        <v>0</v>
      </c>
      <c r="U2209" s="2">
        <v>0</v>
      </c>
      <c r="V2209">
        <v>0</v>
      </c>
      <c r="W2209" t="s">
        <v>29</v>
      </c>
      <c r="X2209" t="str">
        <f>IF(Table2[[#This Row],[Qty available]]&gt;Table2[[#This Row],[Qty on hand]],"Check","OK")</f>
        <v>OK</v>
      </c>
    </row>
    <row r="2210" spans="1:24" x14ac:dyDescent="0.3">
      <c r="A2210" t="s">
        <v>245</v>
      </c>
      <c r="B2210" t="s">
        <v>246</v>
      </c>
      <c r="C2210" t="s">
        <v>69</v>
      </c>
      <c r="D2210" t="s">
        <v>70</v>
      </c>
      <c r="E2210" t="s">
        <v>27</v>
      </c>
      <c r="F2210" s="1" t="s">
        <v>28</v>
      </c>
      <c r="G2210" s="2">
        <v>501.75</v>
      </c>
      <c r="H2210">
        <v>538.83000000000004</v>
      </c>
      <c r="I2210">
        <v>539.38</v>
      </c>
      <c r="J2210">
        <v>796.48</v>
      </c>
      <c r="K2210">
        <v>57</v>
      </c>
      <c r="L2210" s="2">
        <v>54</v>
      </c>
      <c r="M2210">
        <v>21</v>
      </c>
      <c r="N2210" s="2">
        <v>13</v>
      </c>
      <c r="O2210">
        <v>7011.94</v>
      </c>
      <c r="P2210">
        <v>2</v>
      </c>
      <c r="Q2210">
        <v>11</v>
      </c>
      <c r="R2210">
        <v>4.38</v>
      </c>
      <c r="S2210">
        <v>1</v>
      </c>
      <c r="T2210">
        <v>13</v>
      </c>
      <c r="U2210" s="2">
        <v>10354.24</v>
      </c>
      <c r="V2210">
        <v>0</v>
      </c>
      <c r="W2210" t="s">
        <v>29</v>
      </c>
      <c r="X2210" t="str">
        <f>IF(Table2[[#This Row],[Qty available]]&gt;Table2[[#This Row],[Qty on hand]],"Check","OK")</f>
        <v>OK</v>
      </c>
    </row>
    <row r="2211" spans="1:24" x14ac:dyDescent="0.3">
      <c r="A2211" t="s">
        <v>245</v>
      </c>
      <c r="B2211" t="s">
        <v>246</v>
      </c>
      <c r="C2211" t="s">
        <v>69</v>
      </c>
      <c r="D2211" t="s">
        <v>70</v>
      </c>
      <c r="E2211" t="s">
        <v>27</v>
      </c>
      <c r="F2211" s="1" t="s">
        <v>30</v>
      </c>
      <c r="G2211" s="2">
        <v>503.75</v>
      </c>
      <c r="H2211">
        <v>540.98</v>
      </c>
      <c r="I2211">
        <v>540.28666699999997</v>
      </c>
      <c r="J2211">
        <v>796.48</v>
      </c>
      <c r="K2211">
        <v>57</v>
      </c>
      <c r="L2211" s="2">
        <v>49</v>
      </c>
      <c r="M2211">
        <v>17</v>
      </c>
      <c r="N2211" s="2">
        <v>24</v>
      </c>
      <c r="O2211">
        <v>12966.88</v>
      </c>
      <c r="P2211">
        <v>1</v>
      </c>
      <c r="Q2211">
        <v>23</v>
      </c>
      <c r="R2211">
        <v>9.01</v>
      </c>
      <c r="S2211">
        <v>7</v>
      </c>
      <c r="T2211">
        <v>6</v>
      </c>
      <c r="U2211" s="2">
        <v>4778.88</v>
      </c>
      <c r="V2211">
        <v>0</v>
      </c>
      <c r="W2211" t="s">
        <v>29</v>
      </c>
      <c r="X2211" t="str">
        <f>IF(Table2[[#This Row],[Qty available]]&gt;Table2[[#This Row],[Qty on hand]],"Check","OK")</f>
        <v>OK</v>
      </c>
    </row>
    <row r="2212" spans="1:24" x14ac:dyDescent="0.3">
      <c r="A2212" t="s">
        <v>245</v>
      </c>
      <c r="B2212" t="s">
        <v>246</v>
      </c>
      <c r="C2212" t="s">
        <v>69</v>
      </c>
      <c r="D2212" t="s">
        <v>70</v>
      </c>
      <c r="E2212" t="s">
        <v>27</v>
      </c>
      <c r="F2212" s="1" t="s">
        <v>31</v>
      </c>
      <c r="G2212" s="2">
        <v>512.66999999999996</v>
      </c>
      <c r="H2212">
        <v>550.55999999999995</v>
      </c>
      <c r="I2212">
        <v>540.28684199999998</v>
      </c>
      <c r="J2212">
        <v>796.48</v>
      </c>
      <c r="K2212">
        <v>57</v>
      </c>
      <c r="M2212">
        <v>0</v>
      </c>
      <c r="N2212" s="2">
        <v>19</v>
      </c>
      <c r="O2212">
        <v>10265.450000000001</v>
      </c>
      <c r="P2212">
        <v>3</v>
      </c>
      <c r="Q2212">
        <v>16</v>
      </c>
      <c r="R2212">
        <v>10.29</v>
      </c>
      <c r="S2212">
        <v>5</v>
      </c>
      <c r="T2212">
        <v>5</v>
      </c>
      <c r="U2212" s="2">
        <v>3982.4</v>
      </c>
      <c r="V2212">
        <v>0</v>
      </c>
      <c r="W2212" t="s">
        <v>29</v>
      </c>
      <c r="X2212" t="str">
        <f>IF(Table2[[#This Row],[Qty available]]&gt;Table2[[#This Row],[Qty on hand]],"Check","OK")</f>
        <v>OK</v>
      </c>
    </row>
    <row r="2213" spans="1:24" x14ac:dyDescent="0.3">
      <c r="A2213" t="s">
        <v>245</v>
      </c>
      <c r="B2213" t="s">
        <v>246</v>
      </c>
      <c r="C2213" t="s">
        <v>69</v>
      </c>
      <c r="D2213" t="s">
        <v>70</v>
      </c>
      <c r="E2213" t="s">
        <v>27</v>
      </c>
      <c r="F2213" s="1" t="s">
        <v>32</v>
      </c>
      <c r="G2213" s="2">
        <v>532.41</v>
      </c>
      <c r="H2213">
        <v>571.76</v>
      </c>
      <c r="I2213">
        <v>552.47</v>
      </c>
      <c r="J2213">
        <v>796.48</v>
      </c>
      <c r="K2213">
        <v>57</v>
      </c>
      <c r="L2213" s="2">
        <v>55</v>
      </c>
      <c r="M2213">
        <v>12</v>
      </c>
      <c r="N2213" s="2">
        <v>23</v>
      </c>
      <c r="O2213">
        <v>12706.81</v>
      </c>
      <c r="P2213">
        <v>3</v>
      </c>
      <c r="Q2213">
        <v>20</v>
      </c>
      <c r="R2213">
        <v>15.91</v>
      </c>
      <c r="S2213">
        <v>7</v>
      </c>
      <c r="T2213">
        <v>8</v>
      </c>
      <c r="U2213" s="2">
        <v>6371.84</v>
      </c>
      <c r="V2213">
        <v>0</v>
      </c>
      <c r="W2213" t="s">
        <v>29</v>
      </c>
      <c r="X2213" t="str">
        <f>IF(Table2[[#This Row],[Qty available]]&gt;Table2[[#This Row],[Qty on hand]],"Check","OK")</f>
        <v>OK</v>
      </c>
    </row>
    <row r="2214" spans="1:24" x14ac:dyDescent="0.3">
      <c r="A2214" t="s">
        <v>245</v>
      </c>
      <c r="B2214" t="s">
        <v>246</v>
      </c>
      <c r="C2214" t="s">
        <v>69</v>
      </c>
      <c r="D2214" t="s">
        <v>70</v>
      </c>
      <c r="E2214" t="s">
        <v>27</v>
      </c>
      <c r="F2214" s="1" t="s">
        <v>33</v>
      </c>
      <c r="G2214" s="2">
        <v>519.82000000000005</v>
      </c>
      <c r="H2214">
        <v>558.24</v>
      </c>
      <c r="I2214">
        <v>554.092941</v>
      </c>
      <c r="J2214">
        <v>796.48</v>
      </c>
      <c r="K2214">
        <v>57</v>
      </c>
      <c r="L2214" s="2">
        <v>55</v>
      </c>
      <c r="M2214">
        <v>9</v>
      </c>
      <c r="N2214" s="2">
        <v>17</v>
      </c>
      <c r="O2214">
        <v>9419.58</v>
      </c>
      <c r="P2214">
        <v>3</v>
      </c>
      <c r="Q2214">
        <v>14</v>
      </c>
      <c r="R2214">
        <v>7.98</v>
      </c>
      <c r="S2214">
        <v>14</v>
      </c>
      <c r="T2214">
        <v>15</v>
      </c>
      <c r="U2214" s="2">
        <v>11947.2</v>
      </c>
      <c r="V2214">
        <v>0</v>
      </c>
      <c r="W2214" t="s">
        <v>29</v>
      </c>
      <c r="X2214" t="str">
        <f>IF(Table2[[#This Row],[Qty available]]&gt;Table2[[#This Row],[Qty on hand]],"Check","OK")</f>
        <v>OK</v>
      </c>
    </row>
    <row r="2215" spans="1:24" x14ac:dyDescent="0.3">
      <c r="A2215" t="s">
        <v>245</v>
      </c>
      <c r="B2215" t="s">
        <v>246</v>
      </c>
      <c r="C2215" t="s">
        <v>69</v>
      </c>
      <c r="D2215" t="s">
        <v>70</v>
      </c>
      <c r="E2215" t="s">
        <v>27</v>
      </c>
      <c r="F2215" s="1" t="s">
        <v>34</v>
      </c>
      <c r="G2215" s="2">
        <v>529.01</v>
      </c>
      <c r="H2215">
        <v>568.11</v>
      </c>
      <c r="I2215">
        <v>554.09272699999997</v>
      </c>
      <c r="J2215">
        <v>842.34</v>
      </c>
      <c r="K2215">
        <v>57</v>
      </c>
      <c r="M2215">
        <v>0</v>
      </c>
      <c r="N2215" s="2">
        <v>11</v>
      </c>
      <c r="O2215">
        <v>6095.02</v>
      </c>
      <c r="P2215">
        <v>2</v>
      </c>
      <c r="Q2215">
        <v>9</v>
      </c>
      <c r="R2215">
        <v>4.88</v>
      </c>
      <c r="S2215">
        <v>7</v>
      </c>
      <c r="T2215">
        <v>6</v>
      </c>
      <c r="U2215" s="2">
        <v>5054.04</v>
      </c>
      <c r="V2215">
        <v>0</v>
      </c>
      <c r="W2215" t="s">
        <v>29</v>
      </c>
      <c r="X2215" t="str">
        <f>IF(Table2[[#This Row],[Qty available]]&gt;Table2[[#This Row],[Qty on hand]],"Check","OK")</f>
        <v>OK</v>
      </c>
    </row>
    <row r="2216" spans="1:24" x14ac:dyDescent="0.3">
      <c r="A2216" t="s">
        <v>245</v>
      </c>
      <c r="B2216" t="s">
        <v>246</v>
      </c>
      <c r="C2216" t="s">
        <v>69</v>
      </c>
      <c r="D2216" t="s">
        <v>70</v>
      </c>
      <c r="E2216" t="s">
        <v>27</v>
      </c>
      <c r="F2216" s="1" t="s">
        <v>35</v>
      </c>
      <c r="G2216" s="2">
        <v>513.64</v>
      </c>
      <c r="H2216">
        <v>551.6</v>
      </c>
      <c r="I2216">
        <v>554.09272699999997</v>
      </c>
      <c r="J2216">
        <v>842.34</v>
      </c>
      <c r="K2216">
        <v>57</v>
      </c>
      <c r="M2216">
        <v>0</v>
      </c>
      <c r="N2216" s="2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11</v>
      </c>
      <c r="U2216" s="2">
        <v>9265.74</v>
      </c>
      <c r="V2216">
        <v>1</v>
      </c>
      <c r="W2216" t="s">
        <v>59</v>
      </c>
      <c r="X2216" t="str">
        <f>IF(Table2[[#This Row],[Qty available]]&gt;Table2[[#This Row],[Qty on hand]],"Check","OK")</f>
        <v>OK</v>
      </c>
    </row>
    <row r="2217" spans="1:24" x14ac:dyDescent="0.3">
      <c r="A2217" t="s">
        <v>245</v>
      </c>
      <c r="B2217" t="s">
        <v>246</v>
      </c>
      <c r="C2217" t="s">
        <v>69</v>
      </c>
      <c r="D2217" t="s">
        <v>70</v>
      </c>
      <c r="E2217" t="s">
        <v>27</v>
      </c>
      <c r="F2217" s="1" t="s">
        <v>36</v>
      </c>
      <c r="G2217" s="2">
        <v>515.91999999999996</v>
      </c>
      <c r="H2217">
        <v>554.04999999999995</v>
      </c>
      <c r="I2217">
        <v>554.04999999999995</v>
      </c>
      <c r="J2217">
        <v>842.34</v>
      </c>
      <c r="K2217">
        <v>57</v>
      </c>
      <c r="L2217" s="2">
        <v>55</v>
      </c>
      <c r="M2217">
        <v>9</v>
      </c>
      <c r="N2217" s="2">
        <v>1</v>
      </c>
      <c r="O2217">
        <v>554.04999999999995</v>
      </c>
      <c r="P2217">
        <v>1</v>
      </c>
      <c r="Q2217">
        <v>0</v>
      </c>
      <c r="R2217">
        <v>0.51</v>
      </c>
      <c r="S2217">
        <v>9</v>
      </c>
      <c r="T2217">
        <v>8</v>
      </c>
      <c r="U2217" s="2">
        <v>6738.72</v>
      </c>
      <c r="V2217">
        <v>0</v>
      </c>
      <c r="W2217" t="s">
        <v>29</v>
      </c>
      <c r="X2217" t="str">
        <f>IF(Table2[[#This Row],[Qty available]]&gt;Table2[[#This Row],[Qty on hand]],"Check","OK")</f>
        <v>OK</v>
      </c>
    </row>
    <row r="2218" spans="1:24" x14ac:dyDescent="0.3">
      <c r="A2218" t="s">
        <v>245</v>
      </c>
      <c r="B2218" t="s">
        <v>246</v>
      </c>
      <c r="C2218" t="s">
        <v>69</v>
      </c>
      <c r="D2218" t="s">
        <v>70</v>
      </c>
      <c r="E2218" t="s">
        <v>27</v>
      </c>
      <c r="F2218" s="1" t="s">
        <v>37</v>
      </c>
      <c r="G2218" s="2">
        <v>531.30999999999995</v>
      </c>
      <c r="H2218">
        <v>570.58000000000004</v>
      </c>
      <c r="I2218">
        <v>569.39857099999995</v>
      </c>
      <c r="J2218">
        <v>842.34</v>
      </c>
      <c r="K2218">
        <v>57</v>
      </c>
      <c r="L2218" s="2">
        <v>91</v>
      </c>
      <c r="M2218">
        <v>13</v>
      </c>
      <c r="N2218" s="2">
        <v>7</v>
      </c>
      <c r="O2218">
        <v>3985.79</v>
      </c>
      <c r="P2218">
        <v>3</v>
      </c>
      <c r="Q2218">
        <v>4</v>
      </c>
      <c r="R2218">
        <v>3.54</v>
      </c>
      <c r="S2218">
        <v>22</v>
      </c>
      <c r="T2218">
        <v>7</v>
      </c>
      <c r="U2218" s="2">
        <v>5896.38</v>
      </c>
      <c r="V2218">
        <v>0</v>
      </c>
      <c r="W2218" t="s">
        <v>29</v>
      </c>
      <c r="X2218" t="str">
        <f>IF(Table2[[#This Row],[Qty available]]&gt;Table2[[#This Row],[Qty on hand]],"Check","OK")</f>
        <v>OK</v>
      </c>
    </row>
    <row r="2219" spans="1:24" x14ac:dyDescent="0.3">
      <c r="A2219" t="s">
        <v>245</v>
      </c>
      <c r="B2219" t="s">
        <v>246</v>
      </c>
      <c r="C2219" t="s">
        <v>69</v>
      </c>
      <c r="D2219" t="s">
        <v>70</v>
      </c>
      <c r="E2219" t="s">
        <v>27</v>
      </c>
      <c r="F2219" s="1" t="s">
        <v>38</v>
      </c>
      <c r="G2219" s="2">
        <v>513.17999999999995</v>
      </c>
      <c r="H2219">
        <v>551.11</v>
      </c>
      <c r="I2219">
        <v>556.230952</v>
      </c>
      <c r="J2219">
        <v>842.34</v>
      </c>
      <c r="K2219">
        <v>57</v>
      </c>
      <c r="L2219" s="2">
        <v>72</v>
      </c>
      <c r="M2219">
        <v>18</v>
      </c>
      <c r="N2219" s="2">
        <v>21</v>
      </c>
      <c r="O2219">
        <v>11680.85</v>
      </c>
      <c r="P2219">
        <v>1</v>
      </c>
      <c r="Q2219">
        <v>20</v>
      </c>
      <c r="R2219">
        <v>14.37</v>
      </c>
      <c r="S2219">
        <v>11</v>
      </c>
      <c r="T2219">
        <v>4</v>
      </c>
      <c r="U2219" s="2">
        <v>3369.36</v>
      </c>
      <c r="V2219">
        <v>0</v>
      </c>
      <c r="W2219" t="s">
        <v>29</v>
      </c>
      <c r="X2219" t="str">
        <f>IF(Table2[[#This Row],[Qty available]]&gt;Table2[[#This Row],[Qty on hand]],"Check","OK")</f>
        <v>OK</v>
      </c>
    </row>
    <row r="2220" spans="1:24" x14ac:dyDescent="0.3">
      <c r="A2220" t="s">
        <v>245</v>
      </c>
      <c r="B2220" t="s">
        <v>246</v>
      </c>
      <c r="C2220" t="s">
        <v>69</v>
      </c>
      <c r="D2220" t="s">
        <v>70</v>
      </c>
      <c r="E2220" t="s">
        <v>27</v>
      </c>
      <c r="F2220" s="1" t="s">
        <v>39</v>
      </c>
      <c r="G2220" s="2">
        <v>518.27</v>
      </c>
      <c r="H2220">
        <v>556.57000000000005</v>
      </c>
      <c r="I2220">
        <v>556.33275900000001</v>
      </c>
      <c r="J2220">
        <v>842.34</v>
      </c>
      <c r="K2220">
        <v>57</v>
      </c>
      <c r="L2220" s="2">
        <v>54</v>
      </c>
      <c r="M2220">
        <v>9</v>
      </c>
      <c r="N2220" s="2">
        <v>29</v>
      </c>
      <c r="O2220">
        <v>16133.65</v>
      </c>
      <c r="P2220">
        <v>1</v>
      </c>
      <c r="Q2220">
        <v>28</v>
      </c>
      <c r="R2220">
        <v>31.76</v>
      </c>
      <c r="S2220">
        <v>21</v>
      </c>
      <c r="T2220">
        <v>1</v>
      </c>
      <c r="U2220" s="2">
        <v>842.34</v>
      </c>
      <c r="V2220">
        <v>0</v>
      </c>
      <c r="W2220" t="s">
        <v>29</v>
      </c>
      <c r="X2220" t="str">
        <f>IF(Table2[[#This Row],[Qty available]]&gt;Table2[[#This Row],[Qty on hand]],"Check","OK")</f>
        <v>OK</v>
      </c>
    </row>
    <row r="2221" spans="1:24" x14ac:dyDescent="0.3">
      <c r="A2221" t="s">
        <v>245</v>
      </c>
      <c r="B2221" t="s">
        <v>246</v>
      </c>
      <c r="C2221" t="s">
        <v>69</v>
      </c>
      <c r="D2221" t="s">
        <v>70</v>
      </c>
      <c r="E2221" t="s">
        <v>27</v>
      </c>
      <c r="F2221" s="1" t="s">
        <v>40</v>
      </c>
      <c r="G2221" s="2">
        <v>513.71</v>
      </c>
      <c r="H2221">
        <v>551.67999999999995</v>
      </c>
      <c r="I2221">
        <v>556.33272699999998</v>
      </c>
      <c r="J2221">
        <v>842.34</v>
      </c>
      <c r="K2221">
        <v>57</v>
      </c>
      <c r="M2221">
        <v>0</v>
      </c>
      <c r="N2221" s="2">
        <v>22</v>
      </c>
      <c r="O2221">
        <v>12239.32</v>
      </c>
      <c r="P2221">
        <v>1</v>
      </c>
      <c r="Q2221">
        <v>21</v>
      </c>
      <c r="R2221">
        <v>24.1</v>
      </c>
      <c r="S2221">
        <v>10</v>
      </c>
      <c r="T2221">
        <v>7</v>
      </c>
      <c r="U2221" s="2">
        <v>5896.38</v>
      </c>
      <c r="V2221">
        <v>0</v>
      </c>
      <c r="W2221" t="s">
        <v>29</v>
      </c>
      <c r="X2221" t="str">
        <f>IF(Table2[[#This Row],[Qty available]]&gt;Table2[[#This Row],[Qty on hand]],"Check","OK")</f>
        <v>OK</v>
      </c>
    </row>
    <row r="2222" spans="1:24" x14ac:dyDescent="0.3">
      <c r="A2222" t="s">
        <v>245</v>
      </c>
      <c r="B2222" t="s">
        <v>246</v>
      </c>
      <c r="C2222" t="s">
        <v>69</v>
      </c>
      <c r="D2222" t="s">
        <v>70</v>
      </c>
      <c r="E2222" t="s">
        <v>27</v>
      </c>
      <c r="F2222" s="1" t="s">
        <v>41</v>
      </c>
      <c r="G2222" s="2">
        <v>517.45000000000005</v>
      </c>
      <c r="H2222">
        <v>555.69000000000005</v>
      </c>
      <c r="I2222">
        <v>556.33266700000001</v>
      </c>
      <c r="J2222">
        <v>842.34</v>
      </c>
      <c r="K2222">
        <v>57</v>
      </c>
      <c r="M2222">
        <v>0</v>
      </c>
      <c r="N2222" s="2">
        <v>15</v>
      </c>
      <c r="O2222">
        <v>8344.99</v>
      </c>
      <c r="P2222">
        <v>2</v>
      </c>
      <c r="Q2222">
        <v>13</v>
      </c>
      <c r="R2222">
        <v>13.14</v>
      </c>
      <c r="S2222">
        <v>4</v>
      </c>
      <c r="T2222">
        <v>7</v>
      </c>
      <c r="U2222" s="2">
        <v>5896.38</v>
      </c>
      <c r="V2222">
        <v>0</v>
      </c>
      <c r="W2222" t="s">
        <v>29</v>
      </c>
      <c r="X2222" t="str">
        <f>IF(Table2[[#This Row],[Qty available]]&gt;Table2[[#This Row],[Qty on hand]],"Check","OK")</f>
        <v>OK</v>
      </c>
    </row>
    <row r="2223" spans="1:24" x14ac:dyDescent="0.3">
      <c r="A2223" t="s">
        <v>245</v>
      </c>
      <c r="B2223" t="s">
        <v>246</v>
      </c>
      <c r="C2223" t="s">
        <v>69</v>
      </c>
      <c r="D2223" t="s">
        <v>70</v>
      </c>
      <c r="E2223" t="s">
        <v>27</v>
      </c>
      <c r="F2223" s="1" t="s">
        <v>42</v>
      </c>
      <c r="G2223" s="2">
        <v>514.34</v>
      </c>
      <c r="H2223">
        <v>552.35</v>
      </c>
      <c r="I2223">
        <v>554.83888899999999</v>
      </c>
      <c r="J2223">
        <v>842.34</v>
      </c>
      <c r="K2223">
        <v>57</v>
      </c>
      <c r="L2223" s="2">
        <v>52</v>
      </c>
      <c r="M2223">
        <v>9</v>
      </c>
      <c r="N2223" s="2">
        <v>18</v>
      </c>
      <c r="O2223">
        <v>9987.1</v>
      </c>
      <c r="P2223">
        <v>2</v>
      </c>
      <c r="Q2223">
        <v>16</v>
      </c>
      <c r="R2223">
        <v>11.83</v>
      </c>
      <c r="S2223">
        <v>6</v>
      </c>
      <c r="T2223">
        <v>6</v>
      </c>
      <c r="U2223" s="2">
        <v>5054.04</v>
      </c>
      <c r="V2223">
        <v>0</v>
      </c>
      <c r="W2223" t="s">
        <v>29</v>
      </c>
      <c r="X2223" t="str">
        <f>IF(Table2[[#This Row],[Qty available]]&gt;Table2[[#This Row],[Qty on hand]],"Check","OK")</f>
        <v>OK</v>
      </c>
    </row>
    <row r="2224" spans="1:24" x14ac:dyDescent="0.3">
      <c r="A2224" t="s">
        <v>245</v>
      </c>
      <c r="B2224" t="s">
        <v>246</v>
      </c>
      <c r="C2224" t="s">
        <v>69</v>
      </c>
      <c r="D2224" t="s">
        <v>70</v>
      </c>
      <c r="E2224" t="s">
        <v>27</v>
      </c>
      <c r="F2224" s="1" t="s">
        <v>43</v>
      </c>
      <c r="G2224" s="2">
        <v>522.51</v>
      </c>
      <c r="H2224">
        <v>561.13</v>
      </c>
      <c r="I2224">
        <v>554.83909100000005</v>
      </c>
      <c r="J2224">
        <v>842.34</v>
      </c>
      <c r="K2224">
        <v>57</v>
      </c>
      <c r="M2224">
        <v>0</v>
      </c>
      <c r="N2224" s="2">
        <v>11</v>
      </c>
      <c r="O2224">
        <v>6103.23</v>
      </c>
      <c r="P2224">
        <v>3</v>
      </c>
      <c r="Q2224">
        <v>8</v>
      </c>
      <c r="R2224">
        <v>7.15</v>
      </c>
      <c r="S2224">
        <v>2</v>
      </c>
      <c r="T2224">
        <v>7</v>
      </c>
      <c r="U2224" s="2">
        <v>5896.38</v>
      </c>
      <c r="V2224">
        <v>0</v>
      </c>
      <c r="W2224" t="s">
        <v>29</v>
      </c>
      <c r="X2224" t="str">
        <f>IF(Table2[[#This Row],[Qty available]]&gt;Table2[[#This Row],[Qty on hand]],"Check","OK")</f>
        <v>OK</v>
      </c>
    </row>
    <row r="2225" spans="1:24" x14ac:dyDescent="0.3">
      <c r="A2225" t="s">
        <v>245</v>
      </c>
      <c r="B2225" t="s">
        <v>246</v>
      </c>
      <c r="C2225" t="s">
        <v>69</v>
      </c>
      <c r="D2225" t="s">
        <v>70</v>
      </c>
      <c r="E2225" t="s">
        <v>27</v>
      </c>
      <c r="F2225" s="1" t="s">
        <v>44</v>
      </c>
      <c r="G2225" s="2">
        <v>525.99</v>
      </c>
      <c r="H2225">
        <v>564.86</v>
      </c>
      <c r="I2225">
        <v>559.34888899999999</v>
      </c>
      <c r="J2225">
        <v>842.34</v>
      </c>
      <c r="K2225">
        <v>57</v>
      </c>
      <c r="L2225" s="2">
        <v>76</v>
      </c>
      <c r="M2225">
        <v>9</v>
      </c>
      <c r="N2225" s="2">
        <v>9</v>
      </c>
      <c r="O2225">
        <v>5034.1400000000003</v>
      </c>
      <c r="P2225">
        <v>2</v>
      </c>
      <c r="Q2225">
        <v>7</v>
      </c>
      <c r="R2225">
        <v>4.93</v>
      </c>
      <c r="S2225">
        <v>1</v>
      </c>
      <c r="T2225">
        <v>11</v>
      </c>
      <c r="U2225" s="2">
        <v>9265.74</v>
      </c>
      <c r="V2225">
        <v>0</v>
      </c>
      <c r="W2225" t="s">
        <v>29</v>
      </c>
      <c r="X2225" t="str">
        <f>IF(Table2[[#This Row],[Qty available]]&gt;Table2[[#This Row],[Qty on hand]],"Check","OK")</f>
        <v>OK</v>
      </c>
    </row>
    <row r="2226" spans="1:24" x14ac:dyDescent="0.3">
      <c r="A2226" t="s">
        <v>245</v>
      </c>
      <c r="B2226" t="s">
        <v>246</v>
      </c>
      <c r="C2226" t="s">
        <v>69</v>
      </c>
      <c r="D2226" t="s">
        <v>70</v>
      </c>
      <c r="E2226" t="s">
        <v>27</v>
      </c>
      <c r="F2226" s="1" t="s">
        <v>45</v>
      </c>
      <c r="G2226" s="2">
        <v>544.97</v>
      </c>
      <c r="H2226">
        <v>585.25</v>
      </c>
      <c r="I2226">
        <v>572.29999999999995</v>
      </c>
      <c r="J2226">
        <v>842.34</v>
      </c>
      <c r="K2226">
        <v>57</v>
      </c>
      <c r="L2226" s="2">
        <v>69</v>
      </c>
      <c r="M2226">
        <v>9</v>
      </c>
      <c r="N2226" s="2">
        <v>6</v>
      </c>
      <c r="O2226">
        <v>3433.8</v>
      </c>
      <c r="P2226">
        <v>1</v>
      </c>
      <c r="Q2226">
        <v>5</v>
      </c>
      <c r="R2226">
        <v>2.63</v>
      </c>
      <c r="S2226">
        <v>13</v>
      </c>
      <c r="T2226">
        <v>12</v>
      </c>
      <c r="U2226" s="2">
        <v>10108.08</v>
      </c>
      <c r="V2226">
        <v>0</v>
      </c>
      <c r="W2226" t="s">
        <v>29</v>
      </c>
      <c r="X2226" t="str">
        <f>IF(Table2[[#This Row],[Qty available]]&gt;Table2[[#This Row],[Qty on hand]],"Check","OK")</f>
        <v>OK</v>
      </c>
    </row>
    <row r="2227" spans="1:24" x14ac:dyDescent="0.3">
      <c r="A2227" t="s">
        <v>245</v>
      </c>
      <c r="B2227" t="s">
        <v>246</v>
      </c>
      <c r="C2227" t="s">
        <v>69</v>
      </c>
      <c r="D2227" t="s">
        <v>70</v>
      </c>
      <c r="E2227" t="s">
        <v>27</v>
      </c>
      <c r="F2227" s="1" t="s">
        <v>46</v>
      </c>
      <c r="G2227" s="2">
        <v>530.89</v>
      </c>
      <c r="H2227">
        <v>570.13</v>
      </c>
      <c r="I2227">
        <v>572.29999999999995</v>
      </c>
      <c r="J2227">
        <v>890.84</v>
      </c>
      <c r="K2227">
        <v>57</v>
      </c>
      <c r="M2227">
        <v>0</v>
      </c>
      <c r="N2227" s="2">
        <v>0</v>
      </c>
      <c r="O2227">
        <v>0</v>
      </c>
      <c r="P2227">
        <v>0</v>
      </c>
      <c r="Q2227">
        <v>0</v>
      </c>
      <c r="R2227">
        <v>0</v>
      </c>
      <c r="S2227">
        <v>13</v>
      </c>
      <c r="T2227">
        <v>6</v>
      </c>
      <c r="U2227" s="2">
        <v>5345.04</v>
      </c>
      <c r="V2227">
        <v>2</v>
      </c>
      <c r="W2227" t="s">
        <v>59</v>
      </c>
      <c r="X2227" t="str">
        <f>IF(Table2[[#This Row],[Qty available]]&gt;Table2[[#This Row],[Qty on hand]],"Check","OK")</f>
        <v>OK</v>
      </c>
    </row>
    <row r="2228" spans="1:24" x14ac:dyDescent="0.3">
      <c r="A2228" t="s">
        <v>245</v>
      </c>
      <c r="B2228" t="s">
        <v>246</v>
      </c>
      <c r="C2228" t="s">
        <v>69</v>
      </c>
      <c r="D2228" t="s">
        <v>70</v>
      </c>
      <c r="E2228" t="s">
        <v>27</v>
      </c>
      <c r="F2228" s="1" t="s">
        <v>47</v>
      </c>
      <c r="G2228" s="2">
        <v>534.75</v>
      </c>
      <c r="H2228">
        <v>574.27</v>
      </c>
      <c r="I2228">
        <v>574.27</v>
      </c>
      <c r="J2228">
        <v>890.84</v>
      </c>
      <c r="K2228">
        <v>57</v>
      </c>
      <c r="L2228" s="2">
        <v>49</v>
      </c>
      <c r="M2228">
        <v>10</v>
      </c>
      <c r="N2228" s="2">
        <v>5</v>
      </c>
      <c r="O2228">
        <v>2871.35</v>
      </c>
      <c r="P2228">
        <v>2</v>
      </c>
      <c r="Q2228">
        <v>3</v>
      </c>
      <c r="R2228">
        <v>2.8</v>
      </c>
      <c r="S2228">
        <v>4</v>
      </c>
      <c r="T2228">
        <v>5</v>
      </c>
      <c r="U2228" s="2">
        <v>4454.2</v>
      </c>
      <c r="V2228">
        <v>0</v>
      </c>
      <c r="W2228" t="s">
        <v>29</v>
      </c>
      <c r="X2228" t="str">
        <f>IF(Table2[[#This Row],[Qty available]]&gt;Table2[[#This Row],[Qty on hand]],"Check","OK")</f>
        <v>OK</v>
      </c>
    </row>
    <row r="2229" spans="1:24" x14ac:dyDescent="0.3">
      <c r="A2229" t="s">
        <v>245</v>
      </c>
      <c r="B2229" t="s">
        <v>246</v>
      </c>
      <c r="C2229" t="s">
        <v>69</v>
      </c>
      <c r="D2229" t="s">
        <v>70</v>
      </c>
      <c r="E2229" t="s">
        <v>27</v>
      </c>
      <c r="F2229" s="1" t="s">
        <v>48</v>
      </c>
      <c r="G2229" s="2">
        <v>536.34</v>
      </c>
      <c r="H2229">
        <v>575.98</v>
      </c>
      <c r="I2229">
        <v>574.27</v>
      </c>
      <c r="J2229">
        <v>890.84</v>
      </c>
      <c r="K2229">
        <v>57</v>
      </c>
      <c r="M2229">
        <v>0</v>
      </c>
      <c r="N2229" s="2">
        <v>0</v>
      </c>
      <c r="O2229">
        <v>0</v>
      </c>
      <c r="P2229">
        <v>0</v>
      </c>
      <c r="Q2229">
        <v>0</v>
      </c>
      <c r="R2229">
        <v>0</v>
      </c>
      <c r="S2229">
        <v>20</v>
      </c>
      <c r="T2229">
        <v>5</v>
      </c>
      <c r="U2229" s="2">
        <v>4454.2</v>
      </c>
      <c r="V2229">
        <v>3</v>
      </c>
      <c r="W2229" t="s">
        <v>59</v>
      </c>
      <c r="X2229" t="str">
        <f>IF(Table2[[#This Row],[Qty available]]&gt;Table2[[#This Row],[Qty on hand]],"Check","OK")</f>
        <v>OK</v>
      </c>
    </row>
    <row r="2230" spans="1:24" x14ac:dyDescent="0.3">
      <c r="A2230" t="s">
        <v>245</v>
      </c>
      <c r="B2230" t="s">
        <v>246</v>
      </c>
      <c r="C2230" t="s">
        <v>69</v>
      </c>
      <c r="D2230" t="s">
        <v>70</v>
      </c>
      <c r="E2230" t="s">
        <v>27</v>
      </c>
      <c r="F2230" s="1" t="s">
        <v>49</v>
      </c>
      <c r="G2230" s="2">
        <v>545.32000000000005</v>
      </c>
      <c r="H2230">
        <v>585.62</v>
      </c>
      <c r="I2230">
        <v>574.27</v>
      </c>
      <c r="J2230">
        <v>890.84</v>
      </c>
      <c r="K2230">
        <v>57</v>
      </c>
      <c r="M2230">
        <v>0</v>
      </c>
      <c r="N2230" s="2">
        <v>0</v>
      </c>
      <c r="O2230">
        <v>0</v>
      </c>
      <c r="P2230">
        <v>0</v>
      </c>
      <c r="Q2230">
        <v>0</v>
      </c>
      <c r="R2230">
        <v>0</v>
      </c>
      <c r="S2230">
        <v>51</v>
      </c>
      <c r="T2230">
        <v>0</v>
      </c>
      <c r="U2230" s="2">
        <v>0</v>
      </c>
      <c r="V2230">
        <v>13</v>
      </c>
      <c r="W2230" t="s">
        <v>59</v>
      </c>
      <c r="X2230" t="str">
        <f>IF(Table2[[#This Row],[Qty available]]&gt;Table2[[#This Row],[Qty on hand]],"Check","OK")</f>
        <v>OK</v>
      </c>
    </row>
    <row r="2231" spans="1:24" x14ac:dyDescent="0.3">
      <c r="A2231" t="s">
        <v>245</v>
      </c>
      <c r="B2231" t="s">
        <v>246</v>
      </c>
      <c r="C2231" t="s">
        <v>69</v>
      </c>
      <c r="D2231" t="s">
        <v>70</v>
      </c>
      <c r="E2231" t="s">
        <v>27</v>
      </c>
      <c r="F2231" s="1" t="s">
        <v>50</v>
      </c>
      <c r="G2231" s="2">
        <v>542.09</v>
      </c>
      <c r="H2231">
        <v>582.15</v>
      </c>
      <c r="I2231">
        <v>582.15</v>
      </c>
      <c r="J2231">
        <v>890.84</v>
      </c>
      <c r="K2231">
        <v>57</v>
      </c>
      <c r="L2231" s="2">
        <v>56</v>
      </c>
      <c r="M2231">
        <v>35</v>
      </c>
      <c r="N2231" s="2">
        <v>20</v>
      </c>
      <c r="O2231">
        <v>11643</v>
      </c>
      <c r="P2231">
        <v>3</v>
      </c>
      <c r="Q2231">
        <v>17</v>
      </c>
      <c r="R2231">
        <v>13</v>
      </c>
      <c r="S2231">
        <v>7</v>
      </c>
      <c r="T2231">
        <v>15</v>
      </c>
      <c r="U2231" s="2">
        <v>13362.6</v>
      </c>
      <c r="V2231">
        <v>0</v>
      </c>
      <c r="W2231" t="s">
        <v>29</v>
      </c>
      <c r="X2231" t="str">
        <f>IF(Table2[[#This Row],[Qty available]]&gt;Table2[[#This Row],[Qty on hand]],"Check","OK")</f>
        <v>OK</v>
      </c>
    </row>
    <row r="2232" spans="1:24" x14ac:dyDescent="0.3">
      <c r="A2232" t="s">
        <v>245</v>
      </c>
      <c r="B2232" t="s">
        <v>246</v>
      </c>
      <c r="C2232" t="s">
        <v>69</v>
      </c>
      <c r="D2232" t="s">
        <v>70</v>
      </c>
      <c r="E2232" t="s">
        <v>27</v>
      </c>
      <c r="F2232" s="1" t="s">
        <v>51</v>
      </c>
      <c r="G2232" s="2">
        <v>541.79</v>
      </c>
      <c r="H2232">
        <v>581.83000000000004</v>
      </c>
      <c r="I2232">
        <v>582.15</v>
      </c>
      <c r="J2232">
        <v>890.84</v>
      </c>
      <c r="K2232">
        <v>57</v>
      </c>
      <c r="M2232">
        <v>0</v>
      </c>
      <c r="N2232" s="2">
        <v>11</v>
      </c>
      <c r="O2232">
        <v>6403.65</v>
      </c>
      <c r="P2232">
        <v>1</v>
      </c>
      <c r="Q2232">
        <v>10</v>
      </c>
      <c r="R2232">
        <v>6.02</v>
      </c>
      <c r="S2232">
        <v>16</v>
      </c>
      <c r="T2232">
        <v>9</v>
      </c>
      <c r="U2232" s="2">
        <v>8017.56</v>
      </c>
      <c r="V2232">
        <v>0</v>
      </c>
      <c r="W2232" t="s">
        <v>29</v>
      </c>
      <c r="X2232" t="str">
        <f>IF(Table2[[#This Row],[Qty available]]&gt;Table2[[#This Row],[Qty on hand]],"Check","OK")</f>
        <v>OK</v>
      </c>
    </row>
    <row r="2233" spans="1:24" x14ac:dyDescent="0.3">
      <c r="A2233" t="s">
        <v>245</v>
      </c>
      <c r="B2233" t="s">
        <v>246</v>
      </c>
      <c r="C2233" t="s">
        <v>69</v>
      </c>
      <c r="D2233" t="s">
        <v>70</v>
      </c>
      <c r="E2233" t="s">
        <v>27</v>
      </c>
      <c r="F2233" s="1" t="s">
        <v>52</v>
      </c>
      <c r="G2233" s="2">
        <v>544.48</v>
      </c>
      <c r="H2233">
        <v>584.72</v>
      </c>
      <c r="I2233">
        <v>583.49111100000005</v>
      </c>
      <c r="J2233">
        <v>890.84</v>
      </c>
      <c r="K2233">
        <v>57</v>
      </c>
      <c r="L2233" s="2">
        <v>50</v>
      </c>
      <c r="M2233">
        <v>12</v>
      </c>
      <c r="N2233" s="2">
        <v>9</v>
      </c>
      <c r="O2233">
        <v>5251.42</v>
      </c>
      <c r="P2233">
        <v>3</v>
      </c>
      <c r="Q2233">
        <v>6</v>
      </c>
      <c r="R2233">
        <v>3.11</v>
      </c>
      <c r="S2233">
        <v>4</v>
      </c>
      <c r="T2233">
        <v>14</v>
      </c>
      <c r="U2233" s="2">
        <v>12471.76</v>
      </c>
      <c r="V2233">
        <v>0</v>
      </c>
      <c r="W2233" t="s">
        <v>29</v>
      </c>
      <c r="X2233" t="str">
        <f>IF(Table2[[#This Row],[Qty available]]&gt;Table2[[#This Row],[Qty on hand]],"Check","OK")</f>
        <v>OK</v>
      </c>
    </row>
    <row r="2234" spans="1:24" x14ac:dyDescent="0.3">
      <c r="A2234" t="s">
        <v>247</v>
      </c>
      <c r="B2234" t="s">
        <v>248</v>
      </c>
      <c r="C2234" t="s">
        <v>91</v>
      </c>
      <c r="D2234" t="s">
        <v>92</v>
      </c>
      <c r="E2234" t="s">
        <v>66</v>
      </c>
      <c r="F2234" s="1" t="s">
        <v>28</v>
      </c>
      <c r="G2234" s="2">
        <v>47.93</v>
      </c>
      <c r="H2234">
        <v>47.93</v>
      </c>
      <c r="I2234">
        <v>48.014736999999997</v>
      </c>
      <c r="J2234">
        <v>65.12</v>
      </c>
      <c r="K2234">
        <v>41</v>
      </c>
      <c r="L2234" s="2">
        <v>37</v>
      </c>
      <c r="M2234">
        <v>197</v>
      </c>
      <c r="N2234" s="2">
        <v>133</v>
      </c>
      <c r="O2234">
        <v>6385.96</v>
      </c>
      <c r="P2234">
        <v>11</v>
      </c>
      <c r="Q2234">
        <v>122</v>
      </c>
      <c r="R2234">
        <v>4.99</v>
      </c>
      <c r="S2234">
        <v>0</v>
      </c>
      <c r="T2234">
        <v>131</v>
      </c>
      <c r="U2234" s="2">
        <v>8530.7199999999993</v>
      </c>
      <c r="V2234">
        <v>0</v>
      </c>
      <c r="W2234" t="s">
        <v>29</v>
      </c>
      <c r="X2234" t="str">
        <f>IF(Table2[[#This Row],[Qty available]]&gt;Table2[[#This Row],[Qty on hand]],"Check","OK")</f>
        <v>OK</v>
      </c>
    </row>
    <row r="2235" spans="1:24" x14ac:dyDescent="0.3">
      <c r="A2235" t="s">
        <v>247</v>
      </c>
      <c r="B2235" t="s">
        <v>248</v>
      </c>
      <c r="C2235" t="s">
        <v>91</v>
      </c>
      <c r="D2235" t="s">
        <v>92</v>
      </c>
      <c r="E2235" t="s">
        <v>66</v>
      </c>
      <c r="F2235" s="1" t="s">
        <v>30</v>
      </c>
      <c r="G2235" s="2">
        <v>50.41</v>
      </c>
      <c r="H2235">
        <v>50.41</v>
      </c>
      <c r="I2235">
        <v>49.243098000000003</v>
      </c>
      <c r="J2235">
        <v>65.12</v>
      </c>
      <c r="K2235">
        <v>41</v>
      </c>
      <c r="L2235" s="2">
        <v>37</v>
      </c>
      <c r="M2235">
        <v>140</v>
      </c>
      <c r="N2235" s="2">
        <v>184</v>
      </c>
      <c r="O2235">
        <v>9060.73</v>
      </c>
      <c r="P2235">
        <v>5</v>
      </c>
      <c r="Q2235">
        <v>179</v>
      </c>
      <c r="R2235">
        <v>7.28</v>
      </c>
      <c r="S2235">
        <v>0</v>
      </c>
      <c r="T2235">
        <v>89</v>
      </c>
      <c r="U2235" s="2">
        <v>5795.68</v>
      </c>
      <c r="V2235">
        <v>0</v>
      </c>
      <c r="W2235" t="s">
        <v>29</v>
      </c>
      <c r="X2235" t="str">
        <f>IF(Table2[[#This Row],[Qty available]]&gt;Table2[[#This Row],[Qty on hand]],"Check","OK")</f>
        <v>OK</v>
      </c>
    </row>
    <row r="2236" spans="1:24" x14ac:dyDescent="0.3">
      <c r="A2236" t="s">
        <v>247</v>
      </c>
      <c r="B2236" t="s">
        <v>248</v>
      </c>
      <c r="C2236" t="s">
        <v>91</v>
      </c>
      <c r="D2236" t="s">
        <v>92</v>
      </c>
      <c r="E2236" t="s">
        <v>66</v>
      </c>
      <c r="F2236" s="1" t="s">
        <v>31</v>
      </c>
      <c r="G2236" s="2">
        <v>50.79</v>
      </c>
      <c r="H2236">
        <v>50.79</v>
      </c>
      <c r="I2236">
        <v>49.484341999999998</v>
      </c>
      <c r="J2236">
        <v>65.12</v>
      </c>
      <c r="K2236">
        <v>41</v>
      </c>
      <c r="L2236" s="2">
        <v>56</v>
      </c>
      <c r="M2236">
        <v>34</v>
      </c>
      <c r="N2236" s="2">
        <v>76</v>
      </c>
      <c r="O2236">
        <v>3760.81</v>
      </c>
      <c r="P2236">
        <v>16</v>
      </c>
      <c r="Q2236">
        <v>60</v>
      </c>
      <c r="R2236">
        <v>2.73</v>
      </c>
      <c r="S2236">
        <v>0</v>
      </c>
      <c r="T2236">
        <v>142</v>
      </c>
      <c r="U2236" s="2">
        <v>9247.0400000000009</v>
      </c>
      <c r="V2236">
        <v>0</v>
      </c>
      <c r="W2236" t="s">
        <v>29</v>
      </c>
      <c r="X2236" t="str">
        <f>IF(Table2[[#This Row],[Qty available]]&gt;Table2[[#This Row],[Qty on hand]],"Check","OK")</f>
        <v>OK</v>
      </c>
    </row>
    <row r="2237" spans="1:24" x14ac:dyDescent="0.3">
      <c r="A2237" t="s">
        <v>247</v>
      </c>
      <c r="B2237" t="s">
        <v>248</v>
      </c>
      <c r="C2237" t="s">
        <v>91</v>
      </c>
      <c r="D2237" t="s">
        <v>92</v>
      </c>
      <c r="E2237" t="s">
        <v>66</v>
      </c>
      <c r="F2237" s="1" t="s">
        <v>32</v>
      </c>
      <c r="G2237" s="2">
        <v>52.15</v>
      </c>
      <c r="H2237">
        <v>52.15</v>
      </c>
      <c r="I2237">
        <v>49.484341999999998</v>
      </c>
      <c r="J2237">
        <v>65.12</v>
      </c>
      <c r="K2237">
        <v>41</v>
      </c>
      <c r="M2237">
        <v>0</v>
      </c>
      <c r="N2237" s="2">
        <v>0</v>
      </c>
      <c r="O2237">
        <v>0</v>
      </c>
      <c r="P2237">
        <v>0</v>
      </c>
      <c r="Q2237">
        <v>0</v>
      </c>
      <c r="R2237">
        <v>0</v>
      </c>
      <c r="S2237">
        <v>2</v>
      </c>
      <c r="T2237">
        <v>76</v>
      </c>
      <c r="U2237" s="2">
        <v>4949.12</v>
      </c>
      <c r="V2237">
        <v>23</v>
      </c>
      <c r="W2237" t="s">
        <v>59</v>
      </c>
      <c r="X2237" t="str">
        <f>IF(Table2[[#This Row],[Qty available]]&gt;Table2[[#This Row],[Qty on hand]],"Check","OK")</f>
        <v>OK</v>
      </c>
    </row>
    <row r="2238" spans="1:24" x14ac:dyDescent="0.3">
      <c r="A2238" t="s">
        <v>247</v>
      </c>
      <c r="B2238" t="s">
        <v>248</v>
      </c>
      <c r="C2238" t="s">
        <v>91</v>
      </c>
      <c r="D2238" t="s">
        <v>92</v>
      </c>
      <c r="E2238" t="s">
        <v>66</v>
      </c>
      <c r="F2238" s="1" t="s">
        <v>33</v>
      </c>
      <c r="G2238" s="2">
        <v>51.24</v>
      </c>
      <c r="H2238">
        <v>51.24</v>
      </c>
      <c r="I2238">
        <v>51.24</v>
      </c>
      <c r="J2238">
        <v>65.12</v>
      </c>
      <c r="K2238">
        <v>41</v>
      </c>
      <c r="L2238" s="2">
        <v>39</v>
      </c>
      <c r="M2238">
        <v>263</v>
      </c>
      <c r="N2238" s="2">
        <v>175</v>
      </c>
      <c r="O2238">
        <v>8967</v>
      </c>
      <c r="P2238">
        <v>22</v>
      </c>
      <c r="Q2238">
        <v>153</v>
      </c>
      <c r="R2238">
        <v>7.52</v>
      </c>
      <c r="S2238">
        <v>4</v>
      </c>
      <c r="T2238">
        <v>88</v>
      </c>
      <c r="U2238" s="2">
        <v>5730.56</v>
      </c>
      <c r="V2238">
        <v>0</v>
      </c>
      <c r="W2238" t="s">
        <v>29</v>
      </c>
      <c r="X2238" t="str">
        <f>IF(Table2[[#This Row],[Qty available]]&gt;Table2[[#This Row],[Qty on hand]],"Check","OK")</f>
        <v>OK</v>
      </c>
    </row>
    <row r="2239" spans="1:24" x14ac:dyDescent="0.3">
      <c r="A2239" t="s">
        <v>247</v>
      </c>
      <c r="B2239" t="s">
        <v>248</v>
      </c>
      <c r="C2239" t="s">
        <v>91</v>
      </c>
      <c r="D2239" t="s">
        <v>92</v>
      </c>
      <c r="E2239" t="s">
        <v>66</v>
      </c>
      <c r="F2239" s="1" t="s">
        <v>34</v>
      </c>
      <c r="G2239" s="2">
        <v>50.55</v>
      </c>
      <c r="H2239">
        <v>50.55</v>
      </c>
      <c r="I2239">
        <v>51.079638000000003</v>
      </c>
      <c r="J2239">
        <v>67.69</v>
      </c>
      <c r="K2239">
        <v>41</v>
      </c>
      <c r="L2239" s="2">
        <v>40</v>
      </c>
      <c r="M2239">
        <v>53</v>
      </c>
      <c r="N2239" s="2">
        <v>138</v>
      </c>
      <c r="O2239">
        <v>7048.99</v>
      </c>
      <c r="P2239">
        <v>16</v>
      </c>
      <c r="Q2239">
        <v>122</v>
      </c>
      <c r="R2239">
        <v>6.99</v>
      </c>
      <c r="S2239">
        <v>1</v>
      </c>
      <c r="T2239">
        <v>90</v>
      </c>
      <c r="U2239" s="2">
        <v>6092.1</v>
      </c>
      <c r="V2239">
        <v>0</v>
      </c>
      <c r="W2239" t="s">
        <v>29</v>
      </c>
      <c r="X2239" t="str">
        <f>IF(Table2[[#This Row],[Qty available]]&gt;Table2[[#This Row],[Qty on hand]],"Check","OK")</f>
        <v>OK</v>
      </c>
    </row>
    <row r="2240" spans="1:24" x14ac:dyDescent="0.3">
      <c r="A2240" t="s">
        <v>247</v>
      </c>
      <c r="B2240" t="s">
        <v>248</v>
      </c>
      <c r="C2240" t="s">
        <v>91</v>
      </c>
      <c r="D2240" t="s">
        <v>92</v>
      </c>
      <c r="E2240" t="s">
        <v>66</v>
      </c>
      <c r="F2240" s="1" t="s">
        <v>35</v>
      </c>
      <c r="G2240" s="2">
        <v>51.32</v>
      </c>
      <c r="H2240">
        <v>51.32</v>
      </c>
      <c r="I2240">
        <v>51.211598000000002</v>
      </c>
      <c r="J2240">
        <v>67.69</v>
      </c>
      <c r="K2240">
        <v>41</v>
      </c>
      <c r="L2240" s="2">
        <v>36</v>
      </c>
      <c r="M2240">
        <v>168</v>
      </c>
      <c r="N2240" s="2">
        <v>244</v>
      </c>
      <c r="O2240">
        <v>12495.63</v>
      </c>
      <c r="P2240">
        <v>11</v>
      </c>
      <c r="Q2240">
        <v>233</v>
      </c>
      <c r="R2240">
        <v>13.07</v>
      </c>
      <c r="S2240">
        <v>0</v>
      </c>
      <c r="T2240">
        <v>62</v>
      </c>
      <c r="U2240" s="2">
        <v>4196.78</v>
      </c>
      <c r="V2240">
        <v>0</v>
      </c>
      <c r="W2240" t="s">
        <v>29</v>
      </c>
      <c r="X2240" t="str">
        <f>IF(Table2[[#This Row],[Qty available]]&gt;Table2[[#This Row],[Qty on hand]],"Check","OK")</f>
        <v>OK</v>
      </c>
    </row>
    <row r="2241" spans="1:24" x14ac:dyDescent="0.3">
      <c r="A2241" t="s">
        <v>247</v>
      </c>
      <c r="B2241" t="s">
        <v>248</v>
      </c>
      <c r="C2241" t="s">
        <v>91</v>
      </c>
      <c r="D2241" t="s">
        <v>92</v>
      </c>
      <c r="E2241" t="s">
        <v>66</v>
      </c>
      <c r="F2241" s="1" t="s">
        <v>36</v>
      </c>
      <c r="G2241" s="2">
        <v>51.12</v>
      </c>
      <c r="H2241">
        <v>51.12</v>
      </c>
      <c r="I2241">
        <v>51.199230999999997</v>
      </c>
      <c r="J2241">
        <v>67.69</v>
      </c>
      <c r="K2241">
        <v>41</v>
      </c>
      <c r="L2241" s="2">
        <v>37</v>
      </c>
      <c r="M2241">
        <v>38</v>
      </c>
      <c r="N2241" s="2">
        <v>195</v>
      </c>
      <c r="O2241">
        <v>9983.85</v>
      </c>
      <c r="P2241">
        <v>11</v>
      </c>
      <c r="Q2241">
        <v>184</v>
      </c>
      <c r="R2241">
        <v>10.37</v>
      </c>
      <c r="S2241">
        <v>1</v>
      </c>
      <c r="T2241">
        <v>87</v>
      </c>
      <c r="U2241" s="2">
        <v>5889.03</v>
      </c>
      <c r="V2241">
        <v>0</v>
      </c>
      <c r="W2241" t="s">
        <v>29</v>
      </c>
      <c r="X2241" t="str">
        <f>IF(Table2[[#This Row],[Qty available]]&gt;Table2[[#This Row],[Qty on hand]],"Check","OK")</f>
        <v>OK</v>
      </c>
    </row>
    <row r="2242" spans="1:24" x14ac:dyDescent="0.3">
      <c r="A2242" t="s">
        <v>247</v>
      </c>
      <c r="B2242" t="s">
        <v>248</v>
      </c>
      <c r="C2242" t="s">
        <v>91</v>
      </c>
      <c r="D2242" t="s">
        <v>92</v>
      </c>
      <c r="E2242" t="s">
        <v>66</v>
      </c>
      <c r="F2242" s="1" t="s">
        <v>37</v>
      </c>
      <c r="G2242" s="2">
        <v>51.79</v>
      </c>
      <c r="H2242">
        <v>51.79</v>
      </c>
      <c r="I2242">
        <v>51.254187999999999</v>
      </c>
      <c r="J2242">
        <v>67.69</v>
      </c>
      <c r="K2242">
        <v>41</v>
      </c>
      <c r="L2242" s="2">
        <v>40</v>
      </c>
      <c r="M2242">
        <v>20</v>
      </c>
      <c r="N2242" s="2">
        <v>160</v>
      </c>
      <c r="O2242">
        <v>8200.67</v>
      </c>
      <c r="P2242">
        <v>22</v>
      </c>
      <c r="Q2242">
        <v>138</v>
      </c>
      <c r="R2242">
        <v>10.31</v>
      </c>
      <c r="S2242">
        <v>0</v>
      </c>
      <c r="T2242">
        <v>55</v>
      </c>
      <c r="U2242" s="2">
        <v>3722.95</v>
      </c>
      <c r="V2242">
        <v>0</v>
      </c>
      <c r="W2242" t="s">
        <v>29</v>
      </c>
      <c r="X2242" t="str">
        <f>IF(Table2[[#This Row],[Qty available]]&gt;Table2[[#This Row],[Qty on hand]],"Check","OK")</f>
        <v>OK</v>
      </c>
    </row>
    <row r="2243" spans="1:24" x14ac:dyDescent="0.3">
      <c r="A2243" t="s">
        <v>247</v>
      </c>
      <c r="B2243" t="s">
        <v>248</v>
      </c>
      <c r="C2243" t="s">
        <v>91</v>
      </c>
      <c r="D2243" t="s">
        <v>92</v>
      </c>
      <c r="E2243" t="s">
        <v>66</v>
      </c>
      <c r="F2243" s="1" t="s">
        <v>38</v>
      </c>
      <c r="G2243" s="2">
        <v>50.53</v>
      </c>
      <c r="H2243">
        <v>50.53</v>
      </c>
      <c r="I2243">
        <v>50.940899000000002</v>
      </c>
      <c r="J2243">
        <v>67.69</v>
      </c>
      <c r="K2243">
        <v>41</v>
      </c>
      <c r="L2243" s="2">
        <v>37</v>
      </c>
      <c r="M2243">
        <v>122</v>
      </c>
      <c r="N2243" s="2">
        <v>189</v>
      </c>
      <c r="O2243">
        <v>9627.83</v>
      </c>
      <c r="P2243">
        <v>5</v>
      </c>
      <c r="Q2243">
        <v>184</v>
      </c>
      <c r="R2243">
        <v>10.46</v>
      </c>
      <c r="S2243">
        <v>4</v>
      </c>
      <c r="T2243">
        <v>93</v>
      </c>
      <c r="U2243" s="2">
        <v>6295.17</v>
      </c>
      <c r="V2243">
        <v>0</v>
      </c>
      <c r="W2243" t="s">
        <v>29</v>
      </c>
      <c r="X2243" t="str">
        <f>IF(Table2[[#This Row],[Qty available]]&gt;Table2[[#This Row],[Qty on hand]],"Check","OK")</f>
        <v>OK</v>
      </c>
    </row>
    <row r="2244" spans="1:24" x14ac:dyDescent="0.3">
      <c r="A2244" t="s">
        <v>247</v>
      </c>
      <c r="B2244" t="s">
        <v>248</v>
      </c>
      <c r="C2244" t="s">
        <v>91</v>
      </c>
      <c r="D2244" t="s">
        <v>92</v>
      </c>
      <c r="E2244" t="s">
        <v>66</v>
      </c>
      <c r="F2244" s="1" t="s">
        <v>39</v>
      </c>
      <c r="G2244" s="2">
        <v>51.23</v>
      </c>
      <c r="H2244">
        <v>51.23</v>
      </c>
      <c r="I2244">
        <v>51.026895000000003</v>
      </c>
      <c r="J2244">
        <v>67.69</v>
      </c>
      <c r="K2244">
        <v>41</v>
      </c>
      <c r="L2244" s="2">
        <v>47</v>
      </c>
      <c r="M2244">
        <v>80</v>
      </c>
      <c r="N2244" s="2">
        <v>219</v>
      </c>
      <c r="O2244">
        <v>11174.89</v>
      </c>
      <c r="P2244">
        <v>27</v>
      </c>
      <c r="Q2244">
        <v>192</v>
      </c>
      <c r="R2244">
        <v>14.54</v>
      </c>
      <c r="S2244">
        <v>4</v>
      </c>
      <c r="T2244">
        <v>50</v>
      </c>
      <c r="U2244" s="2">
        <v>3384.5</v>
      </c>
      <c r="V2244">
        <v>0</v>
      </c>
      <c r="W2244" t="s">
        <v>29</v>
      </c>
      <c r="X2244" t="str">
        <f>IF(Table2[[#This Row],[Qty available]]&gt;Table2[[#This Row],[Qty on hand]],"Check","OK")</f>
        <v>OK</v>
      </c>
    </row>
    <row r="2245" spans="1:24" x14ac:dyDescent="0.3">
      <c r="A2245" t="s">
        <v>247</v>
      </c>
      <c r="B2245" t="s">
        <v>248</v>
      </c>
      <c r="C2245" t="s">
        <v>91</v>
      </c>
      <c r="D2245" t="s">
        <v>92</v>
      </c>
      <c r="E2245" t="s">
        <v>66</v>
      </c>
      <c r="F2245" s="1" t="s">
        <v>40</v>
      </c>
      <c r="G2245" s="2">
        <v>50.73</v>
      </c>
      <c r="H2245">
        <v>50.73</v>
      </c>
      <c r="I2245">
        <v>50.91845</v>
      </c>
      <c r="J2245">
        <v>67.69</v>
      </c>
      <c r="K2245">
        <v>41</v>
      </c>
      <c r="L2245" s="2">
        <v>36</v>
      </c>
      <c r="M2245">
        <v>126</v>
      </c>
      <c r="N2245" s="2">
        <v>342</v>
      </c>
      <c r="O2245">
        <v>17414.11</v>
      </c>
      <c r="P2245">
        <v>5</v>
      </c>
      <c r="Q2245">
        <v>337</v>
      </c>
      <c r="R2245">
        <v>30.79</v>
      </c>
      <c r="S2245">
        <v>8</v>
      </c>
      <c r="T2245">
        <v>3</v>
      </c>
      <c r="U2245" s="2">
        <v>203.07</v>
      </c>
      <c r="V2245">
        <v>0</v>
      </c>
      <c r="W2245" t="s">
        <v>29</v>
      </c>
      <c r="X2245" t="str">
        <f>IF(Table2[[#This Row],[Qty available]]&gt;Table2[[#This Row],[Qty on hand]],"Check","OK")</f>
        <v>OK</v>
      </c>
    </row>
    <row r="2246" spans="1:24" x14ac:dyDescent="0.3">
      <c r="A2246" t="s">
        <v>247</v>
      </c>
      <c r="B2246" t="s">
        <v>248</v>
      </c>
      <c r="C2246" t="s">
        <v>91</v>
      </c>
      <c r="D2246" t="s">
        <v>92</v>
      </c>
      <c r="E2246" t="s">
        <v>66</v>
      </c>
      <c r="F2246" s="1" t="s">
        <v>41</v>
      </c>
      <c r="G2246" s="2">
        <v>50.34</v>
      </c>
      <c r="H2246">
        <v>50.34</v>
      </c>
      <c r="I2246">
        <v>50.792693999999997</v>
      </c>
      <c r="J2246">
        <v>67.69</v>
      </c>
      <c r="K2246">
        <v>41</v>
      </c>
      <c r="L2246" s="2">
        <v>37</v>
      </c>
      <c r="M2246">
        <v>95</v>
      </c>
      <c r="N2246" s="2">
        <v>412</v>
      </c>
      <c r="O2246">
        <v>20926.59</v>
      </c>
      <c r="P2246">
        <v>25</v>
      </c>
      <c r="Q2246">
        <v>387</v>
      </c>
      <c r="R2246">
        <v>69.42</v>
      </c>
      <c r="S2246">
        <v>5</v>
      </c>
      <c r="T2246">
        <v>25</v>
      </c>
      <c r="U2246" s="2">
        <v>1692.25</v>
      </c>
      <c r="V2246">
        <v>0</v>
      </c>
      <c r="W2246" t="s">
        <v>29</v>
      </c>
      <c r="X2246" t="str">
        <f>IF(Table2[[#This Row],[Qty available]]&gt;Table2[[#This Row],[Qty on hand]],"Check","OK")</f>
        <v>OK</v>
      </c>
    </row>
    <row r="2247" spans="1:24" x14ac:dyDescent="0.3">
      <c r="A2247" t="s">
        <v>247</v>
      </c>
      <c r="B2247" t="s">
        <v>248</v>
      </c>
      <c r="C2247" t="s">
        <v>91</v>
      </c>
      <c r="D2247" t="s">
        <v>92</v>
      </c>
      <c r="E2247" t="s">
        <v>66</v>
      </c>
      <c r="F2247" s="1" t="s">
        <v>42</v>
      </c>
      <c r="G2247" s="2">
        <v>54.8</v>
      </c>
      <c r="H2247">
        <v>54.8</v>
      </c>
      <c r="I2247">
        <v>50.792687999999998</v>
      </c>
      <c r="J2247">
        <v>67.69</v>
      </c>
      <c r="K2247">
        <v>41</v>
      </c>
      <c r="M2247">
        <v>0</v>
      </c>
      <c r="N2247" s="2">
        <v>320</v>
      </c>
      <c r="O2247">
        <v>16253.66</v>
      </c>
      <c r="P2247">
        <v>27</v>
      </c>
      <c r="Q2247">
        <v>293</v>
      </c>
      <c r="R2247">
        <v>35.049999999999997</v>
      </c>
      <c r="S2247">
        <v>1</v>
      </c>
      <c r="T2247">
        <v>92</v>
      </c>
      <c r="U2247" s="2">
        <v>6227.48</v>
      </c>
      <c r="V2247">
        <v>0</v>
      </c>
      <c r="W2247" t="s">
        <v>29</v>
      </c>
      <c r="X2247" t="str">
        <f>IF(Table2[[#This Row],[Qty available]]&gt;Table2[[#This Row],[Qty on hand]],"Check","OK")</f>
        <v>OK</v>
      </c>
    </row>
    <row r="2248" spans="1:24" x14ac:dyDescent="0.3">
      <c r="A2248" t="s">
        <v>247</v>
      </c>
      <c r="B2248" t="s">
        <v>248</v>
      </c>
      <c r="C2248" t="s">
        <v>91</v>
      </c>
      <c r="D2248" t="s">
        <v>92</v>
      </c>
      <c r="E2248" t="s">
        <v>66</v>
      </c>
      <c r="F2248" s="1" t="s">
        <v>43</v>
      </c>
      <c r="G2248" s="2">
        <v>54.92</v>
      </c>
      <c r="H2248">
        <v>54.92</v>
      </c>
      <c r="I2248">
        <v>51.584788000000003</v>
      </c>
      <c r="J2248">
        <v>67.69</v>
      </c>
      <c r="K2248">
        <v>41</v>
      </c>
      <c r="L2248" s="2">
        <v>39</v>
      </c>
      <c r="M2248">
        <v>76</v>
      </c>
      <c r="N2248" s="2">
        <v>307</v>
      </c>
      <c r="O2248">
        <v>15836.53</v>
      </c>
      <c r="P2248">
        <v>16</v>
      </c>
      <c r="Q2248">
        <v>291</v>
      </c>
      <c r="R2248">
        <v>19.37</v>
      </c>
      <c r="S2248">
        <v>0</v>
      </c>
      <c r="T2248">
        <v>89</v>
      </c>
      <c r="U2248" s="2">
        <v>6024.41</v>
      </c>
      <c r="V2248">
        <v>0</v>
      </c>
      <c r="W2248" t="s">
        <v>29</v>
      </c>
      <c r="X2248" t="str">
        <f>IF(Table2[[#This Row],[Qty available]]&gt;Table2[[#This Row],[Qty on hand]],"Check","OK")</f>
        <v>OK</v>
      </c>
    </row>
    <row r="2249" spans="1:24" x14ac:dyDescent="0.3">
      <c r="A2249" t="s">
        <v>247</v>
      </c>
      <c r="B2249" t="s">
        <v>248</v>
      </c>
      <c r="C2249" t="s">
        <v>91</v>
      </c>
      <c r="D2249" t="s">
        <v>92</v>
      </c>
      <c r="E2249" t="s">
        <v>66</v>
      </c>
      <c r="F2249" s="1" t="s">
        <v>44</v>
      </c>
      <c r="G2249" s="2">
        <v>54.52</v>
      </c>
      <c r="H2249">
        <v>54.52</v>
      </c>
      <c r="I2249">
        <v>51.584792999999998</v>
      </c>
      <c r="J2249">
        <v>67.69</v>
      </c>
      <c r="K2249">
        <v>41</v>
      </c>
      <c r="M2249">
        <v>0</v>
      </c>
      <c r="N2249" s="2">
        <v>217</v>
      </c>
      <c r="O2249">
        <v>11193.9</v>
      </c>
      <c r="P2249">
        <v>19</v>
      </c>
      <c r="Q2249">
        <v>198</v>
      </c>
      <c r="R2249">
        <v>10.52</v>
      </c>
      <c r="S2249">
        <v>1</v>
      </c>
      <c r="T2249">
        <v>90</v>
      </c>
      <c r="U2249" s="2">
        <v>6092.1</v>
      </c>
      <c r="V2249">
        <v>0</v>
      </c>
      <c r="W2249" t="s">
        <v>29</v>
      </c>
      <c r="X2249" t="str">
        <f>IF(Table2[[#This Row],[Qty available]]&gt;Table2[[#This Row],[Qty on hand]],"Check","OK")</f>
        <v>OK</v>
      </c>
    </row>
    <row r="2250" spans="1:24" x14ac:dyDescent="0.3">
      <c r="A2250" t="s">
        <v>247</v>
      </c>
      <c r="B2250" t="s">
        <v>248</v>
      </c>
      <c r="C2250" t="s">
        <v>91</v>
      </c>
      <c r="D2250" t="s">
        <v>92</v>
      </c>
      <c r="E2250" t="s">
        <v>66</v>
      </c>
      <c r="F2250" s="1" t="s">
        <v>45</v>
      </c>
      <c r="G2250" s="2">
        <v>53.73</v>
      </c>
      <c r="H2250">
        <v>53.73</v>
      </c>
      <c r="I2250">
        <v>52.073380999999998</v>
      </c>
      <c r="J2250">
        <v>67.69</v>
      </c>
      <c r="K2250">
        <v>41</v>
      </c>
      <c r="L2250" s="2">
        <v>36</v>
      </c>
      <c r="M2250">
        <v>64</v>
      </c>
      <c r="N2250" s="2">
        <v>281</v>
      </c>
      <c r="O2250">
        <v>14632.62</v>
      </c>
      <c r="P2250">
        <v>16</v>
      </c>
      <c r="Q2250">
        <v>265</v>
      </c>
      <c r="R2250">
        <v>20.63</v>
      </c>
      <c r="S2250">
        <v>32</v>
      </c>
      <c r="T2250">
        <v>0</v>
      </c>
      <c r="U2250" s="2">
        <v>0</v>
      </c>
      <c r="V2250">
        <v>0</v>
      </c>
      <c r="W2250" t="s">
        <v>29</v>
      </c>
      <c r="X2250" t="str">
        <f>IF(Table2[[#This Row],[Qty available]]&gt;Table2[[#This Row],[Qty on hand]],"Check","OK")</f>
        <v>OK</v>
      </c>
    </row>
    <row r="2251" spans="1:24" x14ac:dyDescent="0.3">
      <c r="A2251" t="s">
        <v>247</v>
      </c>
      <c r="B2251" t="s">
        <v>248</v>
      </c>
      <c r="C2251" t="s">
        <v>91</v>
      </c>
      <c r="D2251" t="s">
        <v>92</v>
      </c>
      <c r="E2251" t="s">
        <v>66</v>
      </c>
      <c r="F2251" s="1" t="s">
        <v>46</v>
      </c>
      <c r="G2251" s="2">
        <v>53.33</v>
      </c>
      <c r="H2251">
        <v>53.33</v>
      </c>
      <c r="I2251">
        <v>52.309451000000003</v>
      </c>
      <c r="J2251">
        <v>70.36</v>
      </c>
      <c r="K2251">
        <v>41</v>
      </c>
      <c r="L2251" s="2">
        <v>40</v>
      </c>
      <c r="M2251">
        <v>65</v>
      </c>
      <c r="N2251" s="2">
        <v>346</v>
      </c>
      <c r="O2251">
        <v>18099.07</v>
      </c>
      <c r="P2251">
        <v>19</v>
      </c>
      <c r="Q2251">
        <v>327</v>
      </c>
      <c r="R2251">
        <v>49.43</v>
      </c>
      <c r="S2251">
        <v>60</v>
      </c>
      <c r="T2251">
        <v>0</v>
      </c>
      <c r="U2251" s="2">
        <v>0</v>
      </c>
      <c r="V2251">
        <v>0</v>
      </c>
      <c r="W2251" t="s">
        <v>29</v>
      </c>
      <c r="X2251" t="str">
        <f>IF(Table2[[#This Row],[Qty available]]&gt;Table2[[#This Row],[Qty on hand]],"Check","OK")</f>
        <v>OK</v>
      </c>
    </row>
    <row r="2252" spans="1:24" x14ac:dyDescent="0.3">
      <c r="A2252" t="s">
        <v>247</v>
      </c>
      <c r="B2252" t="s">
        <v>248</v>
      </c>
      <c r="C2252" t="s">
        <v>91</v>
      </c>
      <c r="D2252" t="s">
        <v>92</v>
      </c>
      <c r="E2252" t="s">
        <v>66</v>
      </c>
      <c r="F2252" s="1" t="s">
        <v>47</v>
      </c>
      <c r="G2252" s="2">
        <v>54.01</v>
      </c>
      <c r="H2252">
        <v>54.01</v>
      </c>
      <c r="I2252">
        <v>52.654263</v>
      </c>
      <c r="J2252">
        <v>70.36</v>
      </c>
      <c r="K2252">
        <v>41</v>
      </c>
      <c r="L2252" s="2">
        <v>37</v>
      </c>
      <c r="M2252">
        <v>88</v>
      </c>
      <c r="N2252" s="2">
        <v>434</v>
      </c>
      <c r="O2252">
        <v>22851.95</v>
      </c>
      <c r="P2252">
        <v>14</v>
      </c>
      <c r="Q2252">
        <v>420</v>
      </c>
      <c r="S2252">
        <v>91</v>
      </c>
      <c r="T2252">
        <v>0</v>
      </c>
      <c r="U2252" s="2">
        <v>0</v>
      </c>
      <c r="V2252">
        <v>0</v>
      </c>
      <c r="W2252" t="s">
        <v>29</v>
      </c>
      <c r="X2252" t="str">
        <f>IF(Table2[[#This Row],[Qty available]]&gt;Table2[[#This Row],[Qty on hand]],"Check","OK")</f>
        <v>OK</v>
      </c>
    </row>
    <row r="2253" spans="1:24" x14ac:dyDescent="0.3">
      <c r="A2253" t="s">
        <v>247</v>
      </c>
      <c r="B2253" t="s">
        <v>248</v>
      </c>
      <c r="C2253" t="s">
        <v>91</v>
      </c>
      <c r="D2253" t="s">
        <v>92</v>
      </c>
      <c r="E2253" t="s">
        <v>66</v>
      </c>
      <c r="F2253" s="1" t="s">
        <v>48</v>
      </c>
      <c r="G2253" s="2">
        <v>53.23</v>
      </c>
      <c r="H2253">
        <v>53.23</v>
      </c>
      <c r="I2253">
        <v>52.654263</v>
      </c>
      <c r="J2253">
        <v>70.36</v>
      </c>
      <c r="K2253">
        <v>41</v>
      </c>
      <c r="M2253">
        <v>0</v>
      </c>
      <c r="N2253" s="2">
        <v>434</v>
      </c>
      <c r="O2253">
        <v>22851.95</v>
      </c>
      <c r="P2253">
        <v>14</v>
      </c>
      <c r="Q2253">
        <v>420</v>
      </c>
      <c r="S2253">
        <v>121</v>
      </c>
      <c r="T2253">
        <v>0</v>
      </c>
      <c r="U2253" s="2">
        <v>0</v>
      </c>
      <c r="V2253">
        <v>0</v>
      </c>
      <c r="W2253" t="s">
        <v>29</v>
      </c>
      <c r="X2253" t="str">
        <f>IF(Table2[[#This Row],[Qty available]]&gt;Table2[[#This Row],[Qty on hand]],"Check","OK")</f>
        <v>OK</v>
      </c>
    </row>
    <row r="2254" spans="1:24" x14ac:dyDescent="0.3">
      <c r="A2254" t="s">
        <v>247</v>
      </c>
      <c r="B2254" t="s">
        <v>248</v>
      </c>
      <c r="C2254" t="s">
        <v>91</v>
      </c>
      <c r="D2254" t="s">
        <v>92</v>
      </c>
      <c r="E2254" t="s">
        <v>66</v>
      </c>
      <c r="F2254" s="1" t="s">
        <v>49</v>
      </c>
      <c r="G2254" s="2">
        <v>55.12</v>
      </c>
      <c r="H2254">
        <v>55.12</v>
      </c>
      <c r="I2254">
        <v>52.654263</v>
      </c>
      <c r="J2254">
        <v>70.36</v>
      </c>
      <c r="K2254">
        <v>41</v>
      </c>
      <c r="M2254">
        <v>0</v>
      </c>
      <c r="N2254" s="2">
        <v>434</v>
      </c>
      <c r="O2254">
        <v>22851.95</v>
      </c>
      <c r="P2254">
        <v>19</v>
      </c>
      <c r="Q2254">
        <v>415</v>
      </c>
      <c r="S2254">
        <v>152</v>
      </c>
      <c r="T2254">
        <v>0</v>
      </c>
      <c r="U2254" s="2">
        <v>0</v>
      </c>
      <c r="V2254">
        <v>0</v>
      </c>
      <c r="W2254" t="s">
        <v>29</v>
      </c>
      <c r="X2254" t="str">
        <f>IF(Table2[[#This Row],[Qty available]]&gt;Table2[[#This Row],[Qty on hand]],"Check","OK")</f>
        <v>OK</v>
      </c>
    </row>
    <row r="2255" spans="1:24" x14ac:dyDescent="0.3">
      <c r="A2255" t="s">
        <v>247</v>
      </c>
      <c r="B2255" t="s">
        <v>248</v>
      </c>
      <c r="C2255" t="s">
        <v>91</v>
      </c>
      <c r="D2255" t="s">
        <v>92</v>
      </c>
      <c r="E2255" t="s">
        <v>66</v>
      </c>
      <c r="F2255" s="1" t="s">
        <v>50</v>
      </c>
      <c r="G2255" s="2">
        <v>54.38</v>
      </c>
      <c r="H2255">
        <v>54.38</v>
      </c>
      <c r="I2255">
        <v>52.654263</v>
      </c>
      <c r="J2255">
        <v>70.36</v>
      </c>
      <c r="K2255">
        <v>41</v>
      </c>
      <c r="M2255">
        <v>0</v>
      </c>
      <c r="N2255" s="2">
        <v>434</v>
      </c>
      <c r="O2255">
        <v>22851.95</v>
      </c>
      <c r="P2255">
        <v>11</v>
      </c>
      <c r="Q2255">
        <v>423</v>
      </c>
      <c r="S2255">
        <v>182</v>
      </c>
      <c r="T2255">
        <v>0</v>
      </c>
      <c r="U2255" s="2">
        <v>0</v>
      </c>
      <c r="V2255">
        <v>0</v>
      </c>
      <c r="W2255" t="s">
        <v>29</v>
      </c>
      <c r="X2255" t="str">
        <f>IF(Table2[[#This Row],[Qty available]]&gt;Table2[[#This Row],[Qty on hand]],"Check","OK")</f>
        <v>OK</v>
      </c>
    </row>
    <row r="2256" spans="1:24" x14ac:dyDescent="0.3">
      <c r="A2256" t="s">
        <v>247</v>
      </c>
      <c r="B2256" t="s">
        <v>248</v>
      </c>
      <c r="C2256" t="s">
        <v>91</v>
      </c>
      <c r="D2256" t="s">
        <v>92</v>
      </c>
      <c r="E2256" t="s">
        <v>66</v>
      </c>
      <c r="F2256" s="1" t="s">
        <v>51</v>
      </c>
      <c r="G2256" s="2">
        <v>54.14</v>
      </c>
      <c r="H2256">
        <v>54.14</v>
      </c>
      <c r="I2256">
        <v>52.654263</v>
      </c>
      <c r="J2256">
        <v>70.36</v>
      </c>
      <c r="K2256">
        <v>41</v>
      </c>
      <c r="M2256">
        <v>0</v>
      </c>
      <c r="N2256" s="2">
        <v>434</v>
      </c>
      <c r="O2256">
        <v>22851.95</v>
      </c>
      <c r="P2256">
        <v>16</v>
      </c>
      <c r="Q2256">
        <v>418</v>
      </c>
      <c r="S2256">
        <v>213</v>
      </c>
      <c r="T2256">
        <v>0</v>
      </c>
      <c r="U2256" s="2">
        <v>0</v>
      </c>
      <c r="V2256">
        <v>0</v>
      </c>
      <c r="W2256" t="s">
        <v>29</v>
      </c>
      <c r="X2256" t="str">
        <f>IF(Table2[[#This Row],[Qty available]]&gt;Table2[[#This Row],[Qty on hand]],"Check","OK")</f>
        <v>OK</v>
      </c>
    </row>
    <row r="2257" spans="1:24" x14ac:dyDescent="0.3">
      <c r="A2257" t="s">
        <v>247</v>
      </c>
      <c r="B2257" t="s">
        <v>248</v>
      </c>
      <c r="C2257" t="s">
        <v>91</v>
      </c>
      <c r="D2257" t="s">
        <v>92</v>
      </c>
      <c r="E2257" t="s">
        <v>66</v>
      </c>
      <c r="F2257" s="1" t="s">
        <v>52</v>
      </c>
      <c r="G2257" s="2">
        <v>55.19</v>
      </c>
      <c r="H2257">
        <v>55.19</v>
      </c>
      <c r="I2257">
        <v>52.654263</v>
      </c>
      <c r="J2257">
        <v>70.36</v>
      </c>
      <c r="K2257">
        <v>41</v>
      </c>
      <c r="M2257">
        <v>0</v>
      </c>
      <c r="N2257" s="2">
        <v>434</v>
      </c>
      <c r="O2257">
        <v>22851.95</v>
      </c>
      <c r="P2257">
        <v>8</v>
      </c>
      <c r="Q2257">
        <v>426</v>
      </c>
      <c r="S2257">
        <v>244</v>
      </c>
      <c r="T2257">
        <v>0</v>
      </c>
      <c r="U2257" s="2">
        <v>0</v>
      </c>
      <c r="V2257">
        <v>0</v>
      </c>
      <c r="W2257" t="s">
        <v>29</v>
      </c>
      <c r="X2257" t="str">
        <f>IF(Table2[[#This Row],[Qty available]]&gt;Table2[[#This Row],[Qty on hand]],"Check","OK")</f>
        <v>OK</v>
      </c>
    </row>
    <row r="2258" spans="1:24" x14ac:dyDescent="0.3">
      <c r="A2258" t="s">
        <v>249</v>
      </c>
      <c r="B2258" t="s">
        <v>250</v>
      </c>
      <c r="C2258" t="s">
        <v>91</v>
      </c>
      <c r="D2258" t="s">
        <v>92</v>
      </c>
      <c r="E2258" t="s">
        <v>66</v>
      </c>
      <c r="F2258" s="1" t="s">
        <v>28</v>
      </c>
      <c r="G2258" s="2">
        <v>240.45</v>
      </c>
      <c r="H2258">
        <v>240.45</v>
      </c>
      <c r="I2258">
        <v>237.99955600000001</v>
      </c>
      <c r="J2258">
        <v>329.21</v>
      </c>
      <c r="K2258">
        <v>34</v>
      </c>
      <c r="L2258" s="2">
        <v>59</v>
      </c>
      <c r="M2258">
        <v>22</v>
      </c>
      <c r="N2258" s="2">
        <v>45</v>
      </c>
      <c r="O2258">
        <v>10709.98</v>
      </c>
      <c r="P2258">
        <v>5</v>
      </c>
      <c r="Q2258">
        <v>40</v>
      </c>
      <c r="R2258">
        <v>8.57</v>
      </c>
      <c r="S2258">
        <v>5</v>
      </c>
      <c r="T2258">
        <v>30</v>
      </c>
      <c r="U2258" s="2">
        <v>9876.2999999999993</v>
      </c>
      <c r="V2258">
        <v>0</v>
      </c>
      <c r="W2258" t="s">
        <v>29</v>
      </c>
      <c r="X2258" t="str">
        <f>IF(Table2[[#This Row],[Qty available]]&gt;Table2[[#This Row],[Qty on hand]],"Check","OK")</f>
        <v>OK</v>
      </c>
    </row>
    <row r="2259" spans="1:24" x14ac:dyDescent="0.3">
      <c r="A2259" t="s">
        <v>249</v>
      </c>
      <c r="B2259" t="s">
        <v>250</v>
      </c>
      <c r="C2259" t="s">
        <v>91</v>
      </c>
      <c r="D2259" t="s">
        <v>92</v>
      </c>
      <c r="E2259" t="s">
        <v>66</v>
      </c>
      <c r="F2259" s="1" t="s">
        <v>30</v>
      </c>
      <c r="G2259" s="2">
        <v>249.52</v>
      </c>
      <c r="H2259">
        <v>249.52</v>
      </c>
      <c r="I2259">
        <v>241.158387</v>
      </c>
      <c r="J2259">
        <v>329.21</v>
      </c>
      <c r="K2259">
        <v>34</v>
      </c>
      <c r="L2259" s="2">
        <v>31</v>
      </c>
      <c r="M2259">
        <v>17</v>
      </c>
      <c r="N2259" s="2">
        <v>31</v>
      </c>
      <c r="O2259">
        <v>7475.91</v>
      </c>
      <c r="P2259">
        <v>5</v>
      </c>
      <c r="Q2259">
        <v>26</v>
      </c>
      <c r="R2259">
        <v>5.16</v>
      </c>
      <c r="S2259">
        <v>3</v>
      </c>
      <c r="T2259">
        <v>31</v>
      </c>
      <c r="U2259" s="2">
        <v>10205.51</v>
      </c>
      <c r="V2259">
        <v>0</v>
      </c>
      <c r="W2259" t="s">
        <v>29</v>
      </c>
      <c r="X2259" t="str">
        <f>IF(Table2[[#This Row],[Qty available]]&gt;Table2[[#This Row],[Qty on hand]],"Check","OK")</f>
        <v>OK</v>
      </c>
    </row>
    <row r="2260" spans="1:24" x14ac:dyDescent="0.3">
      <c r="A2260" t="s">
        <v>249</v>
      </c>
      <c r="B2260" t="s">
        <v>250</v>
      </c>
      <c r="C2260" t="s">
        <v>91</v>
      </c>
      <c r="D2260" t="s">
        <v>92</v>
      </c>
      <c r="E2260" t="s">
        <v>66</v>
      </c>
      <c r="F2260" s="1" t="s">
        <v>31</v>
      </c>
      <c r="G2260" s="2">
        <v>249.66</v>
      </c>
      <c r="H2260">
        <v>249.66</v>
      </c>
      <c r="I2260">
        <v>245.99960799999999</v>
      </c>
      <c r="J2260">
        <v>329.21</v>
      </c>
      <c r="K2260">
        <v>34</v>
      </c>
      <c r="L2260" s="2">
        <v>34</v>
      </c>
      <c r="M2260">
        <v>41</v>
      </c>
      <c r="N2260" s="2">
        <v>51</v>
      </c>
      <c r="O2260">
        <v>12545.98</v>
      </c>
      <c r="P2260">
        <v>6</v>
      </c>
      <c r="Q2260">
        <v>45</v>
      </c>
      <c r="R2260">
        <v>8.09</v>
      </c>
      <c r="S2260">
        <v>0</v>
      </c>
      <c r="T2260">
        <v>21</v>
      </c>
      <c r="U2260" s="2">
        <v>6913.41</v>
      </c>
      <c r="V2260">
        <v>0</v>
      </c>
      <c r="W2260" t="s">
        <v>29</v>
      </c>
      <c r="X2260" t="str">
        <f>IF(Table2[[#This Row],[Qty available]]&gt;Table2[[#This Row],[Qty on hand]],"Check","OK")</f>
        <v>OK</v>
      </c>
    </row>
    <row r="2261" spans="1:24" x14ac:dyDescent="0.3">
      <c r="A2261" t="s">
        <v>249</v>
      </c>
      <c r="B2261" t="s">
        <v>250</v>
      </c>
      <c r="C2261" t="s">
        <v>91</v>
      </c>
      <c r="D2261" t="s">
        <v>92</v>
      </c>
      <c r="E2261" t="s">
        <v>66</v>
      </c>
      <c r="F2261" s="1" t="s">
        <v>32</v>
      </c>
      <c r="G2261" s="2">
        <v>257.35000000000002</v>
      </c>
      <c r="H2261">
        <v>257.35000000000002</v>
      </c>
      <c r="I2261">
        <v>250.20357100000001</v>
      </c>
      <c r="J2261">
        <v>329.21</v>
      </c>
      <c r="K2261">
        <v>34</v>
      </c>
      <c r="L2261" s="2">
        <v>33</v>
      </c>
      <c r="M2261">
        <v>30</v>
      </c>
      <c r="N2261" s="2">
        <v>42</v>
      </c>
      <c r="O2261">
        <v>10508.55</v>
      </c>
      <c r="P2261">
        <v>5</v>
      </c>
      <c r="Q2261">
        <v>37</v>
      </c>
      <c r="R2261">
        <v>6.07</v>
      </c>
      <c r="S2261">
        <v>7</v>
      </c>
      <c r="T2261">
        <v>39</v>
      </c>
      <c r="U2261" s="2">
        <v>12839.19</v>
      </c>
      <c r="V2261">
        <v>0</v>
      </c>
      <c r="W2261" t="s">
        <v>29</v>
      </c>
      <c r="X2261" t="str">
        <f>IF(Table2[[#This Row],[Qty available]]&gt;Table2[[#This Row],[Qty on hand]],"Check","OK")</f>
        <v>OK</v>
      </c>
    </row>
    <row r="2262" spans="1:24" x14ac:dyDescent="0.3">
      <c r="A2262" t="s">
        <v>249</v>
      </c>
      <c r="B2262" t="s">
        <v>250</v>
      </c>
      <c r="C2262" t="s">
        <v>91</v>
      </c>
      <c r="D2262" t="s">
        <v>92</v>
      </c>
      <c r="E2262" t="s">
        <v>66</v>
      </c>
      <c r="F2262" s="1" t="s">
        <v>33</v>
      </c>
      <c r="G2262" s="2">
        <v>252.39</v>
      </c>
      <c r="H2262">
        <v>252.39</v>
      </c>
      <c r="I2262">
        <v>250.20349999999999</v>
      </c>
      <c r="J2262">
        <v>329.21</v>
      </c>
      <c r="K2262">
        <v>34</v>
      </c>
      <c r="M2262">
        <v>0</v>
      </c>
      <c r="N2262" s="2">
        <v>20</v>
      </c>
      <c r="O2262">
        <v>5004.07</v>
      </c>
      <c r="P2262">
        <v>7</v>
      </c>
      <c r="Q2262">
        <v>13</v>
      </c>
      <c r="R2262">
        <v>3.21</v>
      </c>
      <c r="S2262">
        <v>9</v>
      </c>
      <c r="T2262">
        <v>22</v>
      </c>
      <c r="U2262" s="2">
        <v>7242.62</v>
      </c>
      <c r="V2262">
        <v>0</v>
      </c>
      <c r="W2262" t="s">
        <v>29</v>
      </c>
      <c r="X2262" t="str">
        <f>IF(Table2[[#This Row],[Qty available]]&gt;Table2[[#This Row],[Qty on hand]],"Check","OK")</f>
        <v>OK</v>
      </c>
    </row>
    <row r="2263" spans="1:24" x14ac:dyDescent="0.3">
      <c r="A2263" t="s">
        <v>249</v>
      </c>
      <c r="B2263" t="s">
        <v>250</v>
      </c>
      <c r="C2263" t="s">
        <v>91</v>
      </c>
      <c r="D2263" t="s">
        <v>92</v>
      </c>
      <c r="E2263" t="s">
        <v>66</v>
      </c>
      <c r="F2263" s="1" t="s">
        <v>34</v>
      </c>
      <c r="G2263" s="2">
        <v>250.71</v>
      </c>
      <c r="H2263">
        <v>250.71</v>
      </c>
      <c r="I2263">
        <v>250.573095</v>
      </c>
      <c r="J2263">
        <v>337.87</v>
      </c>
      <c r="K2263">
        <v>34</v>
      </c>
      <c r="L2263" s="2">
        <v>32</v>
      </c>
      <c r="M2263">
        <v>54</v>
      </c>
      <c r="N2263" s="2">
        <v>42</v>
      </c>
      <c r="O2263">
        <v>10524.07</v>
      </c>
      <c r="P2263">
        <v>5</v>
      </c>
      <c r="Q2263">
        <v>37</v>
      </c>
      <c r="R2263">
        <v>5.81</v>
      </c>
      <c r="S2263">
        <v>5</v>
      </c>
      <c r="T2263">
        <v>32</v>
      </c>
      <c r="U2263" s="2">
        <v>10811.84</v>
      </c>
      <c r="V2263">
        <v>0</v>
      </c>
      <c r="W2263" t="s">
        <v>29</v>
      </c>
      <c r="X2263" t="str">
        <f>IF(Table2[[#This Row],[Qty available]]&gt;Table2[[#This Row],[Qty on hand]],"Check","OK")</f>
        <v>OK</v>
      </c>
    </row>
    <row r="2264" spans="1:24" x14ac:dyDescent="0.3">
      <c r="A2264" t="s">
        <v>249</v>
      </c>
      <c r="B2264" t="s">
        <v>250</v>
      </c>
      <c r="C2264" t="s">
        <v>91</v>
      </c>
      <c r="D2264" t="s">
        <v>92</v>
      </c>
      <c r="E2264" t="s">
        <v>66</v>
      </c>
      <c r="F2264" s="1" t="s">
        <v>35</v>
      </c>
      <c r="G2264" s="2">
        <v>249.71</v>
      </c>
      <c r="H2264">
        <v>249.71</v>
      </c>
      <c r="I2264">
        <v>250.13650799999999</v>
      </c>
      <c r="J2264">
        <v>337.87</v>
      </c>
      <c r="K2264">
        <v>34</v>
      </c>
      <c r="L2264" s="2">
        <v>31</v>
      </c>
      <c r="M2264">
        <v>43</v>
      </c>
      <c r="N2264" s="2">
        <v>63</v>
      </c>
      <c r="O2264">
        <v>15758.6</v>
      </c>
      <c r="P2264">
        <v>6</v>
      </c>
      <c r="Q2264">
        <v>57</v>
      </c>
      <c r="R2264">
        <v>10.66</v>
      </c>
      <c r="S2264">
        <v>2</v>
      </c>
      <c r="T2264">
        <v>22</v>
      </c>
      <c r="U2264" s="2">
        <v>7433.14</v>
      </c>
      <c r="V2264">
        <v>0</v>
      </c>
      <c r="W2264" t="s">
        <v>29</v>
      </c>
      <c r="X2264" t="str">
        <f>IF(Table2[[#This Row],[Qty available]]&gt;Table2[[#This Row],[Qty on hand]],"Check","OK")</f>
        <v>OK</v>
      </c>
    </row>
    <row r="2265" spans="1:24" x14ac:dyDescent="0.3">
      <c r="A2265" t="s">
        <v>249</v>
      </c>
      <c r="B2265" t="s">
        <v>250</v>
      </c>
      <c r="C2265" t="s">
        <v>91</v>
      </c>
      <c r="D2265" t="s">
        <v>92</v>
      </c>
      <c r="E2265" t="s">
        <v>66</v>
      </c>
      <c r="F2265" s="1" t="s">
        <v>36</v>
      </c>
      <c r="G2265" s="2">
        <v>247.58</v>
      </c>
      <c r="H2265">
        <v>247.58</v>
      </c>
      <c r="I2265">
        <v>250.136596</v>
      </c>
      <c r="J2265">
        <v>337.87</v>
      </c>
      <c r="K2265">
        <v>34</v>
      </c>
      <c r="M2265">
        <v>0</v>
      </c>
      <c r="N2265" s="2">
        <v>47</v>
      </c>
      <c r="O2265">
        <v>11756.42</v>
      </c>
      <c r="P2265">
        <v>6</v>
      </c>
      <c r="Q2265">
        <v>41</v>
      </c>
      <c r="R2265">
        <v>8.5399999999999991</v>
      </c>
      <c r="S2265">
        <v>5</v>
      </c>
      <c r="T2265">
        <v>16</v>
      </c>
      <c r="U2265" s="2">
        <v>5405.92</v>
      </c>
      <c r="V2265">
        <v>0</v>
      </c>
      <c r="W2265" t="s">
        <v>29</v>
      </c>
      <c r="X2265" t="str">
        <f>IF(Table2[[#This Row],[Qty available]]&gt;Table2[[#This Row],[Qty on hand]],"Check","OK")</f>
        <v>OK</v>
      </c>
    </row>
    <row r="2266" spans="1:24" x14ac:dyDescent="0.3">
      <c r="A2266" t="s">
        <v>249</v>
      </c>
      <c r="B2266" t="s">
        <v>250</v>
      </c>
      <c r="C2266" t="s">
        <v>91</v>
      </c>
      <c r="D2266" t="s">
        <v>92</v>
      </c>
      <c r="E2266" t="s">
        <v>66</v>
      </c>
      <c r="F2266" s="1" t="s">
        <v>37</v>
      </c>
      <c r="G2266" s="2">
        <v>255.44</v>
      </c>
      <c r="H2266">
        <v>255.44</v>
      </c>
      <c r="I2266">
        <v>252.67042599999999</v>
      </c>
      <c r="J2266">
        <v>337.87</v>
      </c>
      <c r="K2266">
        <v>34</v>
      </c>
      <c r="L2266" s="2">
        <v>32</v>
      </c>
      <c r="M2266">
        <v>43</v>
      </c>
      <c r="N2266" s="2">
        <v>47</v>
      </c>
      <c r="O2266">
        <v>11875.51</v>
      </c>
      <c r="P2266">
        <v>8</v>
      </c>
      <c r="Q2266">
        <v>39</v>
      </c>
      <c r="R2266">
        <v>7.63</v>
      </c>
      <c r="S2266">
        <v>2</v>
      </c>
      <c r="T2266">
        <v>43</v>
      </c>
      <c r="U2266" s="2">
        <v>14528.41</v>
      </c>
      <c r="V2266">
        <v>0</v>
      </c>
      <c r="W2266" t="s">
        <v>29</v>
      </c>
      <c r="X2266" t="str">
        <f>IF(Table2[[#This Row],[Qty available]]&gt;Table2[[#This Row],[Qty on hand]],"Check","OK")</f>
        <v>OK</v>
      </c>
    </row>
    <row r="2267" spans="1:24" x14ac:dyDescent="0.3">
      <c r="A2267" t="s">
        <v>249</v>
      </c>
      <c r="B2267" t="s">
        <v>250</v>
      </c>
      <c r="C2267" t="s">
        <v>91</v>
      </c>
      <c r="D2267" t="s">
        <v>92</v>
      </c>
      <c r="E2267" t="s">
        <v>66</v>
      </c>
      <c r="F2267" s="1" t="s">
        <v>38</v>
      </c>
      <c r="G2267" s="2">
        <v>247.85</v>
      </c>
      <c r="H2267">
        <v>247.85</v>
      </c>
      <c r="I2267">
        <v>250.515366</v>
      </c>
      <c r="J2267">
        <v>337.87</v>
      </c>
      <c r="K2267">
        <v>34</v>
      </c>
      <c r="L2267" s="2">
        <v>34</v>
      </c>
      <c r="M2267">
        <v>38</v>
      </c>
      <c r="N2267" s="2">
        <v>41</v>
      </c>
      <c r="O2267">
        <v>10271.129999999999</v>
      </c>
      <c r="P2267">
        <v>4</v>
      </c>
      <c r="Q2267">
        <v>37</v>
      </c>
      <c r="R2267">
        <v>5.17</v>
      </c>
      <c r="S2267">
        <v>1</v>
      </c>
      <c r="T2267">
        <v>44</v>
      </c>
      <c r="U2267" s="2">
        <v>14866.28</v>
      </c>
      <c r="V2267">
        <v>0</v>
      </c>
      <c r="W2267" t="s">
        <v>29</v>
      </c>
      <c r="X2267" t="str">
        <f>IF(Table2[[#This Row],[Qty available]]&gt;Table2[[#This Row],[Qty on hand]],"Check","OK")</f>
        <v>OK</v>
      </c>
    </row>
    <row r="2268" spans="1:24" x14ac:dyDescent="0.3">
      <c r="A2268" t="s">
        <v>249</v>
      </c>
      <c r="B2268" t="s">
        <v>250</v>
      </c>
      <c r="C2268" t="s">
        <v>91</v>
      </c>
      <c r="D2268" t="s">
        <v>92</v>
      </c>
      <c r="E2268" t="s">
        <v>66</v>
      </c>
      <c r="F2268" s="1" t="s">
        <v>39</v>
      </c>
      <c r="G2268" s="2">
        <v>249.78</v>
      </c>
      <c r="H2268">
        <v>249.78</v>
      </c>
      <c r="I2268">
        <v>249.99848499999999</v>
      </c>
      <c r="J2268">
        <v>337.87</v>
      </c>
      <c r="K2268">
        <v>34</v>
      </c>
      <c r="L2268" s="2">
        <v>30</v>
      </c>
      <c r="M2268">
        <v>97</v>
      </c>
      <c r="N2268" s="2">
        <v>99</v>
      </c>
      <c r="O2268">
        <v>24749.85</v>
      </c>
      <c r="P2268">
        <v>5</v>
      </c>
      <c r="Q2268">
        <v>94</v>
      </c>
      <c r="R2268">
        <v>10.33</v>
      </c>
      <c r="S2268">
        <v>2</v>
      </c>
      <c r="T2268">
        <v>39</v>
      </c>
      <c r="U2268" s="2">
        <v>13176.93</v>
      </c>
      <c r="V2268">
        <v>0</v>
      </c>
      <c r="W2268" t="s">
        <v>29</v>
      </c>
      <c r="X2268" t="str">
        <f>IF(Table2[[#This Row],[Qty available]]&gt;Table2[[#This Row],[Qty on hand]],"Check","OK")</f>
        <v>OK</v>
      </c>
    </row>
    <row r="2269" spans="1:24" x14ac:dyDescent="0.3">
      <c r="A2269" t="s">
        <v>249</v>
      </c>
      <c r="B2269" t="s">
        <v>250</v>
      </c>
      <c r="C2269" t="s">
        <v>91</v>
      </c>
      <c r="D2269" t="s">
        <v>92</v>
      </c>
      <c r="E2269" t="s">
        <v>66</v>
      </c>
      <c r="F2269" s="1" t="s">
        <v>40</v>
      </c>
      <c r="G2269" s="2">
        <v>252.87</v>
      </c>
      <c r="H2269">
        <v>252.87</v>
      </c>
      <c r="I2269">
        <v>250.61386400000001</v>
      </c>
      <c r="J2269">
        <v>337.87</v>
      </c>
      <c r="K2269">
        <v>34</v>
      </c>
      <c r="L2269" s="2">
        <v>31</v>
      </c>
      <c r="M2269">
        <v>27</v>
      </c>
      <c r="N2269" s="2">
        <v>88</v>
      </c>
      <c r="O2269">
        <v>22054.02</v>
      </c>
      <c r="P2269">
        <v>5</v>
      </c>
      <c r="Q2269">
        <v>83</v>
      </c>
      <c r="R2269">
        <v>9.56</v>
      </c>
      <c r="S2269">
        <v>13</v>
      </c>
      <c r="T2269">
        <v>38</v>
      </c>
      <c r="U2269" s="2">
        <v>12839.06</v>
      </c>
      <c r="V2269">
        <v>0</v>
      </c>
      <c r="W2269" t="s">
        <v>29</v>
      </c>
      <c r="X2269" t="str">
        <f>IF(Table2[[#This Row],[Qty available]]&gt;Table2[[#This Row],[Qty on hand]],"Check","OK")</f>
        <v>OK</v>
      </c>
    </row>
    <row r="2270" spans="1:24" x14ac:dyDescent="0.3">
      <c r="A2270" t="s">
        <v>249</v>
      </c>
      <c r="B2270" t="s">
        <v>250</v>
      </c>
      <c r="C2270" t="s">
        <v>91</v>
      </c>
      <c r="D2270" t="s">
        <v>92</v>
      </c>
      <c r="E2270" t="s">
        <v>66</v>
      </c>
      <c r="F2270" s="1" t="s">
        <v>41</v>
      </c>
      <c r="G2270" s="2">
        <v>249.81</v>
      </c>
      <c r="H2270">
        <v>249.81</v>
      </c>
      <c r="I2270">
        <v>250.613788</v>
      </c>
      <c r="J2270">
        <v>337.87</v>
      </c>
      <c r="K2270">
        <v>34</v>
      </c>
      <c r="M2270">
        <v>0</v>
      </c>
      <c r="N2270" s="2">
        <v>66</v>
      </c>
      <c r="O2270">
        <v>16540.509999999998</v>
      </c>
      <c r="P2270">
        <v>5</v>
      </c>
      <c r="Q2270">
        <v>61</v>
      </c>
      <c r="R2270">
        <v>8.76</v>
      </c>
      <c r="S2270">
        <v>2</v>
      </c>
      <c r="T2270">
        <v>22</v>
      </c>
      <c r="U2270" s="2">
        <v>7433.14</v>
      </c>
      <c r="V2270">
        <v>0</v>
      </c>
      <c r="W2270" t="s">
        <v>29</v>
      </c>
      <c r="X2270" t="str">
        <f>IF(Table2[[#This Row],[Qty available]]&gt;Table2[[#This Row],[Qty on hand]],"Check","OK")</f>
        <v>OK</v>
      </c>
    </row>
    <row r="2271" spans="1:24" x14ac:dyDescent="0.3">
      <c r="A2271" t="s">
        <v>249</v>
      </c>
      <c r="B2271" t="s">
        <v>250</v>
      </c>
      <c r="C2271" t="s">
        <v>91</v>
      </c>
      <c r="D2271" t="s">
        <v>92</v>
      </c>
      <c r="E2271" t="s">
        <v>66</v>
      </c>
      <c r="F2271" s="1" t="s">
        <v>42</v>
      </c>
      <c r="G2271" s="2">
        <v>270.17</v>
      </c>
      <c r="H2271">
        <v>270.17</v>
      </c>
      <c r="I2271">
        <v>258.94639999999998</v>
      </c>
      <c r="J2271">
        <v>337.87</v>
      </c>
      <c r="K2271">
        <v>34</v>
      </c>
      <c r="L2271" s="2">
        <v>33</v>
      </c>
      <c r="M2271">
        <v>49</v>
      </c>
      <c r="N2271" s="2">
        <v>100</v>
      </c>
      <c r="O2271">
        <v>25894.639999999999</v>
      </c>
      <c r="P2271">
        <v>8</v>
      </c>
      <c r="Q2271">
        <v>92</v>
      </c>
      <c r="R2271">
        <v>17.52</v>
      </c>
      <c r="S2271">
        <v>8</v>
      </c>
      <c r="T2271">
        <v>15</v>
      </c>
      <c r="U2271" s="2">
        <v>5068.05</v>
      </c>
      <c r="V2271">
        <v>0</v>
      </c>
      <c r="W2271" t="s">
        <v>29</v>
      </c>
      <c r="X2271" t="str">
        <f>IF(Table2[[#This Row],[Qty available]]&gt;Table2[[#This Row],[Qty on hand]],"Check","OK")</f>
        <v>OK</v>
      </c>
    </row>
    <row r="2272" spans="1:24" x14ac:dyDescent="0.3">
      <c r="A2272" t="s">
        <v>249</v>
      </c>
      <c r="B2272" t="s">
        <v>250</v>
      </c>
      <c r="C2272" t="s">
        <v>91</v>
      </c>
      <c r="D2272" t="s">
        <v>92</v>
      </c>
      <c r="E2272" t="s">
        <v>66</v>
      </c>
      <c r="F2272" s="1" t="s">
        <v>43</v>
      </c>
      <c r="G2272" s="2">
        <v>266.91000000000003</v>
      </c>
      <c r="H2272">
        <v>266.91000000000003</v>
      </c>
      <c r="I2272">
        <v>258.94635099999999</v>
      </c>
      <c r="J2272">
        <v>337.87</v>
      </c>
      <c r="K2272">
        <v>34</v>
      </c>
      <c r="M2272">
        <v>0</v>
      </c>
      <c r="N2272" s="2">
        <v>74</v>
      </c>
      <c r="O2272">
        <v>19162.03</v>
      </c>
      <c r="P2272">
        <v>2</v>
      </c>
      <c r="Q2272">
        <v>72</v>
      </c>
      <c r="R2272">
        <v>15.27</v>
      </c>
      <c r="S2272">
        <v>1</v>
      </c>
      <c r="T2272">
        <v>26</v>
      </c>
      <c r="U2272" s="2">
        <v>8784.6200000000008</v>
      </c>
      <c r="V2272">
        <v>0</v>
      </c>
      <c r="W2272" t="s">
        <v>29</v>
      </c>
      <c r="X2272" t="str">
        <f>IF(Table2[[#This Row],[Qty available]]&gt;Table2[[#This Row],[Qty on hand]],"Check","OK")</f>
        <v>OK</v>
      </c>
    </row>
    <row r="2273" spans="1:24" x14ac:dyDescent="0.3">
      <c r="A2273" t="s">
        <v>249</v>
      </c>
      <c r="B2273" t="s">
        <v>250</v>
      </c>
      <c r="C2273" t="s">
        <v>91</v>
      </c>
      <c r="D2273" t="s">
        <v>92</v>
      </c>
      <c r="E2273" t="s">
        <v>66</v>
      </c>
      <c r="F2273" s="1" t="s">
        <v>44</v>
      </c>
      <c r="G2273" s="2">
        <v>272.36</v>
      </c>
      <c r="H2273">
        <v>272.36</v>
      </c>
      <c r="I2273">
        <v>259.795278</v>
      </c>
      <c r="J2273">
        <v>337.87</v>
      </c>
      <c r="K2273">
        <v>34</v>
      </c>
      <c r="L2273" s="2">
        <v>33</v>
      </c>
      <c r="M2273">
        <v>5</v>
      </c>
      <c r="N2273" s="2">
        <v>36</v>
      </c>
      <c r="O2273">
        <v>9352.6299999999992</v>
      </c>
      <c r="P2273">
        <v>5</v>
      </c>
      <c r="Q2273">
        <v>31</v>
      </c>
      <c r="R2273">
        <v>5.63</v>
      </c>
      <c r="S2273">
        <v>0</v>
      </c>
      <c r="T2273">
        <v>43</v>
      </c>
      <c r="U2273" s="2">
        <v>14528.41</v>
      </c>
      <c r="V2273">
        <v>0</v>
      </c>
      <c r="W2273" t="s">
        <v>29</v>
      </c>
      <c r="X2273" t="str">
        <f>IF(Table2[[#This Row],[Qty available]]&gt;Table2[[#This Row],[Qty on hand]],"Check","OK")</f>
        <v>OK</v>
      </c>
    </row>
    <row r="2274" spans="1:24" x14ac:dyDescent="0.3">
      <c r="A2274" t="s">
        <v>249</v>
      </c>
      <c r="B2274" t="s">
        <v>250</v>
      </c>
      <c r="C2274" t="s">
        <v>91</v>
      </c>
      <c r="D2274" t="s">
        <v>92</v>
      </c>
      <c r="E2274" t="s">
        <v>66</v>
      </c>
      <c r="F2274" s="1" t="s">
        <v>45</v>
      </c>
      <c r="G2274" s="2">
        <v>267.08999999999997</v>
      </c>
      <c r="H2274">
        <v>267.08999999999997</v>
      </c>
      <c r="I2274">
        <v>264.26625000000001</v>
      </c>
      <c r="J2274">
        <v>337.87</v>
      </c>
      <c r="K2274">
        <v>34</v>
      </c>
      <c r="L2274" s="2">
        <v>29</v>
      </c>
      <c r="M2274">
        <v>57</v>
      </c>
      <c r="N2274" s="2">
        <v>56</v>
      </c>
      <c r="O2274">
        <v>14798.91</v>
      </c>
      <c r="P2274">
        <v>8</v>
      </c>
      <c r="Q2274">
        <v>48</v>
      </c>
      <c r="R2274">
        <v>6.94</v>
      </c>
      <c r="S2274">
        <v>6</v>
      </c>
      <c r="T2274">
        <v>37</v>
      </c>
      <c r="U2274" s="2">
        <v>12501.19</v>
      </c>
      <c r="V2274">
        <v>0</v>
      </c>
      <c r="W2274" t="s">
        <v>29</v>
      </c>
      <c r="X2274" t="str">
        <f>IF(Table2[[#This Row],[Qty available]]&gt;Table2[[#This Row],[Qty on hand]],"Check","OK")</f>
        <v>OK</v>
      </c>
    </row>
    <row r="2275" spans="1:24" x14ac:dyDescent="0.3">
      <c r="A2275" t="s">
        <v>249</v>
      </c>
      <c r="B2275" t="s">
        <v>250</v>
      </c>
      <c r="C2275" t="s">
        <v>91</v>
      </c>
      <c r="D2275" t="s">
        <v>92</v>
      </c>
      <c r="E2275" t="s">
        <v>66</v>
      </c>
      <c r="F2275" s="1" t="s">
        <v>46</v>
      </c>
      <c r="G2275" s="2">
        <v>269.99</v>
      </c>
      <c r="H2275">
        <v>269.99</v>
      </c>
      <c r="I2275">
        <v>264.26625000000001</v>
      </c>
      <c r="J2275">
        <v>346.76</v>
      </c>
      <c r="K2275">
        <v>34</v>
      </c>
      <c r="M2275">
        <v>0</v>
      </c>
      <c r="N2275" s="2">
        <v>56</v>
      </c>
      <c r="O2275">
        <v>14798.91</v>
      </c>
      <c r="P2275">
        <v>5</v>
      </c>
      <c r="Q2275">
        <v>51</v>
      </c>
      <c r="R2275">
        <v>9</v>
      </c>
      <c r="S2275">
        <v>34</v>
      </c>
      <c r="T2275">
        <v>0</v>
      </c>
      <c r="U2275" s="2">
        <v>0</v>
      </c>
      <c r="V2275">
        <v>0</v>
      </c>
      <c r="W2275" t="s">
        <v>29</v>
      </c>
      <c r="X2275" t="str">
        <f>IF(Table2[[#This Row],[Qty available]]&gt;Table2[[#This Row],[Qty on hand]],"Check","OK")</f>
        <v>OK</v>
      </c>
    </row>
    <row r="2276" spans="1:24" x14ac:dyDescent="0.3">
      <c r="A2276" t="s">
        <v>249</v>
      </c>
      <c r="B2276" t="s">
        <v>250</v>
      </c>
      <c r="C2276" t="s">
        <v>91</v>
      </c>
      <c r="D2276" t="s">
        <v>92</v>
      </c>
      <c r="E2276" t="s">
        <v>66</v>
      </c>
      <c r="F2276" s="1" t="s">
        <v>47</v>
      </c>
      <c r="G2276" s="2">
        <v>268.44</v>
      </c>
      <c r="H2276">
        <v>268.44</v>
      </c>
      <c r="I2276">
        <v>266.00532500000003</v>
      </c>
      <c r="J2276">
        <v>346.76</v>
      </c>
      <c r="K2276">
        <v>34</v>
      </c>
      <c r="L2276" s="2">
        <v>30</v>
      </c>
      <c r="M2276">
        <v>40</v>
      </c>
      <c r="N2276" s="2">
        <v>77</v>
      </c>
      <c r="O2276">
        <v>20482.41</v>
      </c>
      <c r="P2276">
        <v>9</v>
      </c>
      <c r="Q2276">
        <v>68</v>
      </c>
      <c r="R2276">
        <v>17.68</v>
      </c>
      <c r="S2276">
        <v>2</v>
      </c>
      <c r="T2276">
        <v>19</v>
      </c>
      <c r="U2276" s="2">
        <v>6588.44</v>
      </c>
      <c r="V2276">
        <v>0</v>
      </c>
      <c r="W2276" t="s">
        <v>29</v>
      </c>
      <c r="X2276" t="str">
        <f>IF(Table2[[#This Row],[Qty available]]&gt;Table2[[#This Row],[Qty on hand]],"Check","OK")</f>
        <v>OK</v>
      </c>
    </row>
    <row r="2277" spans="1:24" x14ac:dyDescent="0.3">
      <c r="A2277" t="s">
        <v>249</v>
      </c>
      <c r="B2277" t="s">
        <v>250</v>
      </c>
      <c r="C2277" t="s">
        <v>91</v>
      </c>
      <c r="D2277" t="s">
        <v>92</v>
      </c>
      <c r="E2277" t="s">
        <v>66</v>
      </c>
      <c r="F2277" s="1" t="s">
        <v>48</v>
      </c>
      <c r="G2277" s="2">
        <v>262.52999999999997</v>
      </c>
      <c r="H2277">
        <v>262.52999999999997</v>
      </c>
      <c r="I2277">
        <v>266.00540000000001</v>
      </c>
      <c r="J2277">
        <v>346.76</v>
      </c>
      <c r="K2277">
        <v>34</v>
      </c>
      <c r="M2277">
        <v>0</v>
      </c>
      <c r="N2277" s="2">
        <v>50</v>
      </c>
      <c r="O2277">
        <v>13300.27</v>
      </c>
      <c r="P2277">
        <v>9</v>
      </c>
      <c r="Q2277">
        <v>41</v>
      </c>
      <c r="R2277">
        <v>13.82</v>
      </c>
      <c r="S2277">
        <v>1</v>
      </c>
      <c r="T2277">
        <v>27</v>
      </c>
      <c r="U2277" s="2">
        <v>9362.52</v>
      </c>
      <c r="V2277">
        <v>0</v>
      </c>
      <c r="W2277" t="s">
        <v>29</v>
      </c>
      <c r="X2277" t="str">
        <f>IF(Table2[[#This Row],[Qty available]]&gt;Table2[[#This Row],[Qty on hand]],"Check","OK")</f>
        <v>OK</v>
      </c>
    </row>
    <row r="2278" spans="1:24" x14ac:dyDescent="0.3">
      <c r="A2278" t="s">
        <v>249</v>
      </c>
      <c r="B2278" t="s">
        <v>250</v>
      </c>
      <c r="C2278" t="s">
        <v>91</v>
      </c>
      <c r="D2278" t="s">
        <v>92</v>
      </c>
      <c r="E2278" t="s">
        <v>66</v>
      </c>
      <c r="F2278" s="1" t="s">
        <v>49</v>
      </c>
      <c r="G2278" s="2">
        <v>267.91000000000003</v>
      </c>
      <c r="H2278">
        <v>267.91000000000003</v>
      </c>
      <c r="I2278">
        <v>266.20937500000002</v>
      </c>
      <c r="J2278">
        <v>346.76</v>
      </c>
      <c r="K2278">
        <v>34</v>
      </c>
      <c r="L2278" s="2">
        <v>40</v>
      </c>
      <c r="M2278">
        <v>6</v>
      </c>
      <c r="N2278" s="2">
        <v>32</v>
      </c>
      <c r="O2278">
        <v>8518.7000000000007</v>
      </c>
      <c r="P2278">
        <v>6</v>
      </c>
      <c r="Q2278">
        <v>26</v>
      </c>
      <c r="R2278">
        <v>6.01</v>
      </c>
      <c r="S2278">
        <v>7</v>
      </c>
      <c r="T2278">
        <v>24</v>
      </c>
      <c r="U2278" s="2">
        <v>8322.24</v>
      </c>
      <c r="V2278">
        <v>0</v>
      </c>
      <c r="W2278" t="s">
        <v>29</v>
      </c>
      <c r="X2278" t="str">
        <f>IF(Table2[[#This Row],[Qty available]]&gt;Table2[[#This Row],[Qty on hand]],"Check","OK")</f>
        <v>OK</v>
      </c>
    </row>
    <row r="2279" spans="1:24" x14ac:dyDescent="0.3">
      <c r="A2279" t="s">
        <v>249</v>
      </c>
      <c r="B2279" t="s">
        <v>250</v>
      </c>
      <c r="C2279" t="s">
        <v>91</v>
      </c>
      <c r="D2279" t="s">
        <v>92</v>
      </c>
      <c r="E2279" t="s">
        <v>66</v>
      </c>
      <c r="F2279" s="1" t="s">
        <v>50</v>
      </c>
      <c r="G2279" s="2">
        <v>270.13</v>
      </c>
      <c r="H2279">
        <v>270.13</v>
      </c>
      <c r="I2279">
        <v>268.411429</v>
      </c>
      <c r="J2279">
        <v>346.76</v>
      </c>
      <c r="K2279">
        <v>34</v>
      </c>
      <c r="L2279" s="2">
        <v>32</v>
      </c>
      <c r="M2279">
        <v>41</v>
      </c>
      <c r="N2279" s="2">
        <v>35</v>
      </c>
      <c r="O2279">
        <v>9394.4</v>
      </c>
      <c r="P2279">
        <v>4</v>
      </c>
      <c r="Q2279">
        <v>31</v>
      </c>
      <c r="R2279">
        <v>5.1100000000000003</v>
      </c>
      <c r="S2279">
        <v>0</v>
      </c>
      <c r="T2279">
        <v>38</v>
      </c>
      <c r="U2279" s="2">
        <v>13176.88</v>
      </c>
      <c r="V2279">
        <v>0</v>
      </c>
      <c r="W2279" t="s">
        <v>29</v>
      </c>
      <c r="X2279" t="str">
        <f>IF(Table2[[#This Row],[Qty available]]&gt;Table2[[#This Row],[Qty on hand]],"Check","OK")</f>
        <v>OK</v>
      </c>
    </row>
    <row r="2280" spans="1:24" x14ac:dyDescent="0.3">
      <c r="A2280" t="s">
        <v>249</v>
      </c>
      <c r="B2280" t="s">
        <v>250</v>
      </c>
      <c r="C2280" t="s">
        <v>91</v>
      </c>
      <c r="D2280" t="s">
        <v>92</v>
      </c>
      <c r="E2280" t="s">
        <v>66</v>
      </c>
      <c r="F2280" s="1" t="s">
        <v>51</v>
      </c>
      <c r="G2280" s="2">
        <v>268.77</v>
      </c>
      <c r="H2280">
        <v>268.77</v>
      </c>
      <c r="I2280">
        <v>268.41125</v>
      </c>
      <c r="J2280">
        <v>346.76</v>
      </c>
      <c r="K2280">
        <v>34</v>
      </c>
      <c r="M2280">
        <v>0</v>
      </c>
      <c r="N2280" s="2">
        <v>8</v>
      </c>
      <c r="O2280">
        <v>2147.29</v>
      </c>
      <c r="P2280">
        <v>5</v>
      </c>
      <c r="Q2280">
        <v>3</v>
      </c>
      <c r="R2280">
        <v>1.18</v>
      </c>
      <c r="S2280">
        <v>1</v>
      </c>
      <c r="T2280">
        <v>27</v>
      </c>
      <c r="U2280" s="2">
        <v>9362.52</v>
      </c>
      <c r="V2280">
        <v>0</v>
      </c>
      <c r="W2280" t="s">
        <v>29</v>
      </c>
      <c r="X2280" t="str">
        <f>IF(Table2[[#This Row],[Qty available]]&gt;Table2[[#This Row],[Qty on hand]],"Check","OK")</f>
        <v>OK</v>
      </c>
    </row>
    <row r="2281" spans="1:24" x14ac:dyDescent="0.3">
      <c r="A2281" t="s">
        <v>249</v>
      </c>
      <c r="B2281" t="s">
        <v>250</v>
      </c>
      <c r="C2281" t="s">
        <v>91</v>
      </c>
      <c r="D2281" t="s">
        <v>92</v>
      </c>
      <c r="E2281" t="s">
        <v>66</v>
      </c>
      <c r="F2281" s="1" t="s">
        <v>52</v>
      </c>
      <c r="G2281" s="2">
        <v>272.36</v>
      </c>
      <c r="H2281">
        <v>272.36</v>
      </c>
      <c r="I2281">
        <v>272.08999999999997</v>
      </c>
      <c r="J2281">
        <v>346.76</v>
      </c>
      <c r="K2281">
        <v>34</v>
      </c>
      <c r="L2281" s="2">
        <v>43</v>
      </c>
      <c r="M2281">
        <v>109</v>
      </c>
      <c r="N2281" s="2">
        <v>79</v>
      </c>
      <c r="O2281">
        <v>21495.11</v>
      </c>
      <c r="P2281">
        <v>4</v>
      </c>
      <c r="Q2281">
        <v>75</v>
      </c>
      <c r="R2281">
        <v>10.08</v>
      </c>
      <c r="S2281">
        <v>3</v>
      </c>
      <c r="T2281">
        <v>38</v>
      </c>
      <c r="U2281" s="2">
        <v>13176.88</v>
      </c>
      <c r="V2281">
        <v>0</v>
      </c>
      <c r="W2281" t="s">
        <v>29</v>
      </c>
      <c r="X2281" t="str">
        <f>IF(Table2[[#This Row],[Qty available]]&gt;Table2[[#This Row],[Qty on hand]],"Check","OK")</f>
        <v>OK</v>
      </c>
    </row>
    <row r="2282" spans="1:24" x14ac:dyDescent="0.3">
      <c r="A2282" t="s">
        <v>251</v>
      </c>
      <c r="B2282" t="s">
        <v>252</v>
      </c>
      <c r="C2282" t="s">
        <v>69</v>
      </c>
      <c r="D2282" t="s">
        <v>70</v>
      </c>
      <c r="E2282" t="s">
        <v>66</v>
      </c>
      <c r="F2282" s="1" t="s">
        <v>28</v>
      </c>
      <c r="G2282" s="2">
        <v>166.75</v>
      </c>
      <c r="H2282">
        <v>178.98</v>
      </c>
      <c r="I2282">
        <v>174.52812499999999</v>
      </c>
      <c r="J2282">
        <v>248.17</v>
      </c>
      <c r="K2282">
        <v>40</v>
      </c>
      <c r="M2282">
        <v>0</v>
      </c>
      <c r="N2282" s="2">
        <v>48</v>
      </c>
      <c r="O2282">
        <v>8377.35</v>
      </c>
      <c r="P2282">
        <v>6</v>
      </c>
      <c r="Q2282">
        <v>42</v>
      </c>
      <c r="R2282">
        <v>9.86</v>
      </c>
      <c r="S2282">
        <v>2</v>
      </c>
      <c r="T2282">
        <v>25</v>
      </c>
      <c r="U2282" s="2">
        <v>6204.25</v>
      </c>
      <c r="V2282">
        <v>0</v>
      </c>
      <c r="W2282" t="s">
        <v>29</v>
      </c>
      <c r="X2282" t="str">
        <f>IF(Table2[[#This Row],[Qty available]]&gt;Table2[[#This Row],[Qty on hand]],"Check","OK")</f>
        <v>OK</v>
      </c>
    </row>
    <row r="2283" spans="1:24" x14ac:dyDescent="0.3">
      <c r="A2283" t="s">
        <v>251</v>
      </c>
      <c r="B2283" t="s">
        <v>252</v>
      </c>
      <c r="C2283" t="s">
        <v>69</v>
      </c>
      <c r="D2283" t="s">
        <v>70</v>
      </c>
      <c r="E2283" t="s">
        <v>66</v>
      </c>
      <c r="F2283" s="1" t="s">
        <v>30</v>
      </c>
      <c r="G2283" s="2">
        <v>166.35</v>
      </c>
      <c r="H2283">
        <v>178.55</v>
      </c>
      <c r="I2283">
        <v>175.752115</v>
      </c>
      <c r="J2283">
        <v>248.17</v>
      </c>
      <c r="K2283">
        <v>40</v>
      </c>
      <c r="L2283" s="2">
        <v>52</v>
      </c>
      <c r="M2283">
        <v>21</v>
      </c>
      <c r="N2283" s="2">
        <v>52</v>
      </c>
      <c r="O2283">
        <v>9139.11</v>
      </c>
      <c r="P2283">
        <v>4</v>
      </c>
      <c r="Q2283">
        <v>48</v>
      </c>
      <c r="R2283">
        <v>9.24</v>
      </c>
      <c r="S2283">
        <v>4</v>
      </c>
      <c r="T2283">
        <v>17</v>
      </c>
      <c r="U2283" s="2">
        <v>4218.8900000000003</v>
      </c>
      <c r="V2283">
        <v>0</v>
      </c>
      <c r="W2283" t="s">
        <v>29</v>
      </c>
      <c r="X2283" t="str">
        <f>IF(Table2[[#This Row],[Qty available]]&gt;Table2[[#This Row],[Qty on hand]],"Check","OK")</f>
        <v>OK</v>
      </c>
    </row>
    <row r="2284" spans="1:24" x14ac:dyDescent="0.3">
      <c r="A2284" t="s">
        <v>251</v>
      </c>
      <c r="B2284" t="s">
        <v>252</v>
      </c>
      <c r="C2284" t="s">
        <v>69</v>
      </c>
      <c r="D2284" t="s">
        <v>70</v>
      </c>
      <c r="E2284" t="s">
        <v>66</v>
      </c>
      <c r="F2284" s="1" t="s">
        <v>31</v>
      </c>
      <c r="G2284" s="2">
        <v>163.25</v>
      </c>
      <c r="H2284">
        <v>175.22</v>
      </c>
      <c r="I2284">
        <v>175.48599999999999</v>
      </c>
      <c r="J2284">
        <v>248.17</v>
      </c>
      <c r="K2284">
        <v>40</v>
      </c>
      <c r="L2284" s="2">
        <v>39</v>
      </c>
      <c r="M2284">
        <v>52</v>
      </c>
      <c r="N2284" s="2">
        <v>85</v>
      </c>
      <c r="O2284">
        <v>14916.31</v>
      </c>
      <c r="P2284">
        <v>3</v>
      </c>
      <c r="Q2284">
        <v>82</v>
      </c>
      <c r="R2284">
        <v>18.11</v>
      </c>
      <c r="S2284">
        <v>2</v>
      </c>
      <c r="T2284">
        <v>19</v>
      </c>
      <c r="U2284" s="2">
        <v>4715.2299999999996</v>
      </c>
      <c r="V2284">
        <v>0</v>
      </c>
      <c r="W2284" t="s">
        <v>29</v>
      </c>
      <c r="X2284" t="str">
        <f>IF(Table2[[#This Row],[Qty available]]&gt;Table2[[#This Row],[Qty on hand]],"Check","OK")</f>
        <v>OK</v>
      </c>
    </row>
    <row r="2285" spans="1:24" x14ac:dyDescent="0.3">
      <c r="A2285" t="s">
        <v>251</v>
      </c>
      <c r="B2285" t="s">
        <v>252</v>
      </c>
      <c r="C2285" t="s">
        <v>69</v>
      </c>
      <c r="D2285" t="s">
        <v>70</v>
      </c>
      <c r="E2285" t="s">
        <v>66</v>
      </c>
      <c r="F2285" s="1" t="s">
        <v>32</v>
      </c>
      <c r="G2285" s="2">
        <v>164.72</v>
      </c>
      <c r="H2285">
        <v>176.8</v>
      </c>
      <c r="I2285">
        <v>175.74631099999999</v>
      </c>
      <c r="J2285">
        <v>248.17</v>
      </c>
      <c r="K2285">
        <v>40</v>
      </c>
      <c r="L2285" s="2">
        <v>37</v>
      </c>
      <c r="M2285">
        <v>21</v>
      </c>
      <c r="N2285" s="2">
        <v>103</v>
      </c>
      <c r="O2285">
        <v>18101.87</v>
      </c>
      <c r="P2285">
        <v>3</v>
      </c>
      <c r="Q2285">
        <v>100</v>
      </c>
      <c r="R2285">
        <v>34.71</v>
      </c>
      <c r="S2285">
        <v>10</v>
      </c>
      <c r="T2285">
        <v>3</v>
      </c>
      <c r="U2285" s="2">
        <v>744.51</v>
      </c>
      <c r="V2285">
        <v>0</v>
      </c>
      <c r="W2285" t="s">
        <v>29</v>
      </c>
      <c r="X2285" t="str">
        <f>IF(Table2[[#This Row],[Qty available]]&gt;Table2[[#This Row],[Qty on hand]],"Check","OK")</f>
        <v>OK</v>
      </c>
    </row>
    <row r="2286" spans="1:24" x14ac:dyDescent="0.3">
      <c r="A2286" t="s">
        <v>251</v>
      </c>
      <c r="B2286" t="s">
        <v>252</v>
      </c>
      <c r="C2286" t="s">
        <v>69</v>
      </c>
      <c r="D2286" t="s">
        <v>70</v>
      </c>
      <c r="E2286" t="s">
        <v>66</v>
      </c>
      <c r="F2286" s="1" t="s">
        <v>33</v>
      </c>
      <c r="G2286" s="2">
        <v>166.17</v>
      </c>
      <c r="H2286">
        <v>178.35</v>
      </c>
      <c r="I2286">
        <v>175.74631099999999</v>
      </c>
      <c r="J2286">
        <v>248.17</v>
      </c>
      <c r="K2286">
        <v>40</v>
      </c>
      <c r="M2286">
        <v>0</v>
      </c>
      <c r="N2286" s="2">
        <v>103</v>
      </c>
      <c r="O2286">
        <v>18101.87</v>
      </c>
      <c r="P2286">
        <v>3</v>
      </c>
      <c r="Q2286">
        <v>100</v>
      </c>
      <c r="R2286">
        <v>61.53</v>
      </c>
      <c r="S2286">
        <v>41</v>
      </c>
      <c r="T2286">
        <v>0</v>
      </c>
      <c r="U2286" s="2">
        <v>0</v>
      </c>
      <c r="V2286">
        <v>0</v>
      </c>
      <c r="W2286" t="s">
        <v>29</v>
      </c>
      <c r="X2286" t="str">
        <f>IF(Table2[[#This Row],[Qty available]]&gt;Table2[[#This Row],[Qty on hand]],"Check","OK")</f>
        <v>OK</v>
      </c>
    </row>
    <row r="2287" spans="1:24" x14ac:dyDescent="0.3">
      <c r="A2287" t="s">
        <v>251</v>
      </c>
      <c r="B2287" t="s">
        <v>252</v>
      </c>
      <c r="C2287" t="s">
        <v>69</v>
      </c>
      <c r="D2287" t="s">
        <v>70</v>
      </c>
      <c r="E2287" t="s">
        <v>66</v>
      </c>
      <c r="F2287" s="1" t="s">
        <v>34</v>
      </c>
      <c r="G2287" s="2">
        <v>168.31</v>
      </c>
      <c r="H2287">
        <v>180.65</v>
      </c>
      <c r="I2287">
        <v>175.74633299999999</v>
      </c>
      <c r="J2287">
        <v>255.34</v>
      </c>
      <c r="K2287">
        <v>40</v>
      </c>
      <c r="M2287">
        <v>0</v>
      </c>
      <c r="N2287" s="2">
        <v>90</v>
      </c>
      <c r="O2287">
        <v>15817.17</v>
      </c>
      <c r="P2287">
        <v>4</v>
      </c>
      <c r="Q2287">
        <v>86</v>
      </c>
      <c r="R2287">
        <v>72.319999999999993</v>
      </c>
      <c r="S2287">
        <v>3</v>
      </c>
      <c r="T2287">
        <v>13</v>
      </c>
      <c r="U2287" s="2">
        <v>3319.42</v>
      </c>
      <c r="V2287">
        <v>0</v>
      </c>
      <c r="W2287" t="s">
        <v>29</v>
      </c>
      <c r="X2287" t="str">
        <f>IF(Table2[[#This Row],[Qty available]]&gt;Table2[[#This Row],[Qty on hand]],"Check","OK")</f>
        <v>OK</v>
      </c>
    </row>
    <row r="2288" spans="1:24" x14ac:dyDescent="0.3">
      <c r="A2288" t="s">
        <v>251</v>
      </c>
      <c r="B2288" t="s">
        <v>252</v>
      </c>
      <c r="C2288" t="s">
        <v>69</v>
      </c>
      <c r="D2288" t="s">
        <v>70</v>
      </c>
      <c r="E2288" t="s">
        <v>66</v>
      </c>
      <c r="F2288" s="1" t="s">
        <v>35</v>
      </c>
      <c r="G2288" s="2">
        <v>170.95</v>
      </c>
      <c r="H2288">
        <v>183.48</v>
      </c>
      <c r="I2288">
        <v>177.20947899999999</v>
      </c>
      <c r="J2288">
        <v>255.34</v>
      </c>
      <c r="K2288">
        <v>40</v>
      </c>
      <c r="L2288" s="2">
        <v>40</v>
      </c>
      <c r="M2288">
        <v>21</v>
      </c>
      <c r="N2288" s="2">
        <v>96</v>
      </c>
      <c r="O2288">
        <v>17012.11</v>
      </c>
      <c r="P2288">
        <v>6</v>
      </c>
      <c r="Q2288">
        <v>90</v>
      </c>
      <c r="R2288">
        <v>44.08</v>
      </c>
      <c r="S2288">
        <v>23</v>
      </c>
      <c r="T2288">
        <v>15</v>
      </c>
      <c r="U2288" s="2">
        <v>3830.1</v>
      </c>
      <c r="V2288">
        <v>0</v>
      </c>
      <c r="W2288" t="s">
        <v>29</v>
      </c>
      <c r="X2288" t="str">
        <f>IF(Table2[[#This Row],[Qty available]]&gt;Table2[[#This Row],[Qty on hand]],"Check","OK")</f>
        <v>OK</v>
      </c>
    </row>
    <row r="2289" spans="1:24" x14ac:dyDescent="0.3">
      <c r="A2289" t="s">
        <v>251</v>
      </c>
      <c r="B2289" t="s">
        <v>252</v>
      </c>
      <c r="C2289" t="s">
        <v>69</v>
      </c>
      <c r="D2289" t="s">
        <v>70</v>
      </c>
      <c r="E2289" t="s">
        <v>66</v>
      </c>
      <c r="F2289" s="1" t="s">
        <v>36</v>
      </c>
      <c r="G2289" s="2">
        <v>168.82</v>
      </c>
      <c r="H2289">
        <v>181.2</v>
      </c>
      <c r="I2289">
        <v>177.20941999999999</v>
      </c>
      <c r="J2289">
        <v>255.34</v>
      </c>
      <c r="K2289">
        <v>40</v>
      </c>
      <c r="M2289">
        <v>0</v>
      </c>
      <c r="N2289" s="2">
        <v>69</v>
      </c>
      <c r="O2289">
        <v>12227.45</v>
      </c>
      <c r="P2289">
        <v>7</v>
      </c>
      <c r="Q2289">
        <v>62</v>
      </c>
      <c r="R2289">
        <v>15.95</v>
      </c>
      <c r="S2289">
        <v>7</v>
      </c>
      <c r="T2289">
        <v>27</v>
      </c>
      <c r="U2289" s="2">
        <v>6894.18</v>
      </c>
      <c r="V2289">
        <v>0</v>
      </c>
      <c r="W2289" t="s">
        <v>29</v>
      </c>
      <c r="X2289" t="str">
        <f>IF(Table2[[#This Row],[Qty available]]&gt;Table2[[#This Row],[Qty on hand]],"Check","OK")</f>
        <v>OK</v>
      </c>
    </row>
    <row r="2290" spans="1:24" x14ac:dyDescent="0.3">
      <c r="A2290" t="s">
        <v>251</v>
      </c>
      <c r="B2290" t="s">
        <v>252</v>
      </c>
      <c r="C2290" t="s">
        <v>69</v>
      </c>
      <c r="D2290" t="s">
        <v>70</v>
      </c>
      <c r="E2290" t="s">
        <v>66</v>
      </c>
      <c r="F2290" s="1" t="s">
        <v>37</v>
      </c>
      <c r="G2290" s="2">
        <v>168.21</v>
      </c>
      <c r="H2290">
        <v>180.54</v>
      </c>
      <c r="I2290">
        <v>177.98656700000001</v>
      </c>
      <c r="J2290">
        <v>255.34</v>
      </c>
      <c r="K2290">
        <v>40</v>
      </c>
      <c r="L2290" s="2">
        <v>64</v>
      </c>
      <c r="M2290">
        <v>21</v>
      </c>
      <c r="N2290" s="2">
        <v>67</v>
      </c>
      <c r="O2290">
        <v>11925.1</v>
      </c>
      <c r="P2290">
        <v>3</v>
      </c>
      <c r="Q2290">
        <v>64</v>
      </c>
      <c r="R2290">
        <v>13.55</v>
      </c>
      <c r="S2290">
        <v>2</v>
      </c>
      <c r="T2290">
        <v>23</v>
      </c>
      <c r="U2290" s="2">
        <v>5872.82</v>
      </c>
      <c r="V2290">
        <v>0</v>
      </c>
      <c r="W2290" t="s">
        <v>29</v>
      </c>
      <c r="X2290" t="str">
        <f>IF(Table2[[#This Row],[Qty available]]&gt;Table2[[#This Row],[Qty on hand]],"Check","OK")</f>
        <v>OK</v>
      </c>
    </row>
    <row r="2291" spans="1:24" x14ac:dyDescent="0.3">
      <c r="A2291" t="s">
        <v>251</v>
      </c>
      <c r="B2291" t="s">
        <v>252</v>
      </c>
      <c r="C2291" t="s">
        <v>69</v>
      </c>
      <c r="D2291" t="s">
        <v>70</v>
      </c>
      <c r="E2291" t="s">
        <v>66</v>
      </c>
      <c r="F2291" s="1" t="s">
        <v>38</v>
      </c>
      <c r="G2291" s="2">
        <v>165.45</v>
      </c>
      <c r="H2291">
        <v>177.58</v>
      </c>
      <c r="I2291">
        <v>177.818938</v>
      </c>
      <c r="J2291">
        <v>255.34</v>
      </c>
      <c r="K2291">
        <v>40</v>
      </c>
      <c r="L2291" s="2">
        <v>39</v>
      </c>
      <c r="M2291">
        <v>47</v>
      </c>
      <c r="N2291" s="2">
        <v>113</v>
      </c>
      <c r="O2291">
        <v>20093.54</v>
      </c>
      <c r="P2291">
        <v>6</v>
      </c>
      <c r="Q2291">
        <v>107</v>
      </c>
      <c r="R2291">
        <v>28.8</v>
      </c>
      <c r="S2291">
        <v>10</v>
      </c>
      <c r="T2291">
        <v>1</v>
      </c>
      <c r="U2291" s="2">
        <v>255.34</v>
      </c>
      <c r="V2291">
        <v>0</v>
      </c>
      <c r="W2291" t="s">
        <v>29</v>
      </c>
      <c r="X2291" t="str">
        <f>IF(Table2[[#This Row],[Qty available]]&gt;Table2[[#This Row],[Qty on hand]],"Check","OK")</f>
        <v>OK</v>
      </c>
    </row>
    <row r="2292" spans="1:24" x14ac:dyDescent="0.3">
      <c r="A2292" t="s">
        <v>251</v>
      </c>
      <c r="B2292" t="s">
        <v>252</v>
      </c>
      <c r="C2292" t="s">
        <v>69</v>
      </c>
      <c r="D2292" t="s">
        <v>70</v>
      </c>
      <c r="E2292" t="s">
        <v>66</v>
      </c>
      <c r="F2292" s="1" t="s">
        <v>39</v>
      </c>
      <c r="G2292" s="2">
        <v>168.37</v>
      </c>
      <c r="H2292">
        <v>180.71</v>
      </c>
      <c r="I2292">
        <v>177.81895299999999</v>
      </c>
      <c r="J2292">
        <v>255.34</v>
      </c>
      <c r="K2292">
        <v>40</v>
      </c>
      <c r="M2292">
        <v>0</v>
      </c>
      <c r="N2292" s="2">
        <v>86</v>
      </c>
      <c r="O2292">
        <v>15292.43</v>
      </c>
      <c r="P2292">
        <v>2</v>
      </c>
      <c r="Q2292">
        <v>84</v>
      </c>
      <c r="R2292">
        <v>22.16</v>
      </c>
      <c r="S2292">
        <v>2</v>
      </c>
      <c r="T2292">
        <v>27</v>
      </c>
      <c r="U2292" s="2">
        <v>6894.18</v>
      </c>
      <c r="V2292">
        <v>0</v>
      </c>
      <c r="W2292" t="s">
        <v>29</v>
      </c>
      <c r="X2292" t="str">
        <f>IF(Table2[[#This Row],[Qty available]]&gt;Table2[[#This Row],[Qty on hand]],"Check","OK")</f>
        <v>OK</v>
      </c>
    </row>
    <row r="2293" spans="1:24" x14ac:dyDescent="0.3">
      <c r="A2293" t="s">
        <v>251</v>
      </c>
      <c r="B2293" t="s">
        <v>252</v>
      </c>
      <c r="C2293" t="s">
        <v>69</v>
      </c>
      <c r="D2293" t="s">
        <v>70</v>
      </c>
      <c r="E2293" t="s">
        <v>66</v>
      </c>
      <c r="F2293" s="1" t="s">
        <v>40</v>
      </c>
      <c r="G2293" s="2">
        <v>171.23</v>
      </c>
      <c r="H2293">
        <v>183.78</v>
      </c>
      <c r="I2293">
        <v>177.81888900000001</v>
      </c>
      <c r="J2293">
        <v>255.34</v>
      </c>
      <c r="K2293">
        <v>40</v>
      </c>
      <c r="M2293">
        <v>0</v>
      </c>
      <c r="N2293" s="2">
        <v>72</v>
      </c>
      <c r="O2293">
        <v>12802.96</v>
      </c>
      <c r="P2293">
        <v>5</v>
      </c>
      <c r="Q2293">
        <v>67</v>
      </c>
      <c r="R2293">
        <v>22.53</v>
      </c>
      <c r="S2293">
        <v>10</v>
      </c>
      <c r="T2293">
        <v>14</v>
      </c>
      <c r="U2293" s="2">
        <v>3574.76</v>
      </c>
      <c r="V2293">
        <v>0</v>
      </c>
      <c r="W2293" t="s">
        <v>29</v>
      </c>
      <c r="X2293" t="str">
        <f>IF(Table2[[#This Row],[Qty available]]&gt;Table2[[#This Row],[Qty on hand]],"Check","OK")</f>
        <v>OK</v>
      </c>
    </row>
    <row r="2294" spans="1:24" x14ac:dyDescent="0.3">
      <c r="A2294" t="s">
        <v>251</v>
      </c>
      <c r="B2294" t="s">
        <v>252</v>
      </c>
      <c r="C2294" t="s">
        <v>69</v>
      </c>
      <c r="D2294" t="s">
        <v>70</v>
      </c>
      <c r="E2294" t="s">
        <v>66</v>
      </c>
      <c r="F2294" s="1" t="s">
        <v>41</v>
      </c>
      <c r="G2294" s="2">
        <v>168.51</v>
      </c>
      <c r="H2294">
        <v>180.86</v>
      </c>
      <c r="I2294">
        <v>177.81898000000001</v>
      </c>
      <c r="J2294">
        <v>255.34</v>
      </c>
      <c r="K2294">
        <v>40</v>
      </c>
      <c r="M2294">
        <v>0</v>
      </c>
      <c r="N2294" s="2">
        <v>49</v>
      </c>
      <c r="O2294">
        <v>8713.1299999999992</v>
      </c>
      <c r="P2294">
        <v>7</v>
      </c>
      <c r="Q2294">
        <v>42</v>
      </c>
      <c r="R2294">
        <v>10.06</v>
      </c>
      <c r="S2294">
        <v>7</v>
      </c>
      <c r="T2294">
        <v>23</v>
      </c>
      <c r="U2294" s="2">
        <v>5872.82</v>
      </c>
      <c r="V2294">
        <v>0</v>
      </c>
      <c r="W2294" t="s">
        <v>29</v>
      </c>
      <c r="X2294" t="str">
        <f>IF(Table2[[#This Row],[Qty available]]&gt;Table2[[#This Row],[Qty on hand]],"Check","OK")</f>
        <v>OK</v>
      </c>
    </row>
    <row r="2295" spans="1:24" x14ac:dyDescent="0.3">
      <c r="A2295" t="s">
        <v>251</v>
      </c>
      <c r="B2295" t="s">
        <v>252</v>
      </c>
      <c r="C2295" t="s">
        <v>69</v>
      </c>
      <c r="D2295" t="s">
        <v>70</v>
      </c>
      <c r="E2295" t="s">
        <v>66</v>
      </c>
      <c r="F2295" s="1" t="s">
        <v>42</v>
      </c>
      <c r="G2295" s="2">
        <v>167.3</v>
      </c>
      <c r="H2295">
        <v>179.57</v>
      </c>
      <c r="I2295">
        <v>178.49741399999999</v>
      </c>
      <c r="J2295">
        <v>255.34</v>
      </c>
      <c r="K2295">
        <v>40</v>
      </c>
      <c r="L2295" s="2">
        <v>35</v>
      </c>
      <c r="M2295">
        <v>31</v>
      </c>
      <c r="N2295" s="2">
        <v>58</v>
      </c>
      <c r="O2295">
        <v>10352.85</v>
      </c>
      <c r="P2295">
        <v>7</v>
      </c>
      <c r="Q2295">
        <v>51</v>
      </c>
      <c r="R2295">
        <v>12.92</v>
      </c>
      <c r="S2295">
        <v>9</v>
      </c>
      <c r="T2295">
        <v>22</v>
      </c>
      <c r="U2295" s="2">
        <v>5617.48</v>
      </c>
      <c r="V2295">
        <v>0</v>
      </c>
      <c r="W2295" t="s">
        <v>29</v>
      </c>
      <c r="X2295" t="str">
        <f>IF(Table2[[#This Row],[Qty available]]&gt;Table2[[#This Row],[Qty on hand]],"Check","OK")</f>
        <v>OK</v>
      </c>
    </row>
    <row r="2296" spans="1:24" x14ac:dyDescent="0.3">
      <c r="A2296" t="s">
        <v>251</v>
      </c>
      <c r="B2296" t="s">
        <v>252</v>
      </c>
      <c r="C2296" t="s">
        <v>69</v>
      </c>
      <c r="D2296" t="s">
        <v>70</v>
      </c>
      <c r="E2296" t="s">
        <v>66</v>
      </c>
      <c r="F2296" s="1" t="s">
        <v>43</v>
      </c>
      <c r="G2296" s="2">
        <v>167.57</v>
      </c>
      <c r="H2296">
        <v>179.86</v>
      </c>
      <c r="I2296">
        <v>179.15436199999999</v>
      </c>
      <c r="J2296">
        <v>255.34</v>
      </c>
      <c r="K2296">
        <v>40</v>
      </c>
      <c r="L2296" s="2">
        <v>38</v>
      </c>
      <c r="M2296">
        <v>54</v>
      </c>
      <c r="N2296" s="2">
        <v>94</v>
      </c>
      <c r="O2296">
        <v>16840.509999999998</v>
      </c>
      <c r="P2296">
        <v>4</v>
      </c>
      <c r="Q2296">
        <v>90</v>
      </c>
      <c r="R2296">
        <v>19.399999999999999</v>
      </c>
      <c r="S2296">
        <v>5</v>
      </c>
      <c r="T2296">
        <v>18</v>
      </c>
      <c r="U2296" s="2">
        <v>4596.12</v>
      </c>
      <c r="V2296">
        <v>0</v>
      </c>
      <c r="W2296" t="s">
        <v>29</v>
      </c>
      <c r="X2296" t="str">
        <f>IF(Table2[[#This Row],[Qty available]]&gt;Table2[[#This Row],[Qty on hand]],"Check","OK")</f>
        <v>OK</v>
      </c>
    </row>
    <row r="2297" spans="1:24" x14ac:dyDescent="0.3">
      <c r="A2297" t="s">
        <v>251</v>
      </c>
      <c r="B2297" t="s">
        <v>252</v>
      </c>
      <c r="C2297" t="s">
        <v>69</v>
      </c>
      <c r="D2297" t="s">
        <v>70</v>
      </c>
      <c r="E2297" t="s">
        <v>66</v>
      </c>
      <c r="F2297" s="1" t="s">
        <v>44</v>
      </c>
      <c r="G2297" s="2">
        <v>173.83</v>
      </c>
      <c r="H2297">
        <v>186.57</v>
      </c>
      <c r="I2297">
        <v>179.154304</v>
      </c>
      <c r="J2297">
        <v>255.34</v>
      </c>
      <c r="K2297">
        <v>40</v>
      </c>
      <c r="M2297">
        <v>0</v>
      </c>
      <c r="N2297" s="2">
        <v>79</v>
      </c>
      <c r="O2297">
        <v>14153.19</v>
      </c>
      <c r="P2297">
        <v>2</v>
      </c>
      <c r="Q2297">
        <v>77</v>
      </c>
      <c r="R2297">
        <v>18.88</v>
      </c>
      <c r="S2297">
        <v>10</v>
      </c>
      <c r="T2297">
        <v>15</v>
      </c>
      <c r="U2297" s="2">
        <v>3830.1</v>
      </c>
      <c r="V2297">
        <v>0</v>
      </c>
      <c r="W2297" t="s">
        <v>29</v>
      </c>
      <c r="X2297" t="str">
        <f>IF(Table2[[#This Row],[Qty available]]&gt;Table2[[#This Row],[Qty on hand]],"Check","OK")</f>
        <v>OK</v>
      </c>
    </row>
    <row r="2298" spans="1:24" x14ac:dyDescent="0.3">
      <c r="A2298" t="s">
        <v>251</v>
      </c>
      <c r="B2298" t="s">
        <v>252</v>
      </c>
      <c r="C2298" t="s">
        <v>69</v>
      </c>
      <c r="D2298" t="s">
        <v>70</v>
      </c>
      <c r="E2298" t="s">
        <v>66</v>
      </c>
      <c r="F2298" s="1" t="s">
        <v>45</v>
      </c>
      <c r="G2298" s="2">
        <v>174.64</v>
      </c>
      <c r="H2298">
        <v>187.44</v>
      </c>
      <c r="I2298">
        <v>179.15431000000001</v>
      </c>
      <c r="J2298">
        <v>255.34</v>
      </c>
      <c r="K2298">
        <v>40</v>
      </c>
      <c r="M2298">
        <v>0</v>
      </c>
      <c r="N2298" s="2">
        <v>58</v>
      </c>
      <c r="O2298">
        <v>10390.950000000001</v>
      </c>
      <c r="P2298">
        <v>4</v>
      </c>
      <c r="Q2298">
        <v>54</v>
      </c>
      <c r="R2298">
        <v>14.12</v>
      </c>
      <c r="S2298">
        <v>0</v>
      </c>
      <c r="T2298">
        <v>21</v>
      </c>
      <c r="U2298" s="2">
        <v>5362.14</v>
      </c>
      <c r="V2298">
        <v>0</v>
      </c>
      <c r="W2298" t="s">
        <v>29</v>
      </c>
      <c r="X2298" t="str">
        <f>IF(Table2[[#This Row],[Qty available]]&gt;Table2[[#This Row],[Qty on hand]],"Check","OK")</f>
        <v>OK</v>
      </c>
    </row>
    <row r="2299" spans="1:24" x14ac:dyDescent="0.3">
      <c r="A2299" t="s">
        <v>251</v>
      </c>
      <c r="B2299" t="s">
        <v>252</v>
      </c>
      <c r="C2299" t="s">
        <v>69</v>
      </c>
      <c r="D2299" t="s">
        <v>70</v>
      </c>
      <c r="E2299" t="s">
        <v>66</v>
      </c>
      <c r="F2299" s="1" t="s">
        <v>46</v>
      </c>
      <c r="G2299" s="2">
        <v>175.12</v>
      </c>
      <c r="H2299">
        <v>187.96</v>
      </c>
      <c r="I2299">
        <v>179.15439000000001</v>
      </c>
      <c r="J2299">
        <v>262.72000000000003</v>
      </c>
      <c r="K2299">
        <v>40</v>
      </c>
      <c r="M2299">
        <v>0</v>
      </c>
      <c r="N2299" s="2">
        <v>41</v>
      </c>
      <c r="O2299">
        <v>7345.33</v>
      </c>
      <c r="P2299">
        <v>5</v>
      </c>
      <c r="Q2299">
        <v>36</v>
      </c>
      <c r="R2299">
        <v>9.9499999999999993</v>
      </c>
      <c r="S2299">
        <v>9</v>
      </c>
      <c r="T2299">
        <v>17</v>
      </c>
      <c r="U2299" s="2">
        <v>4466.24</v>
      </c>
      <c r="V2299">
        <v>0</v>
      </c>
      <c r="W2299" t="s">
        <v>29</v>
      </c>
      <c r="X2299" t="str">
        <f>IF(Table2[[#This Row],[Qty available]]&gt;Table2[[#This Row],[Qty on hand]],"Check","OK")</f>
        <v>OK</v>
      </c>
    </row>
    <row r="2300" spans="1:24" x14ac:dyDescent="0.3">
      <c r="A2300" t="s">
        <v>251</v>
      </c>
      <c r="B2300" t="s">
        <v>252</v>
      </c>
      <c r="C2300" t="s">
        <v>69</v>
      </c>
      <c r="D2300" t="s">
        <v>70</v>
      </c>
      <c r="E2300" t="s">
        <v>66</v>
      </c>
      <c r="F2300" s="1" t="s">
        <v>47</v>
      </c>
      <c r="G2300" s="2">
        <v>169.29</v>
      </c>
      <c r="H2300">
        <v>181.7</v>
      </c>
      <c r="I2300">
        <v>180.686667</v>
      </c>
      <c r="J2300">
        <v>262.72000000000003</v>
      </c>
      <c r="K2300">
        <v>40</v>
      </c>
      <c r="L2300" s="2">
        <v>46</v>
      </c>
      <c r="M2300">
        <v>62</v>
      </c>
      <c r="N2300" s="2">
        <v>63</v>
      </c>
      <c r="O2300">
        <v>11383.26</v>
      </c>
      <c r="P2300">
        <v>6</v>
      </c>
      <c r="Q2300">
        <v>57</v>
      </c>
      <c r="R2300">
        <v>10.38</v>
      </c>
      <c r="S2300">
        <v>10</v>
      </c>
      <c r="T2300">
        <v>40</v>
      </c>
      <c r="U2300" s="2">
        <v>10508.8</v>
      </c>
      <c r="V2300">
        <v>0</v>
      </c>
      <c r="W2300" t="s">
        <v>29</v>
      </c>
      <c r="X2300" t="str">
        <f>IF(Table2[[#This Row],[Qty available]]&gt;Table2[[#This Row],[Qty on hand]],"Check","OK")</f>
        <v>OK</v>
      </c>
    </row>
    <row r="2301" spans="1:24" x14ac:dyDescent="0.3">
      <c r="A2301" t="s">
        <v>251</v>
      </c>
      <c r="B2301" t="s">
        <v>252</v>
      </c>
      <c r="C2301" t="s">
        <v>69</v>
      </c>
      <c r="D2301" t="s">
        <v>70</v>
      </c>
      <c r="E2301" t="s">
        <v>66</v>
      </c>
      <c r="F2301" s="1" t="s">
        <v>48</v>
      </c>
      <c r="G2301" s="2">
        <v>173.82</v>
      </c>
      <c r="H2301">
        <v>186.56</v>
      </c>
      <c r="I2301">
        <v>180.68673899999999</v>
      </c>
      <c r="J2301">
        <v>262.72000000000003</v>
      </c>
      <c r="K2301">
        <v>40</v>
      </c>
      <c r="M2301">
        <v>0</v>
      </c>
      <c r="N2301" s="2">
        <v>46</v>
      </c>
      <c r="O2301">
        <v>8311.59</v>
      </c>
      <c r="P2301">
        <v>6</v>
      </c>
      <c r="Q2301">
        <v>40</v>
      </c>
      <c r="R2301">
        <v>7.9</v>
      </c>
      <c r="S2301">
        <v>10</v>
      </c>
      <c r="T2301">
        <v>17</v>
      </c>
      <c r="U2301" s="2">
        <v>4466.24</v>
      </c>
      <c r="V2301">
        <v>0</v>
      </c>
      <c r="W2301" t="s">
        <v>29</v>
      </c>
      <c r="X2301" t="str">
        <f>IF(Table2[[#This Row],[Qty available]]&gt;Table2[[#This Row],[Qty on hand]],"Check","OK")</f>
        <v>OK</v>
      </c>
    </row>
    <row r="2302" spans="1:24" x14ac:dyDescent="0.3">
      <c r="A2302" t="s">
        <v>251</v>
      </c>
      <c r="B2302" t="s">
        <v>252</v>
      </c>
      <c r="C2302" t="s">
        <v>69</v>
      </c>
      <c r="D2302" t="s">
        <v>70</v>
      </c>
      <c r="E2302" t="s">
        <v>66</v>
      </c>
      <c r="F2302" s="1" t="s">
        <v>49</v>
      </c>
      <c r="G2302" s="2">
        <v>169.33</v>
      </c>
      <c r="H2302">
        <v>181.74</v>
      </c>
      <c r="I2302">
        <v>181.25555600000001</v>
      </c>
      <c r="J2302">
        <v>262.72000000000003</v>
      </c>
      <c r="K2302">
        <v>40</v>
      </c>
      <c r="L2302" s="2">
        <v>39</v>
      </c>
      <c r="M2302">
        <v>54</v>
      </c>
      <c r="N2302" s="2">
        <v>81</v>
      </c>
      <c r="O2302">
        <v>14681.7</v>
      </c>
      <c r="P2302">
        <v>7</v>
      </c>
      <c r="Q2302">
        <v>74</v>
      </c>
      <c r="R2302">
        <v>14.01</v>
      </c>
      <c r="S2302">
        <v>8</v>
      </c>
      <c r="T2302">
        <v>19</v>
      </c>
      <c r="U2302" s="2">
        <v>4991.68</v>
      </c>
      <c r="V2302">
        <v>0</v>
      </c>
      <c r="W2302" t="s">
        <v>29</v>
      </c>
      <c r="X2302" t="str">
        <f>IF(Table2[[#This Row],[Qty available]]&gt;Table2[[#This Row],[Qty on hand]],"Check","OK")</f>
        <v>OK</v>
      </c>
    </row>
    <row r="2303" spans="1:24" x14ac:dyDescent="0.3">
      <c r="A2303" t="s">
        <v>251</v>
      </c>
      <c r="B2303" t="s">
        <v>252</v>
      </c>
      <c r="C2303" t="s">
        <v>69</v>
      </c>
      <c r="D2303" t="s">
        <v>70</v>
      </c>
      <c r="E2303" t="s">
        <v>66</v>
      </c>
      <c r="F2303" s="1" t="s">
        <v>50</v>
      </c>
      <c r="G2303" s="2">
        <v>171.68</v>
      </c>
      <c r="H2303">
        <v>184.27</v>
      </c>
      <c r="I2303">
        <v>181.25555600000001</v>
      </c>
      <c r="J2303">
        <v>262.72000000000003</v>
      </c>
      <c r="K2303">
        <v>40</v>
      </c>
      <c r="M2303">
        <v>0</v>
      </c>
      <c r="N2303" s="2">
        <v>54</v>
      </c>
      <c r="O2303">
        <v>9787.7999999999993</v>
      </c>
      <c r="P2303">
        <v>2</v>
      </c>
      <c r="Q2303">
        <v>52</v>
      </c>
      <c r="R2303">
        <v>11.14</v>
      </c>
      <c r="S2303">
        <v>0</v>
      </c>
      <c r="T2303">
        <v>27</v>
      </c>
      <c r="U2303" s="2">
        <v>7093.44</v>
      </c>
      <c r="V2303">
        <v>0</v>
      </c>
      <c r="W2303" t="s">
        <v>29</v>
      </c>
      <c r="X2303" t="str">
        <f>IF(Table2[[#This Row],[Qty available]]&gt;Table2[[#This Row],[Qty on hand]],"Check","OK")</f>
        <v>OK</v>
      </c>
    </row>
    <row r="2304" spans="1:24" x14ac:dyDescent="0.3">
      <c r="A2304" t="s">
        <v>251</v>
      </c>
      <c r="B2304" t="s">
        <v>252</v>
      </c>
      <c r="C2304" t="s">
        <v>69</v>
      </c>
      <c r="D2304" t="s">
        <v>70</v>
      </c>
      <c r="E2304" t="s">
        <v>66</v>
      </c>
      <c r="F2304" s="1" t="s">
        <v>51</v>
      </c>
      <c r="G2304" s="2">
        <v>171.14</v>
      </c>
      <c r="H2304">
        <v>183.69</v>
      </c>
      <c r="I2304">
        <v>181.93725499999999</v>
      </c>
      <c r="J2304">
        <v>262.72000000000003</v>
      </c>
      <c r="K2304">
        <v>40</v>
      </c>
      <c r="L2304" s="2">
        <v>57</v>
      </c>
      <c r="M2304">
        <v>21</v>
      </c>
      <c r="N2304" s="2">
        <v>51</v>
      </c>
      <c r="O2304">
        <v>9278.7999999999993</v>
      </c>
      <c r="P2304">
        <v>6</v>
      </c>
      <c r="Q2304">
        <v>45</v>
      </c>
      <c r="R2304">
        <v>9.58</v>
      </c>
      <c r="S2304">
        <v>6</v>
      </c>
      <c r="T2304">
        <v>24</v>
      </c>
      <c r="U2304" s="2">
        <v>6305.28</v>
      </c>
      <c r="V2304">
        <v>0</v>
      </c>
      <c r="W2304" t="s">
        <v>29</v>
      </c>
      <c r="X2304" t="str">
        <f>IF(Table2[[#This Row],[Qty available]]&gt;Table2[[#This Row],[Qty on hand]],"Check","OK")</f>
        <v>OK</v>
      </c>
    </row>
    <row r="2305" spans="1:24" x14ac:dyDescent="0.3">
      <c r="A2305" t="s">
        <v>251</v>
      </c>
      <c r="B2305" t="s">
        <v>252</v>
      </c>
      <c r="C2305" t="s">
        <v>69</v>
      </c>
      <c r="D2305" t="s">
        <v>70</v>
      </c>
      <c r="E2305" t="s">
        <v>66</v>
      </c>
      <c r="F2305" s="1" t="s">
        <v>52</v>
      </c>
      <c r="G2305" s="2">
        <v>173.67</v>
      </c>
      <c r="H2305">
        <v>186.4</v>
      </c>
      <c r="I2305">
        <v>183.92610400000001</v>
      </c>
      <c r="J2305">
        <v>262.72000000000003</v>
      </c>
      <c r="K2305">
        <v>40</v>
      </c>
      <c r="L2305" s="2">
        <v>40</v>
      </c>
      <c r="M2305">
        <v>41</v>
      </c>
      <c r="N2305" s="2">
        <v>77</v>
      </c>
      <c r="O2305">
        <v>14162.31</v>
      </c>
      <c r="P2305">
        <v>4</v>
      </c>
      <c r="Q2305">
        <v>73</v>
      </c>
      <c r="R2305">
        <v>15.33</v>
      </c>
      <c r="S2305">
        <v>3</v>
      </c>
      <c r="T2305">
        <v>15</v>
      </c>
      <c r="U2305" s="2">
        <v>3940.8</v>
      </c>
      <c r="V2305">
        <v>0</v>
      </c>
      <c r="W2305" t="s">
        <v>29</v>
      </c>
      <c r="X2305" t="str">
        <f>IF(Table2[[#This Row],[Qty available]]&gt;Table2[[#This Row],[Qty on hand]],"Check","OK")</f>
        <v>OK</v>
      </c>
    </row>
    <row r="2306" spans="1:24" x14ac:dyDescent="0.3">
      <c r="A2306" t="s">
        <v>253</v>
      </c>
      <c r="B2306" t="s">
        <v>254</v>
      </c>
      <c r="C2306" t="s">
        <v>25</v>
      </c>
      <c r="D2306" t="s">
        <v>26</v>
      </c>
      <c r="E2306" t="s">
        <v>66</v>
      </c>
      <c r="F2306" s="1" t="s">
        <v>28</v>
      </c>
      <c r="G2306" s="2">
        <v>14.22</v>
      </c>
      <c r="H2306">
        <v>14.22</v>
      </c>
      <c r="I2306">
        <v>14.44392</v>
      </c>
      <c r="J2306">
        <v>19.89</v>
      </c>
      <c r="K2306">
        <v>27</v>
      </c>
      <c r="M2306">
        <v>0</v>
      </c>
      <c r="N2306" s="2">
        <v>704</v>
      </c>
      <c r="O2306">
        <v>10168.52</v>
      </c>
      <c r="P2306">
        <v>55</v>
      </c>
      <c r="Q2306">
        <v>649</v>
      </c>
      <c r="R2306">
        <v>25.07</v>
      </c>
      <c r="S2306">
        <v>6</v>
      </c>
      <c r="T2306">
        <v>125</v>
      </c>
      <c r="U2306" s="2">
        <v>2486.25</v>
      </c>
      <c r="V2306">
        <v>0</v>
      </c>
      <c r="W2306" t="s">
        <v>29</v>
      </c>
      <c r="X2306" t="str">
        <f>IF(Table2[[#This Row],[Qty available]]&gt;Table2[[#This Row],[Qty on hand]],"Check","OK")</f>
        <v>OK</v>
      </c>
    </row>
    <row r="2307" spans="1:24" x14ac:dyDescent="0.3">
      <c r="A2307" t="s">
        <v>253</v>
      </c>
      <c r="B2307" t="s">
        <v>254</v>
      </c>
      <c r="C2307" t="s">
        <v>25</v>
      </c>
      <c r="D2307" t="s">
        <v>26</v>
      </c>
      <c r="E2307" t="s">
        <v>66</v>
      </c>
      <c r="F2307" s="1" t="s">
        <v>30</v>
      </c>
      <c r="G2307" s="2">
        <v>14.63</v>
      </c>
      <c r="H2307">
        <v>14.63</v>
      </c>
      <c r="I2307">
        <v>14.443925999999999</v>
      </c>
      <c r="J2307">
        <v>19.89</v>
      </c>
      <c r="K2307">
        <v>27</v>
      </c>
      <c r="M2307">
        <v>0</v>
      </c>
      <c r="N2307" s="2">
        <v>624</v>
      </c>
      <c r="O2307">
        <v>9013.01</v>
      </c>
      <c r="P2307">
        <v>12</v>
      </c>
      <c r="Q2307">
        <v>612</v>
      </c>
      <c r="R2307">
        <v>40.01</v>
      </c>
      <c r="S2307">
        <v>2</v>
      </c>
      <c r="T2307">
        <v>80</v>
      </c>
      <c r="U2307" s="2">
        <v>1591.2</v>
      </c>
      <c r="V2307">
        <v>0</v>
      </c>
      <c r="W2307" t="s">
        <v>29</v>
      </c>
      <c r="X2307" t="str">
        <f>IF(Table2[[#This Row],[Qty available]]&gt;Table2[[#This Row],[Qty on hand]],"Check","OK")</f>
        <v>OK</v>
      </c>
    </row>
    <row r="2308" spans="1:24" x14ac:dyDescent="0.3">
      <c r="A2308" t="s">
        <v>253</v>
      </c>
      <c r="B2308" t="s">
        <v>254</v>
      </c>
      <c r="C2308" t="s">
        <v>25</v>
      </c>
      <c r="D2308" t="s">
        <v>26</v>
      </c>
      <c r="E2308" t="s">
        <v>66</v>
      </c>
      <c r="F2308" s="1" t="s">
        <v>31</v>
      </c>
      <c r="G2308" s="2">
        <v>14.63</v>
      </c>
      <c r="H2308">
        <v>14.63</v>
      </c>
      <c r="I2308">
        <v>14.443917000000001</v>
      </c>
      <c r="J2308">
        <v>19.89</v>
      </c>
      <c r="K2308">
        <v>27</v>
      </c>
      <c r="M2308">
        <v>0</v>
      </c>
      <c r="N2308" s="2">
        <v>480</v>
      </c>
      <c r="O2308">
        <v>6933.08</v>
      </c>
      <c r="P2308">
        <v>25</v>
      </c>
      <c r="Q2308">
        <v>455</v>
      </c>
      <c r="R2308">
        <v>17.88</v>
      </c>
      <c r="S2308">
        <v>4</v>
      </c>
      <c r="T2308">
        <v>144</v>
      </c>
      <c r="U2308" s="2">
        <v>2864.16</v>
      </c>
      <c r="V2308">
        <v>0</v>
      </c>
      <c r="W2308" t="s">
        <v>29</v>
      </c>
      <c r="X2308" t="str">
        <f>IF(Table2[[#This Row],[Qty available]]&gt;Table2[[#This Row],[Qty on hand]],"Check","OK")</f>
        <v>OK</v>
      </c>
    </row>
    <row r="2309" spans="1:24" x14ac:dyDescent="0.3">
      <c r="A2309" t="s">
        <v>253</v>
      </c>
      <c r="B2309" t="s">
        <v>254</v>
      </c>
      <c r="C2309" t="s">
        <v>25</v>
      </c>
      <c r="D2309" t="s">
        <v>26</v>
      </c>
      <c r="E2309" t="s">
        <v>66</v>
      </c>
      <c r="F2309" s="1" t="s">
        <v>32</v>
      </c>
      <c r="G2309" s="2">
        <v>14.65</v>
      </c>
      <c r="H2309">
        <v>14.65</v>
      </c>
      <c r="I2309">
        <v>14.443910000000001</v>
      </c>
      <c r="J2309">
        <v>19.89</v>
      </c>
      <c r="K2309">
        <v>27</v>
      </c>
      <c r="M2309">
        <v>0</v>
      </c>
      <c r="N2309" s="2">
        <v>445</v>
      </c>
      <c r="O2309">
        <v>6427.54</v>
      </c>
      <c r="P2309">
        <v>49</v>
      </c>
      <c r="Q2309">
        <v>396</v>
      </c>
      <c r="R2309">
        <v>22.58</v>
      </c>
      <c r="S2309">
        <v>0</v>
      </c>
      <c r="T2309">
        <v>35</v>
      </c>
      <c r="U2309" s="2">
        <v>696.15</v>
      </c>
      <c r="V2309">
        <v>0</v>
      </c>
      <c r="W2309" t="s">
        <v>29</v>
      </c>
      <c r="X2309" t="str">
        <f>IF(Table2[[#This Row],[Qty available]]&gt;Table2[[#This Row],[Qty on hand]],"Check","OK")</f>
        <v>OK</v>
      </c>
    </row>
    <row r="2310" spans="1:24" x14ac:dyDescent="0.3">
      <c r="A2310" t="s">
        <v>253</v>
      </c>
      <c r="B2310" t="s">
        <v>254</v>
      </c>
      <c r="C2310" t="s">
        <v>25</v>
      </c>
      <c r="D2310" t="s">
        <v>26</v>
      </c>
      <c r="E2310" t="s">
        <v>66</v>
      </c>
      <c r="F2310" s="1" t="s">
        <v>33</v>
      </c>
      <c r="G2310" s="2">
        <v>14.32</v>
      </c>
      <c r="H2310">
        <v>14.32</v>
      </c>
      <c r="I2310">
        <v>14.401329</v>
      </c>
      <c r="J2310">
        <v>19.89</v>
      </c>
      <c r="K2310">
        <v>27</v>
      </c>
      <c r="L2310" s="2">
        <v>27</v>
      </c>
      <c r="M2310">
        <v>233</v>
      </c>
      <c r="N2310" s="2">
        <v>414</v>
      </c>
      <c r="O2310">
        <v>5962.15</v>
      </c>
      <c r="P2310">
        <v>12</v>
      </c>
      <c r="Q2310">
        <v>402</v>
      </c>
      <c r="R2310">
        <v>12.28</v>
      </c>
      <c r="S2310">
        <v>0</v>
      </c>
      <c r="T2310">
        <v>264</v>
      </c>
      <c r="U2310" s="2">
        <v>5250.96</v>
      </c>
      <c r="V2310">
        <v>0</v>
      </c>
      <c r="W2310" t="s">
        <v>29</v>
      </c>
      <c r="X2310" t="str">
        <f>IF(Table2[[#This Row],[Qty available]]&gt;Table2[[#This Row],[Qty on hand]],"Check","OK")</f>
        <v>OK</v>
      </c>
    </row>
    <row r="2311" spans="1:24" x14ac:dyDescent="0.3">
      <c r="A2311" t="s">
        <v>253</v>
      </c>
      <c r="B2311" t="s">
        <v>254</v>
      </c>
      <c r="C2311" t="s">
        <v>25</v>
      </c>
      <c r="D2311" t="s">
        <v>26</v>
      </c>
      <c r="E2311" t="s">
        <v>66</v>
      </c>
      <c r="F2311" s="1" t="s">
        <v>34</v>
      </c>
      <c r="G2311" s="2">
        <v>14.6</v>
      </c>
      <c r="H2311">
        <v>14.6</v>
      </c>
      <c r="I2311">
        <v>14.401308</v>
      </c>
      <c r="J2311">
        <v>20.82</v>
      </c>
      <c r="K2311">
        <v>27</v>
      </c>
      <c r="M2311">
        <v>0</v>
      </c>
      <c r="N2311" s="2">
        <v>214</v>
      </c>
      <c r="O2311">
        <v>3081.88</v>
      </c>
      <c r="P2311">
        <v>37</v>
      </c>
      <c r="Q2311">
        <v>177</v>
      </c>
      <c r="R2311">
        <v>5.51</v>
      </c>
      <c r="S2311">
        <v>0</v>
      </c>
      <c r="T2311">
        <v>200</v>
      </c>
      <c r="U2311" s="2">
        <v>4164</v>
      </c>
      <c r="V2311">
        <v>0</v>
      </c>
      <c r="W2311" t="s">
        <v>29</v>
      </c>
      <c r="X2311" t="str">
        <f>IF(Table2[[#This Row],[Qty available]]&gt;Table2[[#This Row],[Qty on hand]],"Check","OK")</f>
        <v>OK</v>
      </c>
    </row>
    <row r="2312" spans="1:24" x14ac:dyDescent="0.3">
      <c r="A2312" t="s">
        <v>253</v>
      </c>
      <c r="B2312" t="s">
        <v>254</v>
      </c>
      <c r="C2312" t="s">
        <v>25</v>
      </c>
      <c r="D2312" t="s">
        <v>26</v>
      </c>
      <c r="E2312" t="s">
        <v>66</v>
      </c>
      <c r="F2312" s="1" t="s">
        <v>35</v>
      </c>
      <c r="G2312" s="2">
        <v>14.33</v>
      </c>
      <c r="H2312">
        <v>14.33</v>
      </c>
      <c r="I2312">
        <v>14.358356000000001</v>
      </c>
      <c r="J2312">
        <v>20.82</v>
      </c>
      <c r="K2312">
        <v>27</v>
      </c>
      <c r="L2312" s="2">
        <v>25</v>
      </c>
      <c r="M2312">
        <v>324</v>
      </c>
      <c r="N2312" s="2">
        <v>438</v>
      </c>
      <c r="O2312">
        <v>6288.96</v>
      </c>
      <c r="P2312">
        <v>49</v>
      </c>
      <c r="Q2312">
        <v>389</v>
      </c>
      <c r="R2312">
        <v>9.98</v>
      </c>
      <c r="S2312">
        <v>1</v>
      </c>
      <c r="T2312">
        <v>100</v>
      </c>
      <c r="U2312" s="2">
        <v>2082</v>
      </c>
      <c r="V2312">
        <v>0</v>
      </c>
      <c r="W2312" t="s">
        <v>29</v>
      </c>
      <c r="X2312" t="str">
        <f>IF(Table2[[#This Row],[Qty available]]&gt;Table2[[#This Row],[Qty on hand]],"Check","OK")</f>
        <v>OK</v>
      </c>
    </row>
    <row r="2313" spans="1:24" x14ac:dyDescent="0.3">
      <c r="A2313" t="s">
        <v>253</v>
      </c>
      <c r="B2313" t="s">
        <v>254</v>
      </c>
      <c r="C2313" t="s">
        <v>25</v>
      </c>
      <c r="D2313" t="s">
        <v>26</v>
      </c>
      <c r="E2313" t="s">
        <v>66</v>
      </c>
      <c r="F2313" s="1" t="s">
        <v>36</v>
      </c>
      <c r="G2313" s="2">
        <v>14.7</v>
      </c>
      <c r="H2313">
        <v>14.7</v>
      </c>
      <c r="I2313">
        <v>14.388892</v>
      </c>
      <c r="J2313">
        <v>20.82</v>
      </c>
      <c r="K2313">
        <v>27</v>
      </c>
      <c r="L2313" s="2">
        <v>23</v>
      </c>
      <c r="M2313">
        <v>43</v>
      </c>
      <c r="N2313" s="2">
        <v>397</v>
      </c>
      <c r="O2313">
        <v>5712.39</v>
      </c>
      <c r="P2313">
        <v>25</v>
      </c>
      <c r="Q2313">
        <v>372</v>
      </c>
      <c r="R2313">
        <v>13.14</v>
      </c>
      <c r="S2313">
        <v>7</v>
      </c>
      <c r="T2313">
        <v>84</v>
      </c>
      <c r="U2313" s="2">
        <v>1748.88</v>
      </c>
      <c r="V2313">
        <v>0</v>
      </c>
      <c r="W2313" t="s">
        <v>29</v>
      </c>
      <c r="X2313" t="str">
        <f>IF(Table2[[#This Row],[Qty available]]&gt;Table2[[#This Row],[Qty on hand]],"Check","OK")</f>
        <v>OK</v>
      </c>
    </row>
    <row r="2314" spans="1:24" x14ac:dyDescent="0.3">
      <c r="A2314" t="s">
        <v>253</v>
      </c>
      <c r="B2314" t="s">
        <v>254</v>
      </c>
      <c r="C2314" t="s">
        <v>25</v>
      </c>
      <c r="D2314" t="s">
        <v>26</v>
      </c>
      <c r="E2314" t="s">
        <v>66</v>
      </c>
      <c r="F2314" s="1" t="s">
        <v>37</v>
      </c>
      <c r="G2314" s="2">
        <v>14.85</v>
      </c>
      <c r="H2314">
        <v>14.85</v>
      </c>
      <c r="I2314">
        <v>14.53973</v>
      </c>
      <c r="J2314">
        <v>20.82</v>
      </c>
      <c r="K2314">
        <v>27</v>
      </c>
      <c r="L2314" s="2">
        <v>26</v>
      </c>
      <c r="M2314">
        <v>193</v>
      </c>
      <c r="N2314" s="2">
        <v>408</v>
      </c>
      <c r="O2314">
        <v>5932.21</v>
      </c>
      <c r="P2314">
        <v>12</v>
      </c>
      <c r="Q2314">
        <v>396</v>
      </c>
      <c r="R2314">
        <v>14.65</v>
      </c>
      <c r="S2314">
        <v>1</v>
      </c>
      <c r="T2314">
        <v>182</v>
      </c>
      <c r="U2314" s="2">
        <v>3789.24</v>
      </c>
      <c r="V2314">
        <v>0</v>
      </c>
      <c r="W2314" t="s">
        <v>29</v>
      </c>
      <c r="X2314" t="str">
        <f>IF(Table2[[#This Row],[Qty available]]&gt;Table2[[#This Row],[Qty on hand]],"Check","OK")</f>
        <v>OK</v>
      </c>
    </row>
    <row r="2315" spans="1:24" x14ac:dyDescent="0.3">
      <c r="A2315" t="s">
        <v>253</v>
      </c>
      <c r="B2315" t="s">
        <v>254</v>
      </c>
      <c r="C2315" t="s">
        <v>25</v>
      </c>
      <c r="D2315" t="s">
        <v>26</v>
      </c>
      <c r="E2315" t="s">
        <v>66</v>
      </c>
      <c r="F2315" s="1" t="s">
        <v>38</v>
      </c>
      <c r="G2315" s="2">
        <v>14.84</v>
      </c>
      <c r="H2315">
        <v>14.84</v>
      </c>
      <c r="I2315">
        <v>14.584764</v>
      </c>
      <c r="J2315">
        <v>20.82</v>
      </c>
      <c r="K2315">
        <v>27</v>
      </c>
      <c r="L2315" s="2">
        <v>23</v>
      </c>
      <c r="M2315">
        <v>72</v>
      </c>
      <c r="N2315" s="2">
        <v>296</v>
      </c>
      <c r="O2315">
        <v>4317.09</v>
      </c>
      <c r="P2315">
        <v>37</v>
      </c>
      <c r="Q2315">
        <v>259</v>
      </c>
      <c r="R2315">
        <v>8.5500000000000007</v>
      </c>
      <c r="S2315">
        <v>1</v>
      </c>
      <c r="T2315">
        <v>184</v>
      </c>
      <c r="U2315" s="2">
        <v>3830.88</v>
      </c>
      <c r="V2315">
        <v>0</v>
      </c>
      <c r="W2315" t="s">
        <v>29</v>
      </c>
      <c r="X2315" t="str">
        <f>IF(Table2[[#This Row],[Qty available]]&gt;Table2[[#This Row],[Qty on hand]],"Check","OK")</f>
        <v>OK</v>
      </c>
    </row>
    <row r="2316" spans="1:24" x14ac:dyDescent="0.3">
      <c r="A2316" t="s">
        <v>253</v>
      </c>
      <c r="B2316" t="s">
        <v>254</v>
      </c>
      <c r="C2316" t="s">
        <v>25</v>
      </c>
      <c r="D2316" t="s">
        <v>26</v>
      </c>
      <c r="E2316" t="s">
        <v>66</v>
      </c>
      <c r="F2316" s="1" t="s">
        <v>39</v>
      </c>
      <c r="G2316" s="2">
        <v>14.61</v>
      </c>
      <c r="H2316">
        <v>14.61</v>
      </c>
      <c r="I2316">
        <v>14.591157000000001</v>
      </c>
      <c r="J2316">
        <v>20.82</v>
      </c>
      <c r="K2316">
        <v>27</v>
      </c>
      <c r="L2316" s="2">
        <v>23</v>
      </c>
      <c r="M2316">
        <v>101</v>
      </c>
      <c r="N2316" s="2">
        <v>121</v>
      </c>
      <c r="O2316">
        <v>1765.53</v>
      </c>
      <c r="P2316">
        <v>62</v>
      </c>
      <c r="Q2316">
        <v>59</v>
      </c>
      <c r="R2316">
        <v>2.48</v>
      </c>
      <c r="S2316">
        <v>2</v>
      </c>
      <c r="T2316">
        <v>276</v>
      </c>
      <c r="U2316" s="2">
        <v>5746.32</v>
      </c>
      <c r="V2316">
        <v>0</v>
      </c>
      <c r="W2316" t="s">
        <v>29</v>
      </c>
      <c r="X2316" t="str">
        <f>IF(Table2[[#This Row],[Qty available]]&gt;Table2[[#This Row],[Qty on hand]],"Check","OK")</f>
        <v>OK</v>
      </c>
    </row>
    <row r="2317" spans="1:24" x14ac:dyDescent="0.3">
      <c r="A2317" t="s">
        <v>253</v>
      </c>
      <c r="B2317" t="s">
        <v>254</v>
      </c>
      <c r="C2317" t="s">
        <v>25</v>
      </c>
      <c r="D2317" t="s">
        <v>26</v>
      </c>
      <c r="E2317" t="s">
        <v>66</v>
      </c>
      <c r="F2317" s="1" t="s">
        <v>40</v>
      </c>
      <c r="G2317" s="2">
        <v>15.13</v>
      </c>
      <c r="H2317">
        <v>15.13</v>
      </c>
      <c r="I2317">
        <v>14.994719</v>
      </c>
      <c r="J2317">
        <v>20.82</v>
      </c>
      <c r="K2317">
        <v>27</v>
      </c>
      <c r="L2317" s="2">
        <v>25</v>
      </c>
      <c r="M2317">
        <v>361</v>
      </c>
      <c r="N2317" s="2">
        <v>267</v>
      </c>
      <c r="O2317">
        <v>4003.59</v>
      </c>
      <c r="P2317">
        <v>12</v>
      </c>
      <c r="Q2317">
        <v>255</v>
      </c>
      <c r="R2317">
        <v>5.2</v>
      </c>
      <c r="S2317">
        <v>3</v>
      </c>
      <c r="T2317">
        <v>215</v>
      </c>
      <c r="U2317" s="2">
        <v>4476.3</v>
      </c>
      <c r="V2317">
        <v>0</v>
      </c>
      <c r="W2317" t="s">
        <v>29</v>
      </c>
      <c r="X2317" t="str">
        <f>IF(Table2[[#This Row],[Qty available]]&gt;Table2[[#This Row],[Qty on hand]],"Check","OK")</f>
        <v>OK</v>
      </c>
    </row>
    <row r="2318" spans="1:24" x14ac:dyDescent="0.3">
      <c r="A2318" t="s">
        <v>253</v>
      </c>
      <c r="B2318" t="s">
        <v>254</v>
      </c>
      <c r="C2318" t="s">
        <v>25</v>
      </c>
      <c r="D2318" t="s">
        <v>26</v>
      </c>
      <c r="E2318" t="s">
        <v>66</v>
      </c>
      <c r="F2318" s="1" t="s">
        <v>41</v>
      </c>
      <c r="G2318" s="2">
        <v>14.82</v>
      </c>
      <c r="H2318">
        <v>14.82</v>
      </c>
      <c r="I2318">
        <v>14.923214</v>
      </c>
      <c r="J2318">
        <v>20.82</v>
      </c>
      <c r="K2318">
        <v>27</v>
      </c>
      <c r="L2318" s="2">
        <v>26</v>
      </c>
      <c r="M2318">
        <v>185</v>
      </c>
      <c r="N2318" s="2">
        <v>224</v>
      </c>
      <c r="O2318">
        <v>3342.8</v>
      </c>
      <c r="P2318">
        <v>55</v>
      </c>
      <c r="Q2318">
        <v>169</v>
      </c>
      <c r="R2318">
        <v>4.09</v>
      </c>
      <c r="S2318">
        <v>1</v>
      </c>
      <c r="T2318">
        <v>228</v>
      </c>
      <c r="U2318" s="2">
        <v>4746.96</v>
      </c>
      <c r="V2318">
        <v>0</v>
      </c>
      <c r="W2318" t="s">
        <v>29</v>
      </c>
      <c r="X2318" t="str">
        <f>IF(Table2[[#This Row],[Qty available]]&gt;Table2[[#This Row],[Qty on hand]],"Check","OK")</f>
        <v>OK</v>
      </c>
    </row>
    <row r="2319" spans="1:24" x14ac:dyDescent="0.3">
      <c r="A2319" t="s">
        <v>253</v>
      </c>
      <c r="B2319" t="s">
        <v>254</v>
      </c>
      <c r="C2319" t="s">
        <v>25</v>
      </c>
      <c r="D2319" t="s">
        <v>26</v>
      </c>
      <c r="E2319" t="s">
        <v>66</v>
      </c>
      <c r="F2319" s="1" t="s">
        <v>42</v>
      </c>
      <c r="G2319" s="2">
        <v>14.73</v>
      </c>
      <c r="H2319">
        <v>14.73</v>
      </c>
      <c r="I2319">
        <v>14.832557</v>
      </c>
      <c r="J2319">
        <v>20.82</v>
      </c>
      <c r="K2319">
        <v>27</v>
      </c>
      <c r="L2319" s="2">
        <v>26</v>
      </c>
      <c r="M2319">
        <v>198</v>
      </c>
      <c r="N2319" s="2">
        <v>352</v>
      </c>
      <c r="O2319">
        <v>5221.0600000000004</v>
      </c>
      <c r="P2319">
        <v>62</v>
      </c>
      <c r="Q2319">
        <v>290</v>
      </c>
      <c r="R2319">
        <v>9.02</v>
      </c>
      <c r="S2319">
        <v>9</v>
      </c>
      <c r="T2319">
        <v>70</v>
      </c>
      <c r="U2319" s="2">
        <v>1457.4</v>
      </c>
      <c r="V2319">
        <v>0</v>
      </c>
      <c r="W2319" t="s">
        <v>29</v>
      </c>
      <c r="X2319" t="str">
        <f>IF(Table2[[#This Row],[Qty available]]&gt;Table2[[#This Row],[Qty on hand]],"Check","OK")</f>
        <v>OK</v>
      </c>
    </row>
    <row r="2320" spans="1:24" x14ac:dyDescent="0.3">
      <c r="A2320" t="s">
        <v>253</v>
      </c>
      <c r="B2320" t="s">
        <v>254</v>
      </c>
      <c r="C2320" t="s">
        <v>25</v>
      </c>
      <c r="D2320" t="s">
        <v>26</v>
      </c>
      <c r="E2320" t="s">
        <v>66</v>
      </c>
      <c r="F2320" s="1" t="s">
        <v>43</v>
      </c>
      <c r="G2320" s="2">
        <v>14.86</v>
      </c>
      <c r="H2320">
        <v>14.86</v>
      </c>
      <c r="I2320">
        <v>14.838873</v>
      </c>
      <c r="J2320">
        <v>20.82</v>
      </c>
      <c r="K2320">
        <v>27</v>
      </c>
      <c r="L2320" s="2">
        <v>27</v>
      </c>
      <c r="M2320">
        <v>105</v>
      </c>
      <c r="N2320" s="2">
        <v>284</v>
      </c>
      <c r="O2320">
        <v>4214.24</v>
      </c>
      <c r="P2320">
        <v>55</v>
      </c>
      <c r="Q2320">
        <v>229</v>
      </c>
      <c r="R2320">
        <v>7.84</v>
      </c>
      <c r="S2320">
        <v>0</v>
      </c>
      <c r="T2320">
        <v>173</v>
      </c>
      <c r="U2320" s="2">
        <v>3601.86</v>
      </c>
      <c r="V2320">
        <v>0</v>
      </c>
      <c r="W2320" t="s">
        <v>29</v>
      </c>
      <c r="X2320" t="str">
        <f>IF(Table2[[#This Row],[Qty available]]&gt;Table2[[#This Row],[Qty on hand]],"Check","OK")</f>
        <v>OK</v>
      </c>
    </row>
    <row r="2321" spans="1:24" x14ac:dyDescent="0.3">
      <c r="A2321" t="s">
        <v>253</v>
      </c>
      <c r="B2321" t="s">
        <v>254</v>
      </c>
      <c r="C2321" t="s">
        <v>25</v>
      </c>
      <c r="D2321" t="s">
        <v>26</v>
      </c>
      <c r="E2321" t="s">
        <v>66</v>
      </c>
      <c r="F2321" s="1" t="s">
        <v>44</v>
      </c>
      <c r="G2321" s="2">
        <v>15.04</v>
      </c>
      <c r="H2321">
        <v>15.04</v>
      </c>
      <c r="I2321">
        <v>14.912789999999999</v>
      </c>
      <c r="J2321">
        <v>20.82</v>
      </c>
      <c r="K2321">
        <v>27</v>
      </c>
      <c r="L2321" s="2">
        <v>24</v>
      </c>
      <c r="M2321">
        <v>165</v>
      </c>
      <c r="N2321" s="2">
        <v>276</v>
      </c>
      <c r="O2321">
        <v>4115.93</v>
      </c>
      <c r="P2321">
        <v>12</v>
      </c>
      <c r="Q2321">
        <v>264</v>
      </c>
      <c r="R2321">
        <v>8.7200000000000006</v>
      </c>
      <c r="S2321">
        <v>1</v>
      </c>
      <c r="T2321">
        <v>173</v>
      </c>
      <c r="U2321" s="2">
        <v>3601.86</v>
      </c>
      <c r="V2321">
        <v>0</v>
      </c>
      <c r="W2321" t="s">
        <v>29</v>
      </c>
      <c r="X2321" t="str">
        <f>IF(Table2[[#This Row],[Qty available]]&gt;Table2[[#This Row],[Qty on hand]],"Check","OK")</f>
        <v>OK</v>
      </c>
    </row>
    <row r="2322" spans="1:24" x14ac:dyDescent="0.3">
      <c r="A2322" t="s">
        <v>253</v>
      </c>
      <c r="B2322" t="s">
        <v>254</v>
      </c>
      <c r="C2322" t="s">
        <v>25</v>
      </c>
      <c r="D2322" t="s">
        <v>26</v>
      </c>
      <c r="E2322" t="s">
        <v>66</v>
      </c>
      <c r="F2322" s="1" t="s">
        <v>45</v>
      </c>
      <c r="G2322" s="2">
        <v>15.08</v>
      </c>
      <c r="H2322">
        <v>15.08</v>
      </c>
      <c r="I2322">
        <v>14.912820999999999</v>
      </c>
      <c r="J2322">
        <v>20.82</v>
      </c>
      <c r="K2322">
        <v>27</v>
      </c>
      <c r="M2322">
        <v>0</v>
      </c>
      <c r="N2322" s="2">
        <v>39</v>
      </c>
      <c r="O2322">
        <v>581.6</v>
      </c>
      <c r="P2322">
        <v>39</v>
      </c>
      <c r="Q2322">
        <v>0</v>
      </c>
      <c r="R2322">
        <v>0.88</v>
      </c>
      <c r="S2322">
        <v>5</v>
      </c>
      <c r="T2322">
        <v>237</v>
      </c>
      <c r="U2322" s="2">
        <v>4934.34</v>
      </c>
      <c r="V2322">
        <v>0</v>
      </c>
      <c r="W2322" t="s">
        <v>29</v>
      </c>
      <c r="X2322" t="str">
        <f>IF(Table2[[#This Row],[Qty available]]&gt;Table2[[#This Row],[Qty on hand]],"Check","OK")</f>
        <v>OK</v>
      </c>
    </row>
    <row r="2323" spans="1:24" x14ac:dyDescent="0.3">
      <c r="A2323" t="s">
        <v>253</v>
      </c>
      <c r="B2323" t="s">
        <v>254</v>
      </c>
      <c r="C2323" t="s">
        <v>25</v>
      </c>
      <c r="D2323" t="s">
        <v>26</v>
      </c>
      <c r="E2323" t="s">
        <v>66</v>
      </c>
      <c r="F2323" s="1" t="s">
        <v>46</v>
      </c>
      <c r="G2323" s="2">
        <v>14.98</v>
      </c>
      <c r="H2323">
        <v>14.98</v>
      </c>
      <c r="I2323">
        <v>14.968529</v>
      </c>
      <c r="J2323">
        <v>21.79</v>
      </c>
      <c r="K2323">
        <v>27</v>
      </c>
      <c r="L2323" s="2">
        <v>37</v>
      </c>
      <c r="M2323">
        <v>188</v>
      </c>
      <c r="N2323" s="2">
        <v>68</v>
      </c>
      <c r="O2323">
        <v>1017.86</v>
      </c>
      <c r="P2323">
        <v>31</v>
      </c>
      <c r="Q2323">
        <v>37</v>
      </c>
      <c r="R2323">
        <v>1.54</v>
      </c>
      <c r="S2323">
        <v>0</v>
      </c>
      <c r="T2323">
        <v>159</v>
      </c>
      <c r="U2323" s="2">
        <v>3464.61</v>
      </c>
      <c r="V2323">
        <v>0</v>
      </c>
      <c r="W2323" t="s">
        <v>29</v>
      </c>
      <c r="X2323" t="str">
        <f>IF(Table2[[#This Row],[Qty available]]&gt;Table2[[#This Row],[Qty on hand]],"Check","OK")</f>
        <v>OK</v>
      </c>
    </row>
    <row r="2324" spans="1:24" x14ac:dyDescent="0.3">
      <c r="A2324" t="s">
        <v>253</v>
      </c>
      <c r="B2324" t="s">
        <v>254</v>
      </c>
      <c r="C2324" t="s">
        <v>25</v>
      </c>
      <c r="D2324" t="s">
        <v>26</v>
      </c>
      <c r="E2324" t="s">
        <v>66</v>
      </c>
      <c r="F2324" s="1" t="s">
        <v>47</v>
      </c>
      <c r="G2324" s="2">
        <v>14.61</v>
      </c>
      <c r="H2324">
        <v>14.61</v>
      </c>
      <c r="I2324">
        <v>14.658182</v>
      </c>
      <c r="J2324">
        <v>21.79</v>
      </c>
      <c r="K2324">
        <v>27</v>
      </c>
      <c r="L2324" s="2">
        <v>25</v>
      </c>
      <c r="M2324">
        <v>438</v>
      </c>
      <c r="N2324" s="2">
        <v>506</v>
      </c>
      <c r="O2324">
        <v>7417.04</v>
      </c>
      <c r="P2324">
        <v>18</v>
      </c>
      <c r="Q2324">
        <v>488</v>
      </c>
      <c r="R2324">
        <v>16.43</v>
      </c>
      <c r="S2324">
        <v>31</v>
      </c>
      <c r="T2324">
        <v>0</v>
      </c>
      <c r="U2324" s="2">
        <v>0</v>
      </c>
      <c r="V2324">
        <v>0</v>
      </c>
      <c r="W2324" t="s">
        <v>29</v>
      </c>
      <c r="X2324" t="str">
        <f>IF(Table2[[#This Row],[Qty available]]&gt;Table2[[#This Row],[Qty on hand]],"Check","OK")</f>
        <v>OK</v>
      </c>
    </row>
    <row r="2325" spans="1:24" x14ac:dyDescent="0.3">
      <c r="A2325" t="s">
        <v>253</v>
      </c>
      <c r="B2325" t="s">
        <v>254</v>
      </c>
      <c r="C2325" t="s">
        <v>25</v>
      </c>
      <c r="D2325" t="s">
        <v>26</v>
      </c>
      <c r="E2325" t="s">
        <v>66</v>
      </c>
      <c r="F2325" s="1" t="s">
        <v>48</v>
      </c>
      <c r="G2325" s="2">
        <v>15.37</v>
      </c>
      <c r="H2325">
        <v>15.37</v>
      </c>
      <c r="I2325">
        <v>14.749002000000001</v>
      </c>
      <c r="J2325">
        <v>21.79</v>
      </c>
      <c r="K2325">
        <v>27</v>
      </c>
      <c r="L2325" s="2">
        <v>24</v>
      </c>
      <c r="M2325">
        <v>74</v>
      </c>
      <c r="N2325" s="2">
        <v>431</v>
      </c>
      <c r="O2325">
        <v>6356.82</v>
      </c>
      <c r="P2325">
        <v>55</v>
      </c>
      <c r="Q2325">
        <v>376</v>
      </c>
      <c r="R2325">
        <v>17.79</v>
      </c>
      <c r="S2325">
        <v>3</v>
      </c>
      <c r="T2325">
        <v>149</v>
      </c>
      <c r="U2325" s="2">
        <v>3246.71</v>
      </c>
      <c r="V2325">
        <v>0</v>
      </c>
      <c r="W2325" t="s">
        <v>29</v>
      </c>
      <c r="X2325" t="str">
        <f>IF(Table2[[#This Row],[Qty available]]&gt;Table2[[#This Row],[Qty on hand]],"Check","OK")</f>
        <v>OK</v>
      </c>
    </row>
    <row r="2326" spans="1:24" x14ac:dyDescent="0.3">
      <c r="A2326" t="s">
        <v>253</v>
      </c>
      <c r="B2326" t="s">
        <v>254</v>
      </c>
      <c r="C2326" t="s">
        <v>25</v>
      </c>
      <c r="D2326" t="s">
        <v>26</v>
      </c>
      <c r="E2326" t="s">
        <v>66</v>
      </c>
      <c r="F2326" s="1" t="s">
        <v>49</v>
      </c>
      <c r="G2326" s="2">
        <v>15.35</v>
      </c>
      <c r="H2326">
        <v>15.35</v>
      </c>
      <c r="I2326">
        <v>14.749029999999999</v>
      </c>
      <c r="J2326">
        <v>21.79</v>
      </c>
      <c r="K2326">
        <v>27</v>
      </c>
      <c r="M2326">
        <v>0</v>
      </c>
      <c r="N2326" s="2">
        <v>134</v>
      </c>
      <c r="O2326">
        <v>1976.37</v>
      </c>
      <c r="P2326">
        <v>18</v>
      </c>
      <c r="Q2326">
        <v>116</v>
      </c>
      <c r="R2326">
        <v>3.95</v>
      </c>
      <c r="S2326">
        <v>0</v>
      </c>
      <c r="T2326">
        <v>297</v>
      </c>
      <c r="U2326" s="2">
        <v>6471.63</v>
      </c>
      <c r="V2326">
        <v>0</v>
      </c>
      <c r="W2326" t="s">
        <v>29</v>
      </c>
      <c r="X2326" t="str">
        <f>IF(Table2[[#This Row],[Qty available]]&gt;Table2[[#This Row],[Qty on hand]],"Check","OK")</f>
        <v>OK</v>
      </c>
    </row>
    <row r="2327" spans="1:24" x14ac:dyDescent="0.3">
      <c r="A2327" t="s">
        <v>253</v>
      </c>
      <c r="B2327" t="s">
        <v>254</v>
      </c>
      <c r="C2327" t="s">
        <v>25</v>
      </c>
      <c r="D2327" t="s">
        <v>26</v>
      </c>
      <c r="E2327" t="s">
        <v>66</v>
      </c>
      <c r="F2327" s="1" t="s">
        <v>50</v>
      </c>
      <c r="G2327" s="2">
        <v>15.27</v>
      </c>
      <c r="H2327">
        <v>15.27</v>
      </c>
      <c r="I2327">
        <v>15.173045</v>
      </c>
      <c r="J2327">
        <v>21.79</v>
      </c>
      <c r="K2327">
        <v>27</v>
      </c>
      <c r="L2327" s="2">
        <v>27</v>
      </c>
      <c r="M2327">
        <v>586</v>
      </c>
      <c r="N2327" s="2">
        <v>693</v>
      </c>
      <c r="O2327">
        <v>10514.92</v>
      </c>
      <c r="P2327">
        <v>18</v>
      </c>
      <c r="Q2327">
        <v>675</v>
      </c>
      <c r="R2327">
        <v>19.05</v>
      </c>
      <c r="S2327">
        <v>2</v>
      </c>
      <c r="T2327">
        <v>27</v>
      </c>
      <c r="U2327" s="2">
        <v>588.33000000000004</v>
      </c>
      <c r="V2327">
        <v>0</v>
      </c>
      <c r="W2327" t="s">
        <v>29</v>
      </c>
      <c r="X2327" t="str">
        <f>IF(Table2[[#This Row],[Qty available]]&gt;Table2[[#This Row],[Qty on hand]],"Check","OK")</f>
        <v>OK</v>
      </c>
    </row>
    <row r="2328" spans="1:24" x14ac:dyDescent="0.3">
      <c r="A2328" t="s">
        <v>253</v>
      </c>
      <c r="B2328" t="s">
        <v>254</v>
      </c>
      <c r="C2328" t="s">
        <v>25</v>
      </c>
      <c r="D2328" t="s">
        <v>26</v>
      </c>
      <c r="E2328" t="s">
        <v>66</v>
      </c>
      <c r="F2328" s="1" t="s">
        <v>51</v>
      </c>
      <c r="G2328" s="2">
        <v>15.48</v>
      </c>
      <c r="H2328">
        <v>15.48</v>
      </c>
      <c r="I2328">
        <v>15.173052</v>
      </c>
      <c r="J2328">
        <v>21.79</v>
      </c>
      <c r="K2328">
        <v>27</v>
      </c>
      <c r="M2328">
        <v>0</v>
      </c>
      <c r="N2328" s="2">
        <v>675</v>
      </c>
      <c r="O2328">
        <v>10241.81</v>
      </c>
      <c r="P2328">
        <v>43</v>
      </c>
      <c r="Q2328">
        <v>632</v>
      </c>
      <c r="R2328">
        <v>25.94</v>
      </c>
      <c r="S2328">
        <v>5</v>
      </c>
      <c r="T2328">
        <v>18</v>
      </c>
      <c r="U2328" s="2">
        <v>392.22</v>
      </c>
      <c r="V2328">
        <v>0</v>
      </c>
      <c r="W2328" t="s">
        <v>29</v>
      </c>
      <c r="X2328" t="str">
        <f>IF(Table2[[#This Row],[Qty available]]&gt;Table2[[#This Row],[Qty on hand]],"Check","OK")</f>
        <v>OK</v>
      </c>
    </row>
    <row r="2329" spans="1:24" x14ac:dyDescent="0.3">
      <c r="A2329" t="s">
        <v>253</v>
      </c>
      <c r="B2329" t="s">
        <v>254</v>
      </c>
      <c r="C2329" t="s">
        <v>25</v>
      </c>
      <c r="D2329" t="s">
        <v>26</v>
      </c>
      <c r="E2329" t="s">
        <v>66</v>
      </c>
      <c r="F2329" s="1" t="s">
        <v>52</v>
      </c>
      <c r="G2329" s="2">
        <v>15.11</v>
      </c>
      <c r="H2329">
        <v>15.11</v>
      </c>
      <c r="I2329">
        <v>15.17305</v>
      </c>
      <c r="J2329">
        <v>21.79</v>
      </c>
      <c r="K2329">
        <v>27</v>
      </c>
      <c r="M2329">
        <v>0</v>
      </c>
      <c r="N2329" s="2">
        <v>577</v>
      </c>
      <c r="O2329">
        <v>8754.85</v>
      </c>
      <c r="P2329">
        <v>43</v>
      </c>
      <c r="Q2329">
        <v>534</v>
      </c>
      <c r="R2329">
        <v>53.03</v>
      </c>
      <c r="S2329">
        <v>7</v>
      </c>
      <c r="T2329">
        <v>98</v>
      </c>
      <c r="U2329" s="2">
        <v>2135.42</v>
      </c>
      <c r="V2329">
        <v>0</v>
      </c>
      <c r="W2329" t="s">
        <v>29</v>
      </c>
      <c r="X2329" t="str">
        <f>IF(Table2[[#This Row],[Qty available]]&gt;Table2[[#This Row],[Qty on hand]],"Check","OK")</f>
        <v>OK</v>
      </c>
    </row>
    <row r="2330" spans="1:24" x14ac:dyDescent="0.3">
      <c r="A2330" t="s">
        <v>255</v>
      </c>
      <c r="B2330" t="s">
        <v>256</v>
      </c>
      <c r="C2330" t="s">
        <v>77</v>
      </c>
      <c r="D2330" t="s">
        <v>78</v>
      </c>
      <c r="E2330" t="s">
        <v>66</v>
      </c>
      <c r="F2330" s="1" t="s">
        <v>28</v>
      </c>
      <c r="G2330" s="2">
        <v>33.74</v>
      </c>
      <c r="H2330">
        <v>33.74</v>
      </c>
      <c r="I2330">
        <v>32.781471000000003</v>
      </c>
      <c r="J2330">
        <v>48.53</v>
      </c>
      <c r="K2330">
        <v>58</v>
      </c>
      <c r="M2330">
        <v>0</v>
      </c>
      <c r="N2330" s="2">
        <v>34</v>
      </c>
      <c r="O2330">
        <v>1114.57</v>
      </c>
      <c r="P2330">
        <v>25</v>
      </c>
      <c r="Q2330">
        <v>9</v>
      </c>
      <c r="R2330">
        <v>1.48</v>
      </c>
      <c r="S2330">
        <v>1</v>
      </c>
      <c r="T2330">
        <v>123</v>
      </c>
      <c r="U2330" s="2">
        <v>5969.19</v>
      </c>
      <c r="V2330">
        <v>0</v>
      </c>
      <c r="W2330" t="s">
        <v>29</v>
      </c>
      <c r="X2330" t="str">
        <f>IF(Table2[[#This Row],[Qty available]]&gt;Table2[[#This Row],[Qty on hand]],"Check","OK")</f>
        <v>OK</v>
      </c>
    </row>
    <row r="2331" spans="1:24" x14ac:dyDescent="0.3">
      <c r="A2331" t="s">
        <v>255</v>
      </c>
      <c r="B2331" t="s">
        <v>256</v>
      </c>
      <c r="C2331" t="s">
        <v>77</v>
      </c>
      <c r="D2331" t="s">
        <v>78</v>
      </c>
      <c r="E2331" t="s">
        <v>66</v>
      </c>
      <c r="F2331" s="1" t="s">
        <v>30</v>
      </c>
      <c r="G2331" s="2">
        <v>33.31</v>
      </c>
      <c r="H2331">
        <v>33.31</v>
      </c>
      <c r="I2331">
        <v>33.207872000000002</v>
      </c>
      <c r="J2331">
        <v>48.53</v>
      </c>
      <c r="K2331">
        <v>58</v>
      </c>
      <c r="L2331" s="2">
        <v>89</v>
      </c>
      <c r="M2331">
        <v>142</v>
      </c>
      <c r="N2331" s="2">
        <v>94</v>
      </c>
      <c r="O2331">
        <v>3121.54</v>
      </c>
      <c r="P2331">
        <v>21</v>
      </c>
      <c r="Q2331">
        <v>73</v>
      </c>
      <c r="R2331">
        <v>3.96</v>
      </c>
      <c r="S2331">
        <v>2</v>
      </c>
      <c r="T2331">
        <v>82</v>
      </c>
      <c r="U2331" s="2">
        <v>3979.46</v>
      </c>
      <c r="V2331">
        <v>0</v>
      </c>
      <c r="W2331" t="s">
        <v>29</v>
      </c>
      <c r="X2331" t="str">
        <f>IF(Table2[[#This Row],[Qty available]]&gt;Table2[[#This Row],[Qty on hand]],"Check","OK")</f>
        <v>OK</v>
      </c>
    </row>
    <row r="2332" spans="1:24" x14ac:dyDescent="0.3">
      <c r="A2332" t="s">
        <v>255</v>
      </c>
      <c r="B2332" t="s">
        <v>256</v>
      </c>
      <c r="C2332" t="s">
        <v>77</v>
      </c>
      <c r="D2332" t="s">
        <v>78</v>
      </c>
      <c r="E2332" t="s">
        <v>66</v>
      </c>
      <c r="F2332" s="1" t="s">
        <v>31</v>
      </c>
      <c r="G2332" s="2">
        <v>32.57</v>
      </c>
      <c r="H2332">
        <v>32.57</v>
      </c>
      <c r="I2332">
        <v>33.207872000000002</v>
      </c>
      <c r="J2332">
        <v>48.53</v>
      </c>
      <c r="K2332">
        <v>58</v>
      </c>
      <c r="M2332">
        <v>0</v>
      </c>
      <c r="N2332" s="2">
        <v>0</v>
      </c>
      <c r="O2332">
        <v>0</v>
      </c>
      <c r="P2332">
        <v>0</v>
      </c>
      <c r="Q2332">
        <v>0</v>
      </c>
      <c r="R2332">
        <v>0</v>
      </c>
      <c r="S2332">
        <v>3</v>
      </c>
      <c r="T2332">
        <v>94</v>
      </c>
      <c r="U2332" s="2">
        <v>4561.82</v>
      </c>
      <c r="V2332">
        <v>77</v>
      </c>
      <c r="W2332" t="s">
        <v>59</v>
      </c>
      <c r="X2332" t="str">
        <f>IF(Table2[[#This Row],[Qty available]]&gt;Table2[[#This Row],[Qty on hand]],"Check","OK")</f>
        <v>OK</v>
      </c>
    </row>
    <row r="2333" spans="1:24" x14ac:dyDescent="0.3">
      <c r="A2333" t="s">
        <v>255</v>
      </c>
      <c r="B2333" t="s">
        <v>256</v>
      </c>
      <c r="C2333" t="s">
        <v>77</v>
      </c>
      <c r="D2333" t="s">
        <v>78</v>
      </c>
      <c r="E2333" t="s">
        <v>66</v>
      </c>
      <c r="F2333" s="1" t="s">
        <v>32</v>
      </c>
      <c r="G2333" s="2">
        <v>33.69</v>
      </c>
      <c r="H2333">
        <v>33.69</v>
      </c>
      <c r="I2333">
        <v>33.69</v>
      </c>
      <c r="J2333">
        <v>48.53</v>
      </c>
      <c r="K2333">
        <v>58</v>
      </c>
      <c r="L2333" s="2">
        <v>58</v>
      </c>
      <c r="M2333">
        <v>453</v>
      </c>
      <c r="N2333" s="2">
        <v>358</v>
      </c>
      <c r="O2333">
        <v>12061.02</v>
      </c>
      <c r="P2333">
        <v>25</v>
      </c>
      <c r="Q2333">
        <v>333</v>
      </c>
      <c r="R2333">
        <v>17.36</v>
      </c>
      <c r="S2333">
        <v>0</v>
      </c>
      <c r="T2333">
        <v>95</v>
      </c>
      <c r="U2333" s="2">
        <v>4610.3500000000004</v>
      </c>
      <c r="V2333">
        <v>0</v>
      </c>
      <c r="W2333" t="s">
        <v>29</v>
      </c>
      <c r="X2333" t="str">
        <f>IF(Table2[[#This Row],[Qty available]]&gt;Table2[[#This Row],[Qty on hand]],"Check","OK")</f>
        <v>OK</v>
      </c>
    </row>
    <row r="2334" spans="1:24" x14ac:dyDescent="0.3">
      <c r="A2334" t="s">
        <v>255</v>
      </c>
      <c r="B2334" t="s">
        <v>256</v>
      </c>
      <c r="C2334" t="s">
        <v>77</v>
      </c>
      <c r="D2334" t="s">
        <v>78</v>
      </c>
      <c r="E2334" t="s">
        <v>66</v>
      </c>
      <c r="F2334" s="1" t="s">
        <v>33</v>
      </c>
      <c r="G2334" s="2">
        <v>32.770000000000003</v>
      </c>
      <c r="H2334">
        <v>32.770000000000003</v>
      </c>
      <c r="I2334">
        <v>33.450491</v>
      </c>
      <c r="J2334">
        <v>48.53</v>
      </c>
      <c r="K2334">
        <v>58</v>
      </c>
      <c r="L2334" s="2">
        <v>55</v>
      </c>
      <c r="M2334">
        <v>126</v>
      </c>
      <c r="N2334" s="2">
        <v>326</v>
      </c>
      <c r="O2334">
        <v>10904.86</v>
      </c>
      <c r="P2334">
        <v>7</v>
      </c>
      <c r="Q2334">
        <v>319</v>
      </c>
      <c r="R2334">
        <v>12.35</v>
      </c>
      <c r="S2334">
        <v>6</v>
      </c>
      <c r="T2334">
        <v>158</v>
      </c>
      <c r="U2334" s="2">
        <v>7667.74</v>
      </c>
      <c r="V2334">
        <v>0</v>
      </c>
      <c r="W2334" t="s">
        <v>29</v>
      </c>
      <c r="X2334" t="str">
        <f>IF(Table2[[#This Row],[Qty available]]&gt;Table2[[#This Row],[Qty on hand]],"Check","OK")</f>
        <v>OK</v>
      </c>
    </row>
    <row r="2335" spans="1:24" x14ac:dyDescent="0.3">
      <c r="A2335" t="s">
        <v>255</v>
      </c>
      <c r="B2335" t="s">
        <v>256</v>
      </c>
      <c r="C2335" t="s">
        <v>77</v>
      </c>
      <c r="D2335" t="s">
        <v>78</v>
      </c>
      <c r="E2335" t="s">
        <v>66</v>
      </c>
      <c r="F2335" s="1" t="s">
        <v>34</v>
      </c>
      <c r="G2335" s="2">
        <v>33.17</v>
      </c>
      <c r="H2335">
        <v>33.17</v>
      </c>
      <c r="I2335">
        <v>33.450507000000002</v>
      </c>
      <c r="J2335">
        <v>50.58</v>
      </c>
      <c r="K2335">
        <v>58</v>
      </c>
      <c r="M2335">
        <v>0</v>
      </c>
      <c r="N2335" s="2">
        <v>276</v>
      </c>
      <c r="O2335">
        <v>9232.34</v>
      </c>
      <c r="P2335">
        <v>18</v>
      </c>
      <c r="Q2335">
        <v>258</v>
      </c>
      <c r="R2335">
        <v>11.71</v>
      </c>
      <c r="S2335">
        <v>5</v>
      </c>
      <c r="T2335">
        <v>50</v>
      </c>
      <c r="U2335" s="2">
        <v>2529</v>
      </c>
      <c r="V2335">
        <v>0</v>
      </c>
      <c r="W2335" t="s">
        <v>29</v>
      </c>
      <c r="X2335" t="str">
        <f>IF(Table2[[#This Row],[Qty available]]&gt;Table2[[#This Row],[Qty on hand]],"Check","OK")</f>
        <v>OK</v>
      </c>
    </row>
    <row r="2336" spans="1:24" x14ac:dyDescent="0.3">
      <c r="A2336" t="s">
        <v>255</v>
      </c>
      <c r="B2336" t="s">
        <v>256</v>
      </c>
      <c r="C2336" t="s">
        <v>77</v>
      </c>
      <c r="D2336" t="s">
        <v>78</v>
      </c>
      <c r="E2336" t="s">
        <v>66</v>
      </c>
      <c r="F2336" s="1" t="s">
        <v>35</v>
      </c>
      <c r="G2336" s="2">
        <v>35.700000000000003</v>
      </c>
      <c r="H2336">
        <v>35.700000000000003</v>
      </c>
      <c r="I2336">
        <v>34.103963</v>
      </c>
      <c r="J2336">
        <v>50.58</v>
      </c>
      <c r="K2336">
        <v>58</v>
      </c>
      <c r="L2336" s="2">
        <v>77</v>
      </c>
      <c r="M2336">
        <v>113</v>
      </c>
      <c r="N2336" s="2">
        <v>270</v>
      </c>
      <c r="O2336">
        <v>9208.07</v>
      </c>
      <c r="P2336">
        <v>25</v>
      </c>
      <c r="Q2336">
        <v>245</v>
      </c>
      <c r="R2336">
        <v>10.62</v>
      </c>
      <c r="S2336">
        <v>2</v>
      </c>
      <c r="T2336">
        <v>119</v>
      </c>
      <c r="U2336" s="2">
        <v>6019.02</v>
      </c>
      <c r="V2336">
        <v>0</v>
      </c>
      <c r="W2336" t="s">
        <v>29</v>
      </c>
      <c r="X2336" t="str">
        <f>IF(Table2[[#This Row],[Qty available]]&gt;Table2[[#This Row],[Qty on hand]],"Check","OK")</f>
        <v>OK</v>
      </c>
    </row>
    <row r="2337" spans="1:24" x14ac:dyDescent="0.3">
      <c r="A2337" t="s">
        <v>255</v>
      </c>
      <c r="B2337" t="s">
        <v>256</v>
      </c>
      <c r="C2337" t="s">
        <v>77</v>
      </c>
      <c r="D2337" t="s">
        <v>78</v>
      </c>
      <c r="E2337" t="s">
        <v>66</v>
      </c>
      <c r="F2337" s="1" t="s">
        <v>36</v>
      </c>
      <c r="G2337" s="2">
        <v>35.28</v>
      </c>
      <c r="H2337">
        <v>35.28</v>
      </c>
      <c r="I2337">
        <v>34.141891999999999</v>
      </c>
      <c r="J2337">
        <v>50.58</v>
      </c>
      <c r="K2337">
        <v>58</v>
      </c>
      <c r="L2337" s="2">
        <v>55</v>
      </c>
      <c r="M2337">
        <v>9</v>
      </c>
      <c r="N2337" s="2">
        <v>148</v>
      </c>
      <c r="O2337">
        <v>5053</v>
      </c>
      <c r="P2337">
        <v>32</v>
      </c>
      <c r="Q2337">
        <v>116</v>
      </c>
      <c r="R2337">
        <v>6.27</v>
      </c>
      <c r="S2337">
        <v>4</v>
      </c>
      <c r="T2337">
        <v>131</v>
      </c>
      <c r="U2337" s="2">
        <v>6625.98</v>
      </c>
      <c r="V2337">
        <v>0</v>
      </c>
      <c r="W2337" t="s">
        <v>29</v>
      </c>
      <c r="X2337" t="str">
        <f>IF(Table2[[#This Row],[Qty available]]&gt;Table2[[#This Row],[Qty on hand]],"Check","OK")</f>
        <v>OK</v>
      </c>
    </row>
    <row r="2338" spans="1:24" x14ac:dyDescent="0.3">
      <c r="A2338" t="s">
        <v>255</v>
      </c>
      <c r="B2338" t="s">
        <v>256</v>
      </c>
      <c r="C2338" t="s">
        <v>77</v>
      </c>
      <c r="D2338" t="s">
        <v>78</v>
      </c>
      <c r="E2338" t="s">
        <v>66</v>
      </c>
      <c r="F2338" s="1" t="s">
        <v>37</v>
      </c>
      <c r="G2338" s="2">
        <v>35.909999999999997</v>
      </c>
      <c r="H2338">
        <v>35.909999999999997</v>
      </c>
      <c r="I2338">
        <v>35.372658000000001</v>
      </c>
      <c r="J2338">
        <v>50.58</v>
      </c>
      <c r="K2338">
        <v>58</v>
      </c>
      <c r="L2338" s="2">
        <v>57</v>
      </c>
      <c r="M2338">
        <v>339</v>
      </c>
      <c r="N2338" s="2">
        <v>316</v>
      </c>
      <c r="O2338">
        <v>11177.76</v>
      </c>
      <c r="P2338">
        <v>14</v>
      </c>
      <c r="Q2338">
        <v>302</v>
      </c>
      <c r="R2338">
        <v>9.86</v>
      </c>
      <c r="S2338">
        <v>1</v>
      </c>
      <c r="T2338">
        <v>171</v>
      </c>
      <c r="U2338" s="2">
        <v>8649.18</v>
      </c>
      <c r="V2338">
        <v>0</v>
      </c>
      <c r="W2338" t="s">
        <v>29</v>
      </c>
      <c r="X2338" t="str">
        <f>IF(Table2[[#This Row],[Qty available]]&gt;Table2[[#This Row],[Qty on hand]],"Check","OK")</f>
        <v>OK</v>
      </c>
    </row>
    <row r="2339" spans="1:24" x14ac:dyDescent="0.3">
      <c r="A2339" t="s">
        <v>255</v>
      </c>
      <c r="B2339" t="s">
        <v>256</v>
      </c>
      <c r="C2339" t="s">
        <v>77</v>
      </c>
      <c r="D2339" t="s">
        <v>78</v>
      </c>
      <c r="E2339" t="s">
        <v>66</v>
      </c>
      <c r="F2339" s="1" t="s">
        <v>38</v>
      </c>
      <c r="G2339" s="2">
        <v>34.979999999999997</v>
      </c>
      <c r="H2339">
        <v>34.979999999999997</v>
      </c>
      <c r="I2339">
        <v>35.372669000000002</v>
      </c>
      <c r="J2339">
        <v>50.58</v>
      </c>
      <c r="K2339">
        <v>58</v>
      </c>
      <c r="M2339">
        <v>0</v>
      </c>
      <c r="N2339" s="2">
        <v>281</v>
      </c>
      <c r="O2339">
        <v>9939.7199999999993</v>
      </c>
      <c r="P2339">
        <v>14</v>
      </c>
      <c r="Q2339">
        <v>267</v>
      </c>
      <c r="R2339">
        <v>10.84</v>
      </c>
      <c r="S2339">
        <v>0</v>
      </c>
      <c r="T2339">
        <v>35</v>
      </c>
      <c r="U2339" s="2">
        <v>1770.3</v>
      </c>
      <c r="V2339">
        <v>0</v>
      </c>
      <c r="W2339" t="s">
        <v>29</v>
      </c>
      <c r="X2339" t="str">
        <f>IF(Table2[[#This Row],[Qty available]]&gt;Table2[[#This Row],[Qty on hand]],"Check","OK")</f>
        <v>OK</v>
      </c>
    </row>
    <row r="2340" spans="1:24" x14ac:dyDescent="0.3">
      <c r="A2340" t="s">
        <v>255</v>
      </c>
      <c r="B2340" t="s">
        <v>256</v>
      </c>
      <c r="C2340" t="s">
        <v>77</v>
      </c>
      <c r="D2340" t="s">
        <v>78</v>
      </c>
      <c r="E2340" t="s">
        <v>66</v>
      </c>
      <c r="F2340" s="1" t="s">
        <v>39</v>
      </c>
      <c r="G2340" s="2">
        <v>35.4</v>
      </c>
      <c r="H2340">
        <v>35.4</v>
      </c>
      <c r="I2340">
        <v>35.372675000000001</v>
      </c>
      <c r="J2340">
        <v>50.58</v>
      </c>
      <c r="K2340">
        <v>58</v>
      </c>
      <c r="M2340">
        <v>0</v>
      </c>
      <c r="N2340" s="2">
        <v>157</v>
      </c>
      <c r="O2340">
        <v>5553.51</v>
      </c>
      <c r="P2340">
        <v>18</v>
      </c>
      <c r="Q2340">
        <v>139</v>
      </c>
      <c r="R2340">
        <v>6.25</v>
      </c>
      <c r="S2340">
        <v>5</v>
      </c>
      <c r="T2340">
        <v>124</v>
      </c>
      <c r="U2340" s="2">
        <v>6271.92</v>
      </c>
      <c r="V2340">
        <v>0</v>
      </c>
      <c r="W2340" t="s">
        <v>29</v>
      </c>
      <c r="X2340" t="str">
        <f>IF(Table2[[#This Row],[Qty available]]&gt;Table2[[#This Row],[Qty on hand]],"Check","OK")</f>
        <v>OK</v>
      </c>
    </row>
    <row r="2341" spans="1:24" x14ac:dyDescent="0.3">
      <c r="A2341" t="s">
        <v>255</v>
      </c>
      <c r="B2341" t="s">
        <v>256</v>
      </c>
      <c r="C2341" t="s">
        <v>77</v>
      </c>
      <c r="D2341" t="s">
        <v>78</v>
      </c>
      <c r="E2341" t="s">
        <v>66</v>
      </c>
      <c r="F2341" s="1" t="s">
        <v>40</v>
      </c>
      <c r="G2341" s="2">
        <v>35.56</v>
      </c>
      <c r="H2341">
        <v>35.56</v>
      </c>
      <c r="I2341">
        <v>35.457887999999997</v>
      </c>
      <c r="J2341">
        <v>50.58</v>
      </c>
      <c r="K2341">
        <v>58</v>
      </c>
      <c r="L2341" s="2">
        <v>71</v>
      </c>
      <c r="M2341">
        <v>131</v>
      </c>
      <c r="N2341" s="2">
        <v>161</v>
      </c>
      <c r="O2341">
        <v>5708.72</v>
      </c>
      <c r="P2341">
        <v>32</v>
      </c>
      <c r="Q2341">
        <v>129</v>
      </c>
      <c r="R2341">
        <v>7.4</v>
      </c>
      <c r="S2341">
        <v>3</v>
      </c>
      <c r="T2341">
        <v>127</v>
      </c>
      <c r="U2341" s="2">
        <v>6423.66</v>
      </c>
      <c r="V2341">
        <v>0</v>
      </c>
      <c r="W2341" t="s">
        <v>29</v>
      </c>
      <c r="X2341" t="str">
        <f>IF(Table2[[#This Row],[Qty available]]&gt;Table2[[#This Row],[Qty on hand]],"Check","OK")</f>
        <v>OK</v>
      </c>
    </row>
    <row r="2342" spans="1:24" x14ac:dyDescent="0.3">
      <c r="A2342" t="s">
        <v>255</v>
      </c>
      <c r="B2342" t="s">
        <v>256</v>
      </c>
      <c r="C2342" t="s">
        <v>77</v>
      </c>
      <c r="D2342" t="s">
        <v>78</v>
      </c>
      <c r="E2342" t="s">
        <v>66</v>
      </c>
      <c r="F2342" s="1" t="s">
        <v>41</v>
      </c>
      <c r="G2342" s="2">
        <v>35.65</v>
      </c>
      <c r="H2342">
        <v>35.65</v>
      </c>
      <c r="I2342">
        <v>35.457999999999998</v>
      </c>
      <c r="J2342">
        <v>50.58</v>
      </c>
      <c r="K2342">
        <v>58</v>
      </c>
      <c r="M2342">
        <v>0</v>
      </c>
      <c r="N2342" s="2">
        <v>40</v>
      </c>
      <c r="O2342">
        <v>1418.32</v>
      </c>
      <c r="P2342">
        <v>14</v>
      </c>
      <c r="Q2342">
        <v>26</v>
      </c>
      <c r="R2342">
        <v>1.41</v>
      </c>
      <c r="S2342">
        <v>3</v>
      </c>
      <c r="T2342">
        <v>121</v>
      </c>
      <c r="U2342" s="2">
        <v>6120.18</v>
      </c>
      <c r="V2342">
        <v>0</v>
      </c>
      <c r="W2342" t="s">
        <v>29</v>
      </c>
      <c r="X2342" t="str">
        <f>IF(Table2[[#This Row],[Qty available]]&gt;Table2[[#This Row],[Qty on hand]],"Check","OK")</f>
        <v>OK</v>
      </c>
    </row>
    <row r="2343" spans="1:24" x14ac:dyDescent="0.3">
      <c r="A2343" t="s">
        <v>255</v>
      </c>
      <c r="B2343" t="s">
        <v>256</v>
      </c>
      <c r="C2343" t="s">
        <v>77</v>
      </c>
      <c r="D2343" t="s">
        <v>78</v>
      </c>
      <c r="E2343" t="s">
        <v>66</v>
      </c>
      <c r="F2343" s="1" t="s">
        <v>42</v>
      </c>
      <c r="G2343" s="2">
        <v>34.79</v>
      </c>
      <c r="H2343">
        <v>34.79</v>
      </c>
      <c r="I2343">
        <v>34.866110999999997</v>
      </c>
      <c r="J2343">
        <v>50.58</v>
      </c>
      <c r="K2343">
        <v>58</v>
      </c>
      <c r="L2343" s="2">
        <v>78</v>
      </c>
      <c r="M2343">
        <v>311</v>
      </c>
      <c r="N2343" s="2">
        <v>324</v>
      </c>
      <c r="O2343">
        <v>11296.62</v>
      </c>
      <c r="P2343">
        <v>35</v>
      </c>
      <c r="Q2343">
        <v>289</v>
      </c>
      <c r="R2343">
        <v>15.48</v>
      </c>
      <c r="S2343">
        <v>8</v>
      </c>
      <c r="T2343">
        <v>27</v>
      </c>
      <c r="U2343" s="2">
        <v>1365.66</v>
      </c>
      <c r="V2343">
        <v>0</v>
      </c>
      <c r="W2343" t="s">
        <v>29</v>
      </c>
      <c r="X2343" t="str">
        <f>IF(Table2[[#This Row],[Qty available]]&gt;Table2[[#This Row],[Qty on hand]],"Check","OK")</f>
        <v>OK</v>
      </c>
    </row>
    <row r="2344" spans="1:24" x14ac:dyDescent="0.3">
      <c r="A2344" t="s">
        <v>255</v>
      </c>
      <c r="B2344" t="s">
        <v>256</v>
      </c>
      <c r="C2344" t="s">
        <v>77</v>
      </c>
      <c r="D2344" t="s">
        <v>78</v>
      </c>
      <c r="E2344" t="s">
        <v>66</v>
      </c>
      <c r="F2344" s="1" t="s">
        <v>43</v>
      </c>
      <c r="G2344" s="2">
        <v>35.07</v>
      </c>
      <c r="H2344">
        <v>35.07</v>
      </c>
      <c r="I2344">
        <v>34.913474999999998</v>
      </c>
      <c r="J2344">
        <v>50.58</v>
      </c>
      <c r="K2344">
        <v>58</v>
      </c>
      <c r="L2344" s="2">
        <v>56</v>
      </c>
      <c r="M2344">
        <v>98</v>
      </c>
      <c r="N2344" s="2">
        <v>282</v>
      </c>
      <c r="O2344">
        <v>9845.6</v>
      </c>
      <c r="P2344">
        <v>32</v>
      </c>
      <c r="Q2344">
        <v>250</v>
      </c>
      <c r="R2344">
        <v>12.73</v>
      </c>
      <c r="S2344">
        <v>1</v>
      </c>
      <c r="T2344">
        <v>140</v>
      </c>
      <c r="U2344" s="2">
        <v>7081.2</v>
      </c>
      <c r="V2344">
        <v>0</v>
      </c>
      <c r="W2344" t="s">
        <v>29</v>
      </c>
      <c r="X2344" t="str">
        <f>IF(Table2[[#This Row],[Qty available]]&gt;Table2[[#This Row],[Qty on hand]],"Check","OK")</f>
        <v>OK</v>
      </c>
    </row>
    <row r="2345" spans="1:24" x14ac:dyDescent="0.3">
      <c r="A2345" t="s">
        <v>255</v>
      </c>
      <c r="B2345" t="s">
        <v>256</v>
      </c>
      <c r="C2345" t="s">
        <v>77</v>
      </c>
      <c r="D2345" t="s">
        <v>78</v>
      </c>
      <c r="E2345" t="s">
        <v>66</v>
      </c>
      <c r="F2345" s="1" t="s">
        <v>44</v>
      </c>
      <c r="G2345" s="2">
        <v>35.56</v>
      </c>
      <c r="H2345">
        <v>35.56</v>
      </c>
      <c r="I2345">
        <v>34.931328999999998</v>
      </c>
      <c r="J2345">
        <v>50.58</v>
      </c>
      <c r="K2345">
        <v>58</v>
      </c>
      <c r="L2345" s="2">
        <v>56</v>
      </c>
      <c r="M2345">
        <v>8</v>
      </c>
      <c r="N2345" s="2">
        <v>143</v>
      </c>
      <c r="O2345">
        <v>4995.18</v>
      </c>
      <c r="P2345">
        <v>11</v>
      </c>
      <c r="Q2345">
        <v>132</v>
      </c>
      <c r="R2345">
        <v>5.99</v>
      </c>
      <c r="S2345">
        <v>2</v>
      </c>
      <c r="T2345">
        <v>147</v>
      </c>
      <c r="U2345" s="2">
        <v>7435.26</v>
      </c>
      <c r="V2345">
        <v>0</v>
      </c>
      <c r="W2345" t="s">
        <v>29</v>
      </c>
      <c r="X2345" t="str">
        <f>IF(Table2[[#This Row],[Qty available]]&gt;Table2[[#This Row],[Qty on hand]],"Check","OK")</f>
        <v>OK</v>
      </c>
    </row>
    <row r="2346" spans="1:24" x14ac:dyDescent="0.3">
      <c r="A2346" t="s">
        <v>255</v>
      </c>
      <c r="B2346" t="s">
        <v>256</v>
      </c>
      <c r="C2346" t="s">
        <v>77</v>
      </c>
      <c r="D2346" t="s">
        <v>78</v>
      </c>
      <c r="E2346" t="s">
        <v>66</v>
      </c>
      <c r="F2346" s="1" t="s">
        <v>45</v>
      </c>
      <c r="G2346" s="2">
        <v>34.9</v>
      </c>
      <c r="H2346">
        <v>34.9</v>
      </c>
      <c r="I2346">
        <v>34.910808000000003</v>
      </c>
      <c r="J2346">
        <v>50.58</v>
      </c>
      <c r="K2346">
        <v>58</v>
      </c>
      <c r="L2346" s="2">
        <v>58</v>
      </c>
      <c r="M2346">
        <v>271</v>
      </c>
      <c r="N2346" s="2">
        <v>334</v>
      </c>
      <c r="O2346">
        <v>11660.21</v>
      </c>
      <c r="P2346">
        <v>21</v>
      </c>
      <c r="Q2346">
        <v>313</v>
      </c>
      <c r="R2346">
        <v>11.96</v>
      </c>
      <c r="S2346">
        <v>6</v>
      </c>
      <c r="T2346">
        <v>80</v>
      </c>
      <c r="U2346" s="2">
        <v>4046.4</v>
      </c>
      <c r="V2346">
        <v>0</v>
      </c>
      <c r="W2346" t="s">
        <v>29</v>
      </c>
      <c r="X2346" t="str">
        <f>IF(Table2[[#This Row],[Qty available]]&gt;Table2[[#This Row],[Qty on hand]],"Check","OK")</f>
        <v>OK</v>
      </c>
    </row>
    <row r="2347" spans="1:24" x14ac:dyDescent="0.3">
      <c r="A2347" t="s">
        <v>255</v>
      </c>
      <c r="B2347" t="s">
        <v>256</v>
      </c>
      <c r="C2347" t="s">
        <v>77</v>
      </c>
      <c r="D2347" t="s">
        <v>78</v>
      </c>
      <c r="E2347" t="s">
        <v>66</v>
      </c>
      <c r="F2347" s="1" t="s">
        <v>46</v>
      </c>
      <c r="G2347" s="2">
        <v>35.39</v>
      </c>
      <c r="H2347">
        <v>35.39</v>
      </c>
      <c r="I2347">
        <v>35.009847000000001</v>
      </c>
      <c r="J2347">
        <v>52.72</v>
      </c>
      <c r="K2347">
        <v>58</v>
      </c>
      <c r="L2347" s="2">
        <v>50</v>
      </c>
      <c r="M2347">
        <v>87</v>
      </c>
      <c r="N2347" s="2">
        <v>262</v>
      </c>
      <c r="O2347">
        <v>9172.58</v>
      </c>
      <c r="P2347">
        <v>18</v>
      </c>
      <c r="Q2347">
        <v>244</v>
      </c>
      <c r="R2347">
        <v>8.73</v>
      </c>
      <c r="S2347">
        <v>0</v>
      </c>
      <c r="T2347">
        <v>159</v>
      </c>
      <c r="U2347" s="2">
        <v>8382.48</v>
      </c>
      <c r="V2347">
        <v>0</v>
      </c>
      <c r="W2347" t="s">
        <v>29</v>
      </c>
      <c r="X2347" t="str">
        <f>IF(Table2[[#This Row],[Qty available]]&gt;Table2[[#This Row],[Qty on hand]],"Check","OK")</f>
        <v>OK</v>
      </c>
    </row>
    <row r="2348" spans="1:24" x14ac:dyDescent="0.3">
      <c r="A2348" t="s">
        <v>255</v>
      </c>
      <c r="B2348" t="s">
        <v>256</v>
      </c>
      <c r="C2348" t="s">
        <v>77</v>
      </c>
      <c r="D2348" t="s">
        <v>78</v>
      </c>
      <c r="E2348" t="s">
        <v>66</v>
      </c>
      <c r="F2348" s="1" t="s">
        <v>47</v>
      </c>
      <c r="G2348" s="2">
        <v>36.71</v>
      </c>
      <c r="H2348">
        <v>36.71</v>
      </c>
      <c r="I2348">
        <v>35.009825999999997</v>
      </c>
      <c r="J2348">
        <v>52.72</v>
      </c>
      <c r="K2348">
        <v>58</v>
      </c>
      <c r="M2348">
        <v>0</v>
      </c>
      <c r="N2348" s="2">
        <v>115</v>
      </c>
      <c r="O2348">
        <v>4026.13</v>
      </c>
      <c r="P2348">
        <v>7</v>
      </c>
      <c r="Q2348">
        <v>108</v>
      </c>
      <c r="R2348">
        <v>3.83</v>
      </c>
      <c r="S2348">
        <v>3</v>
      </c>
      <c r="T2348">
        <v>147</v>
      </c>
      <c r="U2348" s="2">
        <v>7749.84</v>
      </c>
      <c r="V2348">
        <v>0</v>
      </c>
      <c r="W2348" t="s">
        <v>29</v>
      </c>
      <c r="X2348" t="str">
        <f>IF(Table2[[#This Row],[Qty available]]&gt;Table2[[#This Row],[Qty on hand]],"Check","OK")</f>
        <v>OK</v>
      </c>
    </row>
    <row r="2349" spans="1:24" x14ac:dyDescent="0.3">
      <c r="A2349" t="s">
        <v>255</v>
      </c>
      <c r="B2349" t="s">
        <v>256</v>
      </c>
      <c r="C2349" t="s">
        <v>77</v>
      </c>
      <c r="D2349" t="s">
        <v>78</v>
      </c>
      <c r="E2349" t="s">
        <v>66</v>
      </c>
      <c r="F2349" s="1" t="s">
        <v>48</v>
      </c>
      <c r="G2349" s="2">
        <v>37.83</v>
      </c>
      <c r="H2349">
        <v>37.83</v>
      </c>
      <c r="I2349">
        <v>37.223785999999997</v>
      </c>
      <c r="J2349">
        <v>52.72</v>
      </c>
      <c r="K2349">
        <v>58</v>
      </c>
      <c r="L2349" s="2">
        <v>51</v>
      </c>
      <c r="M2349">
        <v>420</v>
      </c>
      <c r="N2349" s="2">
        <v>412</v>
      </c>
      <c r="O2349">
        <v>15336.2</v>
      </c>
      <c r="P2349">
        <v>21</v>
      </c>
      <c r="Q2349">
        <v>391</v>
      </c>
      <c r="R2349">
        <v>12.21</v>
      </c>
      <c r="S2349">
        <v>0</v>
      </c>
      <c r="T2349">
        <v>123</v>
      </c>
      <c r="U2349" s="2">
        <v>6484.56</v>
      </c>
      <c r="V2349">
        <v>0</v>
      </c>
      <c r="W2349" t="s">
        <v>29</v>
      </c>
      <c r="X2349" t="str">
        <f>IF(Table2[[#This Row],[Qty available]]&gt;Table2[[#This Row],[Qty on hand]],"Check","OK")</f>
        <v>OK</v>
      </c>
    </row>
    <row r="2350" spans="1:24" x14ac:dyDescent="0.3">
      <c r="A2350" t="s">
        <v>255</v>
      </c>
      <c r="B2350" t="s">
        <v>256</v>
      </c>
      <c r="C2350" t="s">
        <v>77</v>
      </c>
      <c r="D2350" t="s">
        <v>78</v>
      </c>
      <c r="E2350" t="s">
        <v>66</v>
      </c>
      <c r="F2350" s="1" t="s">
        <v>49</v>
      </c>
      <c r="G2350" s="2">
        <v>37.25</v>
      </c>
      <c r="H2350">
        <v>37.25</v>
      </c>
      <c r="I2350">
        <v>37.223799</v>
      </c>
      <c r="J2350">
        <v>52.72</v>
      </c>
      <c r="K2350">
        <v>58</v>
      </c>
      <c r="M2350">
        <v>0</v>
      </c>
      <c r="N2350" s="2">
        <v>329</v>
      </c>
      <c r="O2350">
        <v>12246.63</v>
      </c>
      <c r="P2350">
        <v>21</v>
      </c>
      <c r="Q2350">
        <v>308</v>
      </c>
      <c r="R2350">
        <v>12.25</v>
      </c>
      <c r="S2350">
        <v>1</v>
      </c>
      <c r="T2350">
        <v>83</v>
      </c>
      <c r="U2350" s="2">
        <v>4375.76</v>
      </c>
      <c r="V2350">
        <v>0</v>
      </c>
      <c r="W2350" t="s">
        <v>29</v>
      </c>
      <c r="X2350" t="str">
        <f>IF(Table2[[#This Row],[Qty available]]&gt;Table2[[#This Row],[Qty on hand]],"Check","OK")</f>
        <v>OK</v>
      </c>
    </row>
    <row r="2351" spans="1:24" x14ac:dyDescent="0.3">
      <c r="A2351" t="s">
        <v>255</v>
      </c>
      <c r="B2351" t="s">
        <v>256</v>
      </c>
      <c r="C2351" t="s">
        <v>77</v>
      </c>
      <c r="D2351" t="s">
        <v>78</v>
      </c>
      <c r="E2351" t="s">
        <v>66</v>
      </c>
      <c r="F2351" s="1" t="s">
        <v>50</v>
      </c>
      <c r="G2351" s="2">
        <v>36.840000000000003</v>
      </c>
      <c r="H2351">
        <v>36.840000000000003</v>
      </c>
      <c r="I2351">
        <v>37.125031999999997</v>
      </c>
      <c r="J2351">
        <v>52.72</v>
      </c>
      <c r="K2351">
        <v>58</v>
      </c>
      <c r="L2351" s="2">
        <v>52</v>
      </c>
      <c r="M2351">
        <v>114</v>
      </c>
      <c r="N2351" s="2">
        <v>312</v>
      </c>
      <c r="O2351">
        <v>11583.01</v>
      </c>
      <c r="P2351">
        <v>7</v>
      </c>
      <c r="Q2351">
        <v>305</v>
      </c>
      <c r="R2351">
        <v>12.04</v>
      </c>
      <c r="S2351">
        <v>0</v>
      </c>
      <c r="T2351">
        <v>131</v>
      </c>
      <c r="U2351" s="2">
        <v>6906.32</v>
      </c>
      <c r="V2351">
        <v>0</v>
      </c>
      <c r="W2351" t="s">
        <v>29</v>
      </c>
      <c r="X2351" t="str">
        <f>IF(Table2[[#This Row],[Qty available]]&gt;Table2[[#This Row],[Qty on hand]],"Check","OK")</f>
        <v>OK</v>
      </c>
    </row>
    <row r="2352" spans="1:24" x14ac:dyDescent="0.3">
      <c r="A2352" t="s">
        <v>255</v>
      </c>
      <c r="B2352" t="s">
        <v>256</v>
      </c>
      <c r="C2352" t="s">
        <v>77</v>
      </c>
      <c r="D2352" t="s">
        <v>78</v>
      </c>
      <c r="E2352" t="s">
        <v>66</v>
      </c>
      <c r="F2352" s="1" t="s">
        <v>51</v>
      </c>
      <c r="G2352" s="2">
        <v>38.04</v>
      </c>
      <c r="H2352">
        <v>38.04</v>
      </c>
      <c r="I2352">
        <v>37.202824999999997</v>
      </c>
      <c r="J2352">
        <v>52.72</v>
      </c>
      <c r="K2352">
        <v>58</v>
      </c>
      <c r="L2352" s="2">
        <v>53</v>
      </c>
      <c r="M2352">
        <v>29</v>
      </c>
      <c r="N2352" s="2">
        <v>223</v>
      </c>
      <c r="O2352">
        <v>8296.23</v>
      </c>
      <c r="P2352">
        <v>7</v>
      </c>
      <c r="Q2352">
        <v>216</v>
      </c>
      <c r="R2352">
        <v>8.83</v>
      </c>
      <c r="S2352">
        <v>0</v>
      </c>
      <c r="T2352">
        <v>118</v>
      </c>
      <c r="U2352" s="2">
        <v>6220.96</v>
      </c>
      <c r="V2352">
        <v>0</v>
      </c>
      <c r="W2352" t="s">
        <v>29</v>
      </c>
      <c r="X2352" t="str">
        <f>IF(Table2[[#This Row],[Qty available]]&gt;Table2[[#This Row],[Qty on hand]],"Check","OK")</f>
        <v>OK</v>
      </c>
    </row>
    <row r="2353" spans="1:24" x14ac:dyDescent="0.3">
      <c r="A2353" t="s">
        <v>255</v>
      </c>
      <c r="B2353" t="s">
        <v>256</v>
      </c>
      <c r="C2353" t="s">
        <v>77</v>
      </c>
      <c r="D2353" t="s">
        <v>78</v>
      </c>
      <c r="E2353" t="s">
        <v>66</v>
      </c>
      <c r="F2353" s="1" t="s">
        <v>52</v>
      </c>
      <c r="G2353" s="2">
        <v>38</v>
      </c>
      <c r="H2353">
        <v>38</v>
      </c>
      <c r="I2353">
        <v>37.606695000000002</v>
      </c>
      <c r="J2353">
        <v>52.72</v>
      </c>
      <c r="K2353">
        <v>58</v>
      </c>
      <c r="L2353" s="2">
        <v>50</v>
      </c>
      <c r="M2353">
        <v>229</v>
      </c>
      <c r="N2353" s="2">
        <v>351</v>
      </c>
      <c r="O2353">
        <v>13199.95</v>
      </c>
      <c r="P2353">
        <v>7</v>
      </c>
      <c r="Q2353">
        <v>344</v>
      </c>
      <c r="R2353">
        <v>13.18</v>
      </c>
      <c r="S2353">
        <v>3</v>
      </c>
      <c r="T2353">
        <v>101</v>
      </c>
      <c r="U2353" s="2">
        <v>5324.72</v>
      </c>
      <c r="V2353">
        <v>0</v>
      </c>
      <c r="W2353" t="s">
        <v>29</v>
      </c>
      <c r="X2353" t="str">
        <f>IF(Table2[[#This Row],[Qty available]]&gt;Table2[[#This Row],[Qty on hand]],"Check","OK")</f>
        <v>OK</v>
      </c>
    </row>
    <row r="2354" spans="1:24" x14ac:dyDescent="0.3">
      <c r="A2354" t="s">
        <v>257</v>
      </c>
      <c r="B2354" t="s">
        <v>258</v>
      </c>
      <c r="C2354" t="s">
        <v>77</v>
      </c>
      <c r="D2354" t="s">
        <v>78</v>
      </c>
      <c r="E2354" t="s">
        <v>27</v>
      </c>
      <c r="F2354" s="1" t="s">
        <v>28</v>
      </c>
      <c r="G2354" s="2">
        <v>8.65</v>
      </c>
      <c r="H2354">
        <v>8.65</v>
      </c>
      <c r="I2354">
        <v>8.5367879999999996</v>
      </c>
      <c r="J2354">
        <v>11.54</v>
      </c>
      <c r="K2354">
        <v>21</v>
      </c>
      <c r="L2354" s="2">
        <v>18</v>
      </c>
      <c r="M2354">
        <v>50</v>
      </c>
      <c r="N2354" s="2">
        <v>193</v>
      </c>
      <c r="O2354">
        <v>1647.6</v>
      </c>
      <c r="P2354">
        <v>23</v>
      </c>
      <c r="Q2354">
        <v>170</v>
      </c>
      <c r="R2354">
        <v>9.76</v>
      </c>
      <c r="S2354">
        <v>2</v>
      </c>
      <c r="T2354">
        <v>69</v>
      </c>
      <c r="U2354" s="2">
        <v>796.26</v>
      </c>
      <c r="V2354">
        <v>0</v>
      </c>
      <c r="W2354" t="s">
        <v>29</v>
      </c>
      <c r="X2354" t="str">
        <f>IF(Table2[[#This Row],[Qty available]]&gt;Table2[[#This Row],[Qty on hand]],"Check","OK")</f>
        <v>OK</v>
      </c>
    </row>
    <row r="2355" spans="1:24" x14ac:dyDescent="0.3">
      <c r="A2355" t="s">
        <v>257</v>
      </c>
      <c r="B2355" t="s">
        <v>258</v>
      </c>
      <c r="C2355" t="s">
        <v>77</v>
      </c>
      <c r="D2355" t="s">
        <v>78</v>
      </c>
      <c r="E2355" t="s">
        <v>27</v>
      </c>
      <c r="F2355" s="1" t="s">
        <v>30</v>
      </c>
      <c r="G2355" s="2">
        <v>8.64</v>
      </c>
      <c r="H2355">
        <v>8.64</v>
      </c>
      <c r="I2355">
        <v>8.5705849999999995</v>
      </c>
      <c r="J2355">
        <v>11.54</v>
      </c>
      <c r="K2355">
        <v>21</v>
      </c>
      <c r="L2355" s="2">
        <v>18</v>
      </c>
      <c r="M2355">
        <v>94</v>
      </c>
      <c r="N2355" s="2">
        <v>188</v>
      </c>
      <c r="O2355">
        <v>1611.27</v>
      </c>
      <c r="P2355">
        <v>16</v>
      </c>
      <c r="Q2355">
        <v>172</v>
      </c>
      <c r="R2355">
        <v>9.2200000000000006</v>
      </c>
      <c r="S2355">
        <v>6</v>
      </c>
      <c r="T2355">
        <v>99</v>
      </c>
      <c r="U2355" s="2">
        <v>1142.46</v>
      </c>
      <c r="V2355">
        <v>0</v>
      </c>
      <c r="W2355" t="s">
        <v>29</v>
      </c>
      <c r="X2355" t="str">
        <f>IF(Table2[[#This Row],[Qty available]]&gt;Table2[[#This Row],[Qty on hand]],"Check","OK")</f>
        <v>OK</v>
      </c>
    </row>
    <row r="2356" spans="1:24" x14ac:dyDescent="0.3">
      <c r="A2356" t="s">
        <v>257</v>
      </c>
      <c r="B2356" t="s">
        <v>258</v>
      </c>
      <c r="C2356" t="s">
        <v>77</v>
      </c>
      <c r="D2356" t="s">
        <v>78</v>
      </c>
      <c r="E2356" t="s">
        <v>27</v>
      </c>
      <c r="F2356" s="1" t="s">
        <v>31</v>
      </c>
      <c r="G2356" s="2">
        <v>8.51</v>
      </c>
      <c r="H2356">
        <v>8.51</v>
      </c>
      <c r="I2356">
        <v>8.5706100000000003</v>
      </c>
      <c r="J2356">
        <v>11.54</v>
      </c>
      <c r="K2356">
        <v>21</v>
      </c>
      <c r="M2356">
        <v>0</v>
      </c>
      <c r="N2356" s="2">
        <v>82</v>
      </c>
      <c r="O2356">
        <v>702.79</v>
      </c>
      <c r="P2356">
        <v>19</v>
      </c>
      <c r="Q2356">
        <v>63</v>
      </c>
      <c r="R2356">
        <v>3.89</v>
      </c>
      <c r="S2356">
        <v>0</v>
      </c>
      <c r="T2356">
        <v>106</v>
      </c>
      <c r="U2356" s="2">
        <v>1223.24</v>
      </c>
      <c r="V2356">
        <v>0</v>
      </c>
      <c r="W2356" t="s">
        <v>29</v>
      </c>
      <c r="X2356" t="str">
        <f>IF(Table2[[#This Row],[Qty available]]&gt;Table2[[#This Row],[Qty on hand]],"Check","OK")</f>
        <v>OK</v>
      </c>
    </row>
    <row r="2357" spans="1:24" x14ac:dyDescent="0.3">
      <c r="A2357" t="s">
        <v>257</v>
      </c>
      <c r="B2357" t="s">
        <v>258</v>
      </c>
      <c r="C2357" t="s">
        <v>77</v>
      </c>
      <c r="D2357" t="s">
        <v>78</v>
      </c>
      <c r="E2357" t="s">
        <v>27</v>
      </c>
      <c r="F2357" s="1" t="s">
        <v>32</v>
      </c>
      <c r="G2357" s="2">
        <v>8.42</v>
      </c>
      <c r="H2357">
        <v>8.42</v>
      </c>
      <c r="I2357">
        <v>8.4678690000000003</v>
      </c>
      <c r="J2357">
        <v>11.54</v>
      </c>
      <c r="K2357">
        <v>21</v>
      </c>
      <c r="L2357" s="2">
        <v>20</v>
      </c>
      <c r="M2357">
        <v>176</v>
      </c>
      <c r="N2357" s="2">
        <v>244</v>
      </c>
      <c r="O2357">
        <v>2066.16</v>
      </c>
      <c r="P2357">
        <v>21</v>
      </c>
      <c r="Q2357">
        <v>223</v>
      </c>
      <c r="R2357">
        <v>14.64</v>
      </c>
      <c r="S2357">
        <v>6</v>
      </c>
      <c r="T2357">
        <v>14</v>
      </c>
      <c r="U2357" s="2">
        <v>161.56</v>
      </c>
      <c r="V2357">
        <v>0</v>
      </c>
      <c r="W2357" t="s">
        <v>29</v>
      </c>
      <c r="X2357" t="str">
        <f>IF(Table2[[#This Row],[Qty available]]&gt;Table2[[#This Row],[Qty on hand]],"Check","OK")</f>
        <v>OK</v>
      </c>
    </row>
    <row r="2358" spans="1:24" x14ac:dyDescent="0.3">
      <c r="A2358" t="s">
        <v>257</v>
      </c>
      <c r="B2358" t="s">
        <v>258</v>
      </c>
      <c r="C2358" t="s">
        <v>77</v>
      </c>
      <c r="D2358" t="s">
        <v>78</v>
      </c>
      <c r="E2358" t="s">
        <v>27</v>
      </c>
      <c r="F2358" s="1" t="s">
        <v>33</v>
      </c>
      <c r="G2358" s="2">
        <v>8.66</v>
      </c>
      <c r="H2358">
        <v>8.66</v>
      </c>
      <c r="I2358">
        <v>8.5005559999999996</v>
      </c>
      <c r="J2358">
        <v>11.54</v>
      </c>
      <c r="K2358">
        <v>21</v>
      </c>
      <c r="L2358" s="2">
        <v>21</v>
      </c>
      <c r="M2358">
        <v>50</v>
      </c>
      <c r="N2358" s="2">
        <v>216</v>
      </c>
      <c r="O2358">
        <v>1836.12</v>
      </c>
      <c r="P2358">
        <v>7</v>
      </c>
      <c r="Q2358">
        <v>209</v>
      </c>
      <c r="R2358">
        <v>14.34</v>
      </c>
      <c r="S2358">
        <v>3</v>
      </c>
      <c r="T2358">
        <v>78</v>
      </c>
      <c r="U2358" s="2">
        <v>900.12</v>
      </c>
      <c r="V2358">
        <v>0</v>
      </c>
      <c r="W2358" t="s">
        <v>29</v>
      </c>
      <c r="X2358" t="str">
        <f>IF(Table2[[#This Row],[Qty available]]&gt;Table2[[#This Row],[Qty on hand]],"Check","OK")</f>
        <v>OK</v>
      </c>
    </row>
    <row r="2359" spans="1:24" x14ac:dyDescent="0.3">
      <c r="A2359" t="s">
        <v>257</v>
      </c>
      <c r="B2359" t="s">
        <v>258</v>
      </c>
      <c r="C2359" t="s">
        <v>77</v>
      </c>
      <c r="D2359" t="s">
        <v>78</v>
      </c>
      <c r="E2359" t="s">
        <v>27</v>
      </c>
      <c r="F2359" s="1" t="s">
        <v>34</v>
      </c>
      <c r="G2359" s="2">
        <v>8.4700000000000006</v>
      </c>
      <c r="H2359">
        <v>8.4700000000000006</v>
      </c>
      <c r="I2359">
        <v>8.4938120000000001</v>
      </c>
      <c r="J2359">
        <v>11.85</v>
      </c>
      <c r="K2359">
        <v>21</v>
      </c>
      <c r="L2359" s="2">
        <v>21</v>
      </c>
      <c r="M2359">
        <v>61</v>
      </c>
      <c r="N2359" s="2">
        <v>202</v>
      </c>
      <c r="O2359">
        <v>1715.75</v>
      </c>
      <c r="P2359">
        <v>19</v>
      </c>
      <c r="Q2359">
        <v>183</v>
      </c>
      <c r="R2359">
        <v>15.55</v>
      </c>
      <c r="S2359">
        <v>2</v>
      </c>
      <c r="T2359">
        <v>75</v>
      </c>
      <c r="U2359" s="2">
        <v>888.75</v>
      </c>
      <c r="V2359">
        <v>0</v>
      </c>
      <c r="W2359" t="s">
        <v>29</v>
      </c>
      <c r="X2359" t="str">
        <f>IF(Table2[[#This Row],[Qty available]]&gt;Table2[[#This Row],[Qty on hand]],"Check","OK")</f>
        <v>OK</v>
      </c>
    </row>
    <row r="2360" spans="1:24" x14ac:dyDescent="0.3">
      <c r="A2360" t="s">
        <v>257</v>
      </c>
      <c r="B2360" t="s">
        <v>258</v>
      </c>
      <c r="C2360" t="s">
        <v>77</v>
      </c>
      <c r="D2360" t="s">
        <v>78</v>
      </c>
      <c r="E2360" t="s">
        <v>27</v>
      </c>
      <c r="F2360" s="1" t="s">
        <v>35</v>
      </c>
      <c r="G2360" s="2">
        <v>8.94</v>
      </c>
      <c r="H2360">
        <v>8.94</v>
      </c>
      <c r="I2360">
        <v>8.4938409999999998</v>
      </c>
      <c r="J2360">
        <v>11.85</v>
      </c>
      <c r="K2360">
        <v>21</v>
      </c>
      <c r="M2360">
        <v>0</v>
      </c>
      <c r="N2360" s="2">
        <v>138</v>
      </c>
      <c r="O2360">
        <v>1172.1500000000001</v>
      </c>
      <c r="P2360">
        <v>12</v>
      </c>
      <c r="Q2360">
        <v>126</v>
      </c>
      <c r="R2360">
        <v>8.18</v>
      </c>
      <c r="S2360">
        <v>0</v>
      </c>
      <c r="T2360">
        <v>64</v>
      </c>
      <c r="U2360" s="2">
        <v>758.4</v>
      </c>
      <c r="V2360">
        <v>0</v>
      </c>
      <c r="W2360" t="s">
        <v>29</v>
      </c>
      <c r="X2360" t="str">
        <f>IF(Table2[[#This Row],[Qty available]]&gt;Table2[[#This Row],[Qty on hand]],"Check","OK")</f>
        <v>OK</v>
      </c>
    </row>
    <row r="2361" spans="1:24" x14ac:dyDescent="0.3">
      <c r="A2361" t="s">
        <v>257</v>
      </c>
      <c r="B2361" t="s">
        <v>258</v>
      </c>
      <c r="C2361" t="s">
        <v>77</v>
      </c>
      <c r="D2361" t="s">
        <v>78</v>
      </c>
      <c r="E2361" t="s">
        <v>27</v>
      </c>
      <c r="F2361" s="1" t="s">
        <v>36</v>
      </c>
      <c r="G2361" s="2">
        <v>8.91</v>
      </c>
      <c r="H2361">
        <v>8.91</v>
      </c>
      <c r="I2361">
        <v>8.6666460000000001</v>
      </c>
      <c r="J2361">
        <v>11.85</v>
      </c>
      <c r="K2361">
        <v>21</v>
      </c>
      <c r="L2361" s="2">
        <v>36</v>
      </c>
      <c r="M2361">
        <v>98</v>
      </c>
      <c r="N2361" s="2">
        <v>164</v>
      </c>
      <c r="O2361">
        <v>1421.33</v>
      </c>
      <c r="P2361">
        <v>16</v>
      </c>
      <c r="Q2361">
        <v>148</v>
      </c>
      <c r="R2361">
        <v>9.8800000000000008</v>
      </c>
      <c r="S2361">
        <v>5</v>
      </c>
      <c r="T2361">
        <v>72</v>
      </c>
      <c r="U2361" s="2">
        <v>853.2</v>
      </c>
      <c r="V2361">
        <v>0</v>
      </c>
      <c r="W2361" t="s">
        <v>29</v>
      </c>
      <c r="X2361" t="str">
        <f>IF(Table2[[#This Row],[Qty available]]&gt;Table2[[#This Row],[Qty on hand]],"Check","OK")</f>
        <v>OK</v>
      </c>
    </row>
    <row r="2362" spans="1:24" x14ac:dyDescent="0.3">
      <c r="A2362" t="s">
        <v>257</v>
      </c>
      <c r="B2362" t="s">
        <v>258</v>
      </c>
      <c r="C2362" t="s">
        <v>77</v>
      </c>
      <c r="D2362" t="s">
        <v>78</v>
      </c>
      <c r="E2362" t="s">
        <v>27</v>
      </c>
      <c r="F2362" s="1" t="s">
        <v>37</v>
      </c>
      <c r="G2362" s="2">
        <v>8.9</v>
      </c>
      <c r="H2362">
        <v>8.9</v>
      </c>
      <c r="I2362">
        <v>8.7632989999999999</v>
      </c>
      <c r="J2362">
        <v>11.85</v>
      </c>
      <c r="K2362">
        <v>21</v>
      </c>
      <c r="L2362" s="2">
        <v>19</v>
      </c>
      <c r="M2362">
        <v>116</v>
      </c>
      <c r="N2362" s="2">
        <v>197</v>
      </c>
      <c r="O2362">
        <v>1726.37</v>
      </c>
      <c r="P2362">
        <v>5</v>
      </c>
      <c r="Q2362">
        <v>192</v>
      </c>
      <c r="R2362">
        <v>11.82</v>
      </c>
      <c r="S2362">
        <v>7</v>
      </c>
      <c r="T2362">
        <v>83</v>
      </c>
      <c r="U2362" s="2">
        <v>983.55</v>
      </c>
      <c r="V2362">
        <v>0</v>
      </c>
      <c r="W2362" t="s">
        <v>29</v>
      </c>
      <c r="X2362" t="str">
        <f>IF(Table2[[#This Row],[Qty available]]&gt;Table2[[#This Row],[Qty on hand]],"Check","OK")</f>
        <v>OK</v>
      </c>
    </row>
    <row r="2363" spans="1:24" x14ac:dyDescent="0.3">
      <c r="A2363" t="s">
        <v>257</v>
      </c>
      <c r="B2363" t="s">
        <v>258</v>
      </c>
      <c r="C2363" t="s">
        <v>77</v>
      </c>
      <c r="D2363" t="s">
        <v>78</v>
      </c>
      <c r="E2363" t="s">
        <v>27</v>
      </c>
      <c r="F2363" s="1" t="s">
        <v>38</v>
      </c>
      <c r="G2363" s="2">
        <v>8.89</v>
      </c>
      <c r="H2363">
        <v>8.89</v>
      </c>
      <c r="I2363">
        <v>8.7913639999999997</v>
      </c>
      <c r="J2363">
        <v>11.85</v>
      </c>
      <c r="K2363">
        <v>21</v>
      </c>
      <c r="L2363" s="2">
        <v>19</v>
      </c>
      <c r="M2363">
        <v>56</v>
      </c>
      <c r="N2363" s="2">
        <v>154</v>
      </c>
      <c r="O2363">
        <v>1353.87</v>
      </c>
      <c r="P2363">
        <v>19</v>
      </c>
      <c r="Q2363">
        <v>135</v>
      </c>
      <c r="R2363">
        <v>7.88</v>
      </c>
      <c r="S2363">
        <v>4</v>
      </c>
      <c r="T2363">
        <v>99</v>
      </c>
      <c r="U2363" s="2">
        <v>1173.1500000000001</v>
      </c>
      <c r="V2363">
        <v>0</v>
      </c>
      <c r="W2363" t="s">
        <v>29</v>
      </c>
      <c r="X2363" t="str">
        <f>IF(Table2[[#This Row],[Qty available]]&gt;Table2[[#This Row],[Qty on hand]],"Check","OK")</f>
        <v>OK</v>
      </c>
    </row>
    <row r="2364" spans="1:24" x14ac:dyDescent="0.3">
      <c r="A2364" t="s">
        <v>257</v>
      </c>
      <c r="B2364" t="s">
        <v>258</v>
      </c>
      <c r="C2364" t="s">
        <v>77</v>
      </c>
      <c r="D2364" t="s">
        <v>78</v>
      </c>
      <c r="E2364" t="s">
        <v>27</v>
      </c>
      <c r="F2364" s="1" t="s">
        <v>39</v>
      </c>
      <c r="G2364" s="2">
        <v>9.14</v>
      </c>
      <c r="H2364">
        <v>9.14</v>
      </c>
      <c r="I2364">
        <v>8.8767969999999998</v>
      </c>
      <c r="J2364">
        <v>11.85</v>
      </c>
      <c r="K2364">
        <v>21</v>
      </c>
      <c r="L2364" s="2">
        <v>18</v>
      </c>
      <c r="M2364">
        <v>50</v>
      </c>
      <c r="N2364" s="2">
        <v>153</v>
      </c>
      <c r="O2364">
        <v>1358.15</v>
      </c>
      <c r="P2364">
        <v>9</v>
      </c>
      <c r="Q2364">
        <v>144</v>
      </c>
      <c r="R2364">
        <v>8.6300000000000008</v>
      </c>
      <c r="S2364">
        <v>1</v>
      </c>
      <c r="T2364">
        <v>51</v>
      </c>
      <c r="U2364" s="2">
        <v>604.35</v>
      </c>
      <c r="V2364">
        <v>0</v>
      </c>
      <c r="W2364" t="s">
        <v>29</v>
      </c>
      <c r="X2364" t="str">
        <f>IF(Table2[[#This Row],[Qty available]]&gt;Table2[[#This Row],[Qty on hand]],"Check","OK")</f>
        <v>OK</v>
      </c>
    </row>
    <row r="2365" spans="1:24" x14ac:dyDescent="0.3">
      <c r="A2365" t="s">
        <v>257</v>
      </c>
      <c r="B2365" t="s">
        <v>258</v>
      </c>
      <c r="C2365" t="s">
        <v>77</v>
      </c>
      <c r="D2365" t="s">
        <v>78</v>
      </c>
      <c r="E2365" t="s">
        <v>27</v>
      </c>
      <c r="F2365" s="1" t="s">
        <v>40</v>
      </c>
      <c r="G2365" s="2">
        <v>9.17</v>
      </c>
      <c r="H2365">
        <v>9.17</v>
      </c>
      <c r="I2365">
        <v>9.0153020000000001</v>
      </c>
      <c r="J2365">
        <v>11.85</v>
      </c>
      <c r="K2365">
        <v>21</v>
      </c>
      <c r="L2365" s="2">
        <v>20</v>
      </c>
      <c r="M2365">
        <v>137</v>
      </c>
      <c r="N2365" s="2">
        <v>232</v>
      </c>
      <c r="O2365">
        <v>2091.5500000000002</v>
      </c>
      <c r="P2365">
        <v>23</v>
      </c>
      <c r="Q2365">
        <v>209</v>
      </c>
      <c r="R2365">
        <v>14.66</v>
      </c>
      <c r="S2365">
        <v>5</v>
      </c>
      <c r="T2365">
        <v>58</v>
      </c>
      <c r="U2365" s="2">
        <v>687.3</v>
      </c>
      <c r="V2365">
        <v>0</v>
      </c>
      <c r="W2365" t="s">
        <v>29</v>
      </c>
      <c r="X2365" t="str">
        <f>IF(Table2[[#This Row],[Qty available]]&gt;Table2[[#This Row],[Qty on hand]],"Check","OK")</f>
        <v>OK</v>
      </c>
    </row>
    <row r="2366" spans="1:24" x14ac:dyDescent="0.3">
      <c r="A2366" t="s">
        <v>257</v>
      </c>
      <c r="B2366" t="s">
        <v>258</v>
      </c>
      <c r="C2366" t="s">
        <v>77</v>
      </c>
      <c r="D2366" t="s">
        <v>78</v>
      </c>
      <c r="E2366" t="s">
        <v>27</v>
      </c>
      <c r="F2366" s="1" t="s">
        <v>41</v>
      </c>
      <c r="G2366" s="2">
        <v>8.99</v>
      </c>
      <c r="H2366">
        <v>8.99</v>
      </c>
      <c r="I2366">
        <v>9.0108130000000006</v>
      </c>
      <c r="J2366">
        <v>11.85</v>
      </c>
      <c r="K2366">
        <v>21</v>
      </c>
      <c r="L2366" s="2">
        <v>19</v>
      </c>
      <c r="M2366">
        <v>50</v>
      </c>
      <c r="N2366" s="2">
        <v>209</v>
      </c>
      <c r="O2366">
        <v>1883.26</v>
      </c>
      <c r="P2366">
        <v>21</v>
      </c>
      <c r="Q2366">
        <v>188</v>
      </c>
      <c r="R2366">
        <v>15.09</v>
      </c>
      <c r="S2366">
        <v>1</v>
      </c>
      <c r="T2366">
        <v>73</v>
      </c>
      <c r="U2366" s="2">
        <v>865.05</v>
      </c>
      <c r="V2366">
        <v>0</v>
      </c>
      <c r="W2366" t="s">
        <v>29</v>
      </c>
      <c r="X2366" t="str">
        <f>IF(Table2[[#This Row],[Qty available]]&gt;Table2[[#This Row],[Qty on hand]],"Check","OK")</f>
        <v>OK</v>
      </c>
    </row>
    <row r="2367" spans="1:24" x14ac:dyDescent="0.3">
      <c r="A2367" t="s">
        <v>257</v>
      </c>
      <c r="B2367" t="s">
        <v>258</v>
      </c>
      <c r="C2367" t="s">
        <v>77</v>
      </c>
      <c r="D2367" t="s">
        <v>78</v>
      </c>
      <c r="E2367" t="s">
        <v>27</v>
      </c>
      <c r="F2367" s="1" t="s">
        <v>42</v>
      </c>
      <c r="G2367" s="2">
        <v>8.9</v>
      </c>
      <c r="H2367">
        <v>8.9</v>
      </c>
      <c r="I2367">
        <v>8.983333</v>
      </c>
      <c r="J2367">
        <v>11.85</v>
      </c>
      <c r="K2367">
        <v>21</v>
      </c>
      <c r="L2367" s="2">
        <v>19</v>
      </c>
      <c r="M2367">
        <v>69</v>
      </c>
      <c r="N2367" s="2">
        <v>195</v>
      </c>
      <c r="O2367">
        <v>1751.75</v>
      </c>
      <c r="P2367">
        <v>23</v>
      </c>
      <c r="Q2367">
        <v>172</v>
      </c>
      <c r="R2367">
        <v>11.98</v>
      </c>
      <c r="S2367">
        <v>4</v>
      </c>
      <c r="T2367">
        <v>83</v>
      </c>
      <c r="U2367" s="2">
        <v>983.55</v>
      </c>
      <c r="V2367">
        <v>0</v>
      </c>
      <c r="W2367" t="s">
        <v>29</v>
      </c>
      <c r="X2367" t="str">
        <f>IF(Table2[[#This Row],[Qty available]]&gt;Table2[[#This Row],[Qty on hand]],"Check","OK")</f>
        <v>OK</v>
      </c>
    </row>
    <row r="2368" spans="1:24" x14ac:dyDescent="0.3">
      <c r="A2368" t="s">
        <v>257</v>
      </c>
      <c r="B2368" t="s">
        <v>258</v>
      </c>
      <c r="C2368" t="s">
        <v>77</v>
      </c>
      <c r="D2368" t="s">
        <v>78</v>
      </c>
      <c r="E2368" t="s">
        <v>27</v>
      </c>
      <c r="F2368" s="1" t="s">
        <v>43</v>
      </c>
      <c r="G2368" s="2">
        <v>8.9499999999999993</v>
      </c>
      <c r="H2368">
        <v>8.9499999999999993</v>
      </c>
      <c r="I2368">
        <v>8.9701819999999994</v>
      </c>
      <c r="J2368">
        <v>11.85</v>
      </c>
      <c r="K2368">
        <v>21</v>
      </c>
      <c r="L2368" s="2">
        <v>20</v>
      </c>
      <c r="M2368">
        <v>127</v>
      </c>
      <c r="N2368" s="2">
        <v>275</v>
      </c>
      <c r="O2368">
        <v>2466.8000000000002</v>
      </c>
      <c r="P2368">
        <v>14</v>
      </c>
      <c r="Q2368">
        <v>261</v>
      </c>
      <c r="R2368">
        <v>17.61</v>
      </c>
      <c r="S2368">
        <v>4</v>
      </c>
      <c r="T2368">
        <v>47</v>
      </c>
      <c r="U2368" s="2">
        <v>556.95000000000005</v>
      </c>
      <c r="V2368">
        <v>0</v>
      </c>
      <c r="W2368" t="s">
        <v>29</v>
      </c>
      <c r="X2368" t="str">
        <f>IF(Table2[[#This Row],[Qty available]]&gt;Table2[[#This Row],[Qty on hand]],"Check","OK")</f>
        <v>OK</v>
      </c>
    </row>
    <row r="2369" spans="1:24" x14ac:dyDescent="0.3">
      <c r="A2369" t="s">
        <v>257</v>
      </c>
      <c r="B2369" t="s">
        <v>258</v>
      </c>
      <c r="C2369" t="s">
        <v>77</v>
      </c>
      <c r="D2369" t="s">
        <v>78</v>
      </c>
      <c r="E2369" t="s">
        <v>27</v>
      </c>
      <c r="F2369" s="1" t="s">
        <v>44</v>
      </c>
      <c r="G2369" s="2">
        <v>9.0500000000000007</v>
      </c>
      <c r="H2369">
        <v>9.0500000000000007</v>
      </c>
      <c r="I2369">
        <v>8.9701749999999993</v>
      </c>
      <c r="J2369">
        <v>11.85</v>
      </c>
      <c r="K2369">
        <v>21</v>
      </c>
      <c r="M2369">
        <v>0</v>
      </c>
      <c r="N2369" s="2">
        <v>228</v>
      </c>
      <c r="O2369">
        <v>2045.2</v>
      </c>
      <c r="P2369">
        <v>23</v>
      </c>
      <c r="Q2369">
        <v>205</v>
      </c>
      <c r="R2369">
        <v>16.93</v>
      </c>
      <c r="S2369">
        <v>2</v>
      </c>
      <c r="T2369">
        <v>47</v>
      </c>
      <c r="U2369" s="2">
        <v>556.95000000000005</v>
      </c>
      <c r="V2369">
        <v>0</v>
      </c>
      <c r="W2369" t="s">
        <v>29</v>
      </c>
      <c r="X2369" t="str">
        <f>IF(Table2[[#This Row],[Qty available]]&gt;Table2[[#This Row],[Qty on hand]],"Check","OK")</f>
        <v>OK</v>
      </c>
    </row>
    <row r="2370" spans="1:24" x14ac:dyDescent="0.3">
      <c r="A2370" t="s">
        <v>257</v>
      </c>
      <c r="B2370" t="s">
        <v>258</v>
      </c>
      <c r="C2370" t="s">
        <v>77</v>
      </c>
      <c r="D2370" t="s">
        <v>78</v>
      </c>
      <c r="E2370" t="s">
        <v>27</v>
      </c>
      <c r="F2370" s="1" t="s">
        <v>45</v>
      </c>
      <c r="G2370" s="2">
        <v>8.99</v>
      </c>
      <c r="H2370">
        <v>8.99</v>
      </c>
      <c r="I2370">
        <v>8.9737349999999996</v>
      </c>
      <c r="J2370">
        <v>11.85</v>
      </c>
      <c r="K2370">
        <v>21</v>
      </c>
      <c r="L2370" s="2">
        <v>20</v>
      </c>
      <c r="M2370">
        <v>50</v>
      </c>
      <c r="N2370" s="2">
        <v>249</v>
      </c>
      <c r="O2370">
        <v>2234.46</v>
      </c>
      <c r="P2370">
        <v>19</v>
      </c>
      <c r="Q2370">
        <v>230</v>
      </c>
      <c r="R2370">
        <v>26.61</v>
      </c>
      <c r="S2370">
        <v>0</v>
      </c>
      <c r="T2370">
        <v>29</v>
      </c>
      <c r="U2370" s="2">
        <v>343.65</v>
      </c>
      <c r="V2370">
        <v>0</v>
      </c>
      <c r="W2370" t="s">
        <v>29</v>
      </c>
      <c r="X2370" t="str">
        <f>IF(Table2[[#This Row],[Qty available]]&gt;Table2[[#This Row],[Qty on hand]],"Check","OK")</f>
        <v>OK</v>
      </c>
    </row>
    <row r="2371" spans="1:24" x14ac:dyDescent="0.3">
      <c r="A2371" t="s">
        <v>257</v>
      </c>
      <c r="B2371" t="s">
        <v>258</v>
      </c>
      <c r="C2371" t="s">
        <v>77</v>
      </c>
      <c r="D2371" t="s">
        <v>78</v>
      </c>
      <c r="E2371" t="s">
        <v>27</v>
      </c>
      <c r="F2371" s="1" t="s">
        <v>46</v>
      </c>
      <c r="G2371" s="2">
        <v>8.86</v>
      </c>
      <c r="H2371">
        <v>8.86</v>
      </c>
      <c r="I2371">
        <v>8.9547270000000001</v>
      </c>
      <c r="J2371">
        <v>12.17</v>
      </c>
      <c r="K2371">
        <v>21</v>
      </c>
      <c r="L2371" s="2">
        <v>19</v>
      </c>
      <c r="M2371">
        <v>50</v>
      </c>
      <c r="N2371" s="2">
        <v>220</v>
      </c>
      <c r="O2371">
        <v>1970.04</v>
      </c>
      <c r="P2371">
        <v>7</v>
      </c>
      <c r="Q2371">
        <v>213</v>
      </c>
      <c r="R2371">
        <v>18.25</v>
      </c>
      <c r="S2371">
        <v>0</v>
      </c>
      <c r="T2371">
        <v>79</v>
      </c>
      <c r="U2371" s="2">
        <v>961.43</v>
      </c>
      <c r="V2371">
        <v>0</v>
      </c>
      <c r="W2371" t="s">
        <v>29</v>
      </c>
      <c r="X2371" t="str">
        <f>IF(Table2[[#This Row],[Qty available]]&gt;Table2[[#This Row],[Qty on hand]],"Check","OK")</f>
        <v>OK</v>
      </c>
    </row>
    <row r="2372" spans="1:24" x14ac:dyDescent="0.3">
      <c r="A2372" t="s">
        <v>257</v>
      </c>
      <c r="B2372" t="s">
        <v>258</v>
      </c>
      <c r="C2372" t="s">
        <v>77</v>
      </c>
      <c r="D2372" t="s">
        <v>78</v>
      </c>
      <c r="E2372" t="s">
        <v>27</v>
      </c>
      <c r="F2372" s="1" t="s">
        <v>47</v>
      </c>
      <c r="G2372" s="2">
        <v>9.4600000000000009</v>
      </c>
      <c r="H2372">
        <v>9.4600000000000009</v>
      </c>
      <c r="I2372">
        <v>9.0630170000000003</v>
      </c>
      <c r="J2372">
        <v>12.17</v>
      </c>
      <c r="K2372">
        <v>21</v>
      </c>
      <c r="L2372" s="2">
        <v>19</v>
      </c>
      <c r="M2372">
        <v>60</v>
      </c>
      <c r="N2372" s="2">
        <v>179</v>
      </c>
      <c r="O2372">
        <v>1622.28</v>
      </c>
      <c r="P2372">
        <v>7</v>
      </c>
      <c r="Q2372">
        <v>172</v>
      </c>
      <c r="R2372">
        <v>11.01</v>
      </c>
      <c r="S2372">
        <v>2</v>
      </c>
      <c r="T2372">
        <v>101</v>
      </c>
      <c r="U2372" s="2">
        <v>1229.17</v>
      </c>
      <c r="V2372">
        <v>0</v>
      </c>
      <c r="W2372" t="s">
        <v>29</v>
      </c>
      <c r="X2372" t="str">
        <f>IF(Table2[[#This Row],[Qty available]]&gt;Table2[[#This Row],[Qty on hand]],"Check","OK")</f>
        <v>OK</v>
      </c>
    </row>
    <row r="2373" spans="1:24" x14ac:dyDescent="0.3">
      <c r="A2373" t="s">
        <v>257</v>
      </c>
      <c r="B2373" t="s">
        <v>258</v>
      </c>
      <c r="C2373" t="s">
        <v>77</v>
      </c>
      <c r="D2373" t="s">
        <v>78</v>
      </c>
      <c r="E2373" t="s">
        <v>27</v>
      </c>
      <c r="F2373" s="1" t="s">
        <v>48</v>
      </c>
      <c r="G2373" s="2">
        <v>9.5500000000000007</v>
      </c>
      <c r="H2373">
        <v>9.5500000000000007</v>
      </c>
      <c r="I2373">
        <v>9.1693379999999998</v>
      </c>
      <c r="J2373">
        <v>12.17</v>
      </c>
      <c r="K2373">
        <v>21</v>
      </c>
      <c r="L2373" s="2">
        <v>19</v>
      </c>
      <c r="M2373">
        <v>50</v>
      </c>
      <c r="N2373" s="2">
        <v>151</v>
      </c>
      <c r="O2373">
        <v>1384.57</v>
      </c>
      <c r="P2373">
        <v>23</v>
      </c>
      <c r="Q2373">
        <v>128</v>
      </c>
      <c r="R2373">
        <v>7.44</v>
      </c>
      <c r="S2373">
        <v>1</v>
      </c>
      <c r="T2373">
        <v>78</v>
      </c>
      <c r="U2373" s="2">
        <v>949.26</v>
      </c>
      <c r="V2373">
        <v>0</v>
      </c>
      <c r="W2373" t="s">
        <v>29</v>
      </c>
      <c r="X2373" t="str">
        <f>IF(Table2[[#This Row],[Qty available]]&gt;Table2[[#This Row],[Qty on hand]],"Check","OK")</f>
        <v>OK</v>
      </c>
    </row>
    <row r="2374" spans="1:24" x14ac:dyDescent="0.3">
      <c r="A2374" t="s">
        <v>257</v>
      </c>
      <c r="B2374" t="s">
        <v>258</v>
      </c>
      <c r="C2374" t="s">
        <v>77</v>
      </c>
      <c r="D2374" t="s">
        <v>78</v>
      </c>
      <c r="E2374" t="s">
        <v>27</v>
      </c>
      <c r="F2374" s="1" t="s">
        <v>49</v>
      </c>
      <c r="G2374" s="2">
        <v>9.6300000000000008</v>
      </c>
      <c r="H2374">
        <v>9.6300000000000008</v>
      </c>
      <c r="I2374">
        <v>9.3123579999999997</v>
      </c>
      <c r="J2374">
        <v>12.17</v>
      </c>
      <c r="K2374">
        <v>21</v>
      </c>
      <c r="L2374" s="2">
        <v>20</v>
      </c>
      <c r="M2374">
        <v>68</v>
      </c>
      <c r="N2374" s="2">
        <v>106</v>
      </c>
      <c r="O2374">
        <v>987.11</v>
      </c>
      <c r="P2374">
        <v>16</v>
      </c>
      <c r="Q2374">
        <v>90</v>
      </c>
      <c r="R2374">
        <v>4.7699999999999996</v>
      </c>
      <c r="S2374">
        <v>5</v>
      </c>
      <c r="T2374">
        <v>113</v>
      </c>
      <c r="U2374" s="2">
        <v>1375.21</v>
      </c>
      <c r="V2374">
        <v>0</v>
      </c>
      <c r="W2374" t="s">
        <v>29</v>
      </c>
      <c r="X2374" t="str">
        <f>IF(Table2[[#This Row],[Qty available]]&gt;Table2[[#This Row],[Qty on hand]],"Check","OK")</f>
        <v>OK</v>
      </c>
    </row>
    <row r="2375" spans="1:24" x14ac:dyDescent="0.3">
      <c r="A2375" t="s">
        <v>257</v>
      </c>
      <c r="B2375" t="s">
        <v>258</v>
      </c>
      <c r="C2375" t="s">
        <v>77</v>
      </c>
      <c r="D2375" t="s">
        <v>78</v>
      </c>
      <c r="E2375" t="s">
        <v>27</v>
      </c>
      <c r="F2375" s="1" t="s">
        <v>50</v>
      </c>
      <c r="G2375" s="2">
        <v>9.35</v>
      </c>
      <c r="H2375">
        <v>9.35</v>
      </c>
      <c r="I2375">
        <v>9.3122220000000002</v>
      </c>
      <c r="J2375">
        <v>12.17</v>
      </c>
      <c r="K2375">
        <v>21</v>
      </c>
      <c r="M2375">
        <v>0</v>
      </c>
      <c r="N2375" s="2">
        <v>27</v>
      </c>
      <c r="O2375">
        <v>251.43</v>
      </c>
      <c r="P2375">
        <v>9</v>
      </c>
      <c r="Q2375">
        <v>18</v>
      </c>
      <c r="R2375">
        <v>1.3</v>
      </c>
      <c r="S2375">
        <v>0</v>
      </c>
      <c r="T2375">
        <v>79</v>
      </c>
      <c r="U2375" s="2">
        <v>961.43</v>
      </c>
      <c r="V2375">
        <v>0</v>
      </c>
      <c r="W2375" t="s">
        <v>29</v>
      </c>
      <c r="X2375" t="str">
        <f>IF(Table2[[#This Row],[Qty available]]&gt;Table2[[#This Row],[Qty on hand]],"Check","OK")</f>
        <v>OK</v>
      </c>
    </row>
    <row r="2376" spans="1:24" x14ac:dyDescent="0.3">
      <c r="A2376" t="s">
        <v>257</v>
      </c>
      <c r="B2376" t="s">
        <v>258</v>
      </c>
      <c r="C2376" t="s">
        <v>77</v>
      </c>
      <c r="D2376" t="s">
        <v>78</v>
      </c>
      <c r="E2376" t="s">
        <v>27</v>
      </c>
      <c r="F2376" s="1" t="s">
        <v>51</v>
      </c>
      <c r="G2376" s="2">
        <v>9.66</v>
      </c>
      <c r="H2376">
        <v>9.66</v>
      </c>
      <c r="I2376">
        <v>9.6156970000000008</v>
      </c>
      <c r="J2376">
        <v>12.17</v>
      </c>
      <c r="K2376">
        <v>21</v>
      </c>
      <c r="L2376" s="2">
        <v>38</v>
      </c>
      <c r="M2376">
        <v>185</v>
      </c>
      <c r="N2376" s="2">
        <v>165</v>
      </c>
      <c r="O2376">
        <v>1586.59</v>
      </c>
      <c r="P2376">
        <v>19</v>
      </c>
      <c r="Q2376">
        <v>146</v>
      </c>
      <c r="R2376">
        <v>9.07</v>
      </c>
      <c r="S2376">
        <v>0</v>
      </c>
      <c r="T2376">
        <v>47</v>
      </c>
      <c r="U2376" s="2">
        <v>571.99</v>
      </c>
      <c r="V2376">
        <v>0</v>
      </c>
      <c r="W2376" t="s">
        <v>29</v>
      </c>
      <c r="X2376" t="str">
        <f>IF(Table2[[#This Row],[Qty available]]&gt;Table2[[#This Row],[Qty on hand]],"Check","OK")</f>
        <v>OK</v>
      </c>
    </row>
    <row r="2377" spans="1:24" x14ac:dyDescent="0.3">
      <c r="A2377" t="s">
        <v>257</v>
      </c>
      <c r="B2377" t="s">
        <v>258</v>
      </c>
      <c r="C2377" t="s">
        <v>77</v>
      </c>
      <c r="D2377" t="s">
        <v>78</v>
      </c>
      <c r="E2377" t="s">
        <v>27</v>
      </c>
      <c r="F2377" s="1" t="s">
        <v>52</v>
      </c>
      <c r="G2377" s="2">
        <v>9.6300000000000008</v>
      </c>
      <c r="H2377">
        <v>9.6300000000000008</v>
      </c>
      <c r="I2377">
        <v>9.6212669999999996</v>
      </c>
      <c r="J2377">
        <v>12.17</v>
      </c>
      <c r="K2377">
        <v>21</v>
      </c>
      <c r="L2377" s="2">
        <v>21</v>
      </c>
      <c r="M2377">
        <v>106</v>
      </c>
      <c r="N2377" s="2">
        <v>150</v>
      </c>
      <c r="O2377">
        <v>1443.19</v>
      </c>
      <c r="P2377">
        <v>12</v>
      </c>
      <c r="Q2377">
        <v>138</v>
      </c>
      <c r="R2377">
        <v>7.98</v>
      </c>
      <c r="S2377">
        <v>4</v>
      </c>
      <c r="T2377">
        <v>121</v>
      </c>
      <c r="U2377" s="2">
        <v>1472.57</v>
      </c>
      <c r="V2377">
        <v>0</v>
      </c>
      <c r="W2377" t="s">
        <v>29</v>
      </c>
      <c r="X2377" t="str">
        <f>IF(Table2[[#This Row],[Qty available]]&gt;Table2[[#This Row],[Qty on hand]],"Check","OK")</f>
        <v>OK</v>
      </c>
    </row>
    <row r="2378" spans="1:24" x14ac:dyDescent="0.3">
      <c r="A2378" t="s">
        <v>259</v>
      </c>
      <c r="B2378" t="s">
        <v>260</v>
      </c>
      <c r="C2378" t="s">
        <v>91</v>
      </c>
      <c r="D2378" t="s">
        <v>92</v>
      </c>
      <c r="E2378" t="s">
        <v>27</v>
      </c>
      <c r="F2378" s="1" t="s">
        <v>28</v>
      </c>
      <c r="G2378" s="2">
        <v>3.42</v>
      </c>
      <c r="H2378">
        <v>3.42</v>
      </c>
      <c r="I2378">
        <v>3.4148640000000001</v>
      </c>
      <c r="J2378">
        <v>4.66</v>
      </c>
      <c r="K2378">
        <v>57</v>
      </c>
      <c r="L2378" s="2">
        <v>91</v>
      </c>
      <c r="M2378">
        <v>1875</v>
      </c>
      <c r="N2378" s="2">
        <v>2385</v>
      </c>
      <c r="O2378">
        <v>8144.45</v>
      </c>
      <c r="P2378">
        <v>89</v>
      </c>
      <c r="Q2378">
        <v>2296</v>
      </c>
      <c r="R2378">
        <v>49.91</v>
      </c>
      <c r="S2378">
        <v>32</v>
      </c>
      <c r="T2378">
        <v>0</v>
      </c>
      <c r="U2378" s="2">
        <v>0</v>
      </c>
      <c r="V2378">
        <v>0</v>
      </c>
      <c r="W2378" t="s">
        <v>29</v>
      </c>
      <c r="X2378" t="str">
        <f>IF(Table2[[#This Row],[Qty available]]&gt;Table2[[#This Row],[Qty on hand]],"Check","OK")</f>
        <v>OK</v>
      </c>
    </row>
    <row r="2379" spans="1:24" x14ac:dyDescent="0.3">
      <c r="A2379" t="s">
        <v>259</v>
      </c>
      <c r="B2379" t="s">
        <v>260</v>
      </c>
      <c r="C2379" t="s">
        <v>91</v>
      </c>
      <c r="D2379" t="s">
        <v>92</v>
      </c>
      <c r="E2379" t="s">
        <v>27</v>
      </c>
      <c r="F2379" s="1" t="s">
        <v>30</v>
      </c>
      <c r="G2379" s="2">
        <v>3.61</v>
      </c>
      <c r="H2379">
        <v>3.61</v>
      </c>
      <c r="I2379">
        <v>3.414863</v>
      </c>
      <c r="J2379">
        <v>4.66</v>
      </c>
      <c r="K2379">
        <v>57</v>
      </c>
      <c r="M2379">
        <v>0</v>
      </c>
      <c r="N2379" s="2">
        <v>1865</v>
      </c>
      <c r="O2379">
        <v>6368.72</v>
      </c>
      <c r="P2379">
        <v>44</v>
      </c>
      <c r="Q2379">
        <v>1821</v>
      </c>
      <c r="R2379">
        <v>31.3</v>
      </c>
      <c r="S2379">
        <v>1</v>
      </c>
      <c r="T2379">
        <v>520</v>
      </c>
      <c r="U2379" s="2">
        <v>2423.1999999999998</v>
      </c>
      <c r="V2379">
        <v>0</v>
      </c>
      <c r="W2379" t="s">
        <v>29</v>
      </c>
      <c r="X2379" t="str">
        <f>IF(Table2[[#This Row],[Qty available]]&gt;Table2[[#This Row],[Qty on hand]],"Check","OK")</f>
        <v>OK</v>
      </c>
    </row>
    <row r="2380" spans="1:24" x14ac:dyDescent="0.3">
      <c r="A2380" t="s">
        <v>259</v>
      </c>
      <c r="B2380" t="s">
        <v>260</v>
      </c>
      <c r="C2380" t="s">
        <v>91</v>
      </c>
      <c r="D2380" t="s">
        <v>92</v>
      </c>
      <c r="E2380" t="s">
        <v>27</v>
      </c>
      <c r="F2380" s="1" t="s">
        <v>31</v>
      </c>
      <c r="G2380" s="2">
        <v>3.7</v>
      </c>
      <c r="H2380">
        <v>3.7</v>
      </c>
      <c r="I2380">
        <v>3.414863</v>
      </c>
      <c r="J2380">
        <v>4.66</v>
      </c>
      <c r="K2380">
        <v>57</v>
      </c>
      <c r="M2380">
        <v>0</v>
      </c>
      <c r="N2380" s="2">
        <v>1865</v>
      </c>
      <c r="O2380">
        <v>6368.72</v>
      </c>
      <c r="P2380">
        <v>74</v>
      </c>
      <c r="Q2380">
        <v>1791</v>
      </c>
      <c r="R2380">
        <v>46.63</v>
      </c>
      <c r="S2380">
        <v>31</v>
      </c>
      <c r="T2380">
        <v>0</v>
      </c>
      <c r="U2380" s="2">
        <v>0</v>
      </c>
      <c r="V2380">
        <v>0</v>
      </c>
      <c r="W2380" t="s">
        <v>29</v>
      </c>
      <c r="X2380" t="str">
        <f>IF(Table2[[#This Row],[Qty available]]&gt;Table2[[#This Row],[Qty on hand]],"Check","OK")</f>
        <v>OK</v>
      </c>
    </row>
    <row r="2381" spans="1:24" x14ac:dyDescent="0.3">
      <c r="A2381" t="s">
        <v>259</v>
      </c>
      <c r="B2381" t="s">
        <v>260</v>
      </c>
      <c r="C2381" t="s">
        <v>91</v>
      </c>
      <c r="D2381" t="s">
        <v>92</v>
      </c>
      <c r="E2381" t="s">
        <v>27</v>
      </c>
      <c r="F2381" s="1" t="s">
        <v>32</v>
      </c>
      <c r="G2381" s="2">
        <v>3.61</v>
      </c>
      <c r="H2381">
        <v>3.61</v>
      </c>
      <c r="I2381">
        <v>3.4148640000000001</v>
      </c>
      <c r="J2381">
        <v>4.66</v>
      </c>
      <c r="K2381">
        <v>57</v>
      </c>
      <c r="M2381">
        <v>0</v>
      </c>
      <c r="N2381" s="2">
        <v>1252</v>
      </c>
      <c r="O2381">
        <v>4275.41</v>
      </c>
      <c r="P2381">
        <v>89</v>
      </c>
      <c r="Q2381">
        <v>1163</v>
      </c>
      <c r="R2381">
        <v>14.52</v>
      </c>
      <c r="S2381">
        <v>1</v>
      </c>
      <c r="T2381">
        <v>613</v>
      </c>
      <c r="U2381" s="2">
        <v>2856.58</v>
      </c>
      <c r="V2381">
        <v>0</v>
      </c>
      <c r="W2381" t="s">
        <v>29</v>
      </c>
      <c r="X2381" t="str">
        <f>IF(Table2[[#This Row],[Qty available]]&gt;Table2[[#This Row],[Qty on hand]],"Check","OK")</f>
        <v>OK</v>
      </c>
    </row>
    <row r="2382" spans="1:24" x14ac:dyDescent="0.3">
      <c r="A2382" t="s">
        <v>259</v>
      </c>
      <c r="B2382" t="s">
        <v>260</v>
      </c>
      <c r="C2382" t="s">
        <v>91</v>
      </c>
      <c r="D2382" t="s">
        <v>92</v>
      </c>
      <c r="E2382" t="s">
        <v>27</v>
      </c>
      <c r="F2382" s="1" t="s">
        <v>33</v>
      </c>
      <c r="G2382" s="2">
        <v>3.58</v>
      </c>
      <c r="H2382">
        <v>3.58</v>
      </c>
      <c r="I2382">
        <v>3.421208</v>
      </c>
      <c r="J2382">
        <v>4.66</v>
      </c>
      <c r="K2382">
        <v>57</v>
      </c>
      <c r="L2382" s="2">
        <v>84</v>
      </c>
      <c r="M2382">
        <v>50</v>
      </c>
      <c r="N2382" s="2">
        <v>828</v>
      </c>
      <c r="O2382">
        <v>2832.76</v>
      </c>
      <c r="P2382">
        <v>119</v>
      </c>
      <c r="Q2382">
        <v>709</v>
      </c>
      <c r="R2382">
        <v>10.01</v>
      </c>
      <c r="S2382">
        <v>1</v>
      </c>
      <c r="T2382">
        <v>474</v>
      </c>
      <c r="U2382" s="2">
        <v>2208.84</v>
      </c>
      <c r="V2382">
        <v>0</v>
      </c>
      <c r="W2382" t="s">
        <v>29</v>
      </c>
      <c r="X2382" t="str">
        <f>IF(Table2[[#This Row],[Qty available]]&gt;Table2[[#This Row],[Qty on hand]],"Check","OK")</f>
        <v>OK</v>
      </c>
    </row>
    <row r="2383" spans="1:24" x14ac:dyDescent="0.3">
      <c r="A2383" t="s">
        <v>259</v>
      </c>
      <c r="B2383" t="s">
        <v>260</v>
      </c>
      <c r="C2383" t="s">
        <v>91</v>
      </c>
      <c r="D2383" t="s">
        <v>92</v>
      </c>
      <c r="E2383" t="s">
        <v>27</v>
      </c>
      <c r="F2383" s="1" t="s">
        <v>34</v>
      </c>
      <c r="G2383" s="2">
        <v>3.61</v>
      </c>
      <c r="H2383">
        <v>3.61</v>
      </c>
      <c r="I2383">
        <v>3.5361229999999999</v>
      </c>
      <c r="J2383">
        <v>4.93</v>
      </c>
      <c r="K2383">
        <v>57</v>
      </c>
      <c r="L2383" s="2">
        <v>51</v>
      </c>
      <c r="M2383">
        <v>1288</v>
      </c>
      <c r="N2383" s="2">
        <v>1411</v>
      </c>
      <c r="O2383">
        <v>4989.47</v>
      </c>
      <c r="P2383">
        <v>133</v>
      </c>
      <c r="Q2383">
        <v>1278</v>
      </c>
      <c r="R2383">
        <v>10.119999999999999</v>
      </c>
      <c r="S2383">
        <v>0</v>
      </c>
      <c r="T2383">
        <v>705</v>
      </c>
      <c r="U2383" s="2">
        <v>3475.65</v>
      </c>
      <c r="V2383">
        <v>0</v>
      </c>
      <c r="W2383" t="s">
        <v>29</v>
      </c>
      <c r="X2383" t="str">
        <f>IF(Table2[[#This Row],[Qty available]]&gt;Table2[[#This Row],[Qty on hand]],"Check","OK")</f>
        <v>OK</v>
      </c>
    </row>
    <row r="2384" spans="1:24" x14ac:dyDescent="0.3">
      <c r="A2384" t="s">
        <v>259</v>
      </c>
      <c r="B2384" t="s">
        <v>260</v>
      </c>
      <c r="C2384" t="s">
        <v>91</v>
      </c>
      <c r="D2384" t="s">
        <v>92</v>
      </c>
      <c r="E2384" t="s">
        <v>27</v>
      </c>
      <c r="F2384" s="1" t="s">
        <v>35</v>
      </c>
      <c r="G2384" s="2">
        <v>3.57</v>
      </c>
      <c r="H2384">
        <v>3.57</v>
      </c>
      <c r="I2384">
        <v>3.5443150000000001</v>
      </c>
      <c r="J2384">
        <v>4.93</v>
      </c>
      <c r="K2384">
        <v>57</v>
      </c>
      <c r="L2384" s="2">
        <v>54</v>
      </c>
      <c r="M2384">
        <v>450</v>
      </c>
      <c r="N2384" s="2">
        <v>1585</v>
      </c>
      <c r="O2384">
        <v>5617.74</v>
      </c>
      <c r="P2384">
        <v>44</v>
      </c>
      <c r="Q2384">
        <v>1541</v>
      </c>
      <c r="R2384">
        <v>14.01</v>
      </c>
      <c r="S2384">
        <v>3</v>
      </c>
      <c r="T2384">
        <v>276</v>
      </c>
      <c r="U2384" s="2">
        <v>1360.68</v>
      </c>
      <c r="V2384">
        <v>0</v>
      </c>
      <c r="W2384" t="s">
        <v>29</v>
      </c>
      <c r="X2384" t="str">
        <f>IF(Table2[[#This Row],[Qty available]]&gt;Table2[[#This Row],[Qty on hand]],"Check","OK")</f>
        <v>OK</v>
      </c>
    </row>
    <row r="2385" spans="1:24" x14ac:dyDescent="0.3">
      <c r="A2385" t="s">
        <v>259</v>
      </c>
      <c r="B2385" t="s">
        <v>260</v>
      </c>
      <c r="C2385" t="s">
        <v>91</v>
      </c>
      <c r="D2385" t="s">
        <v>92</v>
      </c>
      <c r="E2385" t="s">
        <v>27</v>
      </c>
      <c r="F2385" s="1" t="s">
        <v>36</v>
      </c>
      <c r="G2385" s="2">
        <v>3.67</v>
      </c>
      <c r="H2385">
        <v>3.67</v>
      </c>
      <c r="I2385">
        <v>3.559142</v>
      </c>
      <c r="J2385">
        <v>4.93</v>
      </c>
      <c r="K2385">
        <v>57</v>
      </c>
      <c r="L2385" s="2">
        <v>54</v>
      </c>
      <c r="M2385">
        <v>212</v>
      </c>
      <c r="N2385" s="2">
        <v>1130</v>
      </c>
      <c r="O2385">
        <v>4021.83</v>
      </c>
      <c r="P2385">
        <v>30</v>
      </c>
      <c r="Q2385">
        <v>1100</v>
      </c>
      <c r="R2385">
        <v>8.7200000000000006</v>
      </c>
      <c r="S2385">
        <v>0</v>
      </c>
      <c r="T2385">
        <v>667</v>
      </c>
      <c r="U2385" s="2">
        <v>3288.31</v>
      </c>
      <c r="V2385">
        <v>0</v>
      </c>
      <c r="W2385" t="s">
        <v>29</v>
      </c>
      <c r="X2385" t="str">
        <f>IF(Table2[[#This Row],[Qty available]]&gt;Table2[[#This Row],[Qty on hand]],"Check","OK")</f>
        <v>OK</v>
      </c>
    </row>
    <row r="2386" spans="1:24" x14ac:dyDescent="0.3">
      <c r="A2386" t="s">
        <v>259</v>
      </c>
      <c r="B2386" t="s">
        <v>260</v>
      </c>
      <c r="C2386" t="s">
        <v>91</v>
      </c>
      <c r="D2386" t="s">
        <v>92</v>
      </c>
      <c r="E2386" t="s">
        <v>27</v>
      </c>
      <c r="F2386" s="1" t="s">
        <v>37</v>
      </c>
      <c r="G2386" s="2">
        <v>3.57</v>
      </c>
      <c r="H2386">
        <v>3.57</v>
      </c>
      <c r="I2386">
        <v>3.5591409999999999</v>
      </c>
      <c r="J2386">
        <v>4.93</v>
      </c>
      <c r="K2386">
        <v>57</v>
      </c>
      <c r="M2386">
        <v>0</v>
      </c>
      <c r="N2386" s="2">
        <v>815</v>
      </c>
      <c r="O2386">
        <v>2900.7</v>
      </c>
      <c r="P2386">
        <v>133</v>
      </c>
      <c r="Q2386">
        <v>682</v>
      </c>
      <c r="R2386">
        <v>8.51</v>
      </c>
      <c r="S2386">
        <v>3</v>
      </c>
      <c r="T2386">
        <v>315</v>
      </c>
      <c r="U2386" s="2">
        <v>1552.95</v>
      </c>
      <c r="V2386">
        <v>0</v>
      </c>
      <c r="W2386" t="s">
        <v>29</v>
      </c>
      <c r="X2386" t="str">
        <f>IF(Table2[[#This Row],[Qty available]]&gt;Table2[[#This Row],[Qty on hand]],"Check","OK")</f>
        <v>OK</v>
      </c>
    </row>
    <row r="2387" spans="1:24" x14ac:dyDescent="0.3">
      <c r="A2387" t="s">
        <v>259</v>
      </c>
      <c r="B2387" t="s">
        <v>260</v>
      </c>
      <c r="C2387" t="s">
        <v>91</v>
      </c>
      <c r="D2387" t="s">
        <v>92</v>
      </c>
      <c r="E2387" t="s">
        <v>27</v>
      </c>
      <c r="F2387" s="1" t="s">
        <v>38</v>
      </c>
      <c r="G2387" s="2">
        <v>3.6</v>
      </c>
      <c r="H2387">
        <v>3.6</v>
      </c>
      <c r="I2387">
        <v>3.5591409999999999</v>
      </c>
      <c r="J2387">
        <v>4.93</v>
      </c>
      <c r="K2387">
        <v>57</v>
      </c>
      <c r="M2387">
        <v>0</v>
      </c>
      <c r="N2387" s="2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815</v>
      </c>
      <c r="U2387" s="2">
        <v>4017.95</v>
      </c>
      <c r="V2387">
        <v>47</v>
      </c>
      <c r="W2387" t="s">
        <v>59</v>
      </c>
      <c r="X2387" t="str">
        <f>IF(Table2[[#This Row],[Qty available]]&gt;Table2[[#This Row],[Qty on hand]],"Check","OK")</f>
        <v>OK</v>
      </c>
    </row>
    <row r="2388" spans="1:24" x14ac:dyDescent="0.3">
      <c r="A2388" t="s">
        <v>259</v>
      </c>
      <c r="B2388" t="s">
        <v>260</v>
      </c>
      <c r="C2388" t="s">
        <v>91</v>
      </c>
      <c r="D2388" t="s">
        <v>92</v>
      </c>
      <c r="E2388" t="s">
        <v>27</v>
      </c>
      <c r="F2388" s="1" t="s">
        <v>39</v>
      </c>
      <c r="G2388" s="2">
        <v>3.7</v>
      </c>
      <c r="H2388">
        <v>3.7</v>
      </c>
      <c r="I2388">
        <v>3.7</v>
      </c>
      <c r="J2388">
        <v>4.93</v>
      </c>
      <c r="K2388">
        <v>57</v>
      </c>
      <c r="L2388" s="2">
        <v>73</v>
      </c>
      <c r="M2388">
        <v>1147</v>
      </c>
      <c r="N2388" s="2">
        <v>991</v>
      </c>
      <c r="O2388">
        <v>3666.7</v>
      </c>
      <c r="P2388">
        <v>59</v>
      </c>
      <c r="Q2388">
        <v>932</v>
      </c>
      <c r="R2388">
        <v>10.130000000000001</v>
      </c>
      <c r="S2388">
        <v>0</v>
      </c>
      <c r="T2388">
        <v>156</v>
      </c>
      <c r="U2388" s="2">
        <v>769.08</v>
      </c>
      <c r="V2388">
        <v>0</v>
      </c>
      <c r="W2388" t="s">
        <v>29</v>
      </c>
      <c r="X2388" t="str">
        <f>IF(Table2[[#This Row],[Qty available]]&gt;Table2[[#This Row],[Qty on hand]],"Check","OK")</f>
        <v>OK</v>
      </c>
    </row>
    <row r="2389" spans="1:24" x14ac:dyDescent="0.3">
      <c r="A2389" t="s">
        <v>259</v>
      </c>
      <c r="B2389" t="s">
        <v>260</v>
      </c>
      <c r="C2389" t="s">
        <v>91</v>
      </c>
      <c r="D2389" t="s">
        <v>92</v>
      </c>
      <c r="E2389" t="s">
        <v>27</v>
      </c>
      <c r="F2389" s="1" t="s">
        <v>40</v>
      </c>
      <c r="G2389" s="2">
        <v>3.58</v>
      </c>
      <c r="H2389">
        <v>3.58</v>
      </c>
      <c r="I2389">
        <v>3.6308220000000002</v>
      </c>
      <c r="J2389">
        <v>4.93</v>
      </c>
      <c r="K2389">
        <v>57</v>
      </c>
      <c r="L2389" s="2">
        <v>49</v>
      </c>
      <c r="M2389">
        <v>1349</v>
      </c>
      <c r="N2389" s="2">
        <v>1885</v>
      </c>
      <c r="O2389">
        <v>6844.1</v>
      </c>
      <c r="P2389">
        <v>119</v>
      </c>
      <c r="Q2389">
        <v>1766</v>
      </c>
      <c r="R2389">
        <v>17.37</v>
      </c>
      <c r="S2389">
        <v>0</v>
      </c>
      <c r="T2389">
        <v>455</v>
      </c>
      <c r="U2389" s="2">
        <v>2243.15</v>
      </c>
      <c r="V2389">
        <v>0</v>
      </c>
      <c r="W2389" t="s">
        <v>29</v>
      </c>
      <c r="X2389" t="str">
        <f>IF(Table2[[#This Row],[Qty available]]&gt;Table2[[#This Row],[Qty on hand]],"Check","OK")</f>
        <v>OK</v>
      </c>
    </row>
    <row r="2390" spans="1:24" x14ac:dyDescent="0.3">
      <c r="A2390" t="s">
        <v>259</v>
      </c>
      <c r="B2390" t="s">
        <v>260</v>
      </c>
      <c r="C2390" t="s">
        <v>91</v>
      </c>
      <c r="D2390" t="s">
        <v>92</v>
      </c>
      <c r="E2390" t="s">
        <v>27</v>
      </c>
      <c r="F2390" s="1" t="s">
        <v>41</v>
      </c>
      <c r="G2390" s="2">
        <v>3.63</v>
      </c>
      <c r="H2390">
        <v>3.63</v>
      </c>
      <c r="I2390">
        <v>3.6307610000000001</v>
      </c>
      <c r="J2390">
        <v>4.93</v>
      </c>
      <c r="K2390">
        <v>57</v>
      </c>
      <c r="L2390" s="2">
        <v>53</v>
      </c>
      <c r="M2390">
        <v>148</v>
      </c>
      <c r="N2390" s="2">
        <v>1551</v>
      </c>
      <c r="O2390">
        <v>5631.31</v>
      </c>
      <c r="P2390">
        <v>59</v>
      </c>
      <c r="Q2390">
        <v>1492</v>
      </c>
      <c r="R2390">
        <v>18.649999999999999</v>
      </c>
      <c r="S2390">
        <v>0</v>
      </c>
      <c r="T2390">
        <v>482</v>
      </c>
      <c r="U2390" s="2">
        <v>2376.2600000000002</v>
      </c>
      <c r="V2390">
        <v>0</v>
      </c>
      <c r="W2390" t="s">
        <v>29</v>
      </c>
      <c r="X2390" t="str">
        <f>IF(Table2[[#This Row],[Qty available]]&gt;Table2[[#This Row],[Qty on hand]],"Check","OK")</f>
        <v>OK</v>
      </c>
    </row>
    <row r="2391" spans="1:24" x14ac:dyDescent="0.3">
      <c r="A2391" t="s">
        <v>259</v>
      </c>
      <c r="B2391" t="s">
        <v>260</v>
      </c>
      <c r="C2391" t="s">
        <v>91</v>
      </c>
      <c r="D2391" t="s">
        <v>92</v>
      </c>
      <c r="E2391" t="s">
        <v>27</v>
      </c>
      <c r="F2391" s="1" t="s">
        <v>42</v>
      </c>
      <c r="G2391" s="2">
        <v>3.91</v>
      </c>
      <c r="H2391">
        <v>3.91</v>
      </c>
      <c r="I2391">
        <v>3.639478</v>
      </c>
      <c r="J2391">
        <v>4.93</v>
      </c>
      <c r="K2391">
        <v>57</v>
      </c>
      <c r="L2391" s="2">
        <v>54</v>
      </c>
      <c r="M2391">
        <v>50</v>
      </c>
      <c r="N2391" s="2">
        <v>1168</v>
      </c>
      <c r="O2391">
        <v>4250.91</v>
      </c>
      <c r="P2391">
        <v>74</v>
      </c>
      <c r="Q2391">
        <v>1094</v>
      </c>
      <c r="R2391">
        <v>11.21</v>
      </c>
      <c r="S2391">
        <v>3</v>
      </c>
      <c r="T2391">
        <v>433</v>
      </c>
      <c r="U2391" s="2">
        <v>2134.69</v>
      </c>
      <c r="V2391">
        <v>0</v>
      </c>
      <c r="W2391" t="s">
        <v>29</v>
      </c>
      <c r="X2391" t="str">
        <f>IF(Table2[[#This Row],[Qty available]]&gt;Table2[[#This Row],[Qty on hand]],"Check","OK")</f>
        <v>OK</v>
      </c>
    </row>
    <row r="2392" spans="1:24" x14ac:dyDescent="0.3">
      <c r="A2392" t="s">
        <v>259</v>
      </c>
      <c r="B2392" t="s">
        <v>260</v>
      </c>
      <c r="C2392" t="s">
        <v>91</v>
      </c>
      <c r="D2392" t="s">
        <v>92</v>
      </c>
      <c r="E2392" t="s">
        <v>27</v>
      </c>
      <c r="F2392" s="1" t="s">
        <v>43</v>
      </c>
      <c r="G2392" s="2">
        <v>3.87</v>
      </c>
      <c r="H2392">
        <v>3.87</v>
      </c>
      <c r="I2392">
        <v>3.6588250000000002</v>
      </c>
      <c r="J2392">
        <v>4.93</v>
      </c>
      <c r="K2392">
        <v>57</v>
      </c>
      <c r="L2392" s="2">
        <v>54</v>
      </c>
      <c r="M2392">
        <v>107</v>
      </c>
      <c r="N2392" s="2">
        <v>945</v>
      </c>
      <c r="O2392">
        <v>3457.59</v>
      </c>
      <c r="P2392">
        <v>133</v>
      </c>
      <c r="Q2392">
        <v>812</v>
      </c>
      <c r="R2392">
        <v>9.8699999999999992</v>
      </c>
      <c r="S2392">
        <v>0</v>
      </c>
      <c r="T2392">
        <v>330</v>
      </c>
      <c r="U2392" s="2">
        <v>1626.9</v>
      </c>
      <c r="V2392">
        <v>0</v>
      </c>
      <c r="W2392" t="s">
        <v>29</v>
      </c>
      <c r="X2392" t="str">
        <f>IF(Table2[[#This Row],[Qty available]]&gt;Table2[[#This Row],[Qty on hand]],"Check","OK")</f>
        <v>OK</v>
      </c>
    </row>
    <row r="2393" spans="1:24" x14ac:dyDescent="0.3">
      <c r="A2393" t="s">
        <v>259</v>
      </c>
      <c r="B2393" t="s">
        <v>260</v>
      </c>
      <c r="C2393" t="s">
        <v>91</v>
      </c>
      <c r="D2393" t="s">
        <v>92</v>
      </c>
      <c r="E2393" t="s">
        <v>27</v>
      </c>
      <c r="F2393" s="1" t="s">
        <v>44</v>
      </c>
      <c r="G2393" s="2">
        <v>3.84</v>
      </c>
      <c r="H2393">
        <v>3.84</v>
      </c>
      <c r="I2393">
        <v>3.6703239999999999</v>
      </c>
      <c r="J2393">
        <v>4.93</v>
      </c>
      <c r="K2393">
        <v>57</v>
      </c>
      <c r="L2393" s="2">
        <v>57</v>
      </c>
      <c r="M2393">
        <v>64</v>
      </c>
      <c r="N2393" s="2">
        <v>463</v>
      </c>
      <c r="O2393">
        <v>1699.36</v>
      </c>
      <c r="P2393">
        <v>89</v>
      </c>
      <c r="Q2393">
        <v>374</v>
      </c>
      <c r="R2393">
        <v>4.6500000000000004</v>
      </c>
      <c r="S2393">
        <v>0</v>
      </c>
      <c r="T2393">
        <v>546</v>
      </c>
      <c r="U2393" s="2">
        <v>2691.78</v>
      </c>
      <c r="V2393">
        <v>0</v>
      </c>
      <c r="W2393" t="s">
        <v>29</v>
      </c>
      <c r="X2393" t="str">
        <f>IF(Table2[[#This Row],[Qty available]]&gt;Table2[[#This Row],[Qty on hand]],"Check","OK")</f>
        <v>OK</v>
      </c>
    </row>
    <row r="2394" spans="1:24" x14ac:dyDescent="0.3">
      <c r="A2394" t="s">
        <v>259</v>
      </c>
      <c r="B2394" t="s">
        <v>260</v>
      </c>
      <c r="C2394" t="s">
        <v>91</v>
      </c>
      <c r="D2394" t="s">
        <v>92</v>
      </c>
      <c r="E2394" t="s">
        <v>27</v>
      </c>
      <c r="F2394" s="1" t="s">
        <v>45</v>
      </c>
      <c r="G2394" s="2">
        <v>3.89</v>
      </c>
      <c r="H2394">
        <v>3.89</v>
      </c>
      <c r="I2394">
        <v>3.83982</v>
      </c>
      <c r="J2394">
        <v>4.93</v>
      </c>
      <c r="K2394">
        <v>57</v>
      </c>
      <c r="L2394" s="2">
        <v>56</v>
      </c>
      <c r="M2394">
        <v>1564</v>
      </c>
      <c r="N2394" s="2">
        <v>1496</v>
      </c>
      <c r="O2394">
        <v>5744.37</v>
      </c>
      <c r="P2394">
        <v>44</v>
      </c>
      <c r="Q2394">
        <v>1452</v>
      </c>
      <c r="R2394">
        <v>13.97</v>
      </c>
      <c r="S2394">
        <v>0</v>
      </c>
      <c r="T2394">
        <v>531</v>
      </c>
      <c r="U2394" s="2">
        <v>2617.83</v>
      </c>
      <c r="V2394">
        <v>0</v>
      </c>
      <c r="W2394" t="s">
        <v>29</v>
      </c>
      <c r="X2394" t="str">
        <f>IF(Table2[[#This Row],[Qty available]]&gt;Table2[[#This Row],[Qty on hand]],"Check","OK")</f>
        <v>OK</v>
      </c>
    </row>
    <row r="2395" spans="1:24" x14ac:dyDescent="0.3">
      <c r="A2395" t="s">
        <v>259</v>
      </c>
      <c r="B2395" t="s">
        <v>260</v>
      </c>
      <c r="C2395" t="s">
        <v>91</v>
      </c>
      <c r="D2395" t="s">
        <v>92</v>
      </c>
      <c r="E2395" t="s">
        <v>27</v>
      </c>
      <c r="F2395" s="1" t="s">
        <v>46</v>
      </c>
      <c r="G2395" s="2">
        <v>3.91</v>
      </c>
      <c r="H2395">
        <v>3.91</v>
      </c>
      <c r="I2395">
        <v>3.8398219999999998</v>
      </c>
      <c r="J2395">
        <v>5.21</v>
      </c>
      <c r="K2395">
        <v>57</v>
      </c>
      <c r="M2395">
        <v>0</v>
      </c>
      <c r="N2395" s="2">
        <v>1295</v>
      </c>
      <c r="O2395">
        <v>4972.57</v>
      </c>
      <c r="P2395">
        <v>89</v>
      </c>
      <c r="Q2395">
        <v>1206</v>
      </c>
      <c r="R2395">
        <v>13.03</v>
      </c>
      <c r="S2395">
        <v>3</v>
      </c>
      <c r="T2395">
        <v>201</v>
      </c>
      <c r="U2395" s="2">
        <v>1047.21</v>
      </c>
      <c r="V2395">
        <v>0</v>
      </c>
      <c r="W2395" t="s">
        <v>29</v>
      </c>
      <c r="X2395" t="str">
        <f>IF(Table2[[#This Row],[Qty available]]&gt;Table2[[#This Row],[Qty on hand]],"Check","OK")</f>
        <v>OK</v>
      </c>
    </row>
    <row r="2396" spans="1:24" x14ac:dyDescent="0.3">
      <c r="A2396" t="s">
        <v>259</v>
      </c>
      <c r="B2396" t="s">
        <v>260</v>
      </c>
      <c r="C2396" t="s">
        <v>91</v>
      </c>
      <c r="D2396" t="s">
        <v>92</v>
      </c>
      <c r="E2396" t="s">
        <v>27</v>
      </c>
      <c r="F2396" s="1" t="s">
        <v>47</v>
      </c>
      <c r="G2396" s="2">
        <v>3.87</v>
      </c>
      <c r="H2396">
        <v>3.87</v>
      </c>
      <c r="I2396">
        <v>3.8398219999999998</v>
      </c>
      <c r="J2396">
        <v>5.21</v>
      </c>
      <c r="K2396">
        <v>57</v>
      </c>
      <c r="M2396">
        <v>0</v>
      </c>
      <c r="N2396" s="2">
        <v>1067</v>
      </c>
      <c r="O2396">
        <v>4097.09</v>
      </c>
      <c r="P2396">
        <v>74</v>
      </c>
      <c r="Q2396">
        <v>993</v>
      </c>
      <c r="R2396">
        <v>14.29</v>
      </c>
      <c r="S2396">
        <v>0</v>
      </c>
      <c r="T2396">
        <v>228</v>
      </c>
      <c r="U2396" s="2">
        <v>1187.8800000000001</v>
      </c>
      <c r="V2396">
        <v>0</v>
      </c>
      <c r="W2396" t="s">
        <v>29</v>
      </c>
      <c r="X2396" t="str">
        <f>IF(Table2[[#This Row],[Qty available]]&gt;Table2[[#This Row],[Qty on hand]],"Check","OK")</f>
        <v>OK</v>
      </c>
    </row>
    <row r="2397" spans="1:24" x14ac:dyDescent="0.3">
      <c r="A2397" t="s">
        <v>259</v>
      </c>
      <c r="B2397" t="s">
        <v>260</v>
      </c>
      <c r="C2397" t="s">
        <v>91</v>
      </c>
      <c r="D2397" t="s">
        <v>92</v>
      </c>
      <c r="E2397" t="s">
        <v>27</v>
      </c>
      <c r="F2397" s="1" t="s">
        <v>48</v>
      </c>
      <c r="G2397" s="2">
        <v>3.77</v>
      </c>
      <c r="H2397">
        <v>3.77</v>
      </c>
      <c r="I2397">
        <v>3.8398240000000001</v>
      </c>
      <c r="J2397">
        <v>5.21</v>
      </c>
      <c r="K2397">
        <v>57</v>
      </c>
      <c r="M2397">
        <v>0</v>
      </c>
      <c r="N2397" s="2">
        <v>568</v>
      </c>
      <c r="O2397">
        <v>2181.02</v>
      </c>
      <c r="P2397">
        <v>44</v>
      </c>
      <c r="Q2397">
        <v>524</v>
      </c>
      <c r="R2397">
        <v>7.78</v>
      </c>
      <c r="S2397">
        <v>0</v>
      </c>
      <c r="T2397">
        <v>499</v>
      </c>
      <c r="U2397" s="2">
        <v>2599.79</v>
      </c>
      <c r="V2397">
        <v>0</v>
      </c>
      <c r="W2397" t="s">
        <v>29</v>
      </c>
      <c r="X2397" t="str">
        <f>IF(Table2[[#This Row],[Qty available]]&gt;Table2[[#This Row],[Qty on hand]],"Check","OK")</f>
        <v>OK</v>
      </c>
    </row>
    <row r="2398" spans="1:24" x14ac:dyDescent="0.3">
      <c r="A2398" t="s">
        <v>259</v>
      </c>
      <c r="B2398" t="s">
        <v>260</v>
      </c>
      <c r="C2398" t="s">
        <v>91</v>
      </c>
      <c r="D2398" t="s">
        <v>92</v>
      </c>
      <c r="E2398" t="s">
        <v>27</v>
      </c>
      <c r="F2398" s="1" t="s">
        <v>49</v>
      </c>
      <c r="G2398" s="2">
        <v>3.87</v>
      </c>
      <c r="H2398">
        <v>3.87</v>
      </c>
      <c r="I2398">
        <v>3.8577370000000002</v>
      </c>
      <c r="J2398">
        <v>5.21</v>
      </c>
      <c r="K2398">
        <v>57</v>
      </c>
      <c r="L2398" s="2">
        <v>49</v>
      </c>
      <c r="M2398">
        <v>829</v>
      </c>
      <c r="N2398" s="2">
        <v>685</v>
      </c>
      <c r="O2398">
        <v>2642.55</v>
      </c>
      <c r="P2398">
        <v>30</v>
      </c>
      <c r="Q2398">
        <v>655</v>
      </c>
      <c r="R2398">
        <v>6.26</v>
      </c>
      <c r="S2398">
        <v>0</v>
      </c>
      <c r="T2398">
        <v>712</v>
      </c>
      <c r="U2398" s="2">
        <v>3709.52</v>
      </c>
      <c r="V2398">
        <v>0</v>
      </c>
      <c r="W2398" t="s">
        <v>29</v>
      </c>
      <c r="X2398" t="str">
        <f>IF(Table2[[#This Row],[Qty available]]&gt;Table2[[#This Row],[Qty on hand]],"Check","OK")</f>
        <v>OK</v>
      </c>
    </row>
    <row r="2399" spans="1:24" x14ac:dyDescent="0.3">
      <c r="A2399" t="s">
        <v>259</v>
      </c>
      <c r="B2399" t="s">
        <v>260</v>
      </c>
      <c r="C2399" t="s">
        <v>91</v>
      </c>
      <c r="D2399" t="s">
        <v>92</v>
      </c>
      <c r="E2399" t="s">
        <v>27</v>
      </c>
      <c r="F2399" s="1" t="s">
        <v>50</v>
      </c>
      <c r="G2399" s="2">
        <v>3.8</v>
      </c>
      <c r="H2399">
        <v>3.8</v>
      </c>
      <c r="I2399">
        <v>3.8341780000000001</v>
      </c>
      <c r="J2399">
        <v>5.21</v>
      </c>
      <c r="K2399">
        <v>57</v>
      </c>
      <c r="L2399" s="2">
        <v>95</v>
      </c>
      <c r="M2399">
        <v>472</v>
      </c>
      <c r="N2399" s="2">
        <v>833</v>
      </c>
      <c r="O2399">
        <v>3193.87</v>
      </c>
      <c r="P2399">
        <v>30</v>
      </c>
      <c r="Q2399">
        <v>803</v>
      </c>
      <c r="R2399">
        <v>7.05</v>
      </c>
      <c r="S2399">
        <v>1</v>
      </c>
      <c r="T2399">
        <v>324</v>
      </c>
      <c r="U2399" s="2">
        <v>1688.04</v>
      </c>
      <c r="V2399">
        <v>0</v>
      </c>
      <c r="W2399" t="s">
        <v>29</v>
      </c>
      <c r="X2399" t="str">
        <f>IF(Table2[[#This Row],[Qty available]]&gt;Table2[[#This Row],[Qty on hand]],"Check","OK")</f>
        <v>OK</v>
      </c>
    </row>
    <row r="2400" spans="1:24" x14ac:dyDescent="0.3">
      <c r="A2400" t="s">
        <v>259</v>
      </c>
      <c r="B2400" t="s">
        <v>260</v>
      </c>
      <c r="C2400" t="s">
        <v>91</v>
      </c>
      <c r="D2400" t="s">
        <v>92</v>
      </c>
      <c r="E2400" t="s">
        <v>27</v>
      </c>
      <c r="F2400" s="1" t="s">
        <v>51</v>
      </c>
      <c r="G2400" s="2">
        <v>3.79</v>
      </c>
      <c r="H2400">
        <v>3.79</v>
      </c>
      <c r="I2400">
        <v>3.807455</v>
      </c>
      <c r="J2400">
        <v>5.21</v>
      </c>
      <c r="K2400">
        <v>57</v>
      </c>
      <c r="L2400" s="2">
        <v>51</v>
      </c>
      <c r="M2400">
        <v>1275</v>
      </c>
      <c r="N2400" s="2">
        <v>1760</v>
      </c>
      <c r="O2400">
        <v>6701.12</v>
      </c>
      <c r="P2400">
        <v>74</v>
      </c>
      <c r="Q2400">
        <v>1686</v>
      </c>
      <c r="R2400">
        <v>16.71</v>
      </c>
      <c r="S2400">
        <v>4</v>
      </c>
      <c r="T2400">
        <v>348</v>
      </c>
      <c r="U2400" s="2">
        <v>1813.08</v>
      </c>
      <c r="V2400">
        <v>0</v>
      </c>
      <c r="W2400" t="s">
        <v>29</v>
      </c>
      <c r="X2400" t="str">
        <f>IF(Table2[[#This Row],[Qty available]]&gt;Table2[[#This Row],[Qty on hand]],"Check","OK")</f>
        <v>OK</v>
      </c>
    </row>
    <row r="2401" spans="1:24" x14ac:dyDescent="0.3">
      <c r="A2401" t="s">
        <v>259</v>
      </c>
      <c r="B2401" t="s">
        <v>260</v>
      </c>
      <c r="C2401" t="s">
        <v>91</v>
      </c>
      <c r="D2401" t="s">
        <v>92</v>
      </c>
      <c r="E2401" t="s">
        <v>27</v>
      </c>
      <c r="F2401" s="1" t="s">
        <v>52</v>
      </c>
      <c r="G2401" s="2">
        <v>3.82</v>
      </c>
      <c r="H2401">
        <v>3.82</v>
      </c>
      <c r="I2401">
        <v>3.807455</v>
      </c>
      <c r="J2401">
        <v>5.21</v>
      </c>
      <c r="K2401">
        <v>57</v>
      </c>
      <c r="M2401">
        <v>0</v>
      </c>
      <c r="N2401" s="2">
        <v>1285</v>
      </c>
      <c r="O2401">
        <v>4892.58</v>
      </c>
      <c r="P2401">
        <v>148</v>
      </c>
      <c r="Q2401">
        <v>1137</v>
      </c>
      <c r="R2401">
        <v>14.72</v>
      </c>
      <c r="S2401">
        <v>0</v>
      </c>
      <c r="T2401">
        <v>475</v>
      </c>
      <c r="U2401" s="2">
        <v>2474.75</v>
      </c>
      <c r="V2401">
        <v>0</v>
      </c>
      <c r="W2401" t="s">
        <v>29</v>
      </c>
      <c r="X2401" t="str">
        <f>IF(Table2[[#This Row],[Qty available]]&gt;Table2[[#This Row],[Qty on hand]],"Check","OK")</f>
        <v>OK</v>
      </c>
    </row>
    <row r="2402" spans="1:24" x14ac:dyDescent="0.3">
      <c r="A2402" t="s">
        <v>261</v>
      </c>
      <c r="B2402" t="s">
        <v>262</v>
      </c>
      <c r="C2402" t="s">
        <v>91</v>
      </c>
      <c r="D2402" t="s">
        <v>92</v>
      </c>
      <c r="E2402" t="s">
        <v>66</v>
      </c>
      <c r="F2402" s="1" t="s">
        <v>28</v>
      </c>
      <c r="G2402" s="2">
        <v>4.9400000000000004</v>
      </c>
      <c r="H2402">
        <v>5.26</v>
      </c>
      <c r="I2402">
        <v>5.2114289999999999</v>
      </c>
      <c r="J2402">
        <v>7.63</v>
      </c>
      <c r="K2402">
        <v>40</v>
      </c>
      <c r="M2402">
        <v>0</v>
      </c>
      <c r="N2402" s="2">
        <v>2632</v>
      </c>
      <c r="O2402">
        <v>13716.48</v>
      </c>
      <c r="P2402">
        <v>154</v>
      </c>
      <c r="Q2402">
        <v>2478</v>
      </c>
      <c r="R2402">
        <v>11.92</v>
      </c>
      <c r="S2402">
        <v>0</v>
      </c>
      <c r="T2402">
        <v>1209</v>
      </c>
      <c r="U2402" s="2">
        <v>9224.67</v>
      </c>
      <c r="V2402">
        <v>0</v>
      </c>
      <c r="W2402" t="s">
        <v>29</v>
      </c>
      <c r="X2402" t="str">
        <f>IF(Table2[[#This Row],[Qty available]]&gt;Table2[[#This Row],[Qty on hand]],"Check","OK")</f>
        <v>OK</v>
      </c>
    </row>
    <row r="2403" spans="1:24" x14ac:dyDescent="0.3">
      <c r="A2403" t="s">
        <v>261</v>
      </c>
      <c r="B2403" t="s">
        <v>262</v>
      </c>
      <c r="C2403" t="s">
        <v>91</v>
      </c>
      <c r="D2403" t="s">
        <v>92</v>
      </c>
      <c r="E2403" t="s">
        <v>66</v>
      </c>
      <c r="F2403" s="1" t="s">
        <v>30</v>
      </c>
      <c r="G2403" s="2">
        <v>5.21</v>
      </c>
      <c r="H2403">
        <v>5.55</v>
      </c>
      <c r="I2403">
        <v>5.2114279999999997</v>
      </c>
      <c r="J2403">
        <v>7.63</v>
      </c>
      <c r="K2403">
        <v>40</v>
      </c>
      <c r="M2403">
        <v>0</v>
      </c>
      <c r="N2403" s="2">
        <v>1919</v>
      </c>
      <c r="O2403">
        <v>10000.73</v>
      </c>
      <c r="P2403">
        <v>231</v>
      </c>
      <c r="Q2403">
        <v>1688</v>
      </c>
      <c r="R2403">
        <v>9.27</v>
      </c>
      <c r="S2403">
        <v>0</v>
      </c>
      <c r="T2403">
        <v>713</v>
      </c>
      <c r="U2403" s="2">
        <v>5440.19</v>
      </c>
      <c r="V2403">
        <v>0</v>
      </c>
      <c r="W2403" t="s">
        <v>29</v>
      </c>
      <c r="X2403" t="str">
        <f>IF(Table2[[#This Row],[Qty available]]&gt;Table2[[#This Row],[Qty on hand]],"Check","OK")</f>
        <v>OK</v>
      </c>
    </row>
    <row r="2404" spans="1:24" x14ac:dyDescent="0.3">
      <c r="A2404" t="s">
        <v>261</v>
      </c>
      <c r="B2404" t="s">
        <v>262</v>
      </c>
      <c r="C2404" t="s">
        <v>91</v>
      </c>
      <c r="D2404" t="s">
        <v>92</v>
      </c>
      <c r="E2404" t="s">
        <v>66</v>
      </c>
      <c r="F2404" s="1" t="s">
        <v>31</v>
      </c>
      <c r="G2404" s="2">
        <v>5.26</v>
      </c>
      <c r="H2404">
        <v>5.6</v>
      </c>
      <c r="I2404">
        <v>5.3761419999999998</v>
      </c>
      <c r="J2404">
        <v>7.63</v>
      </c>
      <c r="K2404">
        <v>40</v>
      </c>
      <c r="L2404" s="2">
        <v>36</v>
      </c>
      <c r="M2404">
        <v>1412</v>
      </c>
      <c r="N2404" s="2">
        <v>3051</v>
      </c>
      <c r="O2404">
        <v>16402.61</v>
      </c>
      <c r="P2404">
        <v>231</v>
      </c>
      <c r="Q2404">
        <v>2820</v>
      </c>
      <c r="R2404">
        <v>18.010000000000002</v>
      </c>
      <c r="S2404">
        <v>0</v>
      </c>
      <c r="T2404">
        <v>280</v>
      </c>
      <c r="U2404" s="2">
        <v>2136.4</v>
      </c>
      <c r="V2404">
        <v>0</v>
      </c>
      <c r="W2404" t="s">
        <v>29</v>
      </c>
      <c r="X2404" t="str">
        <f>IF(Table2[[#This Row],[Qty available]]&gt;Table2[[#This Row],[Qty on hand]],"Check","OK")</f>
        <v>OK</v>
      </c>
    </row>
    <row r="2405" spans="1:24" x14ac:dyDescent="0.3">
      <c r="A2405" t="s">
        <v>261</v>
      </c>
      <c r="B2405" t="s">
        <v>262</v>
      </c>
      <c r="C2405" t="s">
        <v>91</v>
      </c>
      <c r="D2405" t="s">
        <v>92</v>
      </c>
      <c r="E2405" t="s">
        <v>66</v>
      </c>
      <c r="F2405" s="1" t="s">
        <v>32</v>
      </c>
      <c r="G2405" s="2">
        <v>5.29</v>
      </c>
      <c r="H2405">
        <v>5.63</v>
      </c>
      <c r="I2405">
        <v>5.3885670000000001</v>
      </c>
      <c r="J2405">
        <v>7.63</v>
      </c>
      <c r="K2405">
        <v>40</v>
      </c>
      <c r="L2405" s="2">
        <v>56</v>
      </c>
      <c r="M2405">
        <v>157</v>
      </c>
      <c r="N2405" s="2">
        <v>2408</v>
      </c>
      <c r="O2405">
        <v>12975.67</v>
      </c>
      <c r="P2405">
        <v>102</v>
      </c>
      <c r="Q2405">
        <v>2306</v>
      </c>
      <c r="R2405">
        <v>17.649999999999999</v>
      </c>
      <c r="S2405">
        <v>0</v>
      </c>
      <c r="T2405">
        <v>800</v>
      </c>
      <c r="U2405" s="2">
        <v>6104</v>
      </c>
      <c r="V2405">
        <v>0</v>
      </c>
      <c r="W2405" t="s">
        <v>29</v>
      </c>
      <c r="X2405" t="str">
        <f>IF(Table2[[#This Row],[Qty available]]&gt;Table2[[#This Row],[Qty on hand]],"Check","OK")</f>
        <v>OK</v>
      </c>
    </row>
    <row r="2406" spans="1:24" x14ac:dyDescent="0.3">
      <c r="A2406" t="s">
        <v>261</v>
      </c>
      <c r="B2406" t="s">
        <v>262</v>
      </c>
      <c r="C2406" t="s">
        <v>91</v>
      </c>
      <c r="D2406" t="s">
        <v>92</v>
      </c>
      <c r="E2406" t="s">
        <v>66</v>
      </c>
      <c r="F2406" s="1" t="s">
        <v>33</v>
      </c>
      <c r="G2406" s="2">
        <v>5.26</v>
      </c>
      <c r="H2406">
        <v>5.6</v>
      </c>
      <c r="I2406">
        <v>5.4147910000000001</v>
      </c>
      <c r="J2406">
        <v>7.63</v>
      </c>
      <c r="K2406">
        <v>40</v>
      </c>
      <c r="L2406" s="2">
        <v>55</v>
      </c>
      <c r="M2406">
        <v>341</v>
      </c>
      <c r="N2406" s="2">
        <v>766</v>
      </c>
      <c r="O2406">
        <v>4147.7299999999996</v>
      </c>
      <c r="P2406">
        <v>205</v>
      </c>
      <c r="Q2406">
        <v>561</v>
      </c>
      <c r="R2406">
        <v>3.29</v>
      </c>
      <c r="S2406">
        <v>0</v>
      </c>
      <c r="T2406">
        <v>1983</v>
      </c>
      <c r="U2406" s="2">
        <v>15130.29</v>
      </c>
      <c r="V2406">
        <v>0</v>
      </c>
      <c r="W2406" t="s">
        <v>29</v>
      </c>
      <c r="X2406" t="str">
        <f>IF(Table2[[#This Row],[Qty available]]&gt;Table2[[#This Row],[Qty on hand]],"Check","OK")</f>
        <v>OK</v>
      </c>
    </row>
    <row r="2407" spans="1:24" x14ac:dyDescent="0.3">
      <c r="A2407" t="s">
        <v>261</v>
      </c>
      <c r="B2407" t="s">
        <v>262</v>
      </c>
      <c r="C2407" t="s">
        <v>91</v>
      </c>
      <c r="D2407" t="s">
        <v>92</v>
      </c>
      <c r="E2407" t="s">
        <v>66</v>
      </c>
      <c r="F2407" s="1" t="s">
        <v>34</v>
      </c>
      <c r="G2407" s="2">
        <v>5.24</v>
      </c>
      <c r="H2407">
        <v>5.58</v>
      </c>
      <c r="I2407">
        <v>5.4147920000000003</v>
      </c>
      <c r="J2407">
        <v>7.99</v>
      </c>
      <c r="K2407">
        <v>40</v>
      </c>
      <c r="M2407">
        <v>0</v>
      </c>
      <c r="N2407" s="2">
        <v>265</v>
      </c>
      <c r="O2407">
        <v>1434.92</v>
      </c>
      <c r="P2407">
        <v>179</v>
      </c>
      <c r="Q2407">
        <v>86</v>
      </c>
      <c r="R2407">
        <v>1.04</v>
      </c>
      <c r="S2407">
        <v>0</v>
      </c>
      <c r="T2407">
        <v>501</v>
      </c>
      <c r="U2407" s="2">
        <v>4002.99</v>
      </c>
      <c r="V2407">
        <v>0</v>
      </c>
      <c r="W2407" t="s">
        <v>29</v>
      </c>
      <c r="X2407" t="str">
        <f>IF(Table2[[#This Row],[Qty available]]&gt;Table2[[#This Row],[Qty on hand]],"Check","OK")</f>
        <v>OK</v>
      </c>
    </row>
    <row r="2408" spans="1:24" x14ac:dyDescent="0.3">
      <c r="A2408" t="s">
        <v>261</v>
      </c>
      <c r="B2408" t="s">
        <v>262</v>
      </c>
      <c r="C2408" t="s">
        <v>91</v>
      </c>
      <c r="D2408" t="s">
        <v>92</v>
      </c>
      <c r="E2408" t="s">
        <v>66</v>
      </c>
      <c r="F2408" s="1" t="s">
        <v>35</v>
      </c>
      <c r="G2408" s="2">
        <v>5.17</v>
      </c>
      <c r="H2408">
        <v>5.5</v>
      </c>
      <c r="I2408">
        <v>5.4885849999999996</v>
      </c>
      <c r="J2408">
        <v>7.99</v>
      </c>
      <c r="K2408">
        <v>40</v>
      </c>
      <c r="L2408" s="2">
        <v>36</v>
      </c>
      <c r="M2408">
        <v>1713</v>
      </c>
      <c r="N2408" s="2">
        <v>1152</v>
      </c>
      <c r="O2408">
        <v>6322.85</v>
      </c>
      <c r="P2408">
        <v>128</v>
      </c>
      <c r="Q2408">
        <v>1024</v>
      </c>
      <c r="R2408">
        <v>4.47</v>
      </c>
      <c r="S2408">
        <v>1</v>
      </c>
      <c r="T2408">
        <v>826</v>
      </c>
      <c r="U2408" s="2">
        <v>6599.74</v>
      </c>
      <c r="V2408">
        <v>0</v>
      </c>
      <c r="W2408" t="s">
        <v>29</v>
      </c>
      <c r="X2408" t="str">
        <f>IF(Table2[[#This Row],[Qty available]]&gt;Table2[[#This Row],[Qty on hand]],"Check","OK")</f>
        <v>OK</v>
      </c>
    </row>
    <row r="2409" spans="1:24" x14ac:dyDescent="0.3">
      <c r="A2409" t="s">
        <v>261</v>
      </c>
      <c r="B2409" t="s">
        <v>262</v>
      </c>
      <c r="C2409" t="s">
        <v>91</v>
      </c>
      <c r="D2409" t="s">
        <v>92</v>
      </c>
      <c r="E2409" t="s">
        <v>66</v>
      </c>
      <c r="F2409" s="1" t="s">
        <v>36</v>
      </c>
      <c r="G2409" s="2">
        <v>5.32</v>
      </c>
      <c r="H2409">
        <v>5.66</v>
      </c>
      <c r="I2409">
        <v>5.5891479999999998</v>
      </c>
      <c r="J2409">
        <v>7.99</v>
      </c>
      <c r="K2409">
        <v>40</v>
      </c>
      <c r="L2409" s="2">
        <v>37</v>
      </c>
      <c r="M2409">
        <v>1635</v>
      </c>
      <c r="N2409" s="2">
        <v>1220</v>
      </c>
      <c r="O2409">
        <v>6818.76</v>
      </c>
      <c r="P2409">
        <v>231</v>
      </c>
      <c r="Q2409">
        <v>989</v>
      </c>
      <c r="R2409">
        <v>5.36</v>
      </c>
      <c r="S2409">
        <v>0</v>
      </c>
      <c r="T2409">
        <v>1567</v>
      </c>
      <c r="U2409" s="2">
        <v>12520.33</v>
      </c>
      <c r="V2409">
        <v>0</v>
      </c>
      <c r="W2409" t="s">
        <v>29</v>
      </c>
      <c r="X2409" t="str">
        <f>IF(Table2[[#This Row],[Qty available]]&gt;Table2[[#This Row],[Qty on hand]],"Check","OK")</f>
        <v>OK</v>
      </c>
    </row>
    <row r="2410" spans="1:24" x14ac:dyDescent="0.3">
      <c r="A2410" t="s">
        <v>261</v>
      </c>
      <c r="B2410" t="s">
        <v>262</v>
      </c>
      <c r="C2410" t="s">
        <v>91</v>
      </c>
      <c r="D2410" t="s">
        <v>92</v>
      </c>
      <c r="E2410" t="s">
        <v>66</v>
      </c>
      <c r="F2410" s="1" t="s">
        <v>37</v>
      </c>
      <c r="G2410" s="2">
        <v>5.26</v>
      </c>
      <c r="H2410">
        <v>5.6</v>
      </c>
      <c r="I2410">
        <v>5.5891599999999997</v>
      </c>
      <c r="J2410">
        <v>7.99</v>
      </c>
      <c r="K2410">
        <v>40</v>
      </c>
      <c r="M2410">
        <v>0</v>
      </c>
      <c r="N2410" s="2">
        <v>119</v>
      </c>
      <c r="O2410">
        <v>665.11</v>
      </c>
      <c r="P2410">
        <v>119</v>
      </c>
      <c r="Q2410">
        <v>0</v>
      </c>
      <c r="R2410">
        <v>0.45</v>
      </c>
      <c r="S2410">
        <v>0</v>
      </c>
      <c r="T2410">
        <v>1101</v>
      </c>
      <c r="U2410" s="2">
        <v>8796.99</v>
      </c>
      <c r="V2410">
        <v>0</v>
      </c>
      <c r="W2410" t="s">
        <v>29</v>
      </c>
      <c r="X2410" t="str">
        <f>IF(Table2[[#This Row],[Qty available]]&gt;Table2[[#This Row],[Qty on hand]],"Check","OK")</f>
        <v>OK</v>
      </c>
    </row>
    <row r="2411" spans="1:24" x14ac:dyDescent="0.3">
      <c r="A2411" t="s">
        <v>261</v>
      </c>
      <c r="B2411" t="s">
        <v>262</v>
      </c>
      <c r="C2411" t="s">
        <v>91</v>
      </c>
      <c r="D2411" t="s">
        <v>92</v>
      </c>
      <c r="E2411" t="s">
        <v>66</v>
      </c>
      <c r="F2411" s="1" t="s">
        <v>38</v>
      </c>
      <c r="G2411" s="2">
        <v>5.16</v>
      </c>
      <c r="H2411">
        <v>5.49</v>
      </c>
      <c r="I2411">
        <v>5.4946099999999998</v>
      </c>
      <c r="J2411">
        <v>7.99</v>
      </c>
      <c r="K2411">
        <v>40</v>
      </c>
      <c r="L2411" s="2">
        <v>34</v>
      </c>
      <c r="M2411">
        <v>2441</v>
      </c>
      <c r="N2411" s="2">
        <v>1629</v>
      </c>
      <c r="O2411">
        <v>8950.7199999999993</v>
      </c>
      <c r="P2411">
        <v>256</v>
      </c>
      <c r="Q2411">
        <v>1373</v>
      </c>
      <c r="R2411">
        <v>5.88</v>
      </c>
      <c r="S2411">
        <v>0</v>
      </c>
      <c r="T2411">
        <v>931</v>
      </c>
      <c r="U2411" s="2">
        <v>7438.69</v>
      </c>
      <c r="V2411">
        <v>0</v>
      </c>
      <c r="W2411" t="s">
        <v>29</v>
      </c>
      <c r="X2411" t="str">
        <f>IF(Table2[[#This Row],[Qty available]]&gt;Table2[[#This Row],[Qty on hand]],"Check","OK")</f>
        <v>OK</v>
      </c>
    </row>
    <row r="2412" spans="1:24" x14ac:dyDescent="0.3">
      <c r="A2412" t="s">
        <v>261</v>
      </c>
      <c r="B2412" t="s">
        <v>262</v>
      </c>
      <c r="C2412" t="s">
        <v>91</v>
      </c>
      <c r="D2412" t="s">
        <v>92</v>
      </c>
      <c r="E2412" t="s">
        <v>66</v>
      </c>
      <c r="F2412" s="1" t="s">
        <v>39</v>
      </c>
      <c r="G2412" s="2">
        <v>5.22</v>
      </c>
      <c r="H2412">
        <v>5.56</v>
      </c>
      <c r="I2412">
        <v>5.5142829999999998</v>
      </c>
      <c r="J2412">
        <v>7.99</v>
      </c>
      <c r="K2412">
        <v>40</v>
      </c>
      <c r="L2412" s="2">
        <v>36</v>
      </c>
      <c r="M2412">
        <v>701</v>
      </c>
      <c r="N2412" s="2">
        <v>1436</v>
      </c>
      <c r="O2412">
        <v>7918.51</v>
      </c>
      <c r="P2412">
        <v>102</v>
      </c>
      <c r="Q2412">
        <v>1334</v>
      </c>
      <c r="R2412">
        <v>6.45</v>
      </c>
      <c r="S2412">
        <v>0</v>
      </c>
      <c r="T2412">
        <v>894</v>
      </c>
      <c r="U2412" s="2">
        <v>7143.06</v>
      </c>
      <c r="V2412">
        <v>0</v>
      </c>
      <c r="W2412" t="s">
        <v>29</v>
      </c>
      <c r="X2412" t="str">
        <f>IF(Table2[[#This Row],[Qty available]]&gt;Table2[[#This Row],[Qty on hand]],"Check","OK")</f>
        <v>OK</v>
      </c>
    </row>
    <row r="2413" spans="1:24" x14ac:dyDescent="0.3">
      <c r="A2413" t="s">
        <v>261</v>
      </c>
      <c r="B2413" t="s">
        <v>262</v>
      </c>
      <c r="C2413" t="s">
        <v>91</v>
      </c>
      <c r="D2413" t="s">
        <v>92</v>
      </c>
      <c r="E2413" t="s">
        <v>66</v>
      </c>
      <c r="F2413" s="1" t="s">
        <v>40</v>
      </c>
      <c r="G2413" s="2">
        <v>5.29</v>
      </c>
      <c r="H2413">
        <v>5.63</v>
      </c>
      <c r="I2413">
        <v>5.5592009999999998</v>
      </c>
      <c r="J2413">
        <v>7.99</v>
      </c>
      <c r="K2413">
        <v>40</v>
      </c>
      <c r="L2413" s="2">
        <v>53</v>
      </c>
      <c r="M2413">
        <v>911</v>
      </c>
      <c r="N2413" s="2">
        <v>1502</v>
      </c>
      <c r="O2413">
        <v>8349.92</v>
      </c>
      <c r="P2413">
        <v>231</v>
      </c>
      <c r="Q2413">
        <v>1271</v>
      </c>
      <c r="R2413">
        <v>7.39</v>
      </c>
      <c r="S2413">
        <v>1</v>
      </c>
      <c r="T2413">
        <v>845</v>
      </c>
      <c r="U2413" s="2">
        <v>6751.55</v>
      </c>
      <c r="V2413">
        <v>0</v>
      </c>
      <c r="W2413" t="s">
        <v>29</v>
      </c>
      <c r="X2413" t="str">
        <f>IF(Table2[[#This Row],[Qty available]]&gt;Table2[[#This Row],[Qty on hand]],"Check","OK")</f>
        <v>OK</v>
      </c>
    </row>
    <row r="2414" spans="1:24" x14ac:dyDescent="0.3">
      <c r="A2414" t="s">
        <v>261</v>
      </c>
      <c r="B2414" t="s">
        <v>262</v>
      </c>
      <c r="C2414" t="s">
        <v>91</v>
      </c>
      <c r="D2414" t="s">
        <v>92</v>
      </c>
      <c r="E2414" t="s">
        <v>66</v>
      </c>
      <c r="F2414" s="1" t="s">
        <v>41</v>
      </c>
      <c r="G2414" s="2">
        <v>5.17</v>
      </c>
      <c r="H2414">
        <v>5.5</v>
      </c>
      <c r="I2414">
        <v>5.531847</v>
      </c>
      <c r="J2414">
        <v>7.99</v>
      </c>
      <c r="K2414">
        <v>40</v>
      </c>
      <c r="L2414" s="2">
        <v>60</v>
      </c>
      <c r="M2414">
        <v>1290</v>
      </c>
      <c r="N2414" s="2">
        <v>2150</v>
      </c>
      <c r="O2414">
        <v>11893.47</v>
      </c>
      <c r="P2414">
        <v>77</v>
      </c>
      <c r="Q2414">
        <v>2073</v>
      </c>
      <c r="R2414">
        <v>11.87</v>
      </c>
      <c r="S2414">
        <v>2</v>
      </c>
      <c r="T2414">
        <v>642</v>
      </c>
      <c r="U2414" s="2">
        <v>5129.58</v>
      </c>
      <c r="V2414">
        <v>0</v>
      </c>
      <c r="W2414" t="s">
        <v>29</v>
      </c>
      <c r="X2414" t="str">
        <f>IF(Table2[[#This Row],[Qty available]]&gt;Table2[[#This Row],[Qty on hand]],"Check","OK")</f>
        <v>OK</v>
      </c>
    </row>
    <row r="2415" spans="1:24" x14ac:dyDescent="0.3">
      <c r="A2415" t="s">
        <v>261</v>
      </c>
      <c r="B2415" t="s">
        <v>262</v>
      </c>
      <c r="C2415" t="s">
        <v>91</v>
      </c>
      <c r="D2415" t="s">
        <v>92</v>
      </c>
      <c r="E2415" t="s">
        <v>66</v>
      </c>
      <c r="F2415" s="1" t="s">
        <v>42</v>
      </c>
      <c r="G2415" s="2">
        <v>5.45</v>
      </c>
      <c r="H2415">
        <v>5.8</v>
      </c>
      <c r="I2415">
        <v>5.5437669999999999</v>
      </c>
      <c r="J2415">
        <v>7.99</v>
      </c>
      <c r="K2415">
        <v>40</v>
      </c>
      <c r="L2415" s="2">
        <v>38</v>
      </c>
      <c r="M2415">
        <v>100</v>
      </c>
      <c r="N2415" s="2">
        <v>1168</v>
      </c>
      <c r="O2415">
        <v>6475.12</v>
      </c>
      <c r="P2415">
        <v>205</v>
      </c>
      <c r="Q2415">
        <v>963</v>
      </c>
      <c r="R2415">
        <v>5.98</v>
      </c>
      <c r="S2415">
        <v>0</v>
      </c>
      <c r="T2415">
        <v>1082</v>
      </c>
      <c r="U2415" s="2">
        <v>8645.18</v>
      </c>
      <c r="V2415">
        <v>0</v>
      </c>
      <c r="W2415" t="s">
        <v>29</v>
      </c>
      <c r="X2415" t="str">
        <f>IF(Table2[[#This Row],[Qty available]]&gt;Table2[[#This Row],[Qty on hand]],"Check","OK")</f>
        <v>OK</v>
      </c>
    </row>
    <row r="2416" spans="1:24" x14ac:dyDescent="0.3">
      <c r="A2416" t="s">
        <v>261</v>
      </c>
      <c r="B2416" t="s">
        <v>262</v>
      </c>
      <c r="C2416" t="s">
        <v>91</v>
      </c>
      <c r="D2416" t="s">
        <v>92</v>
      </c>
      <c r="E2416" t="s">
        <v>66</v>
      </c>
      <c r="F2416" s="1" t="s">
        <v>43</v>
      </c>
      <c r="G2416" s="2">
        <v>5.56</v>
      </c>
      <c r="H2416">
        <v>5.92</v>
      </c>
      <c r="I2416">
        <v>5.543768</v>
      </c>
      <c r="J2416">
        <v>7.99</v>
      </c>
      <c r="K2416">
        <v>40</v>
      </c>
      <c r="M2416">
        <v>0</v>
      </c>
      <c r="N2416" s="2">
        <v>629</v>
      </c>
      <c r="O2416">
        <v>3487.03</v>
      </c>
      <c r="P2416">
        <v>179</v>
      </c>
      <c r="Q2416">
        <v>450</v>
      </c>
      <c r="R2416">
        <v>3.61</v>
      </c>
      <c r="S2416">
        <v>0</v>
      </c>
      <c r="T2416">
        <v>539</v>
      </c>
      <c r="U2416" s="2">
        <v>4306.6099999999997</v>
      </c>
      <c r="V2416">
        <v>0</v>
      </c>
      <c r="W2416" t="s">
        <v>29</v>
      </c>
      <c r="X2416" t="str">
        <f>IF(Table2[[#This Row],[Qty available]]&gt;Table2[[#This Row],[Qty on hand]],"Check","OK")</f>
        <v>OK</v>
      </c>
    </row>
    <row r="2417" spans="1:24" x14ac:dyDescent="0.3">
      <c r="A2417" t="s">
        <v>261</v>
      </c>
      <c r="B2417" t="s">
        <v>262</v>
      </c>
      <c r="C2417" t="s">
        <v>91</v>
      </c>
      <c r="D2417" t="s">
        <v>92</v>
      </c>
      <c r="E2417" t="s">
        <v>66</v>
      </c>
      <c r="F2417" s="1" t="s">
        <v>44</v>
      </c>
      <c r="G2417" s="2">
        <v>5.46</v>
      </c>
      <c r="H2417">
        <v>5.81</v>
      </c>
      <c r="I2417">
        <v>5.7607759999999999</v>
      </c>
      <c r="J2417">
        <v>7.99</v>
      </c>
      <c r="K2417">
        <v>40</v>
      </c>
      <c r="L2417" s="2">
        <v>35</v>
      </c>
      <c r="M2417">
        <v>2773</v>
      </c>
      <c r="N2417" s="2">
        <v>2834</v>
      </c>
      <c r="O2417">
        <v>16326.04</v>
      </c>
      <c r="P2417">
        <v>154</v>
      </c>
      <c r="Q2417">
        <v>2680</v>
      </c>
      <c r="R2417">
        <v>17.02</v>
      </c>
      <c r="S2417">
        <v>0</v>
      </c>
      <c r="T2417">
        <v>568</v>
      </c>
      <c r="U2417" s="2">
        <v>4538.32</v>
      </c>
      <c r="V2417">
        <v>0</v>
      </c>
      <c r="W2417" t="s">
        <v>29</v>
      </c>
      <c r="X2417" t="str">
        <f>IF(Table2[[#This Row],[Qty available]]&gt;Table2[[#This Row],[Qty on hand]],"Check","OK")</f>
        <v>OK</v>
      </c>
    </row>
    <row r="2418" spans="1:24" x14ac:dyDescent="0.3">
      <c r="A2418" t="s">
        <v>261</v>
      </c>
      <c r="B2418" t="s">
        <v>262</v>
      </c>
      <c r="C2418" t="s">
        <v>91</v>
      </c>
      <c r="D2418" t="s">
        <v>92</v>
      </c>
      <c r="E2418" t="s">
        <v>66</v>
      </c>
      <c r="F2418" s="1" t="s">
        <v>45</v>
      </c>
      <c r="G2418" s="2">
        <v>5.49</v>
      </c>
      <c r="H2418">
        <v>5.85</v>
      </c>
      <c r="I2418">
        <v>5.7643409999999999</v>
      </c>
      <c r="J2418">
        <v>7.99</v>
      </c>
      <c r="K2418">
        <v>40</v>
      </c>
      <c r="L2418" s="2">
        <v>40</v>
      </c>
      <c r="M2418">
        <v>118</v>
      </c>
      <c r="N2418" s="2">
        <v>2154</v>
      </c>
      <c r="O2418">
        <v>12416.39</v>
      </c>
      <c r="P2418">
        <v>154</v>
      </c>
      <c r="Q2418">
        <v>2000</v>
      </c>
      <c r="R2418">
        <v>14.86</v>
      </c>
      <c r="S2418">
        <v>0</v>
      </c>
      <c r="T2418">
        <v>798</v>
      </c>
      <c r="U2418" s="2">
        <v>6376.02</v>
      </c>
      <c r="V2418">
        <v>0</v>
      </c>
      <c r="W2418" t="s">
        <v>29</v>
      </c>
      <c r="X2418" t="str">
        <f>IF(Table2[[#This Row],[Qty available]]&gt;Table2[[#This Row],[Qty on hand]],"Check","OK")</f>
        <v>OK</v>
      </c>
    </row>
    <row r="2419" spans="1:24" x14ac:dyDescent="0.3">
      <c r="A2419" t="s">
        <v>261</v>
      </c>
      <c r="B2419" t="s">
        <v>262</v>
      </c>
      <c r="C2419" t="s">
        <v>91</v>
      </c>
      <c r="D2419" t="s">
        <v>92</v>
      </c>
      <c r="E2419" t="s">
        <v>66</v>
      </c>
      <c r="F2419" s="1" t="s">
        <v>46</v>
      </c>
      <c r="G2419" s="2">
        <v>5.56</v>
      </c>
      <c r="H2419">
        <v>5.92</v>
      </c>
      <c r="I2419">
        <v>5.7868430000000002</v>
      </c>
      <c r="J2419">
        <v>8.3699999999999992</v>
      </c>
      <c r="K2419">
        <v>40</v>
      </c>
      <c r="L2419" s="2">
        <v>35</v>
      </c>
      <c r="M2419">
        <v>364</v>
      </c>
      <c r="N2419" s="2">
        <v>1856</v>
      </c>
      <c r="O2419">
        <v>10740.38</v>
      </c>
      <c r="P2419">
        <v>256</v>
      </c>
      <c r="Q2419">
        <v>1600</v>
      </c>
      <c r="R2419">
        <v>11.77</v>
      </c>
      <c r="S2419">
        <v>1</v>
      </c>
      <c r="T2419">
        <v>662</v>
      </c>
      <c r="U2419" s="2">
        <v>5540.94</v>
      </c>
      <c r="V2419">
        <v>0</v>
      </c>
      <c r="W2419" t="s">
        <v>29</v>
      </c>
      <c r="X2419" t="str">
        <f>IF(Table2[[#This Row],[Qty available]]&gt;Table2[[#This Row],[Qty on hand]],"Check","OK")</f>
        <v>OK</v>
      </c>
    </row>
    <row r="2420" spans="1:24" x14ac:dyDescent="0.3">
      <c r="A2420" t="s">
        <v>261</v>
      </c>
      <c r="B2420" t="s">
        <v>262</v>
      </c>
      <c r="C2420" t="s">
        <v>91</v>
      </c>
      <c r="D2420" t="s">
        <v>92</v>
      </c>
      <c r="E2420" t="s">
        <v>66</v>
      </c>
      <c r="F2420" s="1" t="s">
        <v>47</v>
      </c>
      <c r="G2420" s="2">
        <v>5.65</v>
      </c>
      <c r="H2420">
        <v>6.02</v>
      </c>
      <c r="I2420">
        <v>5.7868389999999996</v>
      </c>
      <c r="J2420">
        <v>8.3699999999999992</v>
      </c>
      <c r="K2420">
        <v>40</v>
      </c>
      <c r="M2420">
        <v>0</v>
      </c>
      <c r="N2420" s="2">
        <v>1259</v>
      </c>
      <c r="O2420">
        <v>7285.63</v>
      </c>
      <c r="P2420">
        <v>256</v>
      </c>
      <c r="Q2420">
        <v>1003</v>
      </c>
      <c r="R2420">
        <v>7.87</v>
      </c>
      <c r="S2420">
        <v>1</v>
      </c>
      <c r="T2420">
        <v>597</v>
      </c>
      <c r="U2420" s="2">
        <v>4996.8900000000003</v>
      </c>
      <c r="V2420">
        <v>0</v>
      </c>
      <c r="W2420" t="s">
        <v>29</v>
      </c>
      <c r="X2420" t="str">
        <f>IF(Table2[[#This Row],[Qty available]]&gt;Table2[[#This Row],[Qty on hand]],"Check","OK")</f>
        <v>OK</v>
      </c>
    </row>
    <row r="2421" spans="1:24" x14ac:dyDescent="0.3">
      <c r="A2421" t="s">
        <v>261</v>
      </c>
      <c r="B2421" t="s">
        <v>262</v>
      </c>
      <c r="C2421" t="s">
        <v>91</v>
      </c>
      <c r="D2421" t="s">
        <v>92</v>
      </c>
      <c r="E2421" t="s">
        <v>66</v>
      </c>
      <c r="F2421" s="1" t="s">
        <v>48</v>
      </c>
      <c r="G2421" s="2">
        <v>5.52</v>
      </c>
      <c r="H2421">
        <v>5.88</v>
      </c>
      <c r="I2421">
        <v>5.8361840000000003</v>
      </c>
      <c r="J2421">
        <v>8.3699999999999992</v>
      </c>
      <c r="K2421">
        <v>40</v>
      </c>
      <c r="L2421" s="2">
        <v>36</v>
      </c>
      <c r="M2421">
        <v>1418</v>
      </c>
      <c r="N2421" s="2">
        <v>2191</v>
      </c>
      <c r="O2421">
        <v>12787.08</v>
      </c>
      <c r="P2421">
        <v>205</v>
      </c>
      <c r="Q2421">
        <v>1986</v>
      </c>
      <c r="R2421">
        <v>15.96</v>
      </c>
      <c r="S2421">
        <v>0</v>
      </c>
      <c r="T2421">
        <v>486</v>
      </c>
      <c r="U2421" s="2">
        <v>4067.82</v>
      </c>
      <c r="V2421">
        <v>0</v>
      </c>
      <c r="W2421" t="s">
        <v>29</v>
      </c>
      <c r="X2421" t="str">
        <f>IF(Table2[[#This Row],[Qty available]]&gt;Table2[[#This Row],[Qty on hand]],"Check","OK")</f>
        <v>OK</v>
      </c>
    </row>
    <row r="2422" spans="1:24" x14ac:dyDescent="0.3">
      <c r="A2422" t="s">
        <v>261</v>
      </c>
      <c r="B2422" t="s">
        <v>262</v>
      </c>
      <c r="C2422" t="s">
        <v>91</v>
      </c>
      <c r="D2422" t="s">
        <v>92</v>
      </c>
      <c r="E2422" t="s">
        <v>66</v>
      </c>
      <c r="F2422" s="1" t="s">
        <v>49</v>
      </c>
      <c r="G2422" s="2">
        <v>5.55</v>
      </c>
      <c r="H2422">
        <v>5.91</v>
      </c>
      <c r="I2422">
        <v>5.8659319999999999</v>
      </c>
      <c r="J2422">
        <v>8.3699999999999992</v>
      </c>
      <c r="K2422">
        <v>40</v>
      </c>
      <c r="L2422" s="2">
        <v>36</v>
      </c>
      <c r="M2422">
        <v>1479</v>
      </c>
      <c r="N2422" s="2">
        <v>2849</v>
      </c>
      <c r="O2422">
        <v>16712.04</v>
      </c>
      <c r="P2422">
        <v>179</v>
      </c>
      <c r="Q2422">
        <v>2670</v>
      </c>
      <c r="R2422">
        <v>19.670000000000002</v>
      </c>
      <c r="S2422">
        <v>0</v>
      </c>
      <c r="T2422">
        <v>821</v>
      </c>
      <c r="U2422" s="2">
        <v>6871.77</v>
      </c>
      <c r="V2422">
        <v>0</v>
      </c>
      <c r="W2422" t="s">
        <v>29</v>
      </c>
      <c r="X2422" t="str">
        <f>IF(Table2[[#This Row],[Qty available]]&gt;Table2[[#This Row],[Qty on hand]],"Check","OK")</f>
        <v>OK</v>
      </c>
    </row>
    <row r="2423" spans="1:24" x14ac:dyDescent="0.3">
      <c r="A2423" t="s">
        <v>261</v>
      </c>
      <c r="B2423" t="s">
        <v>262</v>
      </c>
      <c r="C2423" t="s">
        <v>91</v>
      </c>
      <c r="D2423" t="s">
        <v>92</v>
      </c>
      <c r="E2423" t="s">
        <v>66</v>
      </c>
      <c r="F2423" s="1" t="s">
        <v>50</v>
      </c>
      <c r="G2423" s="2">
        <v>5.6</v>
      </c>
      <c r="H2423">
        <v>5.96</v>
      </c>
      <c r="I2423">
        <v>5.8721019999999999</v>
      </c>
      <c r="J2423">
        <v>8.3699999999999992</v>
      </c>
      <c r="K2423">
        <v>40</v>
      </c>
      <c r="L2423" s="2">
        <v>47</v>
      </c>
      <c r="M2423">
        <v>200</v>
      </c>
      <c r="N2423" s="2">
        <v>2360</v>
      </c>
      <c r="O2423">
        <v>13858.16</v>
      </c>
      <c r="P2423">
        <v>256</v>
      </c>
      <c r="Q2423">
        <v>2104</v>
      </c>
      <c r="R2423">
        <v>15.37</v>
      </c>
      <c r="S2423">
        <v>1</v>
      </c>
      <c r="T2423">
        <v>689</v>
      </c>
      <c r="U2423" s="2">
        <v>5766.93</v>
      </c>
      <c r="V2423">
        <v>0</v>
      </c>
      <c r="W2423" t="s">
        <v>29</v>
      </c>
      <c r="X2423" t="str">
        <f>IF(Table2[[#This Row],[Qty available]]&gt;Table2[[#This Row],[Qty on hand]],"Check","OK")</f>
        <v>OK</v>
      </c>
    </row>
    <row r="2424" spans="1:24" x14ac:dyDescent="0.3">
      <c r="A2424" t="s">
        <v>261</v>
      </c>
      <c r="B2424" t="s">
        <v>262</v>
      </c>
      <c r="C2424" t="s">
        <v>91</v>
      </c>
      <c r="D2424" t="s">
        <v>92</v>
      </c>
      <c r="E2424" t="s">
        <v>66</v>
      </c>
      <c r="F2424" s="1" t="s">
        <v>51</v>
      </c>
      <c r="G2424" s="2">
        <v>5.45</v>
      </c>
      <c r="H2424">
        <v>5.8</v>
      </c>
      <c r="I2424">
        <v>5.8721019999999999</v>
      </c>
      <c r="J2424">
        <v>8.3699999999999992</v>
      </c>
      <c r="K2424">
        <v>40</v>
      </c>
      <c r="M2424">
        <v>0</v>
      </c>
      <c r="N2424" s="2">
        <v>1984</v>
      </c>
      <c r="O2424">
        <v>11650.25</v>
      </c>
      <c r="P2424">
        <v>51</v>
      </c>
      <c r="Q2424">
        <v>1933</v>
      </c>
      <c r="R2424">
        <v>13.83</v>
      </c>
      <c r="S2424">
        <v>3</v>
      </c>
      <c r="T2424">
        <v>376</v>
      </c>
      <c r="U2424" s="2">
        <v>3147.12</v>
      </c>
      <c r="V2424">
        <v>0</v>
      </c>
      <c r="W2424" t="s">
        <v>29</v>
      </c>
      <c r="X2424" t="str">
        <f>IF(Table2[[#This Row],[Qty available]]&gt;Table2[[#This Row],[Qty on hand]],"Check","OK")</f>
        <v>OK</v>
      </c>
    </row>
    <row r="2425" spans="1:24" x14ac:dyDescent="0.3">
      <c r="A2425" t="s">
        <v>261</v>
      </c>
      <c r="B2425" t="s">
        <v>262</v>
      </c>
      <c r="C2425" t="s">
        <v>91</v>
      </c>
      <c r="D2425" t="s">
        <v>92</v>
      </c>
      <c r="E2425" t="s">
        <v>66</v>
      </c>
      <c r="F2425" s="1" t="s">
        <v>52</v>
      </c>
      <c r="G2425" s="2">
        <v>5.64</v>
      </c>
      <c r="H2425">
        <v>6.01</v>
      </c>
      <c r="I2425">
        <v>5.9431070000000004</v>
      </c>
      <c r="J2425">
        <v>8.3699999999999992</v>
      </c>
      <c r="K2425">
        <v>40</v>
      </c>
      <c r="L2425" s="2">
        <v>40</v>
      </c>
      <c r="M2425">
        <v>2106</v>
      </c>
      <c r="N2425" s="2">
        <v>2813</v>
      </c>
      <c r="O2425">
        <v>16717.96</v>
      </c>
      <c r="P2425">
        <v>51</v>
      </c>
      <c r="Q2425">
        <v>2762</v>
      </c>
      <c r="R2425">
        <v>15.79</v>
      </c>
      <c r="S2425">
        <v>4</v>
      </c>
      <c r="T2425">
        <v>1277</v>
      </c>
      <c r="U2425" s="2">
        <v>10688.49</v>
      </c>
      <c r="V2425">
        <v>0</v>
      </c>
      <c r="W2425" t="s">
        <v>29</v>
      </c>
      <c r="X2425" t="str">
        <f>IF(Table2[[#This Row],[Qty available]]&gt;Table2[[#This Row],[Qty on hand]],"Check","OK")</f>
        <v>OK</v>
      </c>
    </row>
    <row r="2426" spans="1:24" x14ac:dyDescent="0.3">
      <c r="A2426" t="s">
        <v>263</v>
      </c>
      <c r="B2426" t="s">
        <v>264</v>
      </c>
      <c r="C2426" t="s">
        <v>77</v>
      </c>
      <c r="D2426" t="s">
        <v>78</v>
      </c>
      <c r="E2426" t="s">
        <v>27</v>
      </c>
      <c r="F2426" s="1" t="s">
        <v>28</v>
      </c>
      <c r="G2426" s="2">
        <v>4.91</v>
      </c>
      <c r="H2426">
        <v>4.91</v>
      </c>
      <c r="I2426">
        <v>4.9171290000000001</v>
      </c>
      <c r="J2426">
        <v>7.12</v>
      </c>
      <c r="K2426">
        <v>60</v>
      </c>
      <c r="M2426">
        <v>0</v>
      </c>
      <c r="N2426" s="2">
        <v>202</v>
      </c>
      <c r="O2426">
        <v>993.26</v>
      </c>
      <c r="P2426">
        <v>85</v>
      </c>
      <c r="Q2426">
        <v>117</v>
      </c>
      <c r="R2426">
        <v>2.74</v>
      </c>
      <c r="S2426">
        <v>1</v>
      </c>
      <c r="T2426">
        <v>173</v>
      </c>
      <c r="U2426" s="2">
        <v>1231.76</v>
      </c>
      <c r="V2426">
        <v>0</v>
      </c>
      <c r="W2426" t="s">
        <v>29</v>
      </c>
      <c r="X2426" t="str">
        <f>IF(Table2[[#This Row],[Qty available]]&gt;Table2[[#This Row],[Qty on hand]],"Check","OK")</f>
        <v>OK</v>
      </c>
    </row>
    <row r="2427" spans="1:24" x14ac:dyDescent="0.3">
      <c r="A2427" t="s">
        <v>263</v>
      </c>
      <c r="B2427" t="s">
        <v>264</v>
      </c>
      <c r="C2427" t="s">
        <v>77</v>
      </c>
      <c r="D2427" t="s">
        <v>78</v>
      </c>
      <c r="E2427" t="s">
        <v>27</v>
      </c>
      <c r="F2427" s="1" t="s">
        <v>30</v>
      </c>
      <c r="G2427" s="2">
        <v>4.82</v>
      </c>
      <c r="H2427">
        <v>4.82</v>
      </c>
      <c r="I2427">
        <v>4.8440760000000003</v>
      </c>
      <c r="J2427">
        <v>7.12</v>
      </c>
      <c r="K2427">
        <v>60</v>
      </c>
      <c r="L2427" s="2">
        <v>56</v>
      </c>
      <c r="M2427">
        <v>613</v>
      </c>
      <c r="N2427" s="2">
        <v>633</v>
      </c>
      <c r="O2427">
        <v>3066.3</v>
      </c>
      <c r="P2427">
        <v>68</v>
      </c>
      <c r="Q2427">
        <v>565</v>
      </c>
      <c r="R2427">
        <v>11.52</v>
      </c>
      <c r="S2427">
        <v>3</v>
      </c>
      <c r="T2427">
        <v>182</v>
      </c>
      <c r="U2427" s="2">
        <v>1295.8399999999999</v>
      </c>
      <c r="V2427">
        <v>0</v>
      </c>
      <c r="W2427" t="s">
        <v>29</v>
      </c>
      <c r="X2427" t="str">
        <f>IF(Table2[[#This Row],[Qty available]]&gt;Table2[[#This Row],[Qty on hand]],"Check","OK")</f>
        <v>OK</v>
      </c>
    </row>
    <row r="2428" spans="1:24" x14ac:dyDescent="0.3">
      <c r="A2428" t="s">
        <v>263</v>
      </c>
      <c r="B2428" t="s">
        <v>264</v>
      </c>
      <c r="C2428" t="s">
        <v>77</v>
      </c>
      <c r="D2428" t="s">
        <v>78</v>
      </c>
      <c r="E2428" t="s">
        <v>27</v>
      </c>
      <c r="F2428" s="1" t="s">
        <v>31</v>
      </c>
      <c r="G2428" s="2">
        <v>4.8499999999999996</v>
      </c>
      <c r="H2428">
        <v>4.8499999999999996</v>
      </c>
      <c r="I2428">
        <v>4.8440789999999998</v>
      </c>
      <c r="J2428">
        <v>7.12</v>
      </c>
      <c r="K2428">
        <v>60</v>
      </c>
      <c r="M2428">
        <v>0</v>
      </c>
      <c r="N2428" s="2">
        <v>331</v>
      </c>
      <c r="O2428">
        <v>1603.39</v>
      </c>
      <c r="P2428">
        <v>34</v>
      </c>
      <c r="Q2428">
        <v>297</v>
      </c>
      <c r="R2428">
        <v>6.55</v>
      </c>
      <c r="S2428">
        <v>0</v>
      </c>
      <c r="T2428">
        <v>302</v>
      </c>
      <c r="U2428" s="2">
        <v>2150.2399999999998</v>
      </c>
      <c r="V2428">
        <v>0</v>
      </c>
      <c r="W2428" t="s">
        <v>29</v>
      </c>
      <c r="X2428" t="str">
        <f>IF(Table2[[#This Row],[Qty available]]&gt;Table2[[#This Row],[Qty on hand]],"Check","OK")</f>
        <v>OK</v>
      </c>
    </row>
    <row r="2429" spans="1:24" x14ac:dyDescent="0.3">
      <c r="A2429" t="s">
        <v>263</v>
      </c>
      <c r="B2429" t="s">
        <v>264</v>
      </c>
      <c r="C2429" t="s">
        <v>77</v>
      </c>
      <c r="D2429" t="s">
        <v>78</v>
      </c>
      <c r="E2429" t="s">
        <v>27</v>
      </c>
      <c r="F2429" s="1" t="s">
        <v>32</v>
      </c>
      <c r="G2429" s="2">
        <v>4.9000000000000004</v>
      </c>
      <c r="H2429">
        <v>4.9000000000000004</v>
      </c>
      <c r="I2429">
        <v>4.8814399999999996</v>
      </c>
      <c r="J2429">
        <v>7.12</v>
      </c>
      <c r="K2429">
        <v>60</v>
      </c>
      <c r="L2429" s="2">
        <v>55</v>
      </c>
      <c r="M2429">
        <v>666</v>
      </c>
      <c r="N2429" s="2">
        <v>771</v>
      </c>
      <c r="O2429">
        <v>3763.59</v>
      </c>
      <c r="P2429">
        <v>85</v>
      </c>
      <c r="Q2429">
        <v>686</v>
      </c>
      <c r="R2429">
        <v>14.27</v>
      </c>
      <c r="S2429">
        <v>0</v>
      </c>
      <c r="T2429">
        <v>226</v>
      </c>
      <c r="U2429" s="2">
        <v>1609.12</v>
      </c>
      <c r="V2429">
        <v>0</v>
      </c>
      <c r="W2429" t="s">
        <v>29</v>
      </c>
      <c r="X2429" t="str">
        <f>IF(Table2[[#This Row],[Qty available]]&gt;Table2[[#This Row],[Qty on hand]],"Check","OK")</f>
        <v>OK</v>
      </c>
    </row>
    <row r="2430" spans="1:24" x14ac:dyDescent="0.3">
      <c r="A2430" t="s">
        <v>263</v>
      </c>
      <c r="B2430" t="s">
        <v>264</v>
      </c>
      <c r="C2430" t="s">
        <v>77</v>
      </c>
      <c r="D2430" t="s">
        <v>78</v>
      </c>
      <c r="E2430" t="s">
        <v>27</v>
      </c>
      <c r="F2430" s="1" t="s">
        <v>33</v>
      </c>
      <c r="G2430" s="2">
        <v>4.88</v>
      </c>
      <c r="H2430">
        <v>4.88</v>
      </c>
      <c r="I2430">
        <v>4.881138</v>
      </c>
      <c r="J2430">
        <v>7.12</v>
      </c>
      <c r="K2430">
        <v>60</v>
      </c>
      <c r="L2430" s="2">
        <v>57</v>
      </c>
      <c r="M2430">
        <v>205</v>
      </c>
      <c r="N2430" s="2">
        <v>703</v>
      </c>
      <c r="O2430">
        <v>3431.44</v>
      </c>
      <c r="P2430">
        <v>25</v>
      </c>
      <c r="Q2430">
        <v>678</v>
      </c>
      <c r="R2430">
        <v>11.53</v>
      </c>
      <c r="S2430">
        <v>3</v>
      </c>
      <c r="T2430">
        <v>273</v>
      </c>
      <c r="U2430" s="2">
        <v>1943.76</v>
      </c>
      <c r="V2430">
        <v>0</v>
      </c>
      <c r="W2430" t="s">
        <v>29</v>
      </c>
      <c r="X2430" t="str">
        <f>IF(Table2[[#This Row],[Qty available]]&gt;Table2[[#This Row],[Qty on hand]],"Check","OK")</f>
        <v>OK</v>
      </c>
    </row>
    <row r="2431" spans="1:24" x14ac:dyDescent="0.3">
      <c r="A2431" t="s">
        <v>263</v>
      </c>
      <c r="B2431" t="s">
        <v>264</v>
      </c>
      <c r="C2431" t="s">
        <v>77</v>
      </c>
      <c r="D2431" t="s">
        <v>78</v>
      </c>
      <c r="E2431" t="s">
        <v>27</v>
      </c>
      <c r="F2431" s="1" t="s">
        <v>34</v>
      </c>
      <c r="G2431" s="2">
        <v>4.8899999999999997</v>
      </c>
      <c r="H2431">
        <v>4.8899999999999997</v>
      </c>
      <c r="I2431">
        <v>4.8845989999999997</v>
      </c>
      <c r="J2431">
        <v>7.3</v>
      </c>
      <c r="K2431">
        <v>60</v>
      </c>
      <c r="L2431" s="2">
        <v>53</v>
      </c>
      <c r="M2431">
        <v>450</v>
      </c>
      <c r="N2431" s="2">
        <v>811</v>
      </c>
      <c r="O2431">
        <v>3961.41</v>
      </c>
      <c r="P2431">
        <v>34</v>
      </c>
      <c r="Q2431">
        <v>777</v>
      </c>
      <c r="R2431">
        <v>12.4</v>
      </c>
      <c r="S2431">
        <v>2</v>
      </c>
      <c r="T2431">
        <v>342</v>
      </c>
      <c r="U2431" s="2">
        <v>2496.6</v>
      </c>
      <c r="V2431">
        <v>0</v>
      </c>
      <c r="W2431" t="s">
        <v>29</v>
      </c>
      <c r="X2431" t="str">
        <f>IF(Table2[[#This Row],[Qty available]]&gt;Table2[[#This Row],[Qty on hand]],"Check","OK")</f>
        <v>OK</v>
      </c>
    </row>
    <row r="2432" spans="1:24" x14ac:dyDescent="0.3">
      <c r="A2432" t="s">
        <v>263</v>
      </c>
      <c r="B2432" t="s">
        <v>264</v>
      </c>
      <c r="C2432" t="s">
        <v>77</v>
      </c>
      <c r="D2432" t="s">
        <v>78</v>
      </c>
      <c r="E2432" t="s">
        <v>27</v>
      </c>
      <c r="F2432" s="1" t="s">
        <v>35</v>
      </c>
      <c r="G2432" s="2">
        <v>5.1100000000000003</v>
      </c>
      <c r="H2432">
        <v>5.1100000000000003</v>
      </c>
      <c r="I2432">
        <v>4.8845910000000003</v>
      </c>
      <c r="J2432">
        <v>7.3</v>
      </c>
      <c r="K2432">
        <v>60</v>
      </c>
      <c r="M2432">
        <v>0</v>
      </c>
      <c r="N2432" s="2">
        <v>464</v>
      </c>
      <c r="O2432">
        <v>2266.4499999999998</v>
      </c>
      <c r="P2432">
        <v>85</v>
      </c>
      <c r="Q2432">
        <v>379</v>
      </c>
      <c r="R2432">
        <v>6.2</v>
      </c>
      <c r="S2432">
        <v>1</v>
      </c>
      <c r="T2432">
        <v>347</v>
      </c>
      <c r="U2432" s="2">
        <v>2533.1</v>
      </c>
      <c r="V2432">
        <v>0</v>
      </c>
      <c r="W2432" t="s">
        <v>29</v>
      </c>
      <c r="X2432" t="str">
        <f>IF(Table2[[#This Row],[Qty available]]&gt;Table2[[#This Row],[Qty on hand]],"Check","OK")</f>
        <v>OK</v>
      </c>
    </row>
    <row r="2433" spans="1:24" x14ac:dyDescent="0.3">
      <c r="A2433" t="s">
        <v>263</v>
      </c>
      <c r="B2433" t="s">
        <v>264</v>
      </c>
      <c r="C2433" t="s">
        <v>77</v>
      </c>
      <c r="D2433" t="s">
        <v>78</v>
      </c>
      <c r="E2433" t="s">
        <v>27</v>
      </c>
      <c r="F2433" s="1" t="s">
        <v>36</v>
      </c>
      <c r="G2433" s="2">
        <v>5.09</v>
      </c>
      <c r="H2433">
        <v>5.09</v>
      </c>
      <c r="I2433">
        <v>4.9194930000000001</v>
      </c>
      <c r="J2433">
        <v>7.3</v>
      </c>
      <c r="K2433">
        <v>60</v>
      </c>
      <c r="L2433" s="2">
        <v>53</v>
      </c>
      <c r="M2433">
        <v>95</v>
      </c>
      <c r="N2433" s="2">
        <v>276</v>
      </c>
      <c r="O2433">
        <v>1357.78</v>
      </c>
      <c r="P2433">
        <v>17</v>
      </c>
      <c r="Q2433">
        <v>259</v>
      </c>
      <c r="R2433">
        <v>3.61</v>
      </c>
      <c r="S2433">
        <v>0</v>
      </c>
      <c r="T2433">
        <v>283</v>
      </c>
      <c r="U2433" s="2">
        <v>2065.9</v>
      </c>
      <c r="V2433">
        <v>0</v>
      </c>
      <c r="W2433" t="s">
        <v>29</v>
      </c>
      <c r="X2433" t="str">
        <f>IF(Table2[[#This Row],[Qty available]]&gt;Table2[[#This Row],[Qty on hand]],"Check","OK")</f>
        <v>OK</v>
      </c>
    </row>
    <row r="2434" spans="1:24" x14ac:dyDescent="0.3">
      <c r="A2434" t="s">
        <v>263</v>
      </c>
      <c r="B2434" t="s">
        <v>264</v>
      </c>
      <c r="C2434" t="s">
        <v>77</v>
      </c>
      <c r="D2434" t="s">
        <v>78</v>
      </c>
      <c r="E2434" t="s">
        <v>27</v>
      </c>
      <c r="F2434" s="1" t="s">
        <v>37</v>
      </c>
      <c r="G2434" s="2">
        <v>5.15</v>
      </c>
      <c r="H2434">
        <v>5.15</v>
      </c>
      <c r="I2434">
        <v>4.9194930000000001</v>
      </c>
      <c r="J2434">
        <v>7.3</v>
      </c>
      <c r="K2434">
        <v>60</v>
      </c>
      <c r="M2434">
        <v>0</v>
      </c>
      <c r="N2434" s="2">
        <v>0</v>
      </c>
      <c r="O2434">
        <v>0</v>
      </c>
      <c r="P2434">
        <v>0</v>
      </c>
      <c r="Q2434">
        <v>0</v>
      </c>
      <c r="R2434">
        <v>0</v>
      </c>
      <c r="S2434">
        <v>6</v>
      </c>
      <c r="T2434">
        <v>276</v>
      </c>
      <c r="U2434" s="2">
        <v>2014.8</v>
      </c>
      <c r="V2434">
        <v>169</v>
      </c>
      <c r="W2434" t="s">
        <v>59</v>
      </c>
      <c r="X2434" t="str">
        <f>IF(Table2[[#This Row],[Qty available]]&gt;Table2[[#This Row],[Qty on hand]],"Check","OK")</f>
        <v>OK</v>
      </c>
    </row>
    <row r="2435" spans="1:24" x14ac:dyDescent="0.3">
      <c r="A2435" t="s">
        <v>263</v>
      </c>
      <c r="B2435" t="s">
        <v>264</v>
      </c>
      <c r="C2435" t="s">
        <v>77</v>
      </c>
      <c r="D2435" t="s">
        <v>78</v>
      </c>
      <c r="E2435" t="s">
        <v>27</v>
      </c>
      <c r="F2435" s="1" t="s">
        <v>38</v>
      </c>
      <c r="G2435" s="2">
        <v>5.23</v>
      </c>
      <c r="H2435">
        <v>5.23</v>
      </c>
      <c r="I2435">
        <v>5.23</v>
      </c>
      <c r="J2435">
        <v>7.3</v>
      </c>
      <c r="K2435">
        <v>60</v>
      </c>
      <c r="L2435" s="2">
        <v>52</v>
      </c>
      <c r="M2435">
        <v>451</v>
      </c>
      <c r="N2435" s="2">
        <v>255</v>
      </c>
      <c r="O2435">
        <v>1333.65</v>
      </c>
      <c r="P2435">
        <v>76</v>
      </c>
      <c r="Q2435">
        <v>179</v>
      </c>
      <c r="R2435">
        <v>4.3899999999999997</v>
      </c>
      <c r="S2435">
        <v>2</v>
      </c>
      <c r="T2435">
        <v>196</v>
      </c>
      <c r="U2435" s="2">
        <v>1430.8</v>
      </c>
      <c r="V2435">
        <v>0</v>
      </c>
      <c r="W2435" t="s">
        <v>29</v>
      </c>
      <c r="X2435" t="str">
        <f>IF(Table2[[#This Row],[Qty available]]&gt;Table2[[#This Row],[Qty on hand]],"Check","OK")</f>
        <v>OK</v>
      </c>
    </row>
    <row r="2436" spans="1:24" x14ac:dyDescent="0.3">
      <c r="A2436" t="s">
        <v>263</v>
      </c>
      <c r="B2436" t="s">
        <v>264</v>
      </c>
      <c r="C2436" t="s">
        <v>77</v>
      </c>
      <c r="D2436" t="s">
        <v>78</v>
      </c>
      <c r="E2436" t="s">
        <v>27</v>
      </c>
      <c r="F2436" s="1" t="s">
        <v>39</v>
      </c>
      <c r="G2436" s="2">
        <v>5.16</v>
      </c>
      <c r="H2436">
        <v>5.16</v>
      </c>
      <c r="I2436">
        <v>5.1727309999999997</v>
      </c>
      <c r="J2436">
        <v>7.3</v>
      </c>
      <c r="K2436">
        <v>60</v>
      </c>
      <c r="L2436" s="2">
        <v>55</v>
      </c>
      <c r="M2436">
        <v>1147</v>
      </c>
      <c r="N2436" s="2">
        <v>1135</v>
      </c>
      <c r="O2436">
        <v>5871.05</v>
      </c>
      <c r="P2436">
        <v>68</v>
      </c>
      <c r="Q2436">
        <v>1067</v>
      </c>
      <c r="R2436">
        <v>20.190000000000001</v>
      </c>
      <c r="S2436">
        <v>0</v>
      </c>
      <c r="T2436">
        <v>267</v>
      </c>
      <c r="U2436" s="2">
        <v>1949.1</v>
      </c>
      <c r="V2436">
        <v>0</v>
      </c>
      <c r="W2436" t="s">
        <v>29</v>
      </c>
      <c r="X2436" t="str">
        <f>IF(Table2[[#This Row],[Qty available]]&gt;Table2[[#This Row],[Qty on hand]],"Check","OK")</f>
        <v>OK</v>
      </c>
    </row>
    <row r="2437" spans="1:24" x14ac:dyDescent="0.3">
      <c r="A2437" t="s">
        <v>263</v>
      </c>
      <c r="B2437" t="s">
        <v>264</v>
      </c>
      <c r="C2437" t="s">
        <v>77</v>
      </c>
      <c r="D2437" t="s">
        <v>78</v>
      </c>
      <c r="E2437" t="s">
        <v>27</v>
      </c>
      <c r="F2437" s="1" t="s">
        <v>40</v>
      </c>
      <c r="G2437" s="2">
        <v>5.24</v>
      </c>
      <c r="H2437">
        <v>5.24</v>
      </c>
      <c r="I2437">
        <v>5.1727280000000002</v>
      </c>
      <c r="J2437">
        <v>7.3</v>
      </c>
      <c r="K2437">
        <v>60</v>
      </c>
      <c r="M2437">
        <v>0</v>
      </c>
      <c r="N2437" s="2">
        <v>964</v>
      </c>
      <c r="O2437">
        <v>4986.51</v>
      </c>
      <c r="P2437">
        <v>59</v>
      </c>
      <c r="Q2437">
        <v>905</v>
      </c>
      <c r="R2437">
        <v>19.98</v>
      </c>
      <c r="S2437">
        <v>4</v>
      </c>
      <c r="T2437">
        <v>171</v>
      </c>
      <c r="U2437" s="2">
        <v>1248.3</v>
      </c>
      <c r="V2437">
        <v>0</v>
      </c>
      <c r="W2437" t="s">
        <v>29</v>
      </c>
      <c r="X2437" t="str">
        <f>IF(Table2[[#This Row],[Qty available]]&gt;Table2[[#This Row],[Qty on hand]],"Check","OK")</f>
        <v>OK</v>
      </c>
    </row>
    <row r="2438" spans="1:24" x14ac:dyDescent="0.3">
      <c r="A2438" t="s">
        <v>263</v>
      </c>
      <c r="B2438" t="s">
        <v>264</v>
      </c>
      <c r="C2438" t="s">
        <v>77</v>
      </c>
      <c r="D2438" t="s">
        <v>78</v>
      </c>
      <c r="E2438" t="s">
        <v>27</v>
      </c>
      <c r="F2438" s="1" t="s">
        <v>41</v>
      </c>
      <c r="G2438" s="2">
        <v>5.1100000000000003</v>
      </c>
      <c r="H2438">
        <v>5.1100000000000003</v>
      </c>
      <c r="I2438">
        <v>5.1727340000000002</v>
      </c>
      <c r="J2438">
        <v>7.3</v>
      </c>
      <c r="K2438">
        <v>60</v>
      </c>
      <c r="M2438">
        <v>0</v>
      </c>
      <c r="N2438" s="2">
        <v>706</v>
      </c>
      <c r="O2438">
        <v>3651.95</v>
      </c>
      <c r="P2438">
        <v>25</v>
      </c>
      <c r="Q2438">
        <v>681</v>
      </c>
      <c r="R2438">
        <v>13.33</v>
      </c>
      <c r="S2438">
        <v>0</v>
      </c>
      <c r="T2438">
        <v>258</v>
      </c>
      <c r="U2438" s="2">
        <v>1883.4</v>
      </c>
      <c r="V2438">
        <v>0</v>
      </c>
      <c r="W2438" t="s">
        <v>29</v>
      </c>
      <c r="X2438" t="str">
        <f>IF(Table2[[#This Row],[Qty available]]&gt;Table2[[#This Row],[Qty on hand]],"Check","OK")</f>
        <v>OK</v>
      </c>
    </row>
    <row r="2439" spans="1:24" x14ac:dyDescent="0.3">
      <c r="A2439" t="s">
        <v>263</v>
      </c>
      <c r="B2439" t="s">
        <v>264</v>
      </c>
      <c r="C2439" t="s">
        <v>77</v>
      </c>
      <c r="D2439" t="s">
        <v>78</v>
      </c>
      <c r="E2439" t="s">
        <v>27</v>
      </c>
      <c r="F2439" s="1" t="s">
        <v>42</v>
      </c>
      <c r="G2439" s="2">
        <v>5.0999999999999996</v>
      </c>
      <c r="H2439">
        <v>5.0999999999999996</v>
      </c>
      <c r="I2439">
        <v>5.1727319999999999</v>
      </c>
      <c r="J2439">
        <v>7.3</v>
      </c>
      <c r="K2439">
        <v>60</v>
      </c>
      <c r="M2439">
        <v>0</v>
      </c>
      <c r="N2439" s="2">
        <v>366</v>
      </c>
      <c r="O2439">
        <v>1893.22</v>
      </c>
      <c r="P2439">
        <v>59</v>
      </c>
      <c r="Q2439">
        <v>307</v>
      </c>
      <c r="R2439">
        <v>6.26</v>
      </c>
      <c r="S2439">
        <v>0</v>
      </c>
      <c r="T2439">
        <v>340</v>
      </c>
      <c r="U2439" s="2">
        <v>2482</v>
      </c>
      <c r="V2439">
        <v>0</v>
      </c>
      <c r="W2439" t="s">
        <v>29</v>
      </c>
      <c r="X2439" t="str">
        <f>IF(Table2[[#This Row],[Qty available]]&gt;Table2[[#This Row],[Qty on hand]],"Check","OK")</f>
        <v>OK</v>
      </c>
    </row>
    <row r="2440" spans="1:24" x14ac:dyDescent="0.3">
      <c r="A2440" t="s">
        <v>263</v>
      </c>
      <c r="B2440" t="s">
        <v>264</v>
      </c>
      <c r="C2440" t="s">
        <v>77</v>
      </c>
      <c r="D2440" t="s">
        <v>78</v>
      </c>
      <c r="E2440" t="s">
        <v>27</v>
      </c>
      <c r="F2440" s="1" t="s">
        <v>43</v>
      </c>
      <c r="G2440" s="2">
        <v>5.25</v>
      </c>
      <c r="H2440">
        <v>5.25</v>
      </c>
      <c r="I2440">
        <v>5.204809</v>
      </c>
      <c r="J2440">
        <v>7.3</v>
      </c>
      <c r="K2440">
        <v>60</v>
      </c>
      <c r="L2440" s="2">
        <v>53</v>
      </c>
      <c r="M2440">
        <v>260</v>
      </c>
      <c r="N2440" s="2">
        <v>131</v>
      </c>
      <c r="O2440">
        <v>681.83</v>
      </c>
      <c r="P2440">
        <v>76</v>
      </c>
      <c r="Q2440">
        <v>55</v>
      </c>
      <c r="R2440">
        <v>1.56</v>
      </c>
      <c r="S2440">
        <v>0</v>
      </c>
      <c r="T2440">
        <v>495</v>
      </c>
      <c r="U2440" s="2">
        <v>3613.5</v>
      </c>
      <c r="V2440">
        <v>0</v>
      </c>
      <c r="W2440" t="s">
        <v>29</v>
      </c>
      <c r="X2440" t="str">
        <f>IF(Table2[[#This Row],[Qty available]]&gt;Table2[[#This Row],[Qty on hand]],"Check","OK")</f>
        <v>OK</v>
      </c>
    </row>
    <row r="2441" spans="1:24" x14ac:dyDescent="0.3">
      <c r="A2441" t="s">
        <v>263</v>
      </c>
      <c r="B2441" t="s">
        <v>264</v>
      </c>
      <c r="C2441" t="s">
        <v>77</v>
      </c>
      <c r="D2441" t="s">
        <v>78</v>
      </c>
      <c r="E2441" t="s">
        <v>27</v>
      </c>
      <c r="F2441" s="1" t="s">
        <v>44</v>
      </c>
      <c r="G2441" s="2">
        <v>5.14</v>
      </c>
      <c r="H2441">
        <v>5.14</v>
      </c>
      <c r="I2441">
        <v>5.1813700000000003</v>
      </c>
      <c r="J2441">
        <v>7.3</v>
      </c>
      <c r="K2441">
        <v>60</v>
      </c>
      <c r="L2441" s="2">
        <v>59</v>
      </c>
      <c r="M2441">
        <v>74</v>
      </c>
      <c r="N2441" s="2">
        <v>73</v>
      </c>
      <c r="O2441">
        <v>378.24</v>
      </c>
      <c r="P2441">
        <v>73</v>
      </c>
      <c r="Q2441">
        <v>0</v>
      </c>
      <c r="R2441">
        <v>0.99</v>
      </c>
      <c r="S2441">
        <v>2</v>
      </c>
      <c r="T2441">
        <v>132</v>
      </c>
      <c r="U2441" s="2">
        <v>963.6</v>
      </c>
      <c r="V2441">
        <v>0</v>
      </c>
      <c r="W2441" t="s">
        <v>29</v>
      </c>
      <c r="X2441" t="str">
        <f>IF(Table2[[#This Row],[Qty available]]&gt;Table2[[#This Row],[Qty on hand]],"Check","OK")</f>
        <v>OK</v>
      </c>
    </row>
    <row r="2442" spans="1:24" x14ac:dyDescent="0.3">
      <c r="A2442" t="s">
        <v>263</v>
      </c>
      <c r="B2442" t="s">
        <v>264</v>
      </c>
      <c r="C2442" t="s">
        <v>77</v>
      </c>
      <c r="D2442" t="s">
        <v>78</v>
      </c>
      <c r="E2442" t="s">
        <v>27</v>
      </c>
      <c r="F2442" s="1" t="s">
        <v>45</v>
      </c>
      <c r="G2442" s="2">
        <v>5.16</v>
      </c>
      <c r="H2442">
        <v>5.16</v>
      </c>
      <c r="I2442">
        <v>5.1813700000000003</v>
      </c>
      <c r="J2442">
        <v>7.3</v>
      </c>
      <c r="K2442">
        <v>60</v>
      </c>
      <c r="M2442">
        <v>0</v>
      </c>
      <c r="N2442" s="2">
        <v>0</v>
      </c>
      <c r="O2442">
        <v>0</v>
      </c>
      <c r="P2442">
        <v>0</v>
      </c>
      <c r="Q2442">
        <v>0</v>
      </c>
      <c r="R2442">
        <v>0</v>
      </c>
      <c r="S2442">
        <v>2</v>
      </c>
      <c r="T2442">
        <v>73</v>
      </c>
      <c r="U2442" s="2">
        <v>532.9</v>
      </c>
      <c r="V2442">
        <v>240</v>
      </c>
      <c r="W2442" t="s">
        <v>59</v>
      </c>
      <c r="X2442" t="str">
        <f>IF(Table2[[#This Row],[Qty available]]&gt;Table2[[#This Row],[Qty on hand]],"Check","OK")</f>
        <v>OK</v>
      </c>
    </row>
    <row r="2443" spans="1:24" x14ac:dyDescent="0.3">
      <c r="A2443" t="s">
        <v>263</v>
      </c>
      <c r="B2443" t="s">
        <v>264</v>
      </c>
      <c r="C2443" t="s">
        <v>77</v>
      </c>
      <c r="D2443" t="s">
        <v>78</v>
      </c>
      <c r="E2443" t="s">
        <v>27</v>
      </c>
      <c r="F2443" s="1" t="s">
        <v>46</v>
      </c>
      <c r="G2443" s="2">
        <v>5.16</v>
      </c>
      <c r="H2443">
        <v>5.16</v>
      </c>
      <c r="I2443">
        <v>5.16</v>
      </c>
      <c r="J2443">
        <v>7.49</v>
      </c>
      <c r="K2443">
        <v>60</v>
      </c>
      <c r="L2443" s="2">
        <v>59</v>
      </c>
      <c r="M2443">
        <v>958</v>
      </c>
      <c r="N2443" s="2">
        <v>711</v>
      </c>
      <c r="O2443">
        <v>3668.76</v>
      </c>
      <c r="P2443">
        <v>42</v>
      </c>
      <c r="Q2443">
        <v>669</v>
      </c>
      <c r="R2443">
        <v>20.22</v>
      </c>
      <c r="S2443">
        <v>2</v>
      </c>
      <c r="T2443">
        <v>247</v>
      </c>
      <c r="U2443" s="2">
        <v>1850.03</v>
      </c>
      <c r="V2443">
        <v>0</v>
      </c>
      <c r="W2443" t="s">
        <v>29</v>
      </c>
      <c r="X2443" t="str">
        <f>IF(Table2[[#This Row],[Qty available]]&gt;Table2[[#This Row],[Qty on hand]],"Check","OK")</f>
        <v>OK</v>
      </c>
    </row>
    <row r="2444" spans="1:24" x14ac:dyDescent="0.3">
      <c r="A2444" t="s">
        <v>263</v>
      </c>
      <c r="B2444" t="s">
        <v>264</v>
      </c>
      <c r="C2444" t="s">
        <v>77</v>
      </c>
      <c r="D2444" t="s">
        <v>78</v>
      </c>
      <c r="E2444" t="s">
        <v>27</v>
      </c>
      <c r="F2444" s="1" t="s">
        <v>47</v>
      </c>
      <c r="G2444" s="2">
        <v>5.52</v>
      </c>
      <c r="H2444">
        <v>5.52</v>
      </c>
      <c r="I2444">
        <v>5.16</v>
      </c>
      <c r="J2444">
        <v>7.49</v>
      </c>
      <c r="K2444">
        <v>60</v>
      </c>
      <c r="M2444">
        <v>0</v>
      </c>
      <c r="N2444" s="2">
        <v>425</v>
      </c>
      <c r="O2444">
        <v>2193</v>
      </c>
      <c r="P2444">
        <v>76</v>
      </c>
      <c r="Q2444">
        <v>349</v>
      </c>
      <c r="R2444">
        <v>9.02</v>
      </c>
      <c r="S2444">
        <v>2</v>
      </c>
      <c r="T2444">
        <v>286</v>
      </c>
      <c r="U2444" s="2">
        <v>2142.14</v>
      </c>
      <c r="V2444">
        <v>0</v>
      </c>
      <c r="W2444" t="s">
        <v>29</v>
      </c>
      <c r="X2444" t="str">
        <f>IF(Table2[[#This Row],[Qty available]]&gt;Table2[[#This Row],[Qty on hand]],"Check","OK")</f>
        <v>OK</v>
      </c>
    </row>
    <row r="2445" spans="1:24" x14ac:dyDescent="0.3">
      <c r="A2445" t="s">
        <v>263</v>
      </c>
      <c r="B2445" t="s">
        <v>264</v>
      </c>
      <c r="C2445" t="s">
        <v>77</v>
      </c>
      <c r="D2445" t="s">
        <v>78</v>
      </c>
      <c r="E2445" t="s">
        <v>27</v>
      </c>
      <c r="F2445" s="1" t="s">
        <v>48</v>
      </c>
      <c r="G2445" s="2">
        <v>5.49</v>
      </c>
      <c r="H2445">
        <v>5.49</v>
      </c>
      <c r="I2445">
        <v>5.221832</v>
      </c>
      <c r="J2445">
        <v>7.49</v>
      </c>
      <c r="K2445">
        <v>60</v>
      </c>
      <c r="L2445" s="2">
        <v>56</v>
      </c>
      <c r="M2445">
        <v>98</v>
      </c>
      <c r="N2445" s="2">
        <v>273</v>
      </c>
      <c r="O2445">
        <v>1425.56</v>
      </c>
      <c r="P2445">
        <v>76</v>
      </c>
      <c r="Q2445">
        <v>197</v>
      </c>
      <c r="R2445">
        <v>4.43</v>
      </c>
      <c r="S2445">
        <v>2</v>
      </c>
      <c r="T2445">
        <v>250</v>
      </c>
      <c r="U2445" s="2">
        <v>1872.5</v>
      </c>
      <c r="V2445">
        <v>0</v>
      </c>
      <c r="W2445" t="s">
        <v>29</v>
      </c>
      <c r="X2445" t="str">
        <f>IF(Table2[[#This Row],[Qty available]]&gt;Table2[[#This Row],[Qty on hand]],"Check","OK")</f>
        <v>OK</v>
      </c>
    </row>
    <row r="2446" spans="1:24" x14ac:dyDescent="0.3">
      <c r="A2446" t="s">
        <v>263</v>
      </c>
      <c r="B2446" t="s">
        <v>264</v>
      </c>
      <c r="C2446" t="s">
        <v>77</v>
      </c>
      <c r="D2446" t="s">
        <v>78</v>
      </c>
      <c r="E2446" t="s">
        <v>27</v>
      </c>
      <c r="F2446" s="1" t="s">
        <v>49</v>
      </c>
      <c r="G2446" s="2">
        <v>5.53</v>
      </c>
      <c r="H2446">
        <v>5.53</v>
      </c>
      <c r="I2446">
        <v>5.4145969999999997</v>
      </c>
      <c r="J2446">
        <v>7.49</v>
      </c>
      <c r="K2446">
        <v>60</v>
      </c>
      <c r="L2446" s="2">
        <v>54</v>
      </c>
      <c r="M2446">
        <v>456</v>
      </c>
      <c r="N2446" s="2">
        <v>559</v>
      </c>
      <c r="O2446">
        <v>3026.76</v>
      </c>
      <c r="P2446">
        <v>76</v>
      </c>
      <c r="Q2446">
        <v>483</v>
      </c>
      <c r="R2446">
        <v>10.41</v>
      </c>
      <c r="S2446">
        <v>4</v>
      </c>
      <c r="T2446">
        <v>170</v>
      </c>
      <c r="U2446" s="2">
        <v>1273.3</v>
      </c>
      <c r="V2446">
        <v>0</v>
      </c>
      <c r="W2446" t="s">
        <v>29</v>
      </c>
      <c r="X2446" t="str">
        <f>IF(Table2[[#This Row],[Qty available]]&gt;Table2[[#This Row],[Qty on hand]],"Check","OK")</f>
        <v>OK</v>
      </c>
    </row>
    <row r="2447" spans="1:24" x14ac:dyDescent="0.3">
      <c r="A2447" t="s">
        <v>263</v>
      </c>
      <c r="B2447" t="s">
        <v>264</v>
      </c>
      <c r="C2447" t="s">
        <v>77</v>
      </c>
      <c r="D2447" t="s">
        <v>78</v>
      </c>
      <c r="E2447" t="s">
        <v>27</v>
      </c>
      <c r="F2447" s="1" t="s">
        <v>50</v>
      </c>
      <c r="G2447" s="2">
        <v>5.54</v>
      </c>
      <c r="H2447">
        <v>5.54</v>
      </c>
      <c r="I2447">
        <v>5.4145969999999997</v>
      </c>
      <c r="J2447">
        <v>7.49</v>
      </c>
      <c r="K2447">
        <v>60</v>
      </c>
      <c r="M2447">
        <v>0</v>
      </c>
      <c r="N2447" s="2">
        <v>385</v>
      </c>
      <c r="O2447">
        <v>2084.62</v>
      </c>
      <c r="P2447">
        <v>17</v>
      </c>
      <c r="Q2447">
        <v>368</v>
      </c>
      <c r="R2447">
        <v>8.43</v>
      </c>
      <c r="S2447">
        <v>4</v>
      </c>
      <c r="T2447">
        <v>174</v>
      </c>
      <c r="U2447" s="2">
        <v>1303.26</v>
      </c>
      <c r="V2447">
        <v>0</v>
      </c>
      <c r="W2447" t="s">
        <v>29</v>
      </c>
      <c r="X2447" t="str">
        <f>IF(Table2[[#This Row],[Qty available]]&gt;Table2[[#This Row],[Qty on hand]],"Check","OK")</f>
        <v>OK</v>
      </c>
    </row>
    <row r="2448" spans="1:24" x14ac:dyDescent="0.3">
      <c r="A2448" t="s">
        <v>263</v>
      </c>
      <c r="B2448" t="s">
        <v>264</v>
      </c>
      <c r="C2448" t="s">
        <v>77</v>
      </c>
      <c r="D2448" t="s">
        <v>78</v>
      </c>
      <c r="E2448" t="s">
        <v>27</v>
      </c>
      <c r="F2448" s="1" t="s">
        <v>51</v>
      </c>
      <c r="G2448" s="2">
        <v>5.46</v>
      </c>
      <c r="H2448">
        <v>5.46</v>
      </c>
      <c r="I2448">
        <v>5.4423849999999998</v>
      </c>
      <c r="J2448">
        <v>7.49</v>
      </c>
      <c r="K2448">
        <v>60</v>
      </c>
      <c r="L2448" s="2">
        <v>87</v>
      </c>
      <c r="M2448">
        <v>607</v>
      </c>
      <c r="N2448" s="2">
        <v>654</v>
      </c>
      <c r="O2448">
        <v>3559.32</v>
      </c>
      <c r="P2448">
        <v>34</v>
      </c>
      <c r="Q2448">
        <v>620</v>
      </c>
      <c r="R2448">
        <v>12.6</v>
      </c>
      <c r="S2448">
        <v>2</v>
      </c>
      <c r="T2448">
        <v>338</v>
      </c>
      <c r="U2448" s="2">
        <v>2531.62</v>
      </c>
      <c r="V2448">
        <v>0</v>
      </c>
      <c r="W2448" t="s">
        <v>29</v>
      </c>
      <c r="X2448" t="str">
        <f>IF(Table2[[#This Row],[Qty available]]&gt;Table2[[#This Row],[Qty on hand]],"Check","OK")</f>
        <v>OK</v>
      </c>
    </row>
    <row r="2449" spans="1:24" x14ac:dyDescent="0.3">
      <c r="A2449" t="s">
        <v>263</v>
      </c>
      <c r="B2449" t="s">
        <v>264</v>
      </c>
      <c r="C2449" t="s">
        <v>77</v>
      </c>
      <c r="D2449" t="s">
        <v>78</v>
      </c>
      <c r="E2449" t="s">
        <v>27</v>
      </c>
      <c r="F2449" s="1" t="s">
        <v>52</v>
      </c>
      <c r="G2449" s="2">
        <v>5.53</v>
      </c>
      <c r="H2449">
        <v>5.53</v>
      </c>
      <c r="I2449">
        <v>5.44238</v>
      </c>
      <c r="J2449">
        <v>7.49</v>
      </c>
      <c r="K2449">
        <v>60</v>
      </c>
      <c r="M2449">
        <v>0</v>
      </c>
      <c r="N2449" s="2">
        <v>458</v>
      </c>
      <c r="O2449">
        <v>2492.61</v>
      </c>
      <c r="P2449">
        <v>76</v>
      </c>
      <c r="Q2449">
        <v>382</v>
      </c>
      <c r="R2449">
        <v>8.5</v>
      </c>
      <c r="S2449">
        <v>3</v>
      </c>
      <c r="T2449">
        <v>196</v>
      </c>
      <c r="U2449" s="2">
        <v>1468.04</v>
      </c>
      <c r="V2449">
        <v>0</v>
      </c>
      <c r="W2449" t="s">
        <v>29</v>
      </c>
      <c r="X2449" t="str">
        <f>IF(Table2[[#This Row],[Qty available]]&gt;Table2[[#This Row],[Qty on hand]],"Check","OK")</f>
        <v>OK</v>
      </c>
    </row>
    <row r="2450" spans="1:24" x14ac:dyDescent="0.3">
      <c r="A2450" t="s">
        <v>265</v>
      </c>
      <c r="B2450" t="s">
        <v>266</v>
      </c>
      <c r="C2450" t="s">
        <v>69</v>
      </c>
      <c r="D2450" t="s">
        <v>70</v>
      </c>
      <c r="E2450" t="s">
        <v>66</v>
      </c>
      <c r="F2450" s="1" t="s">
        <v>28</v>
      </c>
      <c r="G2450" s="2">
        <v>569.83000000000004</v>
      </c>
      <c r="H2450">
        <v>569.83000000000004</v>
      </c>
      <c r="I2450">
        <v>563.37</v>
      </c>
      <c r="J2450">
        <v>799.49</v>
      </c>
      <c r="K2450">
        <v>40</v>
      </c>
      <c r="M2450">
        <v>0</v>
      </c>
      <c r="N2450" s="2">
        <v>14</v>
      </c>
      <c r="O2450">
        <v>7887.18</v>
      </c>
      <c r="P2450">
        <v>6</v>
      </c>
      <c r="Q2450">
        <v>8</v>
      </c>
      <c r="R2450">
        <v>1.79</v>
      </c>
      <c r="S2450">
        <v>15</v>
      </c>
      <c r="T2450">
        <v>34</v>
      </c>
      <c r="U2450" s="2">
        <v>27182.66</v>
      </c>
      <c r="V2450">
        <v>0</v>
      </c>
      <c r="W2450" t="s">
        <v>29</v>
      </c>
      <c r="X2450" t="str">
        <f>IF(Table2[[#This Row],[Qty available]]&gt;Table2[[#This Row],[Qty on hand]],"Check","OK")</f>
        <v>OK</v>
      </c>
    </row>
    <row r="2451" spans="1:24" x14ac:dyDescent="0.3">
      <c r="A2451" t="s">
        <v>265</v>
      </c>
      <c r="B2451" t="s">
        <v>266</v>
      </c>
      <c r="C2451" t="s">
        <v>69</v>
      </c>
      <c r="D2451" t="s">
        <v>70</v>
      </c>
      <c r="E2451" t="s">
        <v>66</v>
      </c>
      <c r="F2451" s="1" t="s">
        <v>30</v>
      </c>
      <c r="G2451" s="2">
        <v>574.69000000000005</v>
      </c>
      <c r="H2451">
        <v>574.69000000000005</v>
      </c>
      <c r="I2451">
        <v>572.90934800000002</v>
      </c>
      <c r="J2451">
        <v>799.49</v>
      </c>
      <c r="K2451">
        <v>40</v>
      </c>
      <c r="L2451" s="2">
        <v>39</v>
      </c>
      <c r="M2451">
        <v>75</v>
      </c>
      <c r="N2451" s="2">
        <v>46</v>
      </c>
      <c r="O2451">
        <v>26353.83</v>
      </c>
      <c r="P2451">
        <v>12</v>
      </c>
      <c r="Q2451">
        <v>34</v>
      </c>
      <c r="R2451">
        <v>4.76</v>
      </c>
      <c r="S2451">
        <v>10</v>
      </c>
      <c r="T2451">
        <v>43</v>
      </c>
      <c r="U2451" s="2">
        <v>34378.07</v>
      </c>
      <c r="V2451">
        <v>0</v>
      </c>
      <c r="W2451" t="s">
        <v>29</v>
      </c>
      <c r="X2451" t="str">
        <f>IF(Table2[[#This Row],[Qty available]]&gt;Table2[[#This Row],[Qty on hand]],"Check","OK")</f>
        <v>OK</v>
      </c>
    </row>
    <row r="2452" spans="1:24" x14ac:dyDescent="0.3">
      <c r="A2452" t="s">
        <v>265</v>
      </c>
      <c r="B2452" t="s">
        <v>266</v>
      </c>
      <c r="C2452" t="s">
        <v>69</v>
      </c>
      <c r="D2452" t="s">
        <v>70</v>
      </c>
      <c r="E2452" t="s">
        <v>66</v>
      </c>
      <c r="F2452" s="1" t="s">
        <v>31</v>
      </c>
      <c r="G2452" s="2">
        <v>571.30999999999995</v>
      </c>
      <c r="H2452">
        <v>571.30999999999995</v>
      </c>
      <c r="I2452">
        <v>572.90930200000003</v>
      </c>
      <c r="J2452">
        <v>799.49</v>
      </c>
      <c r="K2452">
        <v>40</v>
      </c>
      <c r="M2452">
        <v>0</v>
      </c>
      <c r="N2452" s="2">
        <v>43</v>
      </c>
      <c r="O2452">
        <v>24635.1</v>
      </c>
      <c r="P2452">
        <v>5</v>
      </c>
      <c r="Q2452">
        <v>38</v>
      </c>
      <c r="R2452">
        <v>6.99</v>
      </c>
      <c r="S2452">
        <v>15</v>
      </c>
      <c r="T2452">
        <v>3</v>
      </c>
      <c r="U2452" s="2">
        <v>2398.4699999999998</v>
      </c>
      <c r="V2452">
        <v>0</v>
      </c>
      <c r="W2452" t="s">
        <v>29</v>
      </c>
      <c r="X2452" t="str">
        <f>IF(Table2[[#This Row],[Qty available]]&gt;Table2[[#This Row],[Qty on hand]],"Check","OK")</f>
        <v>OK</v>
      </c>
    </row>
    <row r="2453" spans="1:24" x14ac:dyDescent="0.3">
      <c r="A2453" t="s">
        <v>265</v>
      </c>
      <c r="B2453" t="s">
        <v>266</v>
      </c>
      <c r="C2453" t="s">
        <v>69</v>
      </c>
      <c r="D2453" t="s">
        <v>70</v>
      </c>
      <c r="E2453" t="s">
        <v>66</v>
      </c>
      <c r="F2453" s="1" t="s">
        <v>32</v>
      </c>
      <c r="G2453" s="2">
        <v>575.29999999999995</v>
      </c>
      <c r="H2453">
        <v>575.29999999999995</v>
      </c>
      <c r="I2453">
        <v>573.99874999999997</v>
      </c>
      <c r="J2453">
        <v>799.49</v>
      </c>
      <c r="K2453">
        <v>40</v>
      </c>
      <c r="L2453" s="2">
        <v>34</v>
      </c>
      <c r="M2453">
        <v>36</v>
      </c>
      <c r="N2453" s="2">
        <v>24</v>
      </c>
      <c r="O2453">
        <v>13775.97</v>
      </c>
      <c r="P2453">
        <v>10</v>
      </c>
      <c r="Q2453">
        <v>14</v>
      </c>
      <c r="R2453">
        <v>3.12</v>
      </c>
      <c r="S2453">
        <v>2</v>
      </c>
      <c r="T2453">
        <v>55</v>
      </c>
      <c r="U2453" s="2">
        <v>43971.95</v>
      </c>
      <c r="V2453">
        <v>0</v>
      </c>
      <c r="W2453" t="s">
        <v>29</v>
      </c>
      <c r="X2453" t="str">
        <f>IF(Table2[[#This Row],[Qty available]]&gt;Table2[[#This Row],[Qty on hand]],"Check","OK")</f>
        <v>OK</v>
      </c>
    </row>
    <row r="2454" spans="1:24" x14ac:dyDescent="0.3">
      <c r="A2454" t="s">
        <v>265</v>
      </c>
      <c r="B2454" t="s">
        <v>266</v>
      </c>
      <c r="C2454" t="s">
        <v>69</v>
      </c>
      <c r="D2454" t="s">
        <v>70</v>
      </c>
      <c r="E2454" t="s">
        <v>66</v>
      </c>
      <c r="F2454" s="1" t="s">
        <v>33</v>
      </c>
      <c r="G2454" s="2">
        <v>591.29</v>
      </c>
      <c r="H2454">
        <v>591.29</v>
      </c>
      <c r="I2454">
        <v>584.373333</v>
      </c>
      <c r="J2454">
        <v>799.49</v>
      </c>
      <c r="K2454">
        <v>40</v>
      </c>
      <c r="L2454" s="2">
        <v>35</v>
      </c>
      <c r="M2454">
        <v>36</v>
      </c>
      <c r="N2454" s="2">
        <v>27</v>
      </c>
      <c r="O2454">
        <v>15778.08</v>
      </c>
      <c r="P2454">
        <v>7</v>
      </c>
      <c r="Q2454">
        <v>20</v>
      </c>
      <c r="R2454">
        <v>3.9</v>
      </c>
      <c r="S2454">
        <v>8</v>
      </c>
      <c r="T2454">
        <v>33</v>
      </c>
      <c r="U2454" s="2">
        <v>26383.17</v>
      </c>
      <c r="V2454">
        <v>0</v>
      </c>
      <c r="W2454" t="s">
        <v>29</v>
      </c>
      <c r="X2454" t="str">
        <f>IF(Table2[[#This Row],[Qty available]]&gt;Table2[[#This Row],[Qty on hand]],"Check","OK")</f>
        <v>OK</v>
      </c>
    </row>
    <row r="2455" spans="1:24" x14ac:dyDescent="0.3">
      <c r="A2455" t="s">
        <v>265</v>
      </c>
      <c r="B2455" t="s">
        <v>266</v>
      </c>
      <c r="C2455" t="s">
        <v>69</v>
      </c>
      <c r="D2455" t="s">
        <v>70</v>
      </c>
      <c r="E2455" t="s">
        <v>66</v>
      </c>
      <c r="F2455" s="1" t="s">
        <v>34</v>
      </c>
      <c r="G2455" s="2">
        <v>583.13</v>
      </c>
      <c r="H2455">
        <v>583.13</v>
      </c>
      <c r="I2455">
        <v>583.66281300000003</v>
      </c>
      <c r="J2455">
        <v>835.98</v>
      </c>
      <c r="K2455">
        <v>40</v>
      </c>
      <c r="L2455" s="2">
        <v>37</v>
      </c>
      <c r="M2455">
        <v>36</v>
      </c>
      <c r="N2455" s="2">
        <v>32</v>
      </c>
      <c r="O2455">
        <v>18677.21</v>
      </c>
      <c r="P2455">
        <v>2</v>
      </c>
      <c r="Q2455">
        <v>30</v>
      </c>
      <c r="R2455">
        <v>3.46</v>
      </c>
      <c r="S2455">
        <v>0</v>
      </c>
      <c r="T2455">
        <v>31</v>
      </c>
      <c r="U2455" s="2">
        <v>25915.38</v>
      </c>
      <c r="V2455">
        <v>0</v>
      </c>
      <c r="W2455" t="s">
        <v>29</v>
      </c>
      <c r="X2455" t="str">
        <f>IF(Table2[[#This Row],[Qty available]]&gt;Table2[[#This Row],[Qty on hand]],"Check","OK")</f>
        <v>OK</v>
      </c>
    </row>
    <row r="2456" spans="1:24" x14ac:dyDescent="0.3">
      <c r="A2456" t="s">
        <v>265</v>
      </c>
      <c r="B2456" t="s">
        <v>266</v>
      </c>
      <c r="C2456" t="s">
        <v>69</v>
      </c>
      <c r="D2456" t="s">
        <v>70</v>
      </c>
      <c r="E2456" t="s">
        <v>66</v>
      </c>
      <c r="F2456" s="1" t="s">
        <v>35</v>
      </c>
      <c r="G2456" s="2">
        <v>585.48</v>
      </c>
      <c r="H2456">
        <v>585.48</v>
      </c>
      <c r="I2456">
        <v>584.62480000000005</v>
      </c>
      <c r="J2456">
        <v>835.98</v>
      </c>
      <c r="K2456">
        <v>40</v>
      </c>
      <c r="L2456" s="2">
        <v>55</v>
      </c>
      <c r="M2456">
        <v>36</v>
      </c>
      <c r="N2456" s="2">
        <v>25</v>
      </c>
      <c r="O2456">
        <v>14615.62</v>
      </c>
      <c r="P2456">
        <v>12</v>
      </c>
      <c r="Q2456">
        <v>13</v>
      </c>
      <c r="R2456">
        <v>3</v>
      </c>
      <c r="S2456">
        <v>2</v>
      </c>
      <c r="T2456">
        <v>43</v>
      </c>
      <c r="U2456" s="2">
        <v>35947.14</v>
      </c>
      <c r="V2456">
        <v>0</v>
      </c>
      <c r="W2456" t="s">
        <v>29</v>
      </c>
      <c r="X2456" t="str">
        <f>IF(Table2[[#This Row],[Qty available]]&gt;Table2[[#This Row],[Qty on hand]],"Check","OK")</f>
        <v>OK</v>
      </c>
    </row>
    <row r="2457" spans="1:24" x14ac:dyDescent="0.3">
      <c r="A2457" t="s">
        <v>265</v>
      </c>
      <c r="B2457" t="s">
        <v>266</v>
      </c>
      <c r="C2457" t="s">
        <v>69</v>
      </c>
      <c r="D2457" t="s">
        <v>70</v>
      </c>
      <c r="E2457" t="s">
        <v>66</v>
      </c>
      <c r="F2457" s="1" t="s">
        <v>36</v>
      </c>
      <c r="G2457" s="2">
        <v>593.66999999999996</v>
      </c>
      <c r="H2457">
        <v>593.66999999999996</v>
      </c>
      <c r="I2457">
        <v>584.62480000000005</v>
      </c>
      <c r="J2457">
        <v>835.98</v>
      </c>
      <c r="K2457">
        <v>40</v>
      </c>
      <c r="M2457">
        <v>0</v>
      </c>
      <c r="N2457" s="2">
        <v>0</v>
      </c>
      <c r="O2457">
        <v>0</v>
      </c>
      <c r="P2457">
        <v>0</v>
      </c>
      <c r="Q2457">
        <v>0</v>
      </c>
      <c r="R2457">
        <v>0</v>
      </c>
      <c r="S2457">
        <v>2</v>
      </c>
      <c r="T2457">
        <v>25</v>
      </c>
      <c r="U2457" s="2">
        <v>20899.5</v>
      </c>
      <c r="V2457">
        <v>25</v>
      </c>
      <c r="W2457" t="s">
        <v>59</v>
      </c>
      <c r="X2457" t="str">
        <f>IF(Table2[[#This Row],[Qty available]]&gt;Table2[[#This Row],[Qty on hand]],"Check","OK")</f>
        <v>OK</v>
      </c>
    </row>
    <row r="2458" spans="1:24" x14ac:dyDescent="0.3">
      <c r="A2458" t="s">
        <v>265</v>
      </c>
      <c r="B2458" t="s">
        <v>266</v>
      </c>
      <c r="C2458" t="s">
        <v>69</v>
      </c>
      <c r="D2458" t="s">
        <v>70</v>
      </c>
      <c r="E2458" t="s">
        <v>66</v>
      </c>
      <c r="F2458" s="1" t="s">
        <v>37</v>
      </c>
      <c r="G2458" s="2">
        <v>596.16</v>
      </c>
      <c r="H2458">
        <v>596.16</v>
      </c>
      <c r="I2458">
        <v>596.16</v>
      </c>
      <c r="J2458">
        <v>835.98</v>
      </c>
      <c r="K2458">
        <v>40</v>
      </c>
      <c r="L2458" s="2">
        <v>38</v>
      </c>
      <c r="M2458">
        <v>99</v>
      </c>
      <c r="N2458" s="2">
        <v>48</v>
      </c>
      <c r="O2458">
        <v>28615.68</v>
      </c>
      <c r="P2458">
        <v>10</v>
      </c>
      <c r="Q2458">
        <v>38</v>
      </c>
      <c r="R2458">
        <v>5.3</v>
      </c>
      <c r="S2458">
        <v>1</v>
      </c>
      <c r="T2458">
        <v>51</v>
      </c>
      <c r="U2458" s="2">
        <v>42634.98</v>
      </c>
      <c r="V2458">
        <v>0</v>
      </c>
      <c r="W2458" t="s">
        <v>29</v>
      </c>
      <c r="X2458" t="str">
        <f>IF(Table2[[#This Row],[Qty available]]&gt;Table2[[#This Row],[Qty on hand]],"Check","OK")</f>
        <v>OK</v>
      </c>
    </row>
    <row r="2459" spans="1:24" x14ac:dyDescent="0.3">
      <c r="A2459" t="s">
        <v>265</v>
      </c>
      <c r="B2459" t="s">
        <v>266</v>
      </c>
      <c r="C2459" t="s">
        <v>69</v>
      </c>
      <c r="D2459" t="s">
        <v>70</v>
      </c>
      <c r="E2459" t="s">
        <v>66</v>
      </c>
      <c r="F2459" s="1" t="s">
        <v>38</v>
      </c>
      <c r="G2459" s="2">
        <v>582.37</v>
      </c>
      <c r="H2459">
        <v>582.37</v>
      </c>
      <c r="I2459">
        <v>590.25</v>
      </c>
      <c r="J2459">
        <v>835.98</v>
      </c>
      <c r="K2459">
        <v>40</v>
      </c>
      <c r="L2459" s="2">
        <v>39</v>
      </c>
      <c r="M2459">
        <v>36</v>
      </c>
      <c r="N2459" s="2">
        <v>65</v>
      </c>
      <c r="O2459">
        <v>38366.25</v>
      </c>
      <c r="P2459">
        <v>5</v>
      </c>
      <c r="Q2459">
        <v>60</v>
      </c>
      <c r="R2459">
        <v>8.89</v>
      </c>
      <c r="S2459">
        <v>6</v>
      </c>
      <c r="T2459">
        <v>19</v>
      </c>
      <c r="U2459" s="2">
        <v>15883.62</v>
      </c>
      <c r="V2459">
        <v>0</v>
      </c>
      <c r="W2459" t="s">
        <v>29</v>
      </c>
      <c r="X2459" t="str">
        <f>IF(Table2[[#This Row],[Qty available]]&gt;Table2[[#This Row],[Qty on hand]],"Check","OK")</f>
        <v>OK</v>
      </c>
    </row>
    <row r="2460" spans="1:24" x14ac:dyDescent="0.3">
      <c r="A2460" t="s">
        <v>265</v>
      </c>
      <c r="B2460" t="s">
        <v>266</v>
      </c>
      <c r="C2460" t="s">
        <v>69</v>
      </c>
      <c r="D2460" t="s">
        <v>70</v>
      </c>
      <c r="E2460" t="s">
        <v>66</v>
      </c>
      <c r="F2460" s="1" t="s">
        <v>39</v>
      </c>
      <c r="G2460" s="2">
        <v>577.91999999999996</v>
      </c>
      <c r="H2460">
        <v>577.91999999999996</v>
      </c>
      <c r="I2460">
        <v>585.85512500000004</v>
      </c>
      <c r="J2460">
        <v>835.98</v>
      </c>
      <c r="K2460">
        <v>40</v>
      </c>
      <c r="L2460" s="2">
        <v>39</v>
      </c>
      <c r="M2460">
        <v>36</v>
      </c>
      <c r="N2460" s="2">
        <v>80</v>
      </c>
      <c r="O2460">
        <v>46868.41</v>
      </c>
      <c r="P2460">
        <v>10</v>
      </c>
      <c r="Q2460">
        <v>70</v>
      </c>
      <c r="R2460">
        <v>11.55</v>
      </c>
      <c r="S2460">
        <v>2</v>
      </c>
      <c r="T2460">
        <v>21</v>
      </c>
      <c r="U2460" s="2">
        <v>17555.580000000002</v>
      </c>
      <c r="V2460">
        <v>0</v>
      </c>
      <c r="W2460" t="s">
        <v>29</v>
      </c>
      <c r="X2460" t="str">
        <f>IF(Table2[[#This Row],[Qty available]]&gt;Table2[[#This Row],[Qty on hand]],"Check","OK")</f>
        <v>OK</v>
      </c>
    </row>
    <row r="2461" spans="1:24" x14ac:dyDescent="0.3">
      <c r="A2461" t="s">
        <v>265</v>
      </c>
      <c r="B2461" t="s">
        <v>266</v>
      </c>
      <c r="C2461" t="s">
        <v>69</v>
      </c>
      <c r="D2461" t="s">
        <v>70</v>
      </c>
      <c r="E2461" t="s">
        <v>66</v>
      </c>
      <c r="F2461" s="1" t="s">
        <v>40</v>
      </c>
      <c r="G2461" s="2">
        <v>576.86</v>
      </c>
      <c r="H2461">
        <v>576.86</v>
      </c>
      <c r="I2461">
        <v>583.06352900000002</v>
      </c>
      <c r="J2461">
        <v>835.98</v>
      </c>
      <c r="K2461">
        <v>40</v>
      </c>
      <c r="L2461" s="2">
        <v>61</v>
      </c>
      <c r="M2461">
        <v>36</v>
      </c>
      <c r="N2461" s="2">
        <v>85</v>
      </c>
      <c r="O2461">
        <v>49560.4</v>
      </c>
      <c r="P2461">
        <v>5</v>
      </c>
      <c r="Q2461">
        <v>80</v>
      </c>
      <c r="R2461">
        <v>15.73</v>
      </c>
      <c r="S2461">
        <v>4</v>
      </c>
      <c r="T2461">
        <v>31</v>
      </c>
      <c r="U2461" s="2">
        <v>25915.38</v>
      </c>
      <c r="V2461">
        <v>0</v>
      </c>
      <c r="W2461" t="s">
        <v>29</v>
      </c>
      <c r="X2461" t="str">
        <f>IF(Table2[[#This Row],[Qty available]]&gt;Table2[[#This Row],[Qty on hand]],"Check","OK")</f>
        <v>OK</v>
      </c>
    </row>
    <row r="2462" spans="1:24" x14ac:dyDescent="0.3">
      <c r="A2462" t="s">
        <v>265</v>
      </c>
      <c r="B2462" t="s">
        <v>266</v>
      </c>
      <c r="C2462" t="s">
        <v>69</v>
      </c>
      <c r="D2462" t="s">
        <v>70</v>
      </c>
      <c r="E2462" t="s">
        <v>66</v>
      </c>
      <c r="F2462" s="1" t="s">
        <v>41</v>
      </c>
      <c r="G2462" s="2">
        <v>591.89</v>
      </c>
      <c r="H2462">
        <v>591.89</v>
      </c>
      <c r="I2462">
        <v>585.68959500000005</v>
      </c>
      <c r="J2462">
        <v>835.98</v>
      </c>
      <c r="K2462">
        <v>40</v>
      </c>
      <c r="L2462" s="2">
        <v>37</v>
      </c>
      <c r="M2462">
        <v>36</v>
      </c>
      <c r="N2462" s="2">
        <v>74</v>
      </c>
      <c r="O2462">
        <v>43341.03</v>
      </c>
      <c r="P2462">
        <v>8</v>
      </c>
      <c r="Q2462">
        <v>66</v>
      </c>
      <c r="R2462">
        <v>9.82</v>
      </c>
      <c r="S2462">
        <v>7</v>
      </c>
      <c r="T2462">
        <v>47</v>
      </c>
      <c r="U2462" s="2">
        <v>39291.06</v>
      </c>
      <c r="V2462">
        <v>0</v>
      </c>
      <c r="W2462" t="s">
        <v>29</v>
      </c>
      <c r="X2462" t="str">
        <f>IF(Table2[[#This Row],[Qty available]]&gt;Table2[[#This Row],[Qty on hand]],"Check","OK")</f>
        <v>OK</v>
      </c>
    </row>
    <row r="2463" spans="1:24" x14ac:dyDescent="0.3">
      <c r="A2463" t="s">
        <v>265</v>
      </c>
      <c r="B2463" t="s">
        <v>266</v>
      </c>
      <c r="C2463" t="s">
        <v>69</v>
      </c>
      <c r="D2463" t="s">
        <v>70</v>
      </c>
      <c r="E2463" t="s">
        <v>66</v>
      </c>
      <c r="F2463" s="1" t="s">
        <v>42</v>
      </c>
      <c r="G2463" s="2">
        <v>591.42999999999995</v>
      </c>
      <c r="H2463">
        <v>591.42999999999995</v>
      </c>
      <c r="I2463">
        <v>585.68958899999996</v>
      </c>
      <c r="J2463">
        <v>835.98</v>
      </c>
      <c r="K2463">
        <v>40</v>
      </c>
      <c r="M2463">
        <v>0</v>
      </c>
      <c r="N2463" s="2">
        <v>73</v>
      </c>
      <c r="O2463">
        <v>42755.34</v>
      </c>
      <c r="P2463">
        <v>7</v>
      </c>
      <c r="Q2463">
        <v>66</v>
      </c>
      <c r="R2463">
        <v>12.14</v>
      </c>
      <c r="S2463">
        <v>25</v>
      </c>
      <c r="T2463">
        <v>1</v>
      </c>
      <c r="U2463" s="2">
        <v>835.98</v>
      </c>
      <c r="V2463">
        <v>0</v>
      </c>
      <c r="W2463" t="s">
        <v>29</v>
      </c>
      <c r="X2463" t="str">
        <f>IF(Table2[[#This Row],[Qty available]]&gt;Table2[[#This Row],[Qty on hand]],"Check","OK")</f>
        <v>OK</v>
      </c>
    </row>
    <row r="2464" spans="1:24" x14ac:dyDescent="0.3">
      <c r="A2464" t="s">
        <v>265</v>
      </c>
      <c r="B2464" t="s">
        <v>266</v>
      </c>
      <c r="C2464" t="s">
        <v>69</v>
      </c>
      <c r="D2464" t="s">
        <v>70</v>
      </c>
      <c r="E2464" t="s">
        <v>66</v>
      </c>
      <c r="F2464" s="1" t="s">
        <v>43</v>
      </c>
      <c r="G2464" s="2">
        <v>587.80999999999995</v>
      </c>
      <c r="H2464">
        <v>587.80999999999995</v>
      </c>
      <c r="I2464">
        <v>586.61009999999999</v>
      </c>
      <c r="J2464">
        <v>835.98</v>
      </c>
      <c r="K2464">
        <v>40</v>
      </c>
      <c r="L2464" s="2">
        <v>34</v>
      </c>
      <c r="M2464">
        <v>56</v>
      </c>
      <c r="N2464" s="2">
        <v>100</v>
      </c>
      <c r="O2464">
        <v>58661.01</v>
      </c>
      <c r="P2464">
        <v>7</v>
      </c>
      <c r="Q2464">
        <v>93</v>
      </c>
      <c r="R2464">
        <v>16.88</v>
      </c>
      <c r="S2464">
        <v>4</v>
      </c>
      <c r="T2464">
        <v>29</v>
      </c>
      <c r="U2464" s="2">
        <v>24243.42</v>
      </c>
      <c r="V2464">
        <v>0</v>
      </c>
      <c r="W2464" t="s">
        <v>29</v>
      </c>
      <c r="X2464" t="str">
        <f>IF(Table2[[#This Row],[Qty available]]&gt;Table2[[#This Row],[Qty on hand]],"Check","OK")</f>
        <v>OK</v>
      </c>
    </row>
    <row r="2465" spans="1:24" x14ac:dyDescent="0.3">
      <c r="A2465" t="s">
        <v>265</v>
      </c>
      <c r="B2465" t="s">
        <v>266</v>
      </c>
      <c r="C2465" t="s">
        <v>69</v>
      </c>
      <c r="D2465" t="s">
        <v>70</v>
      </c>
      <c r="E2465" t="s">
        <v>66</v>
      </c>
      <c r="F2465" s="1" t="s">
        <v>44</v>
      </c>
      <c r="G2465" s="2">
        <v>614.34</v>
      </c>
      <c r="H2465">
        <v>614.34</v>
      </c>
      <c r="I2465">
        <v>586.61011900000005</v>
      </c>
      <c r="J2465">
        <v>835.98</v>
      </c>
      <c r="K2465">
        <v>40</v>
      </c>
      <c r="M2465">
        <v>0</v>
      </c>
      <c r="N2465" s="2">
        <v>84</v>
      </c>
      <c r="O2465">
        <v>49275.25</v>
      </c>
      <c r="P2465">
        <v>4</v>
      </c>
      <c r="Q2465">
        <v>80</v>
      </c>
      <c r="R2465">
        <v>24</v>
      </c>
      <c r="S2465">
        <v>3</v>
      </c>
      <c r="T2465">
        <v>16</v>
      </c>
      <c r="U2465" s="2">
        <v>13375.68</v>
      </c>
      <c r="V2465">
        <v>0</v>
      </c>
      <c r="W2465" t="s">
        <v>29</v>
      </c>
      <c r="X2465" t="str">
        <f>IF(Table2[[#This Row],[Qty available]]&gt;Table2[[#This Row],[Qty on hand]],"Check","OK")</f>
        <v>OK</v>
      </c>
    </row>
    <row r="2466" spans="1:24" x14ac:dyDescent="0.3">
      <c r="A2466" t="s">
        <v>265</v>
      </c>
      <c r="B2466" t="s">
        <v>266</v>
      </c>
      <c r="C2466" t="s">
        <v>69</v>
      </c>
      <c r="D2466" t="s">
        <v>70</v>
      </c>
      <c r="E2466" t="s">
        <v>66</v>
      </c>
      <c r="F2466" s="1" t="s">
        <v>45</v>
      </c>
      <c r="G2466" s="2">
        <v>612.9</v>
      </c>
      <c r="H2466">
        <v>612.9</v>
      </c>
      <c r="I2466">
        <v>596.66216199999997</v>
      </c>
      <c r="J2466">
        <v>835.98</v>
      </c>
      <c r="K2466">
        <v>40</v>
      </c>
      <c r="L2466" s="2">
        <v>40</v>
      </c>
      <c r="M2466">
        <v>52</v>
      </c>
      <c r="N2466" s="2">
        <v>111</v>
      </c>
      <c r="O2466">
        <v>66229.5</v>
      </c>
      <c r="P2466">
        <v>5</v>
      </c>
      <c r="Q2466">
        <v>106</v>
      </c>
      <c r="R2466">
        <v>20.84</v>
      </c>
      <c r="S2466">
        <v>0</v>
      </c>
      <c r="T2466">
        <v>25</v>
      </c>
      <c r="U2466" s="2">
        <v>20899.5</v>
      </c>
      <c r="V2466">
        <v>0</v>
      </c>
      <c r="W2466" t="s">
        <v>29</v>
      </c>
      <c r="X2466" t="str">
        <f>IF(Table2[[#This Row],[Qty available]]&gt;Table2[[#This Row],[Qty on hand]],"Check","OK")</f>
        <v>OK</v>
      </c>
    </row>
    <row r="2467" spans="1:24" x14ac:dyDescent="0.3">
      <c r="A2467" t="s">
        <v>265</v>
      </c>
      <c r="B2467" t="s">
        <v>266</v>
      </c>
      <c r="C2467" t="s">
        <v>69</v>
      </c>
      <c r="D2467" t="s">
        <v>70</v>
      </c>
      <c r="E2467" t="s">
        <v>66</v>
      </c>
      <c r="F2467" s="1" t="s">
        <v>46</v>
      </c>
      <c r="G2467" s="2">
        <v>605.20000000000005</v>
      </c>
      <c r="H2467">
        <v>605.20000000000005</v>
      </c>
      <c r="I2467">
        <v>596.66217900000004</v>
      </c>
      <c r="J2467">
        <v>874.13</v>
      </c>
      <c r="K2467">
        <v>40</v>
      </c>
      <c r="M2467">
        <v>0</v>
      </c>
      <c r="N2467" s="2">
        <v>78</v>
      </c>
      <c r="O2467">
        <v>46539.65</v>
      </c>
      <c r="P2467">
        <v>10</v>
      </c>
      <c r="Q2467">
        <v>68</v>
      </c>
      <c r="R2467">
        <v>13.55</v>
      </c>
      <c r="S2467">
        <v>6</v>
      </c>
      <c r="T2467">
        <v>33</v>
      </c>
      <c r="U2467" s="2">
        <v>28846.29</v>
      </c>
      <c r="V2467">
        <v>0</v>
      </c>
      <c r="W2467" t="s">
        <v>29</v>
      </c>
      <c r="X2467" t="str">
        <f>IF(Table2[[#This Row],[Qty available]]&gt;Table2[[#This Row],[Qty on hand]],"Check","OK")</f>
        <v>OK</v>
      </c>
    </row>
    <row r="2468" spans="1:24" x14ac:dyDescent="0.3">
      <c r="A2468" t="s">
        <v>265</v>
      </c>
      <c r="B2468" t="s">
        <v>266</v>
      </c>
      <c r="C2468" t="s">
        <v>69</v>
      </c>
      <c r="D2468" t="s">
        <v>70</v>
      </c>
      <c r="E2468" t="s">
        <v>66</v>
      </c>
      <c r="F2468" s="1" t="s">
        <v>47</v>
      </c>
      <c r="G2468" s="2">
        <v>592.54999999999995</v>
      </c>
      <c r="H2468">
        <v>592.54999999999995</v>
      </c>
      <c r="I2468">
        <v>596.66200000000003</v>
      </c>
      <c r="J2468">
        <v>874.13</v>
      </c>
      <c r="K2468">
        <v>40</v>
      </c>
      <c r="M2468">
        <v>0</v>
      </c>
      <c r="N2468" s="2">
        <v>20</v>
      </c>
      <c r="O2468">
        <v>11933.24</v>
      </c>
      <c r="P2468">
        <v>4</v>
      </c>
      <c r="Q2468">
        <v>16</v>
      </c>
      <c r="R2468">
        <v>2.2200000000000002</v>
      </c>
      <c r="S2468">
        <v>10</v>
      </c>
      <c r="T2468">
        <v>58</v>
      </c>
      <c r="U2468" s="2">
        <v>50699.54</v>
      </c>
      <c r="V2468">
        <v>0</v>
      </c>
      <c r="W2468" t="s">
        <v>29</v>
      </c>
      <c r="X2468" t="str">
        <f>IF(Table2[[#This Row],[Qty available]]&gt;Table2[[#This Row],[Qty on hand]],"Check","OK")</f>
        <v>OK</v>
      </c>
    </row>
    <row r="2469" spans="1:24" x14ac:dyDescent="0.3">
      <c r="A2469" t="s">
        <v>265</v>
      </c>
      <c r="B2469" t="s">
        <v>266</v>
      </c>
      <c r="C2469" t="s">
        <v>69</v>
      </c>
      <c r="D2469" t="s">
        <v>70</v>
      </c>
      <c r="E2469" t="s">
        <v>66</v>
      </c>
      <c r="F2469" s="1" t="s">
        <v>48</v>
      </c>
      <c r="G2469" s="2">
        <v>597.37</v>
      </c>
      <c r="H2469">
        <v>597.37</v>
      </c>
      <c r="I2469">
        <v>597.15206899999998</v>
      </c>
      <c r="J2469">
        <v>874.13</v>
      </c>
      <c r="K2469">
        <v>40</v>
      </c>
      <c r="L2469" s="2">
        <v>34</v>
      </c>
      <c r="M2469">
        <v>45</v>
      </c>
      <c r="N2469" s="2">
        <v>58</v>
      </c>
      <c r="O2469">
        <v>34634.82</v>
      </c>
      <c r="P2469">
        <v>8</v>
      </c>
      <c r="Q2469">
        <v>50</v>
      </c>
      <c r="R2469">
        <v>7.52</v>
      </c>
      <c r="S2469">
        <v>6</v>
      </c>
      <c r="T2469">
        <v>7</v>
      </c>
      <c r="U2469" s="2">
        <v>6118.91</v>
      </c>
      <c r="V2469">
        <v>0</v>
      </c>
      <c r="W2469" t="s">
        <v>29</v>
      </c>
      <c r="X2469" t="str">
        <f>IF(Table2[[#This Row],[Qty available]]&gt;Table2[[#This Row],[Qty on hand]],"Check","OK")</f>
        <v>OK</v>
      </c>
    </row>
    <row r="2470" spans="1:24" x14ac:dyDescent="0.3">
      <c r="A2470" t="s">
        <v>265</v>
      </c>
      <c r="B2470" t="s">
        <v>266</v>
      </c>
      <c r="C2470" t="s">
        <v>69</v>
      </c>
      <c r="D2470" t="s">
        <v>70</v>
      </c>
      <c r="E2470" t="s">
        <v>66</v>
      </c>
      <c r="F2470" s="1" t="s">
        <v>49</v>
      </c>
      <c r="G2470" s="2">
        <v>595.69000000000005</v>
      </c>
      <c r="H2470">
        <v>595.69000000000005</v>
      </c>
      <c r="I2470">
        <v>596.59207500000002</v>
      </c>
      <c r="J2470">
        <v>874.13</v>
      </c>
      <c r="K2470">
        <v>40</v>
      </c>
      <c r="L2470" s="2">
        <v>52</v>
      </c>
      <c r="M2470">
        <v>36</v>
      </c>
      <c r="N2470" s="2">
        <v>53</v>
      </c>
      <c r="O2470">
        <v>31619.38</v>
      </c>
      <c r="P2470">
        <v>4</v>
      </c>
      <c r="Q2470">
        <v>49</v>
      </c>
      <c r="R2470">
        <v>6.57</v>
      </c>
      <c r="S2470">
        <v>4</v>
      </c>
      <c r="T2470">
        <v>41</v>
      </c>
      <c r="U2470" s="2">
        <v>35839.33</v>
      </c>
      <c r="V2470">
        <v>0</v>
      </c>
      <c r="W2470" t="s">
        <v>29</v>
      </c>
      <c r="X2470" t="str">
        <f>IF(Table2[[#This Row],[Qty available]]&gt;Table2[[#This Row],[Qty on hand]],"Check","OK")</f>
        <v>OK</v>
      </c>
    </row>
    <row r="2471" spans="1:24" x14ac:dyDescent="0.3">
      <c r="A2471" t="s">
        <v>265</v>
      </c>
      <c r="B2471" t="s">
        <v>266</v>
      </c>
      <c r="C2471" t="s">
        <v>69</v>
      </c>
      <c r="D2471" t="s">
        <v>70</v>
      </c>
      <c r="E2471" t="s">
        <v>66</v>
      </c>
      <c r="F2471" s="1" t="s">
        <v>50</v>
      </c>
      <c r="G2471" s="2">
        <v>590.45000000000005</v>
      </c>
      <c r="H2471">
        <v>590.45000000000005</v>
      </c>
      <c r="I2471">
        <v>594.10759499999995</v>
      </c>
      <c r="J2471">
        <v>874.13</v>
      </c>
      <c r="K2471">
        <v>40</v>
      </c>
      <c r="L2471" s="2">
        <v>38</v>
      </c>
      <c r="M2471">
        <v>36</v>
      </c>
      <c r="N2471" s="2">
        <v>79</v>
      </c>
      <c r="O2471">
        <v>46934.5</v>
      </c>
      <c r="P2471">
        <v>8</v>
      </c>
      <c r="Q2471">
        <v>71</v>
      </c>
      <c r="R2471">
        <v>17.71</v>
      </c>
      <c r="S2471">
        <v>4</v>
      </c>
      <c r="T2471">
        <v>10</v>
      </c>
      <c r="U2471" s="2">
        <v>8741.2999999999993</v>
      </c>
      <c r="V2471">
        <v>0</v>
      </c>
      <c r="W2471" t="s">
        <v>29</v>
      </c>
      <c r="X2471" t="str">
        <f>IF(Table2[[#This Row],[Qty available]]&gt;Table2[[#This Row],[Qty on hand]],"Check","OK")</f>
        <v>OK</v>
      </c>
    </row>
    <row r="2472" spans="1:24" x14ac:dyDescent="0.3">
      <c r="A2472" t="s">
        <v>265</v>
      </c>
      <c r="B2472" t="s">
        <v>266</v>
      </c>
      <c r="C2472" t="s">
        <v>69</v>
      </c>
      <c r="D2472" t="s">
        <v>70</v>
      </c>
      <c r="E2472" t="s">
        <v>66</v>
      </c>
      <c r="F2472" s="1" t="s">
        <v>51</v>
      </c>
      <c r="G2472" s="2">
        <v>612.12</v>
      </c>
      <c r="H2472">
        <v>612.12</v>
      </c>
      <c r="I2472">
        <v>600.35985300000004</v>
      </c>
      <c r="J2472">
        <v>874.13</v>
      </c>
      <c r="K2472">
        <v>40</v>
      </c>
      <c r="L2472" s="2">
        <v>39</v>
      </c>
      <c r="M2472">
        <v>42</v>
      </c>
      <c r="N2472" s="2">
        <v>68</v>
      </c>
      <c r="O2472">
        <v>40824.47</v>
      </c>
      <c r="P2472">
        <v>7</v>
      </c>
      <c r="Q2472">
        <v>61</v>
      </c>
      <c r="R2472">
        <v>8.59</v>
      </c>
      <c r="S2472">
        <v>6</v>
      </c>
      <c r="T2472">
        <v>53</v>
      </c>
      <c r="U2472" s="2">
        <v>46328.89</v>
      </c>
      <c r="V2472">
        <v>0</v>
      </c>
      <c r="W2472" t="s">
        <v>29</v>
      </c>
      <c r="X2472" t="str">
        <f>IF(Table2[[#This Row],[Qty available]]&gt;Table2[[#This Row],[Qty on hand]],"Check","OK")</f>
        <v>OK</v>
      </c>
    </row>
    <row r="2473" spans="1:24" x14ac:dyDescent="0.3">
      <c r="A2473" t="s">
        <v>265</v>
      </c>
      <c r="B2473" t="s">
        <v>266</v>
      </c>
      <c r="C2473" t="s">
        <v>69</v>
      </c>
      <c r="D2473" t="s">
        <v>70</v>
      </c>
      <c r="E2473" t="s">
        <v>66</v>
      </c>
      <c r="F2473" s="1" t="s">
        <v>52</v>
      </c>
      <c r="G2473" s="2">
        <v>609.05999999999995</v>
      </c>
      <c r="H2473">
        <v>609.05999999999995</v>
      </c>
      <c r="I2473">
        <v>600.35978299999999</v>
      </c>
      <c r="J2473">
        <v>874.13</v>
      </c>
      <c r="K2473">
        <v>40</v>
      </c>
      <c r="M2473">
        <v>0</v>
      </c>
      <c r="N2473" s="2">
        <v>46</v>
      </c>
      <c r="O2473">
        <v>27616.55</v>
      </c>
      <c r="P2473">
        <v>11</v>
      </c>
      <c r="Q2473">
        <v>35</v>
      </c>
      <c r="R2473">
        <v>7.11</v>
      </c>
      <c r="S2473">
        <v>4</v>
      </c>
      <c r="T2473">
        <v>22</v>
      </c>
      <c r="U2473" s="2">
        <v>19230.86</v>
      </c>
      <c r="V2473">
        <v>0</v>
      </c>
      <c r="W2473" t="s">
        <v>29</v>
      </c>
      <c r="X2473" t="str">
        <f>IF(Table2[[#This Row],[Qty available]]&gt;Table2[[#This Row],[Qty on hand]],"Check","OK")</f>
        <v>OK</v>
      </c>
    </row>
    <row r="2474" spans="1:24" x14ac:dyDescent="0.3">
      <c r="A2474" t="s">
        <v>267</v>
      </c>
      <c r="B2474" t="s">
        <v>268</v>
      </c>
      <c r="C2474" t="s">
        <v>69</v>
      </c>
      <c r="D2474" t="s">
        <v>70</v>
      </c>
      <c r="E2474" t="s">
        <v>27</v>
      </c>
      <c r="F2474" s="1" t="s">
        <v>28</v>
      </c>
      <c r="G2474" s="2">
        <v>14.5</v>
      </c>
      <c r="H2474">
        <v>14.5</v>
      </c>
      <c r="I2474">
        <v>14.589029999999999</v>
      </c>
      <c r="J2474">
        <v>21.18</v>
      </c>
      <c r="K2474">
        <v>30</v>
      </c>
      <c r="L2474" s="2">
        <v>30</v>
      </c>
      <c r="M2474">
        <v>241</v>
      </c>
      <c r="N2474" s="2">
        <v>536</v>
      </c>
      <c r="O2474">
        <v>7819.72</v>
      </c>
      <c r="P2474">
        <v>31</v>
      </c>
      <c r="Q2474">
        <v>505</v>
      </c>
      <c r="R2474">
        <v>11.7</v>
      </c>
      <c r="S2474">
        <v>4</v>
      </c>
      <c r="T2474">
        <v>117</v>
      </c>
      <c r="U2474" s="2">
        <v>2478.06</v>
      </c>
      <c r="V2474">
        <v>0</v>
      </c>
      <c r="W2474" t="s">
        <v>29</v>
      </c>
      <c r="X2474" t="str">
        <f>IF(Table2[[#This Row],[Qty available]]&gt;Table2[[#This Row],[Qty on hand]],"Check","OK")</f>
        <v>OK</v>
      </c>
    </row>
    <row r="2475" spans="1:24" x14ac:dyDescent="0.3">
      <c r="A2475" t="s">
        <v>267</v>
      </c>
      <c r="B2475" t="s">
        <v>268</v>
      </c>
      <c r="C2475" t="s">
        <v>69</v>
      </c>
      <c r="D2475" t="s">
        <v>70</v>
      </c>
      <c r="E2475" t="s">
        <v>27</v>
      </c>
      <c r="F2475" s="1" t="s">
        <v>30</v>
      </c>
      <c r="G2475" s="2">
        <v>14.44</v>
      </c>
      <c r="H2475">
        <v>14.44</v>
      </c>
      <c r="I2475">
        <v>14.565597</v>
      </c>
      <c r="J2475">
        <v>21.18</v>
      </c>
      <c r="K2475">
        <v>30</v>
      </c>
      <c r="L2475" s="2">
        <v>30</v>
      </c>
      <c r="M2475">
        <v>100</v>
      </c>
      <c r="N2475" s="2">
        <v>486</v>
      </c>
      <c r="O2475">
        <v>7078.88</v>
      </c>
      <c r="P2475">
        <v>12</v>
      </c>
      <c r="Q2475">
        <v>474</v>
      </c>
      <c r="R2475">
        <v>12.48</v>
      </c>
      <c r="S2475">
        <v>0</v>
      </c>
      <c r="T2475">
        <v>150</v>
      </c>
      <c r="U2475" s="2">
        <v>3177</v>
      </c>
      <c r="V2475">
        <v>0</v>
      </c>
      <c r="W2475" t="s">
        <v>29</v>
      </c>
      <c r="X2475" t="str">
        <f>IF(Table2[[#This Row],[Qty available]]&gt;Table2[[#This Row],[Qty on hand]],"Check","OK")</f>
        <v>OK</v>
      </c>
    </row>
    <row r="2476" spans="1:24" x14ac:dyDescent="0.3">
      <c r="A2476" t="s">
        <v>267</v>
      </c>
      <c r="B2476" t="s">
        <v>268</v>
      </c>
      <c r="C2476" t="s">
        <v>69</v>
      </c>
      <c r="D2476" t="s">
        <v>70</v>
      </c>
      <c r="E2476" t="s">
        <v>27</v>
      </c>
      <c r="F2476" s="1" t="s">
        <v>31</v>
      </c>
      <c r="G2476" s="2">
        <v>14.86</v>
      </c>
      <c r="H2476">
        <v>14.86</v>
      </c>
      <c r="I2476">
        <v>14.65293</v>
      </c>
      <c r="J2476">
        <v>21.18</v>
      </c>
      <c r="K2476">
        <v>30</v>
      </c>
      <c r="L2476" s="2">
        <v>28</v>
      </c>
      <c r="M2476">
        <v>205</v>
      </c>
      <c r="N2476" s="2">
        <v>587</v>
      </c>
      <c r="O2476">
        <v>8601.27</v>
      </c>
      <c r="P2476">
        <v>25</v>
      </c>
      <c r="Q2476">
        <v>562</v>
      </c>
      <c r="R2476">
        <v>20.57</v>
      </c>
      <c r="S2476">
        <v>5</v>
      </c>
      <c r="T2476">
        <v>104</v>
      </c>
      <c r="U2476" s="2">
        <v>2202.7199999999998</v>
      </c>
      <c r="V2476">
        <v>0</v>
      </c>
      <c r="W2476" t="s">
        <v>29</v>
      </c>
      <c r="X2476" t="str">
        <f>IF(Table2[[#This Row],[Qty available]]&gt;Table2[[#This Row],[Qty on hand]],"Check","OK")</f>
        <v>OK</v>
      </c>
    </row>
    <row r="2477" spans="1:24" x14ac:dyDescent="0.3">
      <c r="A2477" t="s">
        <v>267</v>
      </c>
      <c r="B2477" t="s">
        <v>268</v>
      </c>
      <c r="C2477" t="s">
        <v>69</v>
      </c>
      <c r="D2477" t="s">
        <v>70</v>
      </c>
      <c r="E2477" t="s">
        <v>27</v>
      </c>
      <c r="F2477" s="1" t="s">
        <v>32</v>
      </c>
      <c r="G2477" s="2">
        <v>15.06</v>
      </c>
      <c r="H2477">
        <v>15.06</v>
      </c>
      <c r="I2477">
        <v>14.737099000000001</v>
      </c>
      <c r="J2477">
        <v>21.18</v>
      </c>
      <c r="K2477">
        <v>30</v>
      </c>
      <c r="L2477" s="2">
        <v>30</v>
      </c>
      <c r="M2477">
        <v>153</v>
      </c>
      <c r="N2477" s="2">
        <v>524</v>
      </c>
      <c r="O2477">
        <v>7722.24</v>
      </c>
      <c r="P2477">
        <v>62</v>
      </c>
      <c r="Q2477">
        <v>462</v>
      </c>
      <c r="R2477">
        <v>14.65</v>
      </c>
      <c r="S2477">
        <v>1</v>
      </c>
      <c r="T2477">
        <v>216</v>
      </c>
      <c r="U2477" s="2">
        <v>4574.88</v>
      </c>
      <c r="V2477">
        <v>0</v>
      </c>
      <c r="W2477" t="s">
        <v>29</v>
      </c>
      <c r="X2477" t="str">
        <f>IF(Table2[[#This Row],[Qty available]]&gt;Table2[[#This Row],[Qty on hand]],"Check","OK")</f>
        <v>OK</v>
      </c>
    </row>
    <row r="2478" spans="1:24" x14ac:dyDescent="0.3">
      <c r="A2478" t="s">
        <v>267</v>
      </c>
      <c r="B2478" t="s">
        <v>268</v>
      </c>
      <c r="C2478" t="s">
        <v>69</v>
      </c>
      <c r="D2478" t="s">
        <v>70</v>
      </c>
      <c r="E2478" t="s">
        <v>27</v>
      </c>
      <c r="F2478" s="1" t="s">
        <v>33</v>
      </c>
      <c r="G2478" s="2">
        <v>14.88</v>
      </c>
      <c r="H2478">
        <v>14.88</v>
      </c>
      <c r="I2478">
        <v>14.7371</v>
      </c>
      <c r="J2478">
        <v>21.18</v>
      </c>
      <c r="K2478">
        <v>30</v>
      </c>
      <c r="M2478">
        <v>0</v>
      </c>
      <c r="N2478" s="2">
        <v>300</v>
      </c>
      <c r="O2478">
        <v>4421.13</v>
      </c>
      <c r="P2478">
        <v>31</v>
      </c>
      <c r="Q2478">
        <v>269</v>
      </c>
      <c r="R2478">
        <v>7.25</v>
      </c>
      <c r="S2478">
        <v>0</v>
      </c>
      <c r="T2478">
        <v>224</v>
      </c>
      <c r="U2478" s="2">
        <v>4744.32</v>
      </c>
      <c r="V2478">
        <v>0</v>
      </c>
      <c r="W2478" t="s">
        <v>29</v>
      </c>
      <c r="X2478" t="str">
        <f>IF(Table2[[#This Row],[Qty available]]&gt;Table2[[#This Row],[Qty on hand]],"Check","OK")</f>
        <v>OK</v>
      </c>
    </row>
    <row r="2479" spans="1:24" x14ac:dyDescent="0.3">
      <c r="A2479" t="s">
        <v>267</v>
      </c>
      <c r="B2479" t="s">
        <v>268</v>
      </c>
      <c r="C2479" t="s">
        <v>69</v>
      </c>
      <c r="D2479" t="s">
        <v>70</v>
      </c>
      <c r="E2479" t="s">
        <v>27</v>
      </c>
      <c r="F2479" s="1" t="s">
        <v>34</v>
      </c>
      <c r="G2479" s="2">
        <v>14.95</v>
      </c>
      <c r="H2479">
        <v>14.95</v>
      </c>
      <c r="I2479">
        <v>14.855793</v>
      </c>
      <c r="J2479">
        <v>21.85</v>
      </c>
      <c r="K2479">
        <v>30</v>
      </c>
      <c r="L2479" s="2">
        <v>28</v>
      </c>
      <c r="M2479">
        <v>378</v>
      </c>
      <c r="N2479" s="2">
        <v>454</v>
      </c>
      <c r="O2479">
        <v>6744.53</v>
      </c>
      <c r="P2479">
        <v>55</v>
      </c>
      <c r="Q2479">
        <v>399</v>
      </c>
      <c r="R2479">
        <v>8.7899999999999991</v>
      </c>
      <c r="S2479">
        <v>0</v>
      </c>
      <c r="T2479">
        <v>224</v>
      </c>
      <c r="U2479" s="2">
        <v>4894.3999999999996</v>
      </c>
      <c r="V2479">
        <v>0</v>
      </c>
      <c r="W2479" t="s">
        <v>29</v>
      </c>
      <c r="X2479" t="str">
        <f>IF(Table2[[#This Row],[Qty available]]&gt;Table2[[#This Row],[Qty on hand]],"Check","OK")</f>
        <v>OK</v>
      </c>
    </row>
    <row r="2480" spans="1:24" x14ac:dyDescent="0.3">
      <c r="A2480" t="s">
        <v>267</v>
      </c>
      <c r="B2480" t="s">
        <v>268</v>
      </c>
      <c r="C2480" t="s">
        <v>69</v>
      </c>
      <c r="D2480" t="s">
        <v>70</v>
      </c>
      <c r="E2480" t="s">
        <v>27</v>
      </c>
      <c r="F2480" s="1" t="s">
        <v>35</v>
      </c>
      <c r="G2480" s="2">
        <v>14.8</v>
      </c>
      <c r="H2480">
        <v>14.8</v>
      </c>
      <c r="I2480">
        <v>14.855798999999999</v>
      </c>
      <c r="J2480">
        <v>21.85</v>
      </c>
      <c r="K2480">
        <v>30</v>
      </c>
      <c r="M2480">
        <v>0</v>
      </c>
      <c r="N2480" s="2">
        <v>288</v>
      </c>
      <c r="O2480">
        <v>4278.47</v>
      </c>
      <c r="P2480">
        <v>18</v>
      </c>
      <c r="Q2480">
        <v>270</v>
      </c>
      <c r="R2480">
        <v>6.03</v>
      </c>
      <c r="S2480">
        <v>3</v>
      </c>
      <c r="T2480">
        <v>166</v>
      </c>
      <c r="U2480" s="2">
        <v>3627.1</v>
      </c>
      <c r="V2480">
        <v>0</v>
      </c>
      <c r="W2480" t="s">
        <v>29</v>
      </c>
      <c r="X2480" t="str">
        <f>IF(Table2[[#This Row],[Qty available]]&gt;Table2[[#This Row],[Qty on hand]],"Check","OK")</f>
        <v>OK</v>
      </c>
    </row>
    <row r="2481" spans="1:24" x14ac:dyDescent="0.3">
      <c r="A2481" t="s">
        <v>267</v>
      </c>
      <c r="B2481" t="s">
        <v>268</v>
      </c>
      <c r="C2481" t="s">
        <v>69</v>
      </c>
      <c r="D2481" t="s">
        <v>70</v>
      </c>
      <c r="E2481" t="s">
        <v>27</v>
      </c>
      <c r="F2481" s="1" t="s">
        <v>36</v>
      </c>
      <c r="G2481" s="2">
        <v>15.2</v>
      </c>
      <c r="H2481">
        <v>15.2</v>
      </c>
      <c r="I2481">
        <v>15.028508</v>
      </c>
      <c r="J2481">
        <v>21.85</v>
      </c>
      <c r="K2481">
        <v>30</v>
      </c>
      <c r="L2481" s="2">
        <v>48</v>
      </c>
      <c r="M2481">
        <v>290</v>
      </c>
      <c r="N2481" s="2">
        <v>362</v>
      </c>
      <c r="O2481">
        <v>5440.32</v>
      </c>
      <c r="P2481">
        <v>55</v>
      </c>
      <c r="Q2481">
        <v>307</v>
      </c>
      <c r="R2481">
        <v>7.6</v>
      </c>
      <c r="S2481">
        <v>4</v>
      </c>
      <c r="T2481">
        <v>216</v>
      </c>
      <c r="U2481" s="2">
        <v>4719.6000000000004</v>
      </c>
      <c r="V2481">
        <v>0</v>
      </c>
      <c r="W2481" t="s">
        <v>29</v>
      </c>
      <c r="X2481" t="str">
        <f>IF(Table2[[#This Row],[Qty available]]&gt;Table2[[#This Row],[Qty on hand]],"Check","OK")</f>
        <v>OK</v>
      </c>
    </row>
    <row r="2482" spans="1:24" x14ac:dyDescent="0.3">
      <c r="A2482" t="s">
        <v>267</v>
      </c>
      <c r="B2482" t="s">
        <v>268</v>
      </c>
      <c r="C2482" t="s">
        <v>69</v>
      </c>
      <c r="D2482" t="s">
        <v>70</v>
      </c>
      <c r="E2482" t="s">
        <v>27</v>
      </c>
      <c r="F2482" s="1" t="s">
        <v>37</v>
      </c>
      <c r="G2482" s="2">
        <v>15.33</v>
      </c>
      <c r="H2482">
        <v>15.33</v>
      </c>
      <c r="I2482">
        <v>15.093774</v>
      </c>
      <c r="J2482">
        <v>21.85</v>
      </c>
      <c r="K2482">
        <v>30</v>
      </c>
      <c r="L2482" s="2">
        <v>35</v>
      </c>
      <c r="M2482">
        <v>100</v>
      </c>
      <c r="N2482" s="2">
        <v>257</v>
      </c>
      <c r="O2482">
        <v>3879.1</v>
      </c>
      <c r="P2482">
        <v>31</v>
      </c>
      <c r="Q2482">
        <v>226</v>
      </c>
      <c r="R2482">
        <v>5.75</v>
      </c>
      <c r="S2482">
        <v>1</v>
      </c>
      <c r="T2482">
        <v>205</v>
      </c>
      <c r="U2482" s="2">
        <v>4479.25</v>
      </c>
      <c r="V2482">
        <v>0</v>
      </c>
      <c r="W2482" t="s">
        <v>29</v>
      </c>
      <c r="X2482" t="str">
        <f>IF(Table2[[#This Row],[Qty available]]&gt;Table2[[#This Row],[Qty on hand]],"Check","OK")</f>
        <v>OK</v>
      </c>
    </row>
    <row r="2483" spans="1:24" x14ac:dyDescent="0.3">
      <c r="A2483" t="s">
        <v>267</v>
      </c>
      <c r="B2483" t="s">
        <v>268</v>
      </c>
      <c r="C2483" t="s">
        <v>69</v>
      </c>
      <c r="D2483" t="s">
        <v>70</v>
      </c>
      <c r="E2483" t="s">
        <v>27</v>
      </c>
      <c r="F2483" s="1" t="s">
        <v>38</v>
      </c>
      <c r="G2483" s="2">
        <v>15.13</v>
      </c>
      <c r="H2483">
        <v>15.13</v>
      </c>
      <c r="I2483">
        <v>15.115811000000001</v>
      </c>
      <c r="J2483">
        <v>21.85</v>
      </c>
      <c r="K2483">
        <v>30</v>
      </c>
      <c r="L2483" s="2">
        <v>28</v>
      </c>
      <c r="M2483">
        <v>399</v>
      </c>
      <c r="N2483" s="2">
        <v>370</v>
      </c>
      <c r="O2483">
        <v>5592.85</v>
      </c>
      <c r="P2483">
        <v>49</v>
      </c>
      <c r="Q2483">
        <v>321</v>
      </c>
      <c r="R2483">
        <v>6.8</v>
      </c>
      <c r="S2483">
        <v>2</v>
      </c>
      <c r="T2483">
        <v>286</v>
      </c>
      <c r="U2483" s="2">
        <v>6249.1</v>
      </c>
      <c r="V2483">
        <v>0</v>
      </c>
      <c r="W2483" t="s">
        <v>29</v>
      </c>
      <c r="X2483" t="str">
        <f>IF(Table2[[#This Row],[Qty available]]&gt;Table2[[#This Row],[Qty on hand]],"Check","OK")</f>
        <v>OK</v>
      </c>
    </row>
    <row r="2484" spans="1:24" x14ac:dyDescent="0.3">
      <c r="A2484" t="s">
        <v>267</v>
      </c>
      <c r="B2484" t="s">
        <v>268</v>
      </c>
      <c r="C2484" t="s">
        <v>69</v>
      </c>
      <c r="D2484" t="s">
        <v>70</v>
      </c>
      <c r="E2484" t="s">
        <v>27</v>
      </c>
      <c r="F2484" s="1" t="s">
        <v>39</v>
      </c>
      <c r="G2484" s="2">
        <v>15.28</v>
      </c>
      <c r="H2484">
        <v>15.28</v>
      </c>
      <c r="I2484">
        <v>15.195263000000001</v>
      </c>
      <c r="J2484">
        <v>21.85</v>
      </c>
      <c r="K2484">
        <v>30</v>
      </c>
      <c r="L2484" s="2">
        <v>28</v>
      </c>
      <c r="M2484">
        <v>347</v>
      </c>
      <c r="N2484" s="2">
        <v>418</v>
      </c>
      <c r="O2484">
        <v>6351.62</v>
      </c>
      <c r="P2484">
        <v>55</v>
      </c>
      <c r="Q2484">
        <v>363</v>
      </c>
      <c r="R2484">
        <v>6.95</v>
      </c>
      <c r="S2484">
        <v>2</v>
      </c>
      <c r="T2484">
        <v>299</v>
      </c>
      <c r="U2484" s="2">
        <v>6533.15</v>
      </c>
      <c r="V2484">
        <v>0</v>
      </c>
      <c r="W2484" t="s">
        <v>29</v>
      </c>
      <c r="X2484" t="str">
        <f>IF(Table2[[#This Row],[Qty available]]&gt;Table2[[#This Row],[Qty on hand]],"Check","OK")</f>
        <v>OK</v>
      </c>
    </row>
    <row r="2485" spans="1:24" x14ac:dyDescent="0.3">
      <c r="A2485" t="s">
        <v>267</v>
      </c>
      <c r="B2485" t="s">
        <v>268</v>
      </c>
      <c r="C2485" t="s">
        <v>69</v>
      </c>
      <c r="D2485" t="s">
        <v>70</v>
      </c>
      <c r="E2485" t="s">
        <v>27</v>
      </c>
      <c r="F2485" s="1" t="s">
        <v>40</v>
      </c>
      <c r="G2485" s="2">
        <v>15.2</v>
      </c>
      <c r="H2485">
        <v>15.2</v>
      </c>
      <c r="I2485">
        <v>15.195251000000001</v>
      </c>
      <c r="J2485">
        <v>21.85</v>
      </c>
      <c r="K2485">
        <v>30</v>
      </c>
      <c r="M2485">
        <v>0</v>
      </c>
      <c r="N2485" s="2">
        <v>358</v>
      </c>
      <c r="O2485">
        <v>5439.9</v>
      </c>
      <c r="P2485">
        <v>18</v>
      </c>
      <c r="Q2485">
        <v>340</v>
      </c>
      <c r="R2485">
        <v>7.29</v>
      </c>
      <c r="S2485">
        <v>0</v>
      </c>
      <c r="T2485">
        <v>60</v>
      </c>
      <c r="U2485" s="2">
        <v>1311</v>
      </c>
      <c r="V2485">
        <v>0</v>
      </c>
      <c r="W2485" t="s">
        <v>29</v>
      </c>
      <c r="X2485" t="str">
        <f>IF(Table2[[#This Row],[Qty available]]&gt;Table2[[#This Row],[Qty on hand]],"Check","OK")</f>
        <v>OK</v>
      </c>
    </row>
    <row r="2486" spans="1:24" x14ac:dyDescent="0.3">
      <c r="A2486" t="s">
        <v>267</v>
      </c>
      <c r="B2486" t="s">
        <v>268</v>
      </c>
      <c r="C2486" t="s">
        <v>69</v>
      </c>
      <c r="D2486" t="s">
        <v>70</v>
      </c>
      <c r="E2486" t="s">
        <v>27</v>
      </c>
      <c r="F2486" s="1" t="s">
        <v>41</v>
      </c>
      <c r="G2486" s="2">
        <v>15.3</v>
      </c>
      <c r="H2486">
        <v>15.3</v>
      </c>
      <c r="I2486">
        <v>15.249661</v>
      </c>
      <c r="J2486">
        <v>21.85</v>
      </c>
      <c r="K2486">
        <v>30</v>
      </c>
      <c r="L2486" s="2">
        <v>52</v>
      </c>
      <c r="M2486">
        <v>387</v>
      </c>
      <c r="N2486" s="2">
        <v>383</v>
      </c>
      <c r="O2486">
        <v>5840.62</v>
      </c>
      <c r="P2486">
        <v>12</v>
      </c>
      <c r="Q2486">
        <v>371</v>
      </c>
      <c r="R2486">
        <v>6.98</v>
      </c>
      <c r="S2486">
        <v>1</v>
      </c>
      <c r="T2486">
        <v>362</v>
      </c>
      <c r="U2486" s="2">
        <v>7909.7</v>
      </c>
      <c r="V2486">
        <v>0</v>
      </c>
      <c r="W2486" t="s">
        <v>29</v>
      </c>
      <c r="X2486" t="str">
        <f>IF(Table2[[#This Row],[Qty available]]&gt;Table2[[#This Row],[Qty on hand]],"Check","OK")</f>
        <v>OK</v>
      </c>
    </row>
    <row r="2487" spans="1:24" x14ac:dyDescent="0.3">
      <c r="A2487" t="s">
        <v>267</v>
      </c>
      <c r="B2487" t="s">
        <v>268</v>
      </c>
      <c r="C2487" t="s">
        <v>69</v>
      </c>
      <c r="D2487" t="s">
        <v>70</v>
      </c>
      <c r="E2487" t="s">
        <v>27</v>
      </c>
      <c r="F2487" s="1" t="s">
        <v>42</v>
      </c>
      <c r="G2487" s="2">
        <v>15.05</v>
      </c>
      <c r="H2487">
        <v>15.05</v>
      </c>
      <c r="I2487">
        <v>15.249658999999999</v>
      </c>
      <c r="J2487">
        <v>21.85</v>
      </c>
      <c r="K2487">
        <v>30</v>
      </c>
      <c r="M2487">
        <v>0</v>
      </c>
      <c r="N2487" s="2">
        <v>205</v>
      </c>
      <c r="O2487">
        <v>3126.18</v>
      </c>
      <c r="P2487">
        <v>62</v>
      </c>
      <c r="Q2487">
        <v>143</v>
      </c>
      <c r="R2487">
        <v>4.49</v>
      </c>
      <c r="S2487">
        <v>2</v>
      </c>
      <c r="T2487">
        <v>178</v>
      </c>
      <c r="U2487" s="2">
        <v>3889.3</v>
      </c>
      <c r="V2487">
        <v>0</v>
      </c>
      <c r="W2487" t="s">
        <v>29</v>
      </c>
      <c r="X2487" t="str">
        <f>IF(Table2[[#This Row],[Qty available]]&gt;Table2[[#This Row],[Qty on hand]],"Check","OK")</f>
        <v>OK</v>
      </c>
    </row>
    <row r="2488" spans="1:24" x14ac:dyDescent="0.3">
      <c r="A2488" t="s">
        <v>267</v>
      </c>
      <c r="B2488" t="s">
        <v>268</v>
      </c>
      <c r="C2488" t="s">
        <v>69</v>
      </c>
      <c r="D2488" t="s">
        <v>70</v>
      </c>
      <c r="E2488" t="s">
        <v>27</v>
      </c>
      <c r="F2488" s="1" t="s">
        <v>43</v>
      </c>
      <c r="G2488" s="2">
        <v>14.81</v>
      </c>
      <c r="H2488">
        <v>14.81</v>
      </c>
      <c r="I2488">
        <v>14.975078999999999</v>
      </c>
      <c r="J2488">
        <v>21.85</v>
      </c>
      <c r="K2488">
        <v>30</v>
      </c>
      <c r="L2488" s="2">
        <v>26</v>
      </c>
      <c r="M2488">
        <v>341</v>
      </c>
      <c r="N2488" s="2">
        <v>378</v>
      </c>
      <c r="O2488">
        <v>5660.58</v>
      </c>
      <c r="P2488">
        <v>18</v>
      </c>
      <c r="Q2488">
        <v>360</v>
      </c>
      <c r="R2488">
        <v>6.94</v>
      </c>
      <c r="S2488">
        <v>2</v>
      </c>
      <c r="T2488">
        <v>168</v>
      </c>
      <c r="U2488" s="2">
        <v>3670.8</v>
      </c>
      <c r="V2488">
        <v>0</v>
      </c>
      <c r="W2488" t="s">
        <v>29</v>
      </c>
      <c r="X2488" t="str">
        <f>IF(Table2[[#This Row],[Qty available]]&gt;Table2[[#This Row],[Qty on hand]],"Check","OK")</f>
        <v>OK</v>
      </c>
    </row>
    <row r="2489" spans="1:24" x14ac:dyDescent="0.3">
      <c r="A2489" t="s">
        <v>267</v>
      </c>
      <c r="B2489" t="s">
        <v>268</v>
      </c>
      <c r="C2489" t="s">
        <v>69</v>
      </c>
      <c r="D2489" t="s">
        <v>70</v>
      </c>
      <c r="E2489" t="s">
        <v>27</v>
      </c>
      <c r="F2489" s="1" t="s">
        <v>44</v>
      </c>
      <c r="G2489" s="2">
        <v>15.43</v>
      </c>
      <c r="H2489">
        <v>15.43</v>
      </c>
      <c r="I2489">
        <v>14.975057</v>
      </c>
      <c r="J2489">
        <v>21.85</v>
      </c>
      <c r="K2489">
        <v>30</v>
      </c>
      <c r="M2489">
        <v>0</v>
      </c>
      <c r="N2489" s="2">
        <v>176</v>
      </c>
      <c r="O2489">
        <v>2635.61</v>
      </c>
      <c r="P2489">
        <v>25</v>
      </c>
      <c r="Q2489">
        <v>151</v>
      </c>
      <c r="R2489">
        <v>4.22</v>
      </c>
      <c r="S2489">
        <v>1</v>
      </c>
      <c r="T2489">
        <v>202</v>
      </c>
      <c r="U2489" s="2">
        <v>4413.7</v>
      </c>
      <c r="V2489">
        <v>0</v>
      </c>
      <c r="W2489" t="s">
        <v>29</v>
      </c>
      <c r="X2489" t="str">
        <f>IF(Table2[[#This Row],[Qty available]]&gt;Table2[[#This Row],[Qty on hand]],"Check","OK")</f>
        <v>OK</v>
      </c>
    </row>
    <row r="2490" spans="1:24" x14ac:dyDescent="0.3">
      <c r="A2490" t="s">
        <v>267</v>
      </c>
      <c r="B2490" t="s">
        <v>268</v>
      </c>
      <c r="C2490" t="s">
        <v>69</v>
      </c>
      <c r="D2490" t="s">
        <v>70</v>
      </c>
      <c r="E2490" t="s">
        <v>27</v>
      </c>
      <c r="F2490" s="1" t="s">
        <v>45</v>
      </c>
      <c r="G2490" s="2">
        <v>15.51</v>
      </c>
      <c r="H2490">
        <v>15.51</v>
      </c>
      <c r="I2490">
        <v>15.307539</v>
      </c>
      <c r="J2490">
        <v>21.85</v>
      </c>
      <c r="K2490">
        <v>30</v>
      </c>
      <c r="L2490" s="2">
        <v>51</v>
      </c>
      <c r="M2490">
        <v>289</v>
      </c>
      <c r="N2490" s="2">
        <v>317</v>
      </c>
      <c r="O2490">
        <v>4852.49</v>
      </c>
      <c r="P2490">
        <v>37</v>
      </c>
      <c r="Q2490">
        <v>280</v>
      </c>
      <c r="R2490">
        <v>8.0399999999999991</v>
      </c>
      <c r="S2490">
        <v>3</v>
      </c>
      <c r="T2490">
        <v>148</v>
      </c>
      <c r="U2490" s="2">
        <v>3233.8</v>
      </c>
      <c r="V2490">
        <v>0</v>
      </c>
      <c r="W2490" t="s">
        <v>29</v>
      </c>
      <c r="X2490" t="str">
        <f>IF(Table2[[#This Row],[Qty available]]&gt;Table2[[#This Row],[Qty on hand]],"Check","OK")</f>
        <v>OK</v>
      </c>
    </row>
    <row r="2491" spans="1:24" x14ac:dyDescent="0.3">
      <c r="A2491" t="s">
        <v>267</v>
      </c>
      <c r="B2491" t="s">
        <v>268</v>
      </c>
      <c r="C2491" t="s">
        <v>69</v>
      </c>
      <c r="D2491" t="s">
        <v>70</v>
      </c>
      <c r="E2491" t="s">
        <v>27</v>
      </c>
      <c r="F2491" s="1" t="s">
        <v>46</v>
      </c>
      <c r="G2491" s="2">
        <v>15.17</v>
      </c>
      <c r="H2491">
        <v>15.17</v>
      </c>
      <c r="I2491">
        <v>15.232118</v>
      </c>
      <c r="J2491">
        <v>22.54</v>
      </c>
      <c r="K2491">
        <v>30</v>
      </c>
      <c r="L2491" s="2">
        <v>43</v>
      </c>
      <c r="M2491">
        <v>385</v>
      </c>
      <c r="N2491" s="2">
        <v>491</v>
      </c>
      <c r="O2491">
        <v>7478.97</v>
      </c>
      <c r="P2491">
        <v>18</v>
      </c>
      <c r="Q2491">
        <v>473</v>
      </c>
      <c r="R2491">
        <v>11.25</v>
      </c>
      <c r="S2491">
        <v>3</v>
      </c>
      <c r="T2491">
        <v>211</v>
      </c>
      <c r="U2491" s="2">
        <v>4755.9399999999996</v>
      </c>
      <c r="V2491">
        <v>0</v>
      </c>
      <c r="W2491" t="s">
        <v>29</v>
      </c>
      <c r="X2491" t="str">
        <f>IF(Table2[[#This Row],[Qty available]]&gt;Table2[[#This Row],[Qty on hand]],"Check","OK")</f>
        <v>OK</v>
      </c>
    </row>
    <row r="2492" spans="1:24" x14ac:dyDescent="0.3">
      <c r="A2492" t="s">
        <v>267</v>
      </c>
      <c r="B2492" t="s">
        <v>268</v>
      </c>
      <c r="C2492" t="s">
        <v>69</v>
      </c>
      <c r="D2492" t="s">
        <v>70</v>
      </c>
      <c r="E2492" t="s">
        <v>27</v>
      </c>
      <c r="F2492" s="1" t="s">
        <v>47</v>
      </c>
      <c r="G2492" s="2">
        <v>15.35</v>
      </c>
      <c r="H2492">
        <v>15.35</v>
      </c>
      <c r="I2492">
        <v>15.274924</v>
      </c>
      <c r="J2492">
        <v>22.54</v>
      </c>
      <c r="K2492">
        <v>30</v>
      </c>
      <c r="L2492" s="2">
        <v>28</v>
      </c>
      <c r="M2492">
        <v>280</v>
      </c>
      <c r="N2492" s="2">
        <v>719</v>
      </c>
      <c r="O2492">
        <v>10982.67</v>
      </c>
      <c r="P2492">
        <v>31</v>
      </c>
      <c r="Q2492">
        <v>688</v>
      </c>
      <c r="R2492">
        <v>22.49</v>
      </c>
      <c r="S2492">
        <v>7</v>
      </c>
      <c r="T2492">
        <v>52</v>
      </c>
      <c r="U2492" s="2">
        <v>1172.08</v>
      </c>
      <c r="V2492">
        <v>0</v>
      </c>
      <c r="W2492" t="s">
        <v>29</v>
      </c>
      <c r="X2492" t="str">
        <f>IF(Table2[[#This Row],[Qty available]]&gt;Table2[[#This Row],[Qty on hand]],"Check","OK")</f>
        <v>OK</v>
      </c>
    </row>
    <row r="2493" spans="1:24" x14ac:dyDescent="0.3">
      <c r="A2493" t="s">
        <v>267</v>
      </c>
      <c r="B2493" t="s">
        <v>268</v>
      </c>
      <c r="C2493" t="s">
        <v>69</v>
      </c>
      <c r="D2493" t="s">
        <v>70</v>
      </c>
      <c r="E2493" t="s">
        <v>27</v>
      </c>
      <c r="F2493" s="1" t="s">
        <v>48</v>
      </c>
      <c r="G2493" s="2">
        <v>15.26</v>
      </c>
      <c r="H2493">
        <v>15.26</v>
      </c>
      <c r="I2493">
        <v>15.273104999999999</v>
      </c>
      <c r="J2493">
        <v>22.54</v>
      </c>
      <c r="K2493">
        <v>30</v>
      </c>
      <c r="L2493" s="2">
        <v>27</v>
      </c>
      <c r="M2493">
        <v>100</v>
      </c>
      <c r="N2493" s="2">
        <v>583</v>
      </c>
      <c r="O2493">
        <v>8904.2199999999993</v>
      </c>
      <c r="P2493">
        <v>49</v>
      </c>
      <c r="Q2493">
        <v>534</v>
      </c>
      <c r="R2493">
        <v>14.85</v>
      </c>
      <c r="S2493">
        <v>2</v>
      </c>
      <c r="T2493">
        <v>236</v>
      </c>
      <c r="U2493" s="2">
        <v>5319.44</v>
      </c>
      <c r="V2493">
        <v>0</v>
      </c>
      <c r="W2493" t="s">
        <v>29</v>
      </c>
      <c r="X2493" t="str">
        <f>IF(Table2[[#This Row],[Qty available]]&gt;Table2[[#This Row],[Qty on hand]],"Check","OK")</f>
        <v>OK</v>
      </c>
    </row>
    <row r="2494" spans="1:24" x14ac:dyDescent="0.3">
      <c r="A2494" t="s">
        <v>267</v>
      </c>
      <c r="B2494" t="s">
        <v>268</v>
      </c>
      <c r="C2494" t="s">
        <v>69</v>
      </c>
      <c r="D2494" t="s">
        <v>70</v>
      </c>
      <c r="E2494" t="s">
        <v>27</v>
      </c>
      <c r="F2494" s="1" t="s">
        <v>49</v>
      </c>
      <c r="G2494" s="2">
        <v>15.65</v>
      </c>
      <c r="H2494">
        <v>15.65</v>
      </c>
      <c r="I2494">
        <v>15.328291</v>
      </c>
      <c r="J2494">
        <v>22.54</v>
      </c>
      <c r="K2494">
        <v>30</v>
      </c>
      <c r="L2494" s="2">
        <v>28</v>
      </c>
      <c r="M2494">
        <v>100</v>
      </c>
      <c r="N2494" s="2">
        <v>509</v>
      </c>
      <c r="O2494">
        <v>7802.1</v>
      </c>
      <c r="P2494">
        <v>18</v>
      </c>
      <c r="Q2494">
        <v>491</v>
      </c>
      <c r="R2494">
        <v>14.48</v>
      </c>
      <c r="S2494">
        <v>1</v>
      </c>
      <c r="T2494">
        <v>174</v>
      </c>
      <c r="U2494" s="2">
        <v>3921.96</v>
      </c>
      <c r="V2494">
        <v>0</v>
      </c>
      <c r="W2494" t="s">
        <v>29</v>
      </c>
      <c r="X2494" t="str">
        <f>IF(Table2[[#This Row],[Qty available]]&gt;Table2[[#This Row],[Qty on hand]],"Check","OK")</f>
        <v>OK</v>
      </c>
    </row>
    <row r="2495" spans="1:24" x14ac:dyDescent="0.3">
      <c r="A2495" t="s">
        <v>267</v>
      </c>
      <c r="B2495" t="s">
        <v>268</v>
      </c>
      <c r="C2495" t="s">
        <v>69</v>
      </c>
      <c r="D2495" t="s">
        <v>70</v>
      </c>
      <c r="E2495" t="s">
        <v>27</v>
      </c>
      <c r="F2495" s="1" t="s">
        <v>50</v>
      </c>
      <c r="G2495" s="2">
        <v>15.43</v>
      </c>
      <c r="H2495">
        <v>15.43</v>
      </c>
      <c r="I2495">
        <v>15.328301</v>
      </c>
      <c r="J2495">
        <v>22.54</v>
      </c>
      <c r="K2495">
        <v>30</v>
      </c>
      <c r="M2495">
        <v>0</v>
      </c>
      <c r="N2495" s="2">
        <v>312</v>
      </c>
      <c r="O2495">
        <v>4782.43</v>
      </c>
      <c r="P2495">
        <v>31</v>
      </c>
      <c r="Q2495">
        <v>281</v>
      </c>
      <c r="R2495">
        <v>6.68</v>
      </c>
      <c r="S2495">
        <v>0</v>
      </c>
      <c r="T2495">
        <v>197</v>
      </c>
      <c r="U2495" s="2">
        <v>4440.38</v>
      </c>
      <c r="V2495">
        <v>0</v>
      </c>
      <c r="W2495" t="s">
        <v>29</v>
      </c>
      <c r="X2495" t="str">
        <f>IF(Table2[[#This Row],[Qty available]]&gt;Table2[[#This Row],[Qty on hand]],"Check","OK")</f>
        <v>OK</v>
      </c>
    </row>
    <row r="2496" spans="1:24" x14ac:dyDescent="0.3">
      <c r="A2496" t="s">
        <v>267</v>
      </c>
      <c r="B2496" t="s">
        <v>268</v>
      </c>
      <c r="C2496" t="s">
        <v>69</v>
      </c>
      <c r="D2496" t="s">
        <v>70</v>
      </c>
      <c r="E2496" t="s">
        <v>27</v>
      </c>
      <c r="F2496" s="1" t="s">
        <v>51</v>
      </c>
      <c r="G2496" s="2">
        <v>15.55</v>
      </c>
      <c r="H2496">
        <v>15.55</v>
      </c>
      <c r="I2496">
        <v>15.441749</v>
      </c>
      <c r="J2496">
        <v>22.54</v>
      </c>
      <c r="K2496">
        <v>30</v>
      </c>
      <c r="L2496" s="2">
        <v>27</v>
      </c>
      <c r="M2496">
        <v>327</v>
      </c>
      <c r="N2496" s="2">
        <v>526</v>
      </c>
      <c r="O2496">
        <v>8122.36</v>
      </c>
      <c r="P2496">
        <v>31</v>
      </c>
      <c r="Q2496">
        <v>495</v>
      </c>
      <c r="R2496">
        <v>14.28</v>
      </c>
      <c r="S2496">
        <v>10</v>
      </c>
      <c r="T2496">
        <v>113</v>
      </c>
      <c r="U2496" s="2">
        <v>2547.02</v>
      </c>
      <c r="V2496">
        <v>0</v>
      </c>
      <c r="W2496" t="s">
        <v>29</v>
      </c>
      <c r="X2496" t="str">
        <f>IF(Table2[[#This Row],[Qty available]]&gt;Table2[[#This Row],[Qty on hand]],"Check","OK")</f>
        <v>OK</v>
      </c>
    </row>
    <row r="2497" spans="1:24" x14ac:dyDescent="0.3">
      <c r="A2497" t="s">
        <v>267</v>
      </c>
      <c r="B2497" t="s">
        <v>268</v>
      </c>
      <c r="C2497" t="s">
        <v>69</v>
      </c>
      <c r="D2497" t="s">
        <v>70</v>
      </c>
      <c r="E2497" t="s">
        <v>27</v>
      </c>
      <c r="F2497" s="1" t="s">
        <v>52</v>
      </c>
      <c r="G2497" s="2">
        <v>15.55</v>
      </c>
      <c r="H2497">
        <v>15.55</v>
      </c>
      <c r="I2497">
        <v>15.477643</v>
      </c>
      <c r="J2497">
        <v>22.54</v>
      </c>
      <c r="K2497">
        <v>30</v>
      </c>
      <c r="L2497" s="2">
        <v>26</v>
      </c>
      <c r="M2497">
        <v>261</v>
      </c>
      <c r="N2497" s="2">
        <v>649</v>
      </c>
      <c r="O2497">
        <v>10044.99</v>
      </c>
      <c r="P2497">
        <v>37</v>
      </c>
      <c r="Q2497">
        <v>612</v>
      </c>
      <c r="R2497">
        <v>19.04</v>
      </c>
      <c r="S2497">
        <v>0</v>
      </c>
      <c r="T2497">
        <v>138</v>
      </c>
      <c r="U2497" s="2">
        <v>3110.52</v>
      </c>
      <c r="V2497">
        <v>0</v>
      </c>
      <c r="W2497" t="s">
        <v>29</v>
      </c>
      <c r="X2497" t="str">
        <f>IF(Table2[[#This Row],[Qty available]]&gt;Table2[[#This Row],[Qty on hand]],"Check","OK")</f>
        <v>OK</v>
      </c>
    </row>
    <row r="2498" spans="1:24" x14ac:dyDescent="0.3">
      <c r="A2498" t="s">
        <v>269</v>
      </c>
      <c r="B2498" t="s">
        <v>270</v>
      </c>
      <c r="C2498" t="s">
        <v>57</v>
      </c>
      <c r="D2498" t="s">
        <v>58</v>
      </c>
      <c r="E2498" t="s">
        <v>66</v>
      </c>
      <c r="F2498" s="1" t="s">
        <v>28</v>
      </c>
      <c r="G2498" s="2">
        <v>256.5</v>
      </c>
      <c r="H2498">
        <v>276.41000000000003</v>
      </c>
      <c r="I2498">
        <v>278.14925899999997</v>
      </c>
      <c r="J2498">
        <v>393.81</v>
      </c>
      <c r="K2498">
        <v>36</v>
      </c>
      <c r="L2498" s="2">
        <v>33</v>
      </c>
      <c r="M2498">
        <v>58</v>
      </c>
      <c r="N2498" s="2">
        <v>135</v>
      </c>
      <c r="O2498">
        <v>37550.15</v>
      </c>
      <c r="P2498">
        <v>11</v>
      </c>
      <c r="Q2498">
        <v>124</v>
      </c>
      <c r="R2498">
        <v>19.940000000000001</v>
      </c>
      <c r="S2498">
        <v>5</v>
      </c>
      <c r="T2498">
        <v>5</v>
      </c>
      <c r="U2498" s="2">
        <v>1969.05</v>
      </c>
      <c r="V2498">
        <v>0</v>
      </c>
      <c r="W2498" t="s">
        <v>29</v>
      </c>
      <c r="X2498" t="str">
        <f>IF(Table2[[#This Row],[Qty available]]&gt;Table2[[#This Row],[Qty on hand]],"Check","OK")</f>
        <v>OK</v>
      </c>
    </row>
    <row r="2499" spans="1:24" x14ac:dyDescent="0.3">
      <c r="A2499" t="s">
        <v>269</v>
      </c>
      <c r="B2499" t="s">
        <v>270</v>
      </c>
      <c r="C2499" t="s">
        <v>57</v>
      </c>
      <c r="D2499" t="s">
        <v>58</v>
      </c>
      <c r="E2499" t="s">
        <v>66</v>
      </c>
      <c r="F2499" s="1" t="s">
        <v>30</v>
      </c>
      <c r="G2499" s="2">
        <v>260.19</v>
      </c>
      <c r="H2499">
        <v>280.39</v>
      </c>
      <c r="I2499">
        <v>278.589427</v>
      </c>
      <c r="J2499">
        <v>393.81</v>
      </c>
      <c r="K2499">
        <v>36</v>
      </c>
      <c r="L2499" s="2">
        <v>33</v>
      </c>
      <c r="M2499">
        <v>33</v>
      </c>
      <c r="N2499" s="2">
        <v>157</v>
      </c>
      <c r="O2499">
        <v>43738.54</v>
      </c>
      <c r="P2499">
        <v>6</v>
      </c>
      <c r="Q2499">
        <v>151</v>
      </c>
      <c r="R2499">
        <v>27.88</v>
      </c>
      <c r="S2499">
        <v>7</v>
      </c>
      <c r="T2499">
        <v>11</v>
      </c>
      <c r="U2499" s="2">
        <v>4331.91</v>
      </c>
      <c r="V2499">
        <v>0</v>
      </c>
      <c r="W2499" t="s">
        <v>29</v>
      </c>
      <c r="X2499" t="str">
        <f>IF(Table2[[#This Row],[Qty available]]&gt;Table2[[#This Row],[Qty on hand]],"Check","OK")</f>
        <v>OK</v>
      </c>
    </row>
    <row r="2500" spans="1:24" x14ac:dyDescent="0.3">
      <c r="A2500" t="s">
        <v>269</v>
      </c>
      <c r="B2500" t="s">
        <v>270</v>
      </c>
      <c r="C2500" t="s">
        <v>57</v>
      </c>
      <c r="D2500" t="s">
        <v>58</v>
      </c>
      <c r="E2500" t="s">
        <v>66</v>
      </c>
      <c r="F2500" s="1" t="s">
        <v>31</v>
      </c>
      <c r="G2500" s="2">
        <v>262.22000000000003</v>
      </c>
      <c r="H2500">
        <v>282.58</v>
      </c>
      <c r="I2500">
        <v>278.589429</v>
      </c>
      <c r="J2500">
        <v>393.81</v>
      </c>
      <c r="K2500">
        <v>36</v>
      </c>
      <c r="M2500">
        <v>0</v>
      </c>
      <c r="N2500" s="2">
        <v>105</v>
      </c>
      <c r="O2500">
        <v>29251.89</v>
      </c>
      <c r="P2500">
        <v>8</v>
      </c>
      <c r="Q2500">
        <v>97</v>
      </c>
      <c r="R2500">
        <v>20.07</v>
      </c>
      <c r="S2500">
        <v>5</v>
      </c>
      <c r="T2500">
        <v>52</v>
      </c>
      <c r="U2500" s="2">
        <v>20478.12</v>
      </c>
      <c r="V2500">
        <v>0</v>
      </c>
      <c r="W2500" t="s">
        <v>29</v>
      </c>
      <c r="X2500" t="str">
        <f>IF(Table2[[#This Row],[Qty available]]&gt;Table2[[#This Row],[Qty on hand]],"Check","OK")</f>
        <v>OK</v>
      </c>
    </row>
    <row r="2501" spans="1:24" x14ac:dyDescent="0.3">
      <c r="A2501" t="s">
        <v>269</v>
      </c>
      <c r="B2501" t="s">
        <v>270</v>
      </c>
      <c r="C2501" t="s">
        <v>57</v>
      </c>
      <c r="D2501" t="s">
        <v>58</v>
      </c>
      <c r="E2501" t="s">
        <v>66</v>
      </c>
      <c r="F2501" s="1" t="s">
        <v>32</v>
      </c>
      <c r="G2501" s="2">
        <v>263.83</v>
      </c>
      <c r="H2501">
        <v>284.31</v>
      </c>
      <c r="I2501">
        <v>279.89339100000001</v>
      </c>
      <c r="J2501">
        <v>393.81</v>
      </c>
      <c r="K2501">
        <v>36</v>
      </c>
      <c r="L2501" s="2">
        <v>64</v>
      </c>
      <c r="M2501">
        <v>31</v>
      </c>
      <c r="N2501" s="2">
        <v>115</v>
      </c>
      <c r="O2501">
        <v>32187.74</v>
      </c>
      <c r="P2501">
        <v>11</v>
      </c>
      <c r="Q2501">
        <v>104</v>
      </c>
      <c r="R2501">
        <v>17.989999999999998</v>
      </c>
      <c r="S2501">
        <v>7</v>
      </c>
      <c r="T2501">
        <v>21</v>
      </c>
      <c r="U2501" s="2">
        <v>8270.01</v>
      </c>
      <c r="V2501">
        <v>0</v>
      </c>
      <c r="W2501" t="s">
        <v>29</v>
      </c>
      <c r="X2501" t="str">
        <f>IF(Table2[[#This Row],[Qty available]]&gt;Table2[[#This Row],[Qty on hand]],"Check","OK")</f>
        <v>OK</v>
      </c>
    </row>
    <row r="2502" spans="1:24" x14ac:dyDescent="0.3">
      <c r="A2502" t="s">
        <v>269</v>
      </c>
      <c r="B2502" t="s">
        <v>270</v>
      </c>
      <c r="C2502" t="s">
        <v>57</v>
      </c>
      <c r="D2502" t="s">
        <v>58</v>
      </c>
      <c r="E2502" t="s">
        <v>66</v>
      </c>
      <c r="F2502" s="1" t="s">
        <v>33</v>
      </c>
      <c r="G2502" s="2">
        <v>269.98</v>
      </c>
      <c r="H2502">
        <v>290.94</v>
      </c>
      <c r="I2502">
        <v>280.77709700000003</v>
      </c>
      <c r="J2502">
        <v>393.81</v>
      </c>
      <c r="K2502">
        <v>36</v>
      </c>
      <c r="L2502" s="2">
        <v>34</v>
      </c>
      <c r="M2502">
        <v>10</v>
      </c>
      <c r="N2502" s="2">
        <v>93</v>
      </c>
      <c r="O2502">
        <v>26112.27</v>
      </c>
      <c r="P2502">
        <v>13</v>
      </c>
      <c r="Q2502">
        <v>80</v>
      </c>
      <c r="R2502">
        <v>11.64</v>
      </c>
      <c r="S2502">
        <v>11</v>
      </c>
      <c r="T2502">
        <v>32</v>
      </c>
      <c r="U2502" s="2">
        <v>12601.92</v>
      </c>
      <c r="V2502">
        <v>0</v>
      </c>
      <c r="W2502" t="s">
        <v>29</v>
      </c>
      <c r="X2502" t="str">
        <f>IF(Table2[[#This Row],[Qty available]]&gt;Table2[[#This Row],[Qty on hand]],"Check","OK")</f>
        <v>OK</v>
      </c>
    </row>
    <row r="2503" spans="1:24" x14ac:dyDescent="0.3">
      <c r="A2503" t="s">
        <v>269</v>
      </c>
      <c r="B2503" t="s">
        <v>270</v>
      </c>
      <c r="C2503" t="s">
        <v>57</v>
      </c>
      <c r="D2503" t="s">
        <v>58</v>
      </c>
      <c r="E2503" t="s">
        <v>66</v>
      </c>
      <c r="F2503" s="1" t="s">
        <v>34</v>
      </c>
      <c r="G2503" s="2">
        <v>268.51</v>
      </c>
      <c r="H2503">
        <v>289.35000000000002</v>
      </c>
      <c r="I2503">
        <v>283.73540000000003</v>
      </c>
      <c r="J2503">
        <v>413.84</v>
      </c>
      <c r="K2503">
        <v>36</v>
      </c>
      <c r="L2503" s="2">
        <v>32</v>
      </c>
      <c r="M2503">
        <v>49</v>
      </c>
      <c r="N2503" s="2">
        <v>100</v>
      </c>
      <c r="O2503">
        <v>28373.54</v>
      </c>
      <c r="P2503">
        <v>4</v>
      </c>
      <c r="Q2503">
        <v>96</v>
      </c>
      <c r="R2503">
        <v>13.53</v>
      </c>
      <c r="S2503">
        <v>3</v>
      </c>
      <c r="T2503">
        <v>42</v>
      </c>
      <c r="U2503" s="2">
        <v>17381.28</v>
      </c>
      <c r="V2503">
        <v>0</v>
      </c>
      <c r="W2503" t="s">
        <v>29</v>
      </c>
      <c r="X2503" t="str">
        <f>IF(Table2[[#This Row],[Qty available]]&gt;Table2[[#This Row],[Qty on hand]],"Check","OK")</f>
        <v>OK</v>
      </c>
    </row>
    <row r="2504" spans="1:24" x14ac:dyDescent="0.3">
      <c r="A2504" t="s">
        <v>269</v>
      </c>
      <c r="B2504" t="s">
        <v>270</v>
      </c>
      <c r="C2504" t="s">
        <v>57</v>
      </c>
      <c r="D2504" t="s">
        <v>58</v>
      </c>
      <c r="E2504" t="s">
        <v>66</v>
      </c>
      <c r="F2504" s="1" t="s">
        <v>35</v>
      </c>
      <c r="G2504" s="2">
        <v>267.79000000000002</v>
      </c>
      <c r="H2504">
        <v>288.58</v>
      </c>
      <c r="I2504">
        <v>285.284381</v>
      </c>
      <c r="J2504">
        <v>413.84</v>
      </c>
      <c r="K2504">
        <v>36</v>
      </c>
      <c r="L2504" s="2">
        <v>31</v>
      </c>
      <c r="M2504">
        <v>47</v>
      </c>
      <c r="N2504" s="2">
        <v>105</v>
      </c>
      <c r="O2504">
        <v>29954.86</v>
      </c>
      <c r="P2504">
        <v>10</v>
      </c>
      <c r="Q2504">
        <v>95</v>
      </c>
      <c r="R2504">
        <v>11.64</v>
      </c>
      <c r="S2504">
        <v>3</v>
      </c>
      <c r="T2504">
        <v>42</v>
      </c>
      <c r="U2504" s="2">
        <v>17381.28</v>
      </c>
      <c r="V2504">
        <v>0</v>
      </c>
      <c r="W2504" t="s">
        <v>29</v>
      </c>
      <c r="X2504" t="str">
        <f>IF(Table2[[#This Row],[Qty available]]&gt;Table2[[#This Row],[Qty on hand]],"Check","OK")</f>
        <v>OK</v>
      </c>
    </row>
    <row r="2505" spans="1:24" x14ac:dyDescent="0.3">
      <c r="A2505" t="s">
        <v>269</v>
      </c>
      <c r="B2505" t="s">
        <v>270</v>
      </c>
      <c r="C2505" t="s">
        <v>57</v>
      </c>
      <c r="D2505" t="s">
        <v>58</v>
      </c>
      <c r="E2505" t="s">
        <v>66</v>
      </c>
      <c r="F2505" s="1" t="s">
        <v>36</v>
      </c>
      <c r="G2505" s="2">
        <v>270.48</v>
      </c>
      <c r="H2505">
        <v>291.48</v>
      </c>
      <c r="I2505">
        <v>286.19111099999998</v>
      </c>
      <c r="J2505">
        <v>413.84</v>
      </c>
      <c r="K2505">
        <v>36</v>
      </c>
      <c r="L2505" s="2">
        <v>35</v>
      </c>
      <c r="M2505">
        <v>18</v>
      </c>
      <c r="N2505" s="2">
        <v>72</v>
      </c>
      <c r="O2505">
        <v>20605.759999999998</v>
      </c>
      <c r="P2505">
        <v>4</v>
      </c>
      <c r="Q2505">
        <v>68</v>
      </c>
      <c r="R2505">
        <v>6.78</v>
      </c>
      <c r="S2505">
        <v>10</v>
      </c>
      <c r="T2505">
        <v>51</v>
      </c>
      <c r="U2505" s="2">
        <v>21105.84</v>
      </c>
      <c r="V2505">
        <v>0</v>
      </c>
      <c r="W2505" t="s">
        <v>29</v>
      </c>
      <c r="X2505" t="str">
        <f>IF(Table2[[#This Row],[Qty available]]&gt;Table2[[#This Row],[Qty on hand]],"Check","OK")</f>
        <v>OK</v>
      </c>
    </row>
    <row r="2506" spans="1:24" x14ac:dyDescent="0.3">
      <c r="A2506" t="s">
        <v>269</v>
      </c>
      <c r="B2506" t="s">
        <v>270</v>
      </c>
      <c r="C2506" t="s">
        <v>57</v>
      </c>
      <c r="D2506" t="s">
        <v>58</v>
      </c>
      <c r="E2506" t="s">
        <v>66</v>
      </c>
      <c r="F2506" s="1" t="s">
        <v>37</v>
      </c>
      <c r="G2506" s="2">
        <v>273.45999999999998</v>
      </c>
      <c r="H2506">
        <v>294.69</v>
      </c>
      <c r="I2506">
        <v>289.27471400000002</v>
      </c>
      <c r="J2506">
        <v>413.84</v>
      </c>
      <c r="K2506">
        <v>36</v>
      </c>
      <c r="L2506" s="2">
        <v>54</v>
      </c>
      <c r="M2506">
        <v>41</v>
      </c>
      <c r="N2506" s="2">
        <v>70</v>
      </c>
      <c r="O2506">
        <v>20249.23</v>
      </c>
      <c r="P2506">
        <v>13</v>
      </c>
      <c r="Q2506">
        <v>57</v>
      </c>
      <c r="R2506">
        <v>6.76</v>
      </c>
      <c r="S2506">
        <v>6</v>
      </c>
      <c r="T2506">
        <v>43</v>
      </c>
      <c r="U2506" s="2">
        <v>17795.12</v>
      </c>
      <c r="V2506">
        <v>0</v>
      </c>
      <c r="W2506" t="s">
        <v>29</v>
      </c>
      <c r="X2506" t="str">
        <f>IF(Table2[[#This Row],[Qty available]]&gt;Table2[[#This Row],[Qty on hand]],"Check","OK")</f>
        <v>OK</v>
      </c>
    </row>
    <row r="2507" spans="1:24" x14ac:dyDescent="0.3">
      <c r="A2507" t="s">
        <v>269</v>
      </c>
      <c r="B2507" t="s">
        <v>270</v>
      </c>
      <c r="C2507" t="s">
        <v>57</v>
      </c>
      <c r="D2507" t="s">
        <v>58</v>
      </c>
      <c r="E2507" t="s">
        <v>66</v>
      </c>
      <c r="F2507" s="1" t="s">
        <v>38</v>
      </c>
      <c r="G2507" s="2">
        <v>268.52999999999997</v>
      </c>
      <c r="H2507">
        <v>289.38</v>
      </c>
      <c r="I2507">
        <v>289.31418600000001</v>
      </c>
      <c r="J2507">
        <v>413.84</v>
      </c>
      <c r="K2507">
        <v>36</v>
      </c>
      <c r="L2507" s="2">
        <v>36</v>
      </c>
      <c r="M2507">
        <v>42</v>
      </c>
      <c r="N2507" s="2">
        <v>43</v>
      </c>
      <c r="O2507">
        <v>12440.51</v>
      </c>
      <c r="P2507">
        <v>14</v>
      </c>
      <c r="Q2507">
        <v>29</v>
      </c>
      <c r="R2507">
        <v>3.43</v>
      </c>
      <c r="S2507">
        <v>1</v>
      </c>
      <c r="T2507">
        <v>69</v>
      </c>
      <c r="U2507" s="2">
        <v>28554.959999999999</v>
      </c>
      <c r="V2507">
        <v>0</v>
      </c>
      <c r="W2507" t="s">
        <v>29</v>
      </c>
      <c r="X2507" t="str">
        <f>IF(Table2[[#This Row],[Qty available]]&gt;Table2[[#This Row],[Qty on hand]],"Check","OK")</f>
        <v>OK</v>
      </c>
    </row>
    <row r="2508" spans="1:24" x14ac:dyDescent="0.3">
      <c r="A2508" t="s">
        <v>269</v>
      </c>
      <c r="B2508" t="s">
        <v>270</v>
      </c>
      <c r="C2508" t="s">
        <v>57</v>
      </c>
      <c r="D2508" t="s">
        <v>58</v>
      </c>
      <c r="E2508" t="s">
        <v>66</v>
      </c>
      <c r="F2508" s="1" t="s">
        <v>39</v>
      </c>
      <c r="G2508" s="2">
        <v>269.19</v>
      </c>
      <c r="H2508">
        <v>290.08999999999997</v>
      </c>
      <c r="I2508">
        <v>289.71938499999999</v>
      </c>
      <c r="J2508">
        <v>413.84</v>
      </c>
      <c r="K2508">
        <v>36</v>
      </c>
      <c r="L2508" s="2">
        <v>33</v>
      </c>
      <c r="M2508">
        <v>47</v>
      </c>
      <c r="N2508" s="2">
        <v>65</v>
      </c>
      <c r="O2508">
        <v>18831.759999999998</v>
      </c>
      <c r="P2508">
        <v>10</v>
      </c>
      <c r="Q2508">
        <v>55</v>
      </c>
      <c r="R2508">
        <v>6.24</v>
      </c>
      <c r="S2508">
        <v>0</v>
      </c>
      <c r="T2508">
        <v>25</v>
      </c>
      <c r="U2508" s="2">
        <v>10346</v>
      </c>
      <c r="V2508">
        <v>0</v>
      </c>
      <c r="W2508" t="s">
        <v>29</v>
      </c>
      <c r="X2508" t="str">
        <f>IF(Table2[[#This Row],[Qty available]]&gt;Table2[[#This Row],[Qty on hand]],"Check","OK")</f>
        <v>OK</v>
      </c>
    </row>
    <row r="2509" spans="1:24" x14ac:dyDescent="0.3">
      <c r="A2509" t="s">
        <v>269</v>
      </c>
      <c r="B2509" t="s">
        <v>270</v>
      </c>
      <c r="C2509" t="s">
        <v>57</v>
      </c>
      <c r="D2509" t="s">
        <v>58</v>
      </c>
      <c r="E2509" t="s">
        <v>66</v>
      </c>
      <c r="F2509" s="1" t="s">
        <v>40</v>
      </c>
      <c r="G2509" s="2">
        <v>270.44</v>
      </c>
      <c r="H2509">
        <v>291.43</v>
      </c>
      <c r="I2509">
        <v>290.86841099999998</v>
      </c>
      <c r="J2509">
        <v>413.84</v>
      </c>
      <c r="K2509">
        <v>36</v>
      </c>
      <c r="L2509" s="2">
        <v>34</v>
      </c>
      <c r="M2509">
        <v>133</v>
      </c>
      <c r="N2509" s="2">
        <v>151</v>
      </c>
      <c r="O2509">
        <v>43921.13</v>
      </c>
      <c r="P2509">
        <v>11</v>
      </c>
      <c r="Q2509">
        <v>140</v>
      </c>
      <c r="R2509">
        <v>14.07</v>
      </c>
      <c r="S2509">
        <v>2</v>
      </c>
      <c r="T2509">
        <v>47</v>
      </c>
      <c r="U2509" s="2">
        <v>19450.48</v>
      </c>
      <c r="V2509">
        <v>0</v>
      </c>
      <c r="W2509" t="s">
        <v>29</v>
      </c>
      <c r="X2509" t="str">
        <f>IF(Table2[[#This Row],[Qty available]]&gt;Table2[[#This Row],[Qty on hand]],"Check","OK")</f>
        <v>OK</v>
      </c>
    </row>
    <row r="2510" spans="1:24" x14ac:dyDescent="0.3">
      <c r="A2510" t="s">
        <v>269</v>
      </c>
      <c r="B2510" t="s">
        <v>270</v>
      </c>
      <c r="C2510" t="s">
        <v>57</v>
      </c>
      <c r="D2510" t="s">
        <v>58</v>
      </c>
      <c r="E2510" t="s">
        <v>66</v>
      </c>
      <c r="F2510" s="1" t="s">
        <v>41</v>
      </c>
      <c r="G2510" s="2">
        <v>269.76</v>
      </c>
      <c r="H2510">
        <v>290.7</v>
      </c>
      <c r="I2510">
        <v>290.868448</v>
      </c>
      <c r="J2510">
        <v>413.84</v>
      </c>
      <c r="K2510">
        <v>36</v>
      </c>
      <c r="M2510">
        <v>0</v>
      </c>
      <c r="N2510" s="2">
        <v>116</v>
      </c>
      <c r="O2510">
        <v>33740.74</v>
      </c>
      <c r="P2510">
        <v>6</v>
      </c>
      <c r="Q2510">
        <v>110</v>
      </c>
      <c r="R2510">
        <v>14.25</v>
      </c>
      <c r="S2510">
        <v>0</v>
      </c>
      <c r="T2510">
        <v>35</v>
      </c>
      <c r="U2510" s="2">
        <v>14484.4</v>
      </c>
      <c r="V2510">
        <v>0</v>
      </c>
      <c r="W2510" t="s">
        <v>29</v>
      </c>
      <c r="X2510" t="str">
        <f>IF(Table2[[#This Row],[Qty available]]&gt;Table2[[#This Row],[Qty on hand]],"Check","OK")</f>
        <v>OK</v>
      </c>
    </row>
    <row r="2511" spans="1:24" x14ac:dyDescent="0.3">
      <c r="A2511" t="s">
        <v>269</v>
      </c>
      <c r="B2511" t="s">
        <v>270</v>
      </c>
      <c r="C2511" t="s">
        <v>57</v>
      </c>
      <c r="D2511" t="s">
        <v>58</v>
      </c>
      <c r="E2511" t="s">
        <v>66</v>
      </c>
      <c r="F2511" s="1" t="s">
        <v>42</v>
      </c>
      <c r="G2511" s="2">
        <v>270.02999999999997</v>
      </c>
      <c r="H2511">
        <v>290.99</v>
      </c>
      <c r="I2511">
        <v>290.90239100000002</v>
      </c>
      <c r="J2511">
        <v>413.84</v>
      </c>
      <c r="K2511">
        <v>36</v>
      </c>
      <c r="L2511" s="2">
        <v>61</v>
      </c>
      <c r="M2511">
        <v>45</v>
      </c>
      <c r="N2511" s="2">
        <v>92</v>
      </c>
      <c r="O2511">
        <v>26763.02</v>
      </c>
      <c r="P2511">
        <v>8</v>
      </c>
      <c r="Q2511">
        <v>84</v>
      </c>
      <c r="R2511">
        <v>8.01</v>
      </c>
      <c r="S2511">
        <v>5</v>
      </c>
      <c r="T2511">
        <v>69</v>
      </c>
      <c r="U2511" s="2">
        <v>28554.959999999999</v>
      </c>
      <c r="V2511">
        <v>0</v>
      </c>
      <c r="W2511" t="s">
        <v>29</v>
      </c>
      <c r="X2511" t="str">
        <f>IF(Table2[[#This Row],[Qty available]]&gt;Table2[[#This Row],[Qty on hand]],"Check","OK")</f>
        <v>OK</v>
      </c>
    </row>
    <row r="2512" spans="1:24" x14ac:dyDescent="0.3">
      <c r="A2512" t="s">
        <v>269</v>
      </c>
      <c r="B2512" t="s">
        <v>270</v>
      </c>
      <c r="C2512" t="s">
        <v>57</v>
      </c>
      <c r="D2512" t="s">
        <v>58</v>
      </c>
      <c r="E2512" t="s">
        <v>66</v>
      </c>
      <c r="F2512" s="1" t="s">
        <v>43</v>
      </c>
      <c r="G2512" s="2">
        <v>271.51</v>
      </c>
      <c r="H2512">
        <v>292.58999999999997</v>
      </c>
      <c r="I2512">
        <v>291.27430800000002</v>
      </c>
      <c r="J2512">
        <v>413.84</v>
      </c>
      <c r="K2512">
        <v>36</v>
      </c>
      <c r="L2512" s="2">
        <v>32</v>
      </c>
      <c r="M2512">
        <v>26</v>
      </c>
      <c r="N2512" s="2">
        <v>65</v>
      </c>
      <c r="O2512">
        <v>18932.830000000002</v>
      </c>
      <c r="P2512">
        <v>7</v>
      </c>
      <c r="Q2512">
        <v>58</v>
      </c>
      <c r="R2512">
        <v>5.38</v>
      </c>
      <c r="S2512">
        <v>7</v>
      </c>
      <c r="T2512">
        <v>53</v>
      </c>
      <c r="U2512" s="2">
        <v>21933.52</v>
      </c>
      <c r="V2512">
        <v>0</v>
      </c>
      <c r="W2512" t="s">
        <v>29</v>
      </c>
      <c r="X2512" t="str">
        <f>IF(Table2[[#This Row],[Qty available]]&gt;Table2[[#This Row],[Qty on hand]],"Check","OK")</f>
        <v>OK</v>
      </c>
    </row>
    <row r="2513" spans="1:24" x14ac:dyDescent="0.3">
      <c r="A2513" t="s">
        <v>269</v>
      </c>
      <c r="B2513" t="s">
        <v>270</v>
      </c>
      <c r="C2513" t="s">
        <v>57</v>
      </c>
      <c r="D2513" t="s">
        <v>58</v>
      </c>
      <c r="E2513" t="s">
        <v>66</v>
      </c>
      <c r="F2513" s="1" t="s">
        <v>44</v>
      </c>
      <c r="G2513" s="2">
        <v>273.02999999999997</v>
      </c>
      <c r="H2513">
        <v>294.22000000000003</v>
      </c>
      <c r="I2513">
        <v>292.94358</v>
      </c>
      <c r="J2513">
        <v>413.84</v>
      </c>
      <c r="K2513">
        <v>36</v>
      </c>
      <c r="L2513" s="2">
        <v>31</v>
      </c>
      <c r="M2513">
        <v>85</v>
      </c>
      <c r="N2513" s="2">
        <v>81</v>
      </c>
      <c r="O2513">
        <v>23728.43</v>
      </c>
      <c r="P2513">
        <v>14</v>
      </c>
      <c r="Q2513">
        <v>67</v>
      </c>
      <c r="R2513">
        <v>5.57</v>
      </c>
      <c r="S2513">
        <v>1</v>
      </c>
      <c r="T2513">
        <v>69</v>
      </c>
      <c r="U2513" s="2">
        <v>28554.959999999999</v>
      </c>
      <c r="V2513">
        <v>0</v>
      </c>
      <c r="W2513" t="s">
        <v>29</v>
      </c>
      <c r="X2513" t="str">
        <f>IF(Table2[[#This Row],[Qty available]]&gt;Table2[[#This Row],[Qty on hand]],"Check","OK")</f>
        <v>OK</v>
      </c>
    </row>
    <row r="2514" spans="1:24" x14ac:dyDescent="0.3">
      <c r="A2514" t="s">
        <v>269</v>
      </c>
      <c r="B2514" t="s">
        <v>270</v>
      </c>
      <c r="C2514" t="s">
        <v>57</v>
      </c>
      <c r="D2514" t="s">
        <v>58</v>
      </c>
      <c r="E2514" t="s">
        <v>66</v>
      </c>
      <c r="F2514" s="1" t="s">
        <v>45</v>
      </c>
      <c r="G2514" s="2">
        <v>280.54000000000002</v>
      </c>
      <c r="H2514">
        <v>302.32</v>
      </c>
      <c r="I2514">
        <v>292.94354800000002</v>
      </c>
      <c r="J2514">
        <v>413.84</v>
      </c>
      <c r="K2514">
        <v>36</v>
      </c>
      <c r="M2514">
        <v>0</v>
      </c>
      <c r="N2514" s="2">
        <v>31</v>
      </c>
      <c r="O2514">
        <v>9081.25</v>
      </c>
      <c r="P2514">
        <v>7</v>
      </c>
      <c r="Q2514">
        <v>24</v>
      </c>
      <c r="R2514">
        <v>2.37</v>
      </c>
      <c r="S2514">
        <v>3</v>
      </c>
      <c r="T2514">
        <v>50</v>
      </c>
      <c r="U2514" s="2">
        <v>20692</v>
      </c>
      <c r="V2514">
        <v>0</v>
      </c>
      <c r="W2514" t="s">
        <v>29</v>
      </c>
      <c r="X2514" t="str">
        <f>IF(Table2[[#This Row],[Qty available]]&gt;Table2[[#This Row],[Qty on hand]],"Check","OK")</f>
        <v>OK</v>
      </c>
    </row>
    <row r="2515" spans="1:24" x14ac:dyDescent="0.3">
      <c r="A2515" t="s">
        <v>269</v>
      </c>
      <c r="B2515" t="s">
        <v>270</v>
      </c>
      <c r="C2515" t="s">
        <v>57</v>
      </c>
      <c r="D2515" t="s">
        <v>58</v>
      </c>
      <c r="E2515" t="s">
        <v>66</v>
      </c>
      <c r="F2515" s="1" t="s">
        <v>46</v>
      </c>
      <c r="G2515" s="2">
        <v>283.08999999999997</v>
      </c>
      <c r="H2515">
        <v>305.07</v>
      </c>
      <c r="I2515">
        <v>292.94354800000002</v>
      </c>
      <c r="J2515">
        <v>434.89</v>
      </c>
      <c r="K2515">
        <v>36</v>
      </c>
      <c r="M2515">
        <v>0</v>
      </c>
      <c r="N2515" s="2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31</v>
      </c>
      <c r="U2515" s="2">
        <v>13481.59</v>
      </c>
      <c r="V2515">
        <v>3</v>
      </c>
      <c r="W2515" t="s">
        <v>59</v>
      </c>
      <c r="X2515" t="str">
        <f>IF(Table2[[#This Row],[Qty available]]&gt;Table2[[#This Row],[Qty on hand]],"Check","OK")</f>
        <v>OK</v>
      </c>
    </row>
    <row r="2516" spans="1:24" x14ac:dyDescent="0.3">
      <c r="A2516" t="s">
        <v>269</v>
      </c>
      <c r="B2516" t="s">
        <v>270</v>
      </c>
      <c r="C2516" t="s">
        <v>57</v>
      </c>
      <c r="D2516" t="s">
        <v>58</v>
      </c>
      <c r="E2516" t="s">
        <v>66</v>
      </c>
      <c r="F2516" s="1" t="s">
        <v>47</v>
      </c>
      <c r="G2516" s="2">
        <v>280.95</v>
      </c>
      <c r="H2516">
        <v>302.76</v>
      </c>
      <c r="I2516">
        <v>302.76</v>
      </c>
      <c r="J2516">
        <v>434.89</v>
      </c>
      <c r="K2516">
        <v>36</v>
      </c>
      <c r="L2516" s="2">
        <v>31</v>
      </c>
      <c r="M2516">
        <v>161</v>
      </c>
      <c r="N2516" s="2">
        <v>124</v>
      </c>
      <c r="O2516">
        <v>37542.239999999998</v>
      </c>
      <c r="P2516">
        <v>8</v>
      </c>
      <c r="Q2516">
        <v>116</v>
      </c>
      <c r="R2516">
        <v>13.51</v>
      </c>
      <c r="S2516">
        <v>9</v>
      </c>
      <c r="T2516">
        <v>37</v>
      </c>
      <c r="U2516" s="2">
        <v>16090.93</v>
      </c>
      <c r="V2516">
        <v>0</v>
      </c>
      <c r="W2516" t="s">
        <v>29</v>
      </c>
      <c r="X2516" t="str">
        <f>IF(Table2[[#This Row],[Qty available]]&gt;Table2[[#This Row],[Qty on hand]],"Check","OK")</f>
        <v>OK</v>
      </c>
    </row>
    <row r="2517" spans="1:24" x14ac:dyDescent="0.3">
      <c r="A2517" t="s">
        <v>269</v>
      </c>
      <c r="B2517" t="s">
        <v>270</v>
      </c>
      <c r="C2517" t="s">
        <v>57</v>
      </c>
      <c r="D2517" t="s">
        <v>58</v>
      </c>
      <c r="E2517" t="s">
        <v>66</v>
      </c>
      <c r="F2517" s="1" t="s">
        <v>48</v>
      </c>
      <c r="G2517" s="2">
        <v>280.27</v>
      </c>
      <c r="H2517">
        <v>302.02999999999997</v>
      </c>
      <c r="I2517">
        <v>302.76</v>
      </c>
      <c r="J2517">
        <v>434.89</v>
      </c>
      <c r="K2517">
        <v>36</v>
      </c>
      <c r="M2517">
        <v>0</v>
      </c>
      <c r="N2517" s="2">
        <v>115</v>
      </c>
      <c r="O2517">
        <v>34817.4</v>
      </c>
      <c r="P2517">
        <v>7</v>
      </c>
      <c r="Q2517">
        <v>108</v>
      </c>
      <c r="R2517">
        <v>18.989999999999998</v>
      </c>
      <c r="S2517">
        <v>18</v>
      </c>
      <c r="T2517">
        <v>9</v>
      </c>
      <c r="U2517" s="2">
        <v>3914.01</v>
      </c>
      <c r="V2517">
        <v>0</v>
      </c>
      <c r="W2517" t="s">
        <v>29</v>
      </c>
      <c r="X2517" t="str">
        <f>IF(Table2[[#This Row],[Qty available]]&gt;Table2[[#This Row],[Qty on hand]],"Check","OK")</f>
        <v>OK</v>
      </c>
    </row>
    <row r="2518" spans="1:24" x14ac:dyDescent="0.3">
      <c r="A2518" t="s">
        <v>269</v>
      </c>
      <c r="B2518" t="s">
        <v>270</v>
      </c>
      <c r="C2518" t="s">
        <v>57</v>
      </c>
      <c r="D2518" t="s">
        <v>58</v>
      </c>
      <c r="E2518" t="s">
        <v>66</v>
      </c>
      <c r="F2518" s="1" t="s">
        <v>49</v>
      </c>
      <c r="G2518" s="2">
        <v>280.33999999999997</v>
      </c>
      <c r="H2518">
        <v>302.10000000000002</v>
      </c>
      <c r="I2518">
        <v>302.634478</v>
      </c>
      <c r="J2518">
        <v>434.89</v>
      </c>
      <c r="K2518">
        <v>36</v>
      </c>
      <c r="L2518" s="2">
        <v>34</v>
      </c>
      <c r="M2518">
        <v>27</v>
      </c>
      <c r="N2518" s="2">
        <v>67</v>
      </c>
      <c r="O2518">
        <v>20276.509999999998</v>
      </c>
      <c r="P2518">
        <v>13</v>
      </c>
      <c r="Q2518">
        <v>54</v>
      </c>
      <c r="R2518">
        <v>7.28</v>
      </c>
      <c r="S2518">
        <v>3</v>
      </c>
      <c r="T2518">
        <v>75</v>
      </c>
      <c r="U2518" s="2">
        <v>32616.75</v>
      </c>
      <c r="V2518">
        <v>0</v>
      </c>
      <c r="W2518" t="s">
        <v>29</v>
      </c>
      <c r="X2518" t="str">
        <f>IF(Table2[[#This Row],[Qty available]]&gt;Table2[[#This Row],[Qty on hand]],"Check","OK")</f>
        <v>OK</v>
      </c>
    </row>
    <row r="2519" spans="1:24" x14ac:dyDescent="0.3">
      <c r="A2519" t="s">
        <v>269</v>
      </c>
      <c r="B2519" t="s">
        <v>270</v>
      </c>
      <c r="C2519" t="s">
        <v>57</v>
      </c>
      <c r="D2519" t="s">
        <v>58</v>
      </c>
      <c r="E2519" t="s">
        <v>66</v>
      </c>
      <c r="F2519" s="1" t="s">
        <v>50</v>
      </c>
      <c r="G2519" s="2">
        <v>275.18</v>
      </c>
      <c r="H2519">
        <v>296.54000000000002</v>
      </c>
      <c r="I2519">
        <v>302.634545</v>
      </c>
      <c r="J2519">
        <v>434.89</v>
      </c>
      <c r="K2519">
        <v>36</v>
      </c>
      <c r="M2519">
        <v>0</v>
      </c>
      <c r="N2519" s="2">
        <v>11</v>
      </c>
      <c r="O2519">
        <v>3328.98</v>
      </c>
      <c r="P2519">
        <v>10</v>
      </c>
      <c r="Q2519">
        <v>1</v>
      </c>
      <c r="R2519">
        <v>1.02</v>
      </c>
      <c r="S2519">
        <v>3</v>
      </c>
      <c r="T2519">
        <v>56</v>
      </c>
      <c r="U2519" s="2">
        <v>24353.84</v>
      </c>
      <c r="V2519">
        <v>0</v>
      </c>
      <c r="W2519" t="s">
        <v>29</v>
      </c>
      <c r="X2519" t="str">
        <f>IF(Table2[[#This Row],[Qty available]]&gt;Table2[[#This Row],[Qty on hand]],"Check","OK")</f>
        <v>OK</v>
      </c>
    </row>
    <row r="2520" spans="1:24" x14ac:dyDescent="0.3">
      <c r="A2520" t="s">
        <v>269</v>
      </c>
      <c r="B2520" t="s">
        <v>270</v>
      </c>
      <c r="C2520" t="s">
        <v>57</v>
      </c>
      <c r="D2520" t="s">
        <v>58</v>
      </c>
      <c r="E2520" t="s">
        <v>66</v>
      </c>
      <c r="F2520" s="1" t="s">
        <v>51</v>
      </c>
      <c r="G2520" s="2">
        <v>279.48</v>
      </c>
      <c r="H2520">
        <v>301.18</v>
      </c>
      <c r="I2520">
        <v>301.314412</v>
      </c>
      <c r="J2520">
        <v>434.89</v>
      </c>
      <c r="K2520">
        <v>36</v>
      </c>
      <c r="L2520" s="2">
        <v>33</v>
      </c>
      <c r="M2520">
        <v>108</v>
      </c>
      <c r="N2520" s="2">
        <v>68</v>
      </c>
      <c r="O2520">
        <v>20489.38</v>
      </c>
      <c r="P2520">
        <v>10</v>
      </c>
      <c r="Q2520">
        <v>58</v>
      </c>
      <c r="R2520">
        <v>4.91</v>
      </c>
      <c r="S2520">
        <v>2</v>
      </c>
      <c r="T2520">
        <v>51</v>
      </c>
      <c r="U2520" s="2">
        <v>22179.39</v>
      </c>
      <c r="V2520">
        <v>0</v>
      </c>
      <c r="W2520" t="s">
        <v>29</v>
      </c>
      <c r="X2520" t="str">
        <f>IF(Table2[[#This Row],[Qty available]]&gt;Table2[[#This Row],[Qty on hand]],"Check","OK")</f>
        <v>OK</v>
      </c>
    </row>
    <row r="2521" spans="1:24" x14ac:dyDescent="0.3">
      <c r="A2521" t="s">
        <v>269</v>
      </c>
      <c r="B2521" t="s">
        <v>270</v>
      </c>
      <c r="C2521" t="s">
        <v>57</v>
      </c>
      <c r="D2521" t="s">
        <v>58</v>
      </c>
      <c r="E2521" t="s">
        <v>66</v>
      </c>
      <c r="F2521" s="1" t="s">
        <v>52</v>
      </c>
      <c r="G2521" s="2">
        <v>284.64</v>
      </c>
      <c r="H2521">
        <v>306.74</v>
      </c>
      <c r="I2521">
        <v>303.76470599999999</v>
      </c>
      <c r="J2521">
        <v>434.89</v>
      </c>
      <c r="K2521">
        <v>36</v>
      </c>
      <c r="L2521" s="2">
        <v>34</v>
      </c>
      <c r="M2521">
        <v>56</v>
      </c>
      <c r="N2521" s="2">
        <v>85</v>
      </c>
      <c r="O2521">
        <v>25820</v>
      </c>
      <c r="P2521">
        <v>14</v>
      </c>
      <c r="Q2521">
        <v>71</v>
      </c>
      <c r="R2521">
        <v>7.65</v>
      </c>
      <c r="S2521">
        <v>2</v>
      </c>
      <c r="T2521">
        <v>39</v>
      </c>
      <c r="U2521" s="2">
        <v>16960.71</v>
      </c>
      <c r="V2521">
        <v>0</v>
      </c>
      <c r="W2521" t="s">
        <v>29</v>
      </c>
      <c r="X2521" t="str">
        <f>IF(Table2[[#This Row],[Qty available]]&gt;Table2[[#This Row],[Qty on hand]],"Check","OK")</f>
        <v>OK</v>
      </c>
    </row>
    <row r="2522" spans="1:24" x14ac:dyDescent="0.3">
      <c r="A2522" t="s">
        <v>271</v>
      </c>
      <c r="B2522" t="s">
        <v>272</v>
      </c>
      <c r="C2522" t="s">
        <v>77</v>
      </c>
      <c r="D2522" t="s">
        <v>78</v>
      </c>
      <c r="E2522" t="s">
        <v>66</v>
      </c>
      <c r="F2522" s="1" t="s">
        <v>28</v>
      </c>
      <c r="G2522" s="2">
        <v>42.2</v>
      </c>
      <c r="H2522">
        <v>45.99</v>
      </c>
      <c r="I2522">
        <v>47.012174000000002</v>
      </c>
      <c r="J2522">
        <v>66.2</v>
      </c>
      <c r="K2522">
        <v>15</v>
      </c>
      <c r="M2522">
        <v>0</v>
      </c>
      <c r="N2522" s="2">
        <v>184</v>
      </c>
      <c r="O2522">
        <v>8650.24</v>
      </c>
      <c r="P2522">
        <v>9</v>
      </c>
      <c r="Q2522">
        <v>175</v>
      </c>
      <c r="R2522">
        <v>25.73</v>
      </c>
      <c r="S2522">
        <v>4</v>
      </c>
      <c r="T2522">
        <v>30</v>
      </c>
      <c r="U2522" s="2">
        <v>1986</v>
      </c>
      <c r="V2522">
        <v>0</v>
      </c>
      <c r="W2522" t="s">
        <v>29</v>
      </c>
      <c r="X2522" t="str">
        <f>IF(Table2[[#This Row],[Qty available]]&gt;Table2[[#This Row],[Qty on hand]],"Check","OK")</f>
        <v>OK</v>
      </c>
    </row>
    <row r="2523" spans="1:24" x14ac:dyDescent="0.3">
      <c r="A2523" t="s">
        <v>271</v>
      </c>
      <c r="B2523" t="s">
        <v>272</v>
      </c>
      <c r="C2523" t="s">
        <v>77</v>
      </c>
      <c r="D2523" t="s">
        <v>78</v>
      </c>
      <c r="E2523" t="s">
        <v>66</v>
      </c>
      <c r="F2523" s="1" t="s">
        <v>30</v>
      </c>
      <c r="G2523" s="2">
        <v>43.78</v>
      </c>
      <c r="H2523">
        <v>47.71</v>
      </c>
      <c r="I2523">
        <v>47.161265</v>
      </c>
      <c r="J2523">
        <v>66.2</v>
      </c>
      <c r="K2523">
        <v>15</v>
      </c>
      <c r="L2523" s="2">
        <v>15</v>
      </c>
      <c r="M2523">
        <v>50</v>
      </c>
      <c r="N2523" s="2">
        <v>166</v>
      </c>
      <c r="O2523">
        <v>7828.77</v>
      </c>
      <c r="P2523">
        <v>5</v>
      </c>
      <c r="Q2523">
        <v>161</v>
      </c>
      <c r="R2523">
        <v>16.16</v>
      </c>
      <c r="S2523">
        <v>0</v>
      </c>
      <c r="T2523">
        <v>68</v>
      </c>
      <c r="U2523" s="2">
        <v>4501.6000000000004</v>
      </c>
      <c r="V2523">
        <v>0</v>
      </c>
      <c r="W2523" t="s">
        <v>29</v>
      </c>
      <c r="X2523" t="str">
        <f>IF(Table2[[#This Row],[Qty available]]&gt;Table2[[#This Row],[Qty on hand]],"Check","OK")</f>
        <v>OK</v>
      </c>
    </row>
    <row r="2524" spans="1:24" x14ac:dyDescent="0.3">
      <c r="A2524" t="s">
        <v>271</v>
      </c>
      <c r="B2524" t="s">
        <v>272</v>
      </c>
      <c r="C2524" t="s">
        <v>77</v>
      </c>
      <c r="D2524" t="s">
        <v>78</v>
      </c>
      <c r="E2524" t="s">
        <v>66</v>
      </c>
      <c r="F2524" s="1" t="s">
        <v>31</v>
      </c>
      <c r="G2524" s="2">
        <v>42.74</v>
      </c>
      <c r="H2524">
        <v>46.58</v>
      </c>
      <c r="I2524">
        <v>47.161264000000003</v>
      </c>
      <c r="J2524">
        <v>66.2</v>
      </c>
      <c r="K2524">
        <v>15</v>
      </c>
      <c r="M2524">
        <v>0</v>
      </c>
      <c r="N2524" s="2">
        <v>87</v>
      </c>
      <c r="O2524">
        <v>4103.03</v>
      </c>
      <c r="P2524">
        <v>9</v>
      </c>
      <c r="Q2524">
        <v>78</v>
      </c>
      <c r="R2524">
        <v>6.39</v>
      </c>
      <c r="S2524">
        <v>9</v>
      </c>
      <c r="T2524">
        <v>79</v>
      </c>
      <c r="U2524" s="2">
        <v>5229.8</v>
      </c>
      <c r="V2524">
        <v>0</v>
      </c>
      <c r="W2524" t="s">
        <v>29</v>
      </c>
      <c r="X2524" t="str">
        <f>IF(Table2[[#This Row],[Qty available]]&gt;Table2[[#This Row],[Qty on hand]],"Check","OK")</f>
        <v>OK</v>
      </c>
    </row>
    <row r="2525" spans="1:24" x14ac:dyDescent="0.3">
      <c r="A2525" t="s">
        <v>271</v>
      </c>
      <c r="B2525" t="s">
        <v>272</v>
      </c>
      <c r="C2525" t="s">
        <v>77</v>
      </c>
      <c r="D2525" t="s">
        <v>78</v>
      </c>
      <c r="E2525" t="s">
        <v>66</v>
      </c>
      <c r="F2525" s="1" t="s">
        <v>32</v>
      </c>
      <c r="G2525" s="2">
        <v>43.75</v>
      </c>
      <c r="H2525">
        <v>47.68</v>
      </c>
      <c r="I2525">
        <v>47.457659999999997</v>
      </c>
      <c r="J2525">
        <v>66.2</v>
      </c>
      <c r="K2525">
        <v>15</v>
      </c>
      <c r="L2525" s="2">
        <v>14</v>
      </c>
      <c r="M2525">
        <v>116</v>
      </c>
      <c r="N2525" s="2">
        <v>141</v>
      </c>
      <c r="O2525">
        <v>6691.53</v>
      </c>
      <c r="P2525">
        <v>14</v>
      </c>
      <c r="Q2525">
        <v>127</v>
      </c>
      <c r="R2525">
        <v>8.8699999999999992</v>
      </c>
      <c r="S2525">
        <v>0</v>
      </c>
      <c r="T2525">
        <v>62</v>
      </c>
      <c r="U2525" s="2">
        <v>4104.3999999999996</v>
      </c>
      <c r="V2525">
        <v>0</v>
      </c>
      <c r="W2525" t="s">
        <v>29</v>
      </c>
      <c r="X2525" t="str">
        <f>IF(Table2[[#This Row],[Qty available]]&gt;Table2[[#This Row],[Qty on hand]],"Check","OK")</f>
        <v>OK</v>
      </c>
    </row>
    <row r="2526" spans="1:24" x14ac:dyDescent="0.3">
      <c r="A2526" t="s">
        <v>271</v>
      </c>
      <c r="B2526" t="s">
        <v>272</v>
      </c>
      <c r="C2526" t="s">
        <v>77</v>
      </c>
      <c r="D2526" t="s">
        <v>78</v>
      </c>
      <c r="E2526" t="s">
        <v>66</v>
      </c>
      <c r="F2526" s="1" t="s">
        <v>33</v>
      </c>
      <c r="G2526" s="2">
        <v>42.94</v>
      </c>
      <c r="H2526">
        <v>46.79</v>
      </c>
      <c r="I2526">
        <v>47.282876999999999</v>
      </c>
      <c r="J2526">
        <v>66.2</v>
      </c>
      <c r="K2526">
        <v>15</v>
      </c>
      <c r="L2526" s="2">
        <v>24</v>
      </c>
      <c r="M2526">
        <v>50</v>
      </c>
      <c r="N2526" s="2">
        <v>146</v>
      </c>
      <c r="O2526">
        <v>6903.3</v>
      </c>
      <c r="P2526">
        <v>14</v>
      </c>
      <c r="Q2526">
        <v>132</v>
      </c>
      <c r="R2526">
        <v>10.32</v>
      </c>
      <c r="S2526">
        <v>5</v>
      </c>
      <c r="T2526">
        <v>45</v>
      </c>
      <c r="U2526" s="2">
        <v>2979</v>
      </c>
      <c r="V2526">
        <v>0</v>
      </c>
      <c r="W2526" t="s">
        <v>29</v>
      </c>
      <c r="X2526" t="str">
        <f>IF(Table2[[#This Row],[Qty available]]&gt;Table2[[#This Row],[Qty on hand]],"Check","OK")</f>
        <v>OK</v>
      </c>
    </row>
    <row r="2527" spans="1:24" x14ac:dyDescent="0.3">
      <c r="A2527" t="s">
        <v>271</v>
      </c>
      <c r="B2527" t="s">
        <v>272</v>
      </c>
      <c r="C2527" t="s">
        <v>77</v>
      </c>
      <c r="D2527" t="s">
        <v>78</v>
      </c>
      <c r="E2527" t="s">
        <v>66</v>
      </c>
      <c r="F2527" s="1" t="s">
        <v>34</v>
      </c>
      <c r="G2527" s="2">
        <v>43.49</v>
      </c>
      <c r="H2527">
        <v>47.39</v>
      </c>
      <c r="I2527">
        <v>47.320475999999999</v>
      </c>
      <c r="J2527">
        <v>69.52</v>
      </c>
      <c r="K2527">
        <v>15</v>
      </c>
      <c r="L2527" s="2">
        <v>15</v>
      </c>
      <c r="M2527">
        <v>79</v>
      </c>
      <c r="N2527" s="2">
        <v>147</v>
      </c>
      <c r="O2527">
        <v>6956.11</v>
      </c>
      <c r="P2527">
        <v>21</v>
      </c>
      <c r="Q2527">
        <v>126</v>
      </c>
      <c r="R2527">
        <v>10.220000000000001</v>
      </c>
      <c r="S2527">
        <v>2</v>
      </c>
      <c r="T2527">
        <v>78</v>
      </c>
      <c r="U2527" s="2">
        <v>5422.56</v>
      </c>
      <c r="V2527">
        <v>0</v>
      </c>
      <c r="W2527" t="s">
        <v>29</v>
      </c>
      <c r="X2527" t="str">
        <f>IF(Table2[[#This Row],[Qty available]]&gt;Table2[[#This Row],[Qty on hand]],"Check","OK")</f>
        <v>OK</v>
      </c>
    </row>
    <row r="2528" spans="1:24" x14ac:dyDescent="0.3">
      <c r="A2528" t="s">
        <v>271</v>
      </c>
      <c r="B2528" t="s">
        <v>272</v>
      </c>
      <c r="C2528" t="s">
        <v>77</v>
      </c>
      <c r="D2528" t="s">
        <v>78</v>
      </c>
      <c r="E2528" t="s">
        <v>66</v>
      </c>
      <c r="F2528" s="1" t="s">
        <v>35</v>
      </c>
      <c r="G2528" s="2">
        <v>45.08</v>
      </c>
      <c r="H2528">
        <v>49.13</v>
      </c>
      <c r="I2528">
        <v>48.078625000000002</v>
      </c>
      <c r="J2528">
        <v>69.52</v>
      </c>
      <c r="K2528">
        <v>15</v>
      </c>
      <c r="L2528" s="2">
        <v>17</v>
      </c>
      <c r="M2528">
        <v>106</v>
      </c>
      <c r="N2528" s="2">
        <v>240</v>
      </c>
      <c r="O2528">
        <v>11538.87</v>
      </c>
      <c r="P2528">
        <v>23</v>
      </c>
      <c r="Q2528">
        <v>217</v>
      </c>
      <c r="R2528">
        <v>22.69</v>
      </c>
      <c r="S2528">
        <v>4</v>
      </c>
      <c r="T2528">
        <v>13</v>
      </c>
      <c r="U2528" s="2">
        <v>903.76</v>
      </c>
      <c r="V2528">
        <v>0</v>
      </c>
      <c r="W2528" t="s">
        <v>29</v>
      </c>
      <c r="X2528" t="str">
        <f>IF(Table2[[#This Row],[Qty available]]&gt;Table2[[#This Row],[Qty on hand]],"Check","OK")</f>
        <v>OK</v>
      </c>
    </row>
    <row r="2529" spans="1:24" x14ac:dyDescent="0.3">
      <c r="A2529" t="s">
        <v>271</v>
      </c>
      <c r="B2529" t="s">
        <v>272</v>
      </c>
      <c r="C2529" t="s">
        <v>77</v>
      </c>
      <c r="D2529" t="s">
        <v>78</v>
      </c>
      <c r="E2529" t="s">
        <v>66</v>
      </c>
      <c r="F2529" s="1" t="s">
        <v>36</v>
      </c>
      <c r="G2529" s="2">
        <v>44.87</v>
      </c>
      <c r="H2529">
        <v>48.9</v>
      </c>
      <c r="I2529">
        <v>48.078657999999997</v>
      </c>
      <c r="J2529">
        <v>69.52</v>
      </c>
      <c r="K2529">
        <v>15</v>
      </c>
      <c r="M2529">
        <v>0</v>
      </c>
      <c r="N2529" s="2">
        <v>149</v>
      </c>
      <c r="O2529">
        <v>7163.72</v>
      </c>
      <c r="P2529">
        <v>19</v>
      </c>
      <c r="Q2529">
        <v>130</v>
      </c>
      <c r="R2529">
        <v>10.41</v>
      </c>
      <c r="S2529">
        <v>0</v>
      </c>
      <c r="T2529">
        <v>91</v>
      </c>
      <c r="U2529" s="2">
        <v>6326.32</v>
      </c>
      <c r="V2529">
        <v>0</v>
      </c>
      <c r="W2529" t="s">
        <v>29</v>
      </c>
      <c r="X2529" t="str">
        <f>IF(Table2[[#This Row],[Qty available]]&gt;Table2[[#This Row],[Qty on hand]],"Check","OK")</f>
        <v>OK</v>
      </c>
    </row>
    <row r="2530" spans="1:24" x14ac:dyDescent="0.3">
      <c r="A2530" t="s">
        <v>271</v>
      </c>
      <c r="B2530" t="s">
        <v>272</v>
      </c>
      <c r="C2530" t="s">
        <v>77</v>
      </c>
      <c r="D2530" t="s">
        <v>78</v>
      </c>
      <c r="E2530" t="s">
        <v>66</v>
      </c>
      <c r="F2530" s="1" t="s">
        <v>37</v>
      </c>
      <c r="G2530" s="2">
        <v>45.54</v>
      </c>
      <c r="H2530">
        <v>49.63</v>
      </c>
      <c r="I2530">
        <v>48.625</v>
      </c>
      <c r="J2530">
        <v>69.52</v>
      </c>
      <c r="K2530">
        <v>15</v>
      </c>
      <c r="L2530" s="2">
        <v>19</v>
      </c>
      <c r="M2530">
        <v>81</v>
      </c>
      <c r="N2530" s="2">
        <v>140</v>
      </c>
      <c r="O2530">
        <v>6807.5</v>
      </c>
      <c r="P2530">
        <v>19</v>
      </c>
      <c r="Q2530">
        <v>121</v>
      </c>
      <c r="R2530">
        <v>9.48</v>
      </c>
      <c r="S2530">
        <v>0</v>
      </c>
      <c r="T2530">
        <v>90</v>
      </c>
      <c r="U2530" s="2">
        <v>6256.8</v>
      </c>
      <c r="V2530">
        <v>0</v>
      </c>
      <c r="W2530" t="s">
        <v>29</v>
      </c>
      <c r="X2530" t="str">
        <f>IF(Table2[[#This Row],[Qty available]]&gt;Table2[[#This Row],[Qty on hand]],"Check","OK")</f>
        <v>OK</v>
      </c>
    </row>
    <row r="2531" spans="1:24" x14ac:dyDescent="0.3">
      <c r="A2531" t="s">
        <v>271</v>
      </c>
      <c r="B2531" t="s">
        <v>272</v>
      </c>
      <c r="C2531" t="s">
        <v>77</v>
      </c>
      <c r="D2531" t="s">
        <v>78</v>
      </c>
      <c r="E2531" t="s">
        <v>66</v>
      </c>
      <c r="F2531" s="1" t="s">
        <v>38</v>
      </c>
      <c r="G2531" s="2">
        <v>46.01</v>
      </c>
      <c r="H2531">
        <v>50.14</v>
      </c>
      <c r="I2531">
        <v>49.023654999999998</v>
      </c>
      <c r="J2531">
        <v>69.52</v>
      </c>
      <c r="K2531">
        <v>15</v>
      </c>
      <c r="L2531" s="2">
        <v>14</v>
      </c>
      <c r="M2531">
        <v>50</v>
      </c>
      <c r="N2531" s="2">
        <v>145</v>
      </c>
      <c r="O2531">
        <v>7108.43</v>
      </c>
      <c r="P2531">
        <v>21</v>
      </c>
      <c r="Q2531">
        <v>124</v>
      </c>
      <c r="R2531">
        <v>8.34</v>
      </c>
      <c r="S2531">
        <v>1</v>
      </c>
      <c r="T2531">
        <v>45</v>
      </c>
      <c r="U2531" s="2">
        <v>3128.4</v>
      </c>
      <c r="V2531">
        <v>0</v>
      </c>
      <c r="W2531" t="s">
        <v>29</v>
      </c>
      <c r="X2531" t="str">
        <f>IF(Table2[[#This Row],[Qty available]]&gt;Table2[[#This Row],[Qty on hand]],"Check","OK")</f>
        <v>OK</v>
      </c>
    </row>
    <row r="2532" spans="1:24" x14ac:dyDescent="0.3">
      <c r="A2532" t="s">
        <v>271</v>
      </c>
      <c r="B2532" t="s">
        <v>272</v>
      </c>
      <c r="C2532" t="s">
        <v>77</v>
      </c>
      <c r="D2532" t="s">
        <v>78</v>
      </c>
      <c r="E2532" t="s">
        <v>66</v>
      </c>
      <c r="F2532" s="1" t="s">
        <v>39</v>
      </c>
      <c r="G2532" s="2">
        <v>45.49</v>
      </c>
      <c r="H2532">
        <v>49.57</v>
      </c>
      <c r="I2532">
        <v>49.214785999999997</v>
      </c>
      <c r="J2532">
        <v>69.52</v>
      </c>
      <c r="K2532">
        <v>15</v>
      </c>
      <c r="L2532" s="2">
        <v>14</v>
      </c>
      <c r="M2532">
        <v>78</v>
      </c>
      <c r="N2532" s="2">
        <v>140</v>
      </c>
      <c r="O2532">
        <v>6890.07</v>
      </c>
      <c r="P2532">
        <v>16</v>
      </c>
      <c r="Q2532">
        <v>124</v>
      </c>
      <c r="R2532">
        <v>8.44</v>
      </c>
      <c r="S2532">
        <v>0</v>
      </c>
      <c r="T2532">
        <v>83</v>
      </c>
      <c r="U2532" s="2">
        <v>5770.16</v>
      </c>
      <c r="V2532">
        <v>0</v>
      </c>
      <c r="W2532" t="s">
        <v>29</v>
      </c>
      <c r="X2532" t="str">
        <f>IF(Table2[[#This Row],[Qty available]]&gt;Table2[[#This Row],[Qty on hand]],"Check","OK")</f>
        <v>OK</v>
      </c>
    </row>
    <row r="2533" spans="1:24" x14ac:dyDescent="0.3">
      <c r="A2533" t="s">
        <v>271</v>
      </c>
      <c r="B2533" t="s">
        <v>272</v>
      </c>
      <c r="C2533" t="s">
        <v>77</v>
      </c>
      <c r="D2533" t="s">
        <v>78</v>
      </c>
      <c r="E2533" t="s">
        <v>66</v>
      </c>
      <c r="F2533" s="1" t="s">
        <v>40</v>
      </c>
      <c r="G2533" s="2">
        <v>45.69</v>
      </c>
      <c r="H2533">
        <v>49.79</v>
      </c>
      <c r="I2533">
        <v>49.393303000000003</v>
      </c>
      <c r="J2533">
        <v>69.52</v>
      </c>
      <c r="K2533">
        <v>15</v>
      </c>
      <c r="L2533" s="2">
        <v>20</v>
      </c>
      <c r="M2533">
        <v>63</v>
      </c>
      <c r="N2533" s="2">
        <v>109</v>
      </c>
      <c r="O2533">
        <v>5383.87</v>
      </c>
      <c r="P2533">
        <v>14</v>
      </c>
      <c r="Q2533">
        <v>95</v>
      </c>
      <c r="R2533">
        <v>6.45</v>
      </c>
      <c r="S2533">
        <v>0</v>
      </c>
      <c r="T2533">
        <v>94</v>
      </c>
      <c r="U2533" s="2">
        <v>6534.88</v>
      </c>
      <c r="V2533">
        <v>0</v>
      </c>
      <c r="W2533" t="s">
        <v>29</v>
      </c>
      <c r="X2533" t="str">
        <f>IF(Table2[[#This Row],[Qty available]]&gt;Table2[[#This Row],[Qty on hand]],"Check","OK")</f>
        <v>OK</v>
      </c>
    </row>
    <row r="2534" spans="1:24" x14ac:dyDescent="0.3">
      <c r="A2534" t="s">
        <v>271</v>
      </c>
      <c r="B2534" t="s">
        <v>272</v>
      </c>
      <c r="C2534" t="s">
        <v>77</v>
      </c>
      <c r="D2534" t="s">
        <v>78</v>
      </c>
      <c r="E2534" t="s">
        <v>66</v>
      </c>
      <c r="F2534" s="1" t="s">
        <v>41</v>
      </c>
      <c r="G2534" s="2">
        <v>46.21</v>
      </c>
      <c r="H2534">
        <v>50.36</v>
      </c>
      <c r="I2534">
        <v>49.811236999999998</v>
      </c>
      <c r="J2534">
        <v>69.52</v>
      </c>
      <c r="K2534">
        <v>15</v>
      </c>
      <c r="L2534" s="2">
        <v>14</v>
      </c>
      <c r="M2534">
        <v>83</v>
      </c>
      <c r="N2534" s="2">
        <v>97</v>
      </c>
      <c r="O2534">
        <v>4831.6899999999996</v>
      </c>
      <c r="P2534">
        <v>23</v>
      </c>
      <c r="Q2534">
        <v>74</v>
      </c>
      <c r="R2534">
        <v>4.6900000000000004</v>
      </c>
      <c r="S2534">
        <v>0</v>
      </c>
      <c r="T2534">
        <v>95</v>
      </c>
      <c r="U2534" s="2">
        <v>6604.4</v>
      </c>
      <c r="V2534">
        <v>0</v>
      </c>
      <c r="W2534" t="s">
        <v>29</v>
      </c>
      <c r="X2534" t="str">
        <f>IF(Table2[[#This Row],[Qty available]]&gt;Table2[[#This Row],[Qty on hand]],"Check","OK")</f>
        <v>OK</v>
      </c>
    </row>
    <row r="2535" spans="1:24" x14ac:dyDescent="0.3">
      <c r="A2535" t="s">
        <v>271</v>
      </c>
      <c r="B2535" t="s">
        <v>272</v>
      </c>
      <c r="C2535" t="s">
        <v>77</v>
      </c>
      <c r="D2535" t="s">
        <v>78</v>
      </c>
      <c r="E2535" t="s">
        <v>66</v>
      </c>
      <c r="F2535" s="1" t="s">
        <v>42</v>
      </c>
      <c r="G2535" s="2">
        <v>45.76</v>
      </c>
      <c r="H2535">
        <v>49.87</v>
      </c>
      <c r="I2535">
        <v>49.835056000000002</v>
      </c>
      <c r="J2535">
        <v>69.52</v>
      </c>
      <c r="K2535">
        <v>15</v>
      </c>
      <c r="L2535" s="2">
        <v>14</v>
      </c>
      <c r="M2535">
        <v>66</v>
      </c>
      <c r="N2535" s="2">
        <v>89</v>
      </c>
      <c r="O2535">
        <v>4435.32</v>
      </c>
      <c r="P2535">
        <v>12</v>
      </c>
      <c r="Q2535">
        <v>77</v>
      </c>
      <c r="R2535">
        <v>4.45</v>
      </c>
      <c r="S2535">
        <v>9</v>
      </c>
      <c r="T2535">
        <v>74</v>
      </c>
      <c r="U2535" s="2">
        <v>5144.4799999999996</v>
      </c>
      <c r="V2535">
        <v>0</v>
      </c>
      <c r="W2535" t="s">
        <v>29</v>
      </c>
      <c r="X2535" t="str">
        <f>IF(Table2[[#This Row],[Qty available]]&gt;Table2[[#This Row],[Qty on hand]],"Check","OK")</f>
        <v>OK</v>
      </c>
    </row>
    <row r="2536" spans="1:24" x14ac:dyDescent="0.3">
      <c r="A2536" t="s">
        <v>271</v>
      </c>
      <c r="B2536" t="s">
        <v>272</v>
      </c>
      <c r="C2536" t="s">
        <v>77</v>
      </c>
      <c r="D2536" t="s">
        <v>78</v>
      </c>
      <c r="E2536" t="s">
        <v>66</v>
      </c>
      <c r="F2536" s="1" t="s">
        <v>43</v>
      </c>
      <c r="G2536" s="2">
        <v>45.89</v>
      </c>
      <c r="H2536">
        <v>50.01</v>
      </c>
      <c r="I2536">
        <v>49.908181999999996</v>
      </c>
      <c r="J2536">
        <v>69.52</v>
      </c>
      <c r="K2536">
        <v>15</v>
      </c>
      <c r="L2536" s="2">
        <v>23</v>
      </c>
      <c r="M2536">
        <v>64</v>
      </c>
      <c r="N2536" s="2">
        <v>11</v>
      </c>
      <c r="O2536">
        <v>548.99</v>
      </c>
      <c r="P2536">
        <v>11</v>
      </c>
      <c r="Q2536">
        <v>0</v>
      </c>
      <c r="R2536">
        <v>0.46</v>
      </c>
      <c r="S2536">
        <v>4</v>
      </c>
      <c r="T2536">
        <v>142</v>
      </c>
      <c r="U2536" s="2">
        <v>9871.84</v>
      </c>
      <c r="V2536">
        <v>0</v>
      </c>
      <c r="W2536" t="s">
        <v>29</v>
      </c>
      <c r="X2536" t="str">
        <f>IF(Table2[[#This Row],[Qty available]]&gt;Table2[[#This Row],[Qty on hand]],"Check","OK")</f>
        <v>OK</v>
      </c>
    </row>
    <row r="2537" spans="1:24" x14ac:dyDescent="0.3">
      <c r="A2537" t="s">
        <v>271</v>
      </c>
      <c r="B2537" t="s">
        <v>272</v>
      </c>
      <c r="C2537" t="s">
        <v>77</v>
      </c>
      <c r="D2537" t="s">
        <v>78</v>
      </c>
      <c r="E2537" t="s">
        <v>66</v>
      </c>
      <c r="F2537" s="1" t="s">
        <v>44</v>
      </c>
      <c r="G2537" s="2">
        <v>46.22</v>
      </c>
      <c r="H2537">
        <v>50.37</v>
      </c>
      <c r="I2537">
        <v>50.339635999999999</v>
      </c>
      <c r="J2537">
        <v>69.52</v>
      </c>
      <c r="K2537">
        <v>15</v>
      </c>
      <c r="L2537" s="2">
        <v>15</v>
      </c>
      <c r="M2537">
        <v>156</v>
      </c>
      <c r="N2537" s="2">
        <v>55</v>
      </c>
      <c r="O2537">
        <v>2768.68</v>
      </c>
      <c r="P2537">
        <v>23</v>
      </c>
      <c r="Q2537">
        <v>32</v>
      </c>
      <c r="R2537">
        <v>2.2000000000000002</v>
      </c>
      <c r="S2537">
        <v>1</v>
      </c>
      <c r="T2537">
        <v>112</v>
      </c>
      <c r="U2537" s="2">
        <v>7786.24</v>
      </c>
      <c r="V2537">
        <v>0</v>
      </c>
      <c r="W2537" t="s">
        <v>29</v>
      </c>
      <c r="X2537" t="str">
        <f>IF(Table2[[#This Row],[Qty available]]&gt;Table2[[#This Row],[Qty on hand]],"Check","OK")</f>
        <v>OK</v>
      </c>
    </row>
    <row r="2538" spans="1:24" x14ac:dyDescent="0.3">
      <c r="A2538" t="s">
        <v>271</v>
      </c>
      <c r="B2538" t="s">
        <v>272</v>
      </c>
      <c r="C2538" t="s">
        <v>77</v>
      </c>
      <c r="D2538" t="s">
        <v>78</v>
      </c>
      <c r="E2538" t="s">
        <v>66</v>
      </c>
      <c r="F2538" s="1" t="s">
        <v>45</v>
      </c>
      <c r="G2538" s="2">
        <v>45.43</v>
      </c>
      <c r="H2538">
        <v>49.51</v>
      </c>
      <c r="I2538">
        <v>49.698542000000003</v>
      </c>
      <c r="J2538">
        <v>69.52</v>
      </c>
      <c r="K2538">
        <v>15</v>
      </c>
      <c r="L2538" s="2">
        <v>13</v>
      </c>
      <c r="M2538">
        <v>187</v>
      </c>
      <c r="N2538" s="2">
        <v>192</v>
      </c>
      <c r="O2538">
        <v>9542.1200000000008</v>
      </c>
      <c r="P2538">
        <v>7</v>
      </c>
      <c r="Q2538">
        <v>185</v>
      </c>
      <c r="R2538">
        <v>8.3000000000000007</v>
      </c>
      <c r="S2538">
        <v>1</v>
      </c>
      <c r="T2538">
        <v>50</v>
      </c>
      <c r="U2538" s="2">
        <v>3476</v>
      </c>
      <c r="V2538">
        <v>0</v>
      </c>
      <c r="W2538" t="s">
        <v>29</v>
      </c>
      <c r="X2538" t="str">
        <f>IF(Table2[[#This Row],[Qty available]]&gt;Table2[[#This Row],[Qty on hand]],"Check","OK")</f>
        <v>OK</v>
      </c>
    </row>
    <row r="2539" spans="1:24" x14ac:dyDescent="0.3">
      <c r="A2539" t="s">
        <v>271</v>
      </c>
      <c r="B2539" t="s">
        <v>272</v>
      </c>
      <c r="C2539" t="s">
        <v>77</v>
      </c>
      <c r="D2539" t="s">
        <v>78</v>
      </c>
      <c r="E2539" t="s">
        <v>66</v>
      </c>
      <c r="F2539" s="1" t="s">
        <v>46</v>
      </c>
      <c r="G2539" s="2">
        <v>45.97</v>
      </c>
      <c r="H2539">
        <v>50.1</v>
      </c>
      <c r="I2539">
        <v>49.781480999999999</v>
      </c>
      <c r="J2539">
        <v>73.010000000000005</v>
      </c>
      <c r="K2539">
        <v>15</v>
      </c>
      <c r="L2539" s="2">
        <v>14</v>
      </c>
      <c r="M2539">
        <v>50</v>
      </c>
      <c r="N2539" s="2">
        <v>162</v>
      </c>
      <c r="O2539">
        <v>8064.6</v>
      </c>
      <c r="P2539">
        <v>12</v>
      </c>
      <c r="Q2539">
        <v>150</v>
      </c>
      <c r="R2539">
        <v>8.61</v>
      </c>
      <c r="S2539">
        <v>7</v>
      </c>
      <c r="T2539">
        <v>80</v>
      </c>
      <c r="U2539" s="2">
        <v>5840.8</v>
      </c>
      <c r="V2539">
        <v>0</v>
      </c>
      <c r="W2539" t="s">
        <v>29</v>
      </c>
      <c r="X2539" t="str">
        <f>IF(Table2[[#This Row],[Qty available]]&gt;Table2[[#This Row],[Qty on hand]],"Check","OK")</f>
        <v>OK</v>
      </c>
    </row>
    <row r="2540" spans="1:24" x14ac:dyDescent="0.3">
      <c r="A2540" t="s">
        <v>271</v>
      </c>
      <c r="B2540" t="s">
        <v>272</v>
      </c>
      <c r="C2540" t="s">
        <v>77</v>
      </c>
      <c r="D2540" t="s">
        <v>78</v>
      </c>
      <c r="E2540" t="s">
        <v>66</v>
      </c>
      <c r="F2540" s="1" t="s">
        <v>47</v>
      </c>
      <c r="G2540" s="2">
        <v>47.82</v>
      </c>
      <c r="H2540">
        <v>52.11</v>
      </c>
      <c r="I2540">
        <v>50.330661999999997</v>
      </c>
      <c r="J2540">
        <v>73.010000000000005</v>
      </c>
      <c r="K2540">
        <v>15</v>
      </c>
      <c r="L2540" s="2">
        <v>19</v>
      </c>
      <c r="M2540">
        <v>50</v>
      </c>
      <c r="N2540" s="2">
        <v>136</v>
      </c>
      <c r="O2540">
        <v>6844.97</v>
      </c>
      <c r="P2540">
        <v>23</v>
      </c>
      <c r="Q2540">
        <v>113</v>
      </c>
      <c r="R2540">
        <v>8.49</v>
      </c>
      <c r="S2540">
        <v>0</v>
      </c>
      <c r="T2540">
        <v>76</v>
      </c>
      <c r="U2540" s="2">
        <v>5548.76</v>
      </c>
      <c r="V2540">
        <v>0</v>
      </c>
      <c r="W2540" t="s">
        <v>29</v>
      </c>
      <c r="X2540" t="str">
        <f>IF(Table2[[#This Row],[Qty available]]&gt;Table2[[#This Row],[Qty on hand]],"Check","OK")</f>
        <v>OK</v>
      </c>
    </row>
    <row r="2541" spans="1:24" x14ac:dyDescent="0.3">
      <c r="A2541" t="s">
        <v>271</v>
      </c>
      <c r="B2541" t="s">
        <v>272</v>
      </c>
      <c r="C2541" t="s">
        <v>77</v>
      </c>
      <c r="D2541" t="s">
        <v>78</v>
      </c>
      <c r="E2541" t="s">
        <v>66</v>
      </c>
      <c r="F2541" s="1" t="s">
        <v>48</v>
      </c>
      <c r="G2541" s="2">
        <v>47.45</v>
      </c>
      <c r="H2541">
        <v>51.71</v>
      </c>
      <c r="I2541">
        <v>50.330644999999997</v>
      </c>
      <c r="J2541">
        <v>73.010000000000005</v>
      </c>
      <c r="K2541">
        <v>15</v>
      </c>
      <c r="M2541">
        <v>0</v>
      </c>
      <c r="N2541" s="2">
        <v>31</v>
      </c>
      <c r="O2541">
        <v>1560.25</v>
      </c>
      <c r="P2541">
        <v>7</v>
      </c>
      <c r="Q2541">
        <v>24</v>
      </c>
      <c r="R2541">
        <v>1.51</v>
      </c>
      <c r="S2541">
        <v>1</v>
      </c>
      <c r="T2541">
        <v>105</v>
      </c>
      <c r="U2541" s="2">
        <v>7666.05</v>
      </c>
      <c r="V2541">
        <v>0</v>
      </c>
      <c r="W2541" t="s">
        <v>29</v>
      </c>
      <c r="X2541" t="str">
        <f>IF(Table2[[#This Row],[Qty available]]&gt;Table2[[#This Row],[Qty on hand]],"Check","OK")</f>
        <v>OK</v>
      </c>
    </row>
    <row r="2542" spans="1:24" x14ac:dyDescent="0.3">
      <c r="A2542" t="s">
        <v>271</v>
      </c>
      <c r="B2542" t="s">
        <v>272</v>
      </c>
      <c r="C2542" t="s">
        <v>77</v>
      </c>
      <c r="D2542" t="s">
        <v>78</v>
      </c>
      <c r="E2542" t="s">
        <v>66</v>
      </c>
      <c r="F2542" s="1" t="s">
        <v>49</v>
      </c>
      <c r="G2542" s="2">
        <v>49.13</v>
      </c>
      <c r="H2542">
        <v>53.54</v>
      </c>
      <c r="I2542">
        <v>53.013621000000001</v>
      </c>
      <c r="J2542">
        <v>73.010000000000005</v>
      </c>
      <c r="K2542">
        <v>15</v>
      </c>
      <c r="L2542" s="2">
        <v>20</v>
      </c>
      <c r="M2542">
        <v>158</v>
      </c>
      <c r="N2542" s="2">
        <v>116</v>
      </c>
      <c r="O2542">
        <v>6149.58</v>
      </c>
      <c r="P2542">
        <v>9</v>
      </c>
      <c r="Q2542">
        <v>107</v>
      </c>
      <c r="R2542">
        <v>6</v>
      </c>
      <c r="S2542">
        <v>5</v>
      </c>
      <c r="T2542">
        <v>73</v>
      </c>
      <c r="U2542" s="2">
        <v>5329.73</v>
      </c>
      <c r="V2542">
        <v>0</v>
      </c>
      <c r="W2542" t="s">
        <v>29</v>
      </c>
      <c r="X2542" t="str">
        <f>IF(Table2[[#This Row],[Qty available]]&gt;Table2[[#This Row],[Qty on hand]],"Check","OK")</f>
        <v>OK</v>
      </c>
    </row>
    <row r="2543" spans="1:24" x14ac:dyDescent="0.3">
      <c r="A2543" t="s">
        <v>271</v>
      </c>
      <c r="B2543" t="s">
        <v>272</v>
      </c>
      <c r="C2543" t="s">
        <v>77</v>
      </c>
      <c r="D2543" t="s">
        <v>78</v>
      </c>
      <c r="E2543" t="s">
        <v>66</v>
      </c>
      <c r="F2543" s="1" t="s">
        <v>50</v>
      </c>
      <c r="G2543" s="2">
        <v>47.45</v>
      </c>
      <c r="H2543">
        <v>51.71</v>
      </c>
      <c r="I2543">
        <v>52.440516000000002</v>
      </c>
      <c r="J2543">
        <v>73.010000000000005</v>
      </c>
      <c r="K2543">
        <v>15</v>
      </c>
      <c r="L2543" s="2">
        <v>13</v>
      </c>
      <c r="M2543">
        <v>91</v>
      </c>
      <c r="N2543" s="2">
        <v>155</v>
      </c>
      <c r="O2543">
        <v>8128.28</v>
      </c>
      <c r="P2543">
        <v>7</v>
      </c>
      <c r="Q2543">
        <v>148</v>
      </c>
      <c r="R2543">
        <v>8.76</v>
      </c>
      <c r="S2543">
        <v>11</v>
      </c>
      <c r="T2543">
        <v>52</v>
      </c>
      <c r="U2543" s="2">
        <v>3796.52</v>
      </c>
      <c r="V2543">
        <v>0</v>
      </c>
      <c r="W2543" t="s">
        <v>29</v>
      </c>
      <c r="X2543" t="str">
        <f>IF(Table2[[#This Row],[Qty available]]&gt;Table2[[#This Row],[Qty on hand]],"Check","OK")</f>
        <v>OK</v>
      </c>
    </row>
    <row r="2544" spans="1:24" x14ac:dyDescent="0.3">
      <c r="A2544" t="s">
        <v>271</v>
      </c>
      <c r="B2544" t="s">
        <v>272</v>
      </c>
      <c r="C2544" t="s">
        <v>77</v>
      </c>
      <c r="D2544" t="s">
        <v>78</v>
      </c>
      <c r="E2544" t="s">
        <v>66</v>
      </c>
      <c r="F2544" s="1" t="s">
        <v>51</v>
      </c>
      <c r="G2544" s="2">
        <v>47.55</v>
      </c>
      <c r="H2544">
        <v>51.82</v>
      </c>
      <c r="I2544">
        <v>52.178899999999999</v>
      </c>
      <c r="J2544">
        <v>73.010000000000005</v>
      </c>
      <c r="K2544">
        <v>15</v>
      </c>
      <c r="L2544" s="2">
        <v>19</v>
      </c>
      <c r="M2544">
        <v>113</v>
      </c>
      <c r="N2544" s="2">
        <v>200</v>
      </c>
      <c r="O2544">
        <v>10435.780000000001</v>
      </c>
      <c r="P2544">
        <v>9</v>
      </c>
      <c r="Q2544">
        <v>191</v>
      </c>
      <c r="R2544">
        <v>13.62</v>
      </c>
      <c r="S2544">
        <v>4</v>
      </c>
      <c r="T2544">
        <v>68</v>
      </c>
      <c r="U2544" s="2">
        <v>4964.68</v>
      </c>
      <c r="V2544">
        <v>0</v>
      </c>
      <c r="W2544" t="s">
        <v>29</v>
      </c>
      <c r="X2544" t="str">
        <f>IF(Table2[[#This Row],[Qty available]]&gt;Table2[[#This Row],[Qty on hand]],"Check","OK")</f>
        <v>OK</v>
      </c>
    </row>
    <row r="2545" spans="1:24" x14ac:dyDescent="0.3">
      <c r="A2545" t="s">
        <v>271</v>
      </c>
      <c r="B2545" t="s">
        <v>272</v>
      </c>
      <c r="C2545" t="s">
        <v>77</v>
      </c>
      <c r="D2545" t="s">
        <v>78</v>
      </c>
      <c r="E2545" t="s">
        <v>66</v>
      </c>
      <c r="F2545" s="1" t="s">
        <v>52</v>
      </c>
      <c r="G2545" s="2">
        <v>47.57</v>
      </c>
      <c r="H2545">
        <v>51.84</v>
      </c>
      <c r="I2545">
        <v>52.178888999999998</v>
      </c>
      <c r="J2545">
        <v>73.010000000000005</v>
      </c>
      <c r="K2545">
        <v>15</v>
      </c>
      <c r="M2545">
        <v>0</v>
      </c>
      <c r="N2545" s="2">
        <v>117</v>
      </c>
      <c r="O2545">
        <v>6104.93</v>
      </c>
      <c r="P2545">
        <v>12</v>
      </c>
      <c r="Q2545">
        <v>105</v>
      </c>
      <c r="R2545">
        <v>7.57</v>
      </c>
      <c r="S2545">
        <v>3</v>
      </c>
      <c r="T2545">
        <v>83</v>
      </c>
      <c r="U2545" s="2">
        <v>6059.83</v>
      </c>
      <c r="V2545">
        <v>0</v>
      </c>
      <c r="W2545" t="s">
        <v>29</v>
      </c>
      <c r="X2545" t="str">
        <f>IF(Table2[[#This Row],[Qty available]]&gt;Table2[[#This Row],[Qty on hand]],"Check","OK")</f>
        <v>OK</v>
      </c>
    </row>
    <row r="2546" spans="1:24" x14ac:dyDescent="0.3">
      <c r="A2546" t="s">
        <v>273</v>
      </c>
      <c r="B2546" t="s">
        <v>274</v>
      </c>
      <c r="C2546" t="s">
        <v>57</v>
      </c>
      <c r="D2546" t="s">
        <v>58</v>
      </c>
      <c r="E2546" t="s">
        <v>27</v>
      </c>
      <c r="F2546" s="1" t="s">
        <v>28</v>
      </c>
      <c r="G2546" s="2">
        <v>77.260000000000005</v>
      </c>
      <c r="H2546">
        <v>77.260000000000005</v>
      </c>
      <c r="I2546">
        <v>77.61</v>
      </c>
      <c r="J2546">
        <v>112.91</v>
      </c>
      <c r="K2546">
        <v>54</v>
      </c>
      <c r="M2546">
        <v>0</v>
      </c>
      <c r="N2546" s="2">
        <v>0</v>
      </c>
      <c r="O2546">
        <v>0</v>
      </c>
      <c r="P2546">
        <v>0</v>
      </c>
      <c r="Q2546">
        <v>0</v>
      </c>
      <c r="S2546">
        <v>230</v>
      </c>
      <c r="T2546">
        <v>0</v>
      </c>
      <c r="U2546" s="2">
        <v>0</v>
      </c>
      <c r="V2546">
        <v>0</v>
      </c>
      <c r="W2546" t="s">
        <v>29</v>
      </c>
      <c r="X2546" t="str">
        <f>IF(Table2[[#This Row],[Qty available]]&gt;Table2[[#This Row],[Qty on hand]],"Check","OK")</f>
        <v>OK</v>
      </c>
    </row>
    <row r="2547" spans="1:24" x14ac:dyDescent="0.3">
      <c r="A2547" t="s">
        <v>273</v>
      </c>
      <c r="B2547" t="s">
        <v>274</v>
      </c>
      <c r="C2547" t="s">
        <v>57</v>
      </c>
      <c r="D2547" t="s">
        <v>58</v>
      </c>
      <c r="E2547" t="s">
        <v>27</v>
      </c>
      <c r="F2547" s="1" t="s">
        <v>30</v>
      </c>
      <c r="G2547" s="2">
        <v>76.75</v>
      </c>
      <c r="H2547">
        <v>76.75</v>
      </c>
      <c r="I2547">
        <v>77.61</v>
      </c>
      <c r="J2547">
        <v>112.91</v>
      </c>
      <c r="K2547">
        <v>54</v>
      </c>
      <c r="M2547">
        <v>0</v>
      </c>
      <c r="N2547" s="2">
        <v>0</v>
      </c>
      <c r="O2547">
        <v>0</v>
      </c>
      <c r="P2547">
        <v>0</v>
      </c>
      <c r="Q2547">
        <v>0</v>
      </c>
      <c r="S2547">
        <v>261</v>
      </c>
      <c r="T2547">
        <v>0</v>
      </c>
      <c r="U2547" s="2">
        <v>0</v>
      </c>
      <c r="V2547">
        <v>0</v>
      </c>
      <c r="W2547" t="s">
        <v>29</v>
      </c>
      <c r="X2547" t="str">
        <f>IF(Table2[[#This Row],[Qty available]]&gt;Table2[[#This Row],[Qty on hand]],"Check","OK")</f>
        <v>OK</v>
      </c>
    </row>
    <row r="2548" spans="1:24" x14ac:dyDescent="0.3">
      <c r="A2548" t="s">
        <v>273</v>
      </c>
      <c r="B2548" t="s">
        <v>274</v>
      </c>
      <c r="C2548" t="s">
        <v>57</v>
      </c>
      <c r="D2548" t="s">
        <v>58</v>
      </c>
      <c r="E2548" t="s">
        <v>27</v>
      </c>
      <c r="F2548" s="1" t="s">
        <v>31</v>
      </c>
      <c r="G2548" s="2">
        <v>77.650000000000006</v>
      </c>
      <c r="H2548">
        <v>77.650000000000006</v>
      </c>
      <c r="I2548">
        <v>77.61</v>
      </c>
      <c r="J2548">
        <v>112.91</v>
      </c>
      <c r="K2548">
        <v>54</v>
      </c>
      <c r="M2548">
        <v>0</v>
      </c>
      <c r="N2548" s="2">
        <v>0</v>
      </c>
      <c r="O2548">
        <v>0</v>
      </c>
      <c r="P2548">
        <v>0</v>
      </c>
      <c r="Q2548">
        <v>0</v>
      </c>
      <c r="S2548">
        <v>291</v>
      </c>
      <c r="T2548">
        <v>0</v>
      </c>
      <c r="U2548" s="2">
        <v>0</v>
      </c>
      <c r="V2548">
        <v>0</v>
      </c>
      <c r="W2548" t="s">
        <v>29</v>
      </c>
      <c r="X2548" t="str">
        <f>IF(Table2[[#This Row],[Qty available]]&gt;Table2[[#This Row],[Qty on hand]],"Check","OK")</f>
        <v>OK</v>
      </c>
    </row>
    <row r="2549" spans="1:24" x14ac:dyDescent="0.3">
      <c r="A2549" t="s">
        <v>273</v>
      </c>
      <c r="B2549" t="s">
        <v>274</v>
      </c>
      <c r="C2549" t="s">
        <v>57</v>
      </c>
      <c r="D2549" t="s">
        <v>58</v>
      </c>
      <c r="E2549" t="s">
        <v>27</v>
      </c>
      <c r="F2549" s="1" t="s">
        <v>32</v>
      </c>
      <c r="G2549" s="2">
        <v>76.2</v>
      </c>
      <c r="H2549">
        <v>76.2</v>
      </c>
      <c r="I2549">
        <v>77.61</v>
      </c>
      <c r="J2549">
        <v>112.91</v>
      </c>
      <c r="K2549">
        <v>54</v>
      </c>
      <c r="M2549">
        <v>0</v>
      </c>
      <c r="N2549" s="2">
        <v>0</v>
      </c>
      <c r="O2549">
        <v>0</v>
      </c>
      <c r="P2549">
        <v>0</v>
      </c>
      <c r="Q2549">
        <v>0</v>
      </c>
      <c r="S2549">
        <v>322</v>
      </c>
      <c r="T2549">
        <v>0</v>
      </c>
      <c r="U2549" s="2">
        <v>0</v>
      </c>
      <c r="V2549">
        <v>0</v>
      </c>
      <c r="W2549" t="s">
        <v>29</v>
      </c>
      <c r="X2549" t="str">
        <f>IF(Table2[[#This Row],[Qty available]]&gt;Table2[[#This Row],[Qty on hand]],"Check","OK")</f>
        <v>OK</v>
      </c>
    </row>
    <row r="2550" spans="1:24" x14ac:dyDescent="0.3">
      <c r="A2550" t="s">
        <v>273</v>
      </c>
      <c r="B2550" t="s">
        <v>274</v>
      </c>
      <c r="C2550" t="s">
        <v>57</v>
      </c>
      <c r="D2550" t="s">
        <v>58</v>
      </c>
      <c r="E2550" t="s">
        <v>27</v>
      </c>
      <c r="F2550" s="1" t="s">
        <v>33</v>
      </c>
      <c r="G2550" s="2">
        <v>81.8</v>
      </c>
      <c r="H2550">
        <v>81.8</v>
      </c>
      <c r="I2550">
        <v>77.61</v>
      </c>
      <c r="J2550">
        <v>112.91</v>
      </c>
      <c r="K2550">
        <v>54</v>
      </c>
      <c r="M2550">
        <v>0</v>
      </c>
      <c r="N2550" s="2">
        <v>0</v>
      </c>
      <c r="O2550">
        <v>0</v>
      </c>
      <c r="P2550">
        <v>0</v>
      </c>
      <c r="Q2550">
        <v>0</v>
      </c>
      <c r="S2550">
        <v>353</v>
      </c>
      <c r="T2550">
        <v>0</v>
      </c>
      <c r="U2550" s="2">
        <v>0</v>
      </c>
      <c r="V2550">
        <v>0</v>
      </c>
      <c r="W2550" t="s">
        <v>29</v>
      </c>
      <c r="X2550" t="str">
        <f>IF(Table2[[#This Row],[Qty available]]&gt;Table2[[#This Row],[Qty on hand]],"Check","OK")</f>
        <v>OK</v>
      </c>
    </row>
    <row r="2551" spans="1:24" x14ac:dyDescent="0.3">
      <c r="A2551" t="s">
        <v>273</v>
      </c>
      <c r="B2551" t="s">
        <v>274</v>
      </c>
      <c r="C2551" t="s">
        <v>57</v>
      </c>
      <c r="D2551" t="s">
        <v>58</v>
      </c>
      <c r="E2551" t="s">
        <v>27</v>
      </c>
      <c r="F2551" s="1" t="s">
        <v>34</v>
      </c>
      <c r="G2551" s="2">
        <v>79.849999999999994</v>
      </c>
      <c r="H2551">
        <v>79.849999999999994</v>
      </c>
      <c r="I2551">
        <v>77.61</v>
      </c>
      <c r="J2551">
        <v>118.07</v>
      </c>
      <c r="K2551">
        <v>54</v>
      </c>
      <c r="M2551">
        <v>0</v>
      </c>
      <c r="N2551" s="2">
        <v>0</v>
      </c>
      <c r="O2551">
        <v>0</v>
      </c>
      <c r="P2551">
        <v>0</v>
      </c>
      <c r="Q2551">
        <v>0</v>
      </c>
      <c r="S2551">
        <v>381</v>
      </c>
      <c r="T2551">
        <v>0</v>
      </c>
      <c r="U2551" s="2">
        <v>0</v>
      </c>
      <c r="V2551">
        <v>0</v>
      </c>
      <c r="W2551" t="s">
        <v>29</v>
      </c>
      <c r="X2551" t="str">
        <f>IF(Table2[[#This Row],[Qty available]]&gt;Table2[[#This Row],[Qty on hand]],"Check","OK")</f>
        <v>OK</v>
      </c>
    </row>
    <row r="2552" spans="1:24" x14ac:dyDescent="0.3">
      <c r="A2552" t="s">
        <v>273</v>
      </c>
      <c r="B2552" t="s">
        <v>274</v>
      </c>
      <c r="C2552" t="s">
        <v>57</v>
      </c>
      <c r="D2552" t="s">
        <v>58</v>
      </c>
      <c r="E2552" t="s">
        <v>27</v>
      </c>
      <c r="F2552" s="1" t="s">
        <v>35</v>
      </c>
      <c r="G2552" s="2">
        <v>80.63</v>
      </c>
      <c r="H2552">
        <v>80.63</v>
      </c>
      <c r="I2552">
        <v>77.61</v>
      </c>
      <c r="J2552">
        <v>118.07</v>
      </c>
      <c r="K2552">
        <v>54</v>
      </c>
      <c r="M2552">
        <v>0</v>
      </c>
      <c r="N2552" s="2">
        <v>0</v>
      </c>
      <c r="O2552">
        <v>0</v>
      </c>
      <c r="P2552">
        <v>0</v>
      </c>
      <c r="Q2552">
        <v>0</v>
      </c>
      <c r="S2552">
        <v>412</v>
      </c>
      <c r="T2552">
        <v>0</v>
      </c>
      <c r="U2552" s="2">
        <v>0</v>
      </c>
      <c r="V2552">
        <v>0</v>
      </c>
      <c r="W2552" t="s">
        <v>29</v>
      </c>
      <c r="X2552" t="str">
        <f>IF(Table2[[#This Row],[Qty available]]&gt;Table2[[#This Row],[Qty on hand]],"Check","OK")</f>
        <v>OK</v>
      </c>
    </row>
    <row r="2553" spans="1:24" x14ac:dyDescent="0.3">
      <c r="A2553" t="s">
        <v>273</v>
      </c>
      <c r="B2553" t="s">
        <v>274</v>
      </c>
      <c r="C2553" t="s">
        <v>57</v>
      </c>
      <c r="D2553" t="s">
        <v>58</v>
      </c>
      <c r="E2553" t="s">
        <v>27</v>
      </c>
      <c r="F2553" s="1" t="s">
        <v>36</v>
      </c>
      <c r="G2553" s="2">
        <v>81.650000000000006</v>
      </c>
      <c r="H2553">
        <v>81.650000000000006</v>
      </c>
      <c r="I2553">
        <v>77.61</v>
      </c>
      <c r="J2553">
        <v>118.07</v>
      </c>
      <c r="K2553">
        <v>54</v>
      </c>
      <c r="M2553">
        <v>0</v>
      </c>
      <c r="N2553" s="2">
        <v>0</v>
      </c>
      <c r="O2553">
        <v>0</v>
      </c>
      <c r="P2553">
        <v>0</v>
      </c>
      <c r="Q2553">
        <v>0</v>
      </c>
      <c r="S2553">
        <v>442</v>
      </c>
      <c r="T2553">
        <v>0</v>
      </c>
      <c r="U2553" s="2">
        <v>0</v>
      </c>
      <c r="V2553">
        <v>0</v>
      </c>
      <c r="W2553" t="s">
        <v>29</v>
      </c>
      <c r="X2553" t="str">
        <f>IF(Table2[[#This Row],[Qty available]]&gt;Table2[[#This Row],[Qty on hand]],"Check","OK")</f>
        <v>OK</v>
      </c>
    </row>
    <row r="2554" spans="1:24" x14ac:dyDescent="0.3">
      <c r="A2554" t="s">
        <v>273</v>
      </c>
      <c r="B2554" t="s">
        <v>274</v>
      </c>
      <c r="C2554" t="s">
        <v>57</v>
      </c>
      <c r="D2554" t="s">
        <v>58</v>
      </c>
      <c r="E2554" t="s">
        <v>27</v>
      </c>
      <c r="F2554" s="1" t="s">
        <v>37</v>
      </c>
      <c r="G2554" s="2">
        <v>79.48</v>
      </c>
      <c r="H2554">
        <v>79.48</v>
      </c>
      <c r="I2554">
        <v>77.61</v>
      </c>
      <c r="J2554">
        <v>118.07</v>
      </c>
      <c r="K2554">
        <v>54</v>
      </c>
      <c r="M2554">
        <v>0</v>
      </c>
      <c r="N2554" s="2">
        <v>0</v>
      </c>
      <c r="O2554">
        <v>0</v>
      </c>
      <c r="P2554">
        <v>0</v>
      </c>
      <c r="Q2554">
        <v>0</v>
      </c>
      <c r="S2554">
        <v>473</v>
      </c>
      <c r="T2554">
        <v>0</v>
      </c>
      <c r="U2554" s="2">
        <v>0</v>
      </c>
      <c r="V2554">
        <v>0</v>
      </c>
      <c r="W2554" t="s">
        <v>29</v>
      </c>
      <c r="X2554" t="str">
        <f>IF(Table2[[#This Row],[Qty available]]&gt;Table2[[#This Row],[Qty on hand]],"Check","OK")</f>
        <v>OK</v>
      </c>
    </row>
    <row r="2555" spans="1:24" x14ac:dyDescent="0.3">
      <c r="A2555" t="s">
        <v>273</v>
      </c>
      <c r="B2555" t="s">
        <v>274</v>
      </c>
      <c r="C2555" t="s">
        <v>57</v>
      </c>
      <c r="D2555" t="s">
        <v>58</v>
      </c>
      <c r="E2555" t="s">
        <v>27</v>
      </c>
      <c r="F2555" s="1" t="s">
        <v>38</v>
      </c>
      <c r="G2555" s="2">
        <v>81.41</v>
      </c>
      <c r="H2555">
        <v>81.41</v>
      </c>
      <c r="I2555">
        <v>77.61</v>
      </c>
      <c r="J2555">
        <v>118.07</v>
      </c>
      <c r="K2555">
        <v>54</v>
      </c>
      <c r="M2555">
        <v>0</v>
      </c>
      <c r="N2555" s="2">
        <v>0</v>
      </c>
      <c r="O2555">
        <v>0</v>
      </c>
      <c r="P2555">
        <v>0</v>
      </c>
      <c r="Q2555">
        <v>0</v>
      </c>
      <c r="S2555">
        <v>503</v>
      </c>
      <c r="T2555">
        <v>0</v>
      </c>
      <c r="U2555" s="2">
        <v>0</v>
      </c>
      <c r="V2555">
        <v>0</v>
      </c>
      <c r="W2555" t="s">
        <v>29</v>
      </c>
      <c r="X2555" t="str">
        <f>IF(Table2[[#This Row],[Qty available]]&gt;Table2[[#This Row],[Qty on hand]],"Check","OK")</f>
        <v>OK</v>
      </c>
    </row>
    <row r="2556" spans="1:24" x14ac:dyDescent="0.3">
      <c r="A2556" t="s">
        <v>273</v>
      </c>
      <c r="B2556" t="s">
        <v>274</v>
      </c>
      <c r="C2556" t="s">
        <v>57</v>
      </c>
      <c r="D2556" t="s">
        <v>58</v>
      </c>
      <c r="E2556" t="s">
        <v>27</v>
      </c>
      <c r="F2556" s="1" t="s">
        <v>39</v>
      </c>
      <c r="G2556" s="2">
        <v>79.36</v>
      </c>
      <c r="H2556">
        <v>79.36</v>
      </c>
      <c r="I2556">
        <v>77.61</v>
      </c>
      <c r="J2556">
        <v>118.07</v>
      </c>
      <c r="K2556">
        <v>54</v>
      </c>
      <c r="M2556">
        <v>0</v>
      </c>
      <c r="N2556" s="2">
        <v>0</v>
      </c>
      <c r="O2556">
        <v>0</v>
      </c>
      <c r="P2556">
        <v>0</v>
      </c>
      <c r="Q2556">
        <v>0</v>
      </c>
      <c r="S2556">
        <v>534</v>
      </c>
      <c r="T2556">
        <v>0</v>
      </c>
      <c r="U2556" s="2">
        <v>0</v>
      </c>
      <c r="V2556">
        <v>0</v>
      </c>
      <c r="W2556" t="s">
        <v>29</v>
      </c>
      <c r="X2556" t="str">
        <f>IF(Table2[[#This Row],[Qty available]]&gt;Table2[[#This Row],[Qty on hand]],"Check","OK")</f>
        <v>OK</v>
      </c>
    </row>
    <row r="2557" spans="1:24" x14ac:dyDescent="0.3">
      <c r="A2557" t="s">
        <v>273</v>
      </c>
      <c r="B2557" t="s">
        <v>274</v>
      </c>
      <c r="C2557" t="s">
        <v>57</v>
      </c>
      <c r="D2557" t="s">
        <v>58</v>
      </c>
      <c r="E2557" t="s">
        <v>27</v>
      </c>
      <c r="F2557" s="1" t="s">
        <v>40</v>
      </c>
      <c r="G2557" s="2">
        <v>80.25</v>
      </c>
      <c r="H2557">
        <v>80.25</v>
      </c>
      <c r="I2557">
        <v>77.61</v>
      </c>
      <c r="J2557">
        <v>118.07</v>
      </c>
      <c r="K2557">
        <v>54</v>
      </c>
      <c r="M2557">
        <v>0</v>
      </c>
      <c r="N2557" s="2">
        <v>0</v>
      </c>
      <c r="O2557">
        <v>0</v>
      </c>
      <c r="P2557">
        <v>0</v>
      </c>
      <c r="Q2557">
        <v>0</v>
      </c>
      <c r="S2557">
        <v>565</v>
      </c>
      <c r="T2557">
        <v>0</v>
      </c>
      <c r="U2557" s="2">
        <v>0</v>
      </c>
      <c r="V2557">
        <v>0</v>
      </c>
      <c r="W2557" t="s">
        <v>29</v>
      </c>
      <c r="X2557" t="str">
        <f>IF(Table2[[#This Row],[Qty available]]&gt;Table2[[#This Row],[Qty on hand]],"Check","OK")</f>
        <v>OK</v>
      </c>
    </row>
    <row r="2558" spans="1:24" x14ac:dyDescent="0.3">
      <c r="A2558" t="s">
        <v>273</v>
      </c>
      <c r="B2558" t="s">
        <v>274</v>
      </c>
      <c r="C2558" t="s">
        <v>57</v>
      </c>
      <c r="D2558" t="s">
        <v>58</v>
      </c>
      <c r="E2558" t="s">
        <v>27</v>
      </c>
      <c r="F2558" s="1" t="s">
        <v>41</v>
      </c>
      <c r="G2558" s="2">
        <v>81.94</v>
      </c>
      <c r="H2558">
        <v>81.94</v>
      </c>
      <c r="I2558">
        <v>77.61</v>
      </c>
      <c r="J2558">
        <v>118.07</v>
      </c>
      <c r="K2558">
        <v>54</v>
      </c>
      <c r="M2558">
        <v>0</v>
      </c>
      <c r="N2558" s="2">
        <v>0</v>
      </c>
      <c r="O2558">
        <v>0</v>
      </c>
      <c r="P2558">
        <v>0</v>
      </c>
      <c r="Q2558">
        <v>0</v>
      </c>
      <c r="S2558">
        <v>595</v>
      </c>
      <c r="T2558">
        <v>0</v>
      </c>
      <c r="U2558" s="2">
        <v>0</v>
      </c>
      <c r="V2558">
        <v>0</v>
      </c>
      <c r="W2558" t="s">
        <v>29</v>
      </c>
      <c r="X2558" t="str">
        <f>IF(Table2[[#This Row],[Qty available]]&gt;Table2[[#This Row],[Qty on hand]],"Check","OK")</f>
        <v>OK</v>
      </c>
    </row>
    <row r="2559" spans="1:24" x14ac:dyDescent="0.3">
      <c r="A2559" t="s">
        <v>273</v>
      </c>
      <c r="B2559" t="s">
        <v>274</v>
      </c>
      <c r="C2559" t="s">
        <v>57</v>
      </c>
      <c r="D2559" t="s">
        <v>58</v>
      </c>
      <c r="E2559" t="s">
        <v>27</v>
      </c>
      <c r="F2559" s="1" t="s">
        <v>42</v>
      </c>
      <c r="G2559" s="2">
        <v>80.36</v>
      </c>
      <c r="H2559">
        <v>80.36</v>
      </c>
      <c r="I2559">
        <v>80.36</v>
      </c>
      <c r="J2559">
        <v>118.07</v>
      </c>
      <c r="K2559">
        <v>54</v>
      </c>
      <c r="L2559" s="2">
        <v>54</v>
      </c>
      <c r="M2559">
        <v>1</v>
      </c>
      <c r="N2559" s="2">
        <v>1</v>
      </c>
      <c r="O2559">
        <v>80.36</v>
      </c>
      <c r="P2559">
        <v>0</v>
      </c>
      <c r="Q2559">
        <v>1</v>
      </c>
      <c r="S2559">
        <v>626</v>
      </c>
      <c r="T2559">
        <v>0</v>
      </c>
      <c r="U2559" s="2">
        <v>0</v>
      </c>
      <c r="V2559">
        <v>0</v>
      </c>
      <c r="W2559" t="s">
        <v>29</v>
      </c>
      <c r="X2559" t="str">
        <f>IF(Table2[[#This Row],[Qty available]]&gt;Table2[[#This Row],[Qty on hand]],"Check","OK")</f>
        <v>OK</v>
      </c>
    </row>
    <row r="2560" spans="1:24" x14ac:dyDescent="0.3">
      <c r="A2560" t="s">
        <v>273</v>
      </c>
      <c r="B2560" t="s">
        <v>274</v>
      </c>
      <c r="C2560" t="s">
        <v>57</v>
      </c>
      <c r="D2560" t="s">
        <v>58</v>
      </c>
      <c r="E2560" t="s">
        <v>27</v>
      </c>
      <c r="F2560" s="1" t="s">
        <v>43</v>
      </c>
      <c r="G2560" s="2">
        <v>79.569999999999993</v>
      </c>
      <c r="H2560">
        <v>79.569999999999993</v>
      </c>
      <c r="I2560">
        <v>79.701667</v>
      </c>
      <c r="J2560">
        <v>118.07</v>
      </c>
      <c r="K2560">
        <v>54</v>
      </c>
      <c r="L2560" s="2">
        <v>52</v>
      </c>
      <c r="M2560">
        <v>5</v>
      </c>
      <c r="N2560" s="2">
        <v>6</v>
      </c>
      <c r="O2560">
        <v>478.21</v>
      </c>
      <c r="P2560">
        <v>0</v>
      </c>
      <c r="Q2560">
        <v>6</v>
      </c>
      <c r="S2560">
        <v>656</v>
      </c>
      <c r="T2560">
        <v>0</v>
      </c>
      <c r="U2560" s="2">
        <v>0</v>
      </c>
      <c r="V2560">
        <v>0</v>
      </c>
      <c r="W2560" t="s">
        <v>29</v>
      </c>
      <c r="X2560" t="str">
        <f>IF(Table2[[#This Row],[Qty available]]&gt;Table2[[#This Row],[Qty on hand]],"Check","OK")</f>
        <v>OK</v>
      </c>
    </row>
    <row r="2561" spans="1:24" x14ac:dyDescent="0.3">
      <c r="A2561" t="s">
        <v>273</v>
      </c>
      <c r="B2561" t="s">
        <v>274</v>
      </c>
      <c r="C2561" t="s">
        <v>57</v>
      </c>
      <c r="D2561" t="s">
        <v>58</v>
      </c>
      <c r="E2561" t="s">
        <v>27</v>
      </c>
      <c r="F2561" s="1" t="s">
        <v>44</v>
      </c>
      <c r="G2561" s="2">
        <v>80.98</v>
      </c>
      <c r="H2561">
        <v>80.98</v>
      </c>
      <c r="I2561">
        <v>80.432221999999996</v>
      </c>
      <c r="J2561">
        <v>118.07</v>
      </c>
      <c r="K2561">
        <v>54</v>
      </c>
      <c r="L2561" s="2">
        <v>54</v>
      </c>
      <c r="M2561">
        <v>8</v>
      </c>
      <c r="N2561" s="2">
        <v>9</v>
      </c>
      <c r="O2561">
        <v>723.89</v>
      </c>
      <c r="P2561">
        <v>1</v>
      </c>
      <c r="Q2561">
        <v>8</v>
      </c>
      <c r="R2561">
        <v>23.66</v>
      </c>
      <c r="S2561">
        <v>8</v>
      </c>
      <c r="T2561">
        <v>5</v>
      </c>
      <c r="U2561" s="2">
        <v>590.35</v>
      </c>
      <c r="V2561">
        <v>0</v>
      </c>
      <c r="W2561" t="s">
        <v>29</v>
      </c>
      <c r="X2561" t="str">
        <f>IF(Table2[[#This Row],[Qty available]]&gt;Table2[[#This Row],[Qty on hand]],"Check","OK")</f>
        <v>OK</v>
      </c>
    </row>
    <row r="2562" spans="1:24" x14ac:dyDescent="0.3">
      <c r="A2562" t="s">
        <v>273</v>
      </c>
      <c r="B2562" t="s">
        <v>274</v>
      </c>
      <c r="C2562" t="s">
        <v>57</v>
      </c>
      <c r="D2562" t="s">
        <v>58</v>
      </c>
      <c r="E2562" t="s">
        <v>27</v>
      </c>
      <c r="F2562" s="1" t="s">
        <v>45</v>
      </c>
      <c r="G2562" s="2">
        <v>83.39</v>
      </c>
      <c r="H2562">
        <v>83.39</v>
      </c>
      <c r="I2562">
        <v>82.650499999999994</v>
      </c>
      <c r="J2562">
        <v>118.07</v>
      </c>
      <c r="K2562">
        <v>54</v>
      </c>
      <c r="L2562" s="2">
        <v>51</v>
      </c>
      <c r="M2562">
        <v>27</v>
      </c>
      <c r="N2562" s="2">
        <v>20</v>
      </c>
      <c r="O2562">
        <v>1653.01</v>
      </c>
      <c r="P2562">
        <v>2</v>
      </c>
      <c r="Q2562">
        <v>18</v>
      </c>
      <c r="R2562">
        <v>12.52</v>
      </c>
      <c r="S2562">
        <v>6</v>
      </c>
      <c r="T2562">
        <v>16</v>
      </c>
      <c r="U2562" s="2">
        <v>1889.12</v>
      </c>
      <c r="V2562">
        <v>0</v>
      </c>
      <c r="W2562" t="s">
        <v>29</v>
      </c>
      <c r="X2562" t="str">
        <f>IF(Table2[[#This Row],[Qty available]]&gt;Table2[[#This Row],[Qty on hand]],"Check","OK")</f>
        <v>OK</v>
      </c>
    </row>
    <row r="2563" spans="1:24" x14ac:dyDescent="0.3">
      <c r="A2563" t="s">
        <v>273</v>
      </c>
      <c r="B2563" t="s">
        <v>274</v>
      </c>
      <c r="C2563" t="s">
        <v>57</v>
      </c>
      <c r="D2563" t="s">
        <v>58</v>
      </c>
      <c r="E2563" t="s">
        <v>27</v>
      </c>
      <c r="F2563" s="1" t="s">
        <v>46</v>
      </c>
      <c r="G2563" s="2">
        <v>85.1</v>
      </c>
      <c r="H2563">
        <v>85.1</v>
      </c>
      <c r="I2563">
        <v>83.875356999999994</v>
      </c>
      <c r="J2563">
        <v>123.47</v>
      </c>
      <c r="K2563">
        <v>54</v>
      </c>
      <c r="L2563" s="2">
        <v>47</v>
      </c>
      <c r="M2563">
        <v>20</v>
      </c>
      <c r="N2563" s="2">
        <v>28</v>
      </c>
      <c r="O2563">
        <v>2348.5100000000002</v>
      </c>
      <c r="P2563">
        <v>5</v>
      </c>
      <c r="Q2563">
        <v>23</v>
      </c>
      <c r="R2563">
        <v>10.91</v>
      </c>
      <c r="S2563">
        <v>7</v>
      </c>
      <c r="T2563">
        <v>12</v>
      </c>
      <c r="U2563" s="2">
        <v>1481.64</v>
      </c>
      <c r="V2563">
        <v>0</v>
      </c>
      <c r="W2563" t="s">
        <v>29</v>
      </c>
      <c r="X2563" t="str">
        <f>IF(Table2[[#This Row],[Qty available]]&gt;Table2[[#This Row],[Qty on hand]],"Check","OK")</f>
        <v>OK</v>
      </c>
    </row>
    <row r="2564" spans="1:24" x14ac:dyDescent="0.3">
      <c r="A2564" t="s">
        <v>273</v>
      </c>
      <c r="B2564" t="s">
        <v>274</v>
      </c>
      <c r="C2564" t="s">
        <v>57</v>
      </c>
      <c r="D2564" t="s">
        <v>58</v>
      </c>
      <c r="E2564" t="s">
        <v>27</v>
      </c>
      <c r="F2564" s="1" t="s">
        <v>47</v>
      </c>
      <c r="G2564" s="2">
        <v>85.22</v>
      </c>
      <c r="H2564">
        <v>85.22</v>
      </c>
      <c r="I2564">
        <v>84.254615000000001</v>
      </c>
      <c r="J2564">
        <v>123.47</v>
      </c>
      <c r="K2564">
        <v>54</v>
      </c>
      <c r="L2564" s="2">
        <v>52</v>
      </c>
      <c r="M2564">
        <v>11</v>
      </c>
      <c r="N2564" s="2">
        <v>26</v>
      </c>
      <c r="O2564">
        <v>2190.62</v>
      </c>
      <c r="P2564">
        <v>4</v>
      </c>
      <c r="Q2564">
        <v>22</v>
      </c>
      <c r="R2564">
        <v>8.15</v>
      </c>
      <c r="S2564">
        <v>3</v>
      </c>
      <c r="T2564">
        <v>13</v>
      </c>
      <c r="U2564" s="2">
        <v>1605.11</v>
      </c>
      <c r="V2564">
        <v>0</v>
      </c>
      <c r="W2564" t="s">
        <v>29</v>
      </c>
      <c r="X2564" t="str">
        <f>IF(Table2[[#This Row],[Qty available]]&gt;Table2[[#This Row],[Qty on hand]],"Check","OK")</f>
        <v>OK</v>
      </c>
    </row>
    <row r="2565" spans="1:24" x14ac:dyDescent="0.3">
      <c r="A2565" t="s">
        <v>273</v>
      </c>
      <c r="B2565" t="s">
        <v>274</v>
      </c>
      <c r="C2565" t="s">
        <v>57</v>
      </c>
      <c r="D2565" t="s">
        <v>58</v>
      </c>
      <c r="E2565" t="s">
        <v>27</v>
      </c>
      <c r="F2565" s="1" t="s">
        <v>48</v>
      </c>
      <c r="G2565" s="2">
        <v>83.58</v>
      </c>
      <c r="H2565">
        <v>83.58</v>
      </c>
      <c r="I2565">
        <v>84.128</v>
      </c>
      <c r="J2565">
        <v>123.47</v>
      </c>
      <c r="K2565">
        <v>54</v>
      </c>
      <c r="L2565" s="2">
        <v>47</v>
      </c>
      <c r="M2565">
        <v>6</v>
      </c>
      <c r="N2565" s="2">
        <v>15</v>
      </c>
      <c r="O2565">
        <v>1261.92</v>
      </c>
      <c r="P2565">
        <v>2</v>
      </c>
      <c r="Q2565">
        <v>13</v>
      </c>
      <c r="R2565">
        <v>4.54</v>
      </c>
      <c r="S2565">
        <v>3</v>
      </c>
      <c r="T2565">
        <v>17</v>
      </c>
      <c r="U2565" s="2">
        <v>2098.9899999999998</v>
      </c>
      <c r="V2565">
        <v>0</v>
      </c>
      <c r="W2565" t="s">
        <v>29</v>
      </c>
      <c r="X2565" t="str">
        <f>IF(Table2[[#This Row],[Qty available]]&gt;Table2[[#This Row],[Qty on hand]],"Check","OK")</f>
        <v>OK</v>
      </c>
    </row>
    <row r="2566" spans="1:24" x14ac:dyDescent="0.3">
      <c r="A2566" t="s">
        <v>273</v>
      </c>
      <c r="B2566" t="s">
        <v>274</v>
      </c>
      <c r="C2566" t="s">
        <v>57</v>
      </c>
      <c r="D2566" t="s">
        <v>58</v>
      </c>
      <c r="E2566" t="s">
        <v>27</v>
      </c>
      <c r="F2566" s="1" t="s">
        <v>49</v>
      </c>
      <c r="G2566" s="2">
        <v>82.72</v>
      </c>
      <c r="H2566">
        <v>82.72</v>
      </c>
      <c r="I2566">
        <v>83.169200000000004</v>
      </c>
      <c r="J2566">
        <v>123.47</v>
      </c>
      <c r="K2566">
        <v>54</v>
      </c>
      <c r="L2566" s="2">
        <v>61</v>
      </c>
      <c r="M2566">
        <v>32</v>
      </c>
      <c r="N2566" s="2">
        <v>25</v>
      </c>
      <c r="O2566">
        <v>2079.23</v>
      </c>
      <c r="P2566">
        <v>3</v>
      </c>
      <c r="Q2566">
        <v>22</v>
      </c>
      <c r="R2566">
        <v>6.32</v>
      </c>
      <c r="S2566">
        <v>0</v>
      </c>
      <c r="T2566">
        <v>22</v>
      </c>
      <c r="U2566" s="2">
        <v>2716.34</v>
      </c>
      <c r="V2566">
        <v>0</v>
      </c>
      <c r="W2566" t="s">
        <v>29</v>
      </c>
      <c r="X2566" t="str">
        <f>IF(Table2[[#This Row],[Qty available]]&gt;Table2[[#This Row],[Qty on hand]],"Check","OK")</f>
        <v>OK</v>
      </c>
    </row>
    <row r="2567" spans="1:24" x14ac:dyDescent="0.3">
      <c r="A2567" t="s">
        <v>273</v>
      </c>
      <c r="B2567" t="s">
        <v>274</v>
      </c>
      <c r="C2567" t="s">
        <v>57</v>
      </c>
      <c r="D2567" t="s">
        <v>58</v>
      </c>
      <c r="E2567" t="s">
        <v>27</v>
      </c>
      <c r="F2567" s="1" t="s">
        <v>50</v>
      </c>
      <c r="G2567" s="2">
        <v>82.38</v>
      </c>
      <c r="H2567">
        <v>82.38</v>
      </c>
      <c r="I2567">
        <v>82.899332999999999</v>
      </c>
      <c r="J2567">
        <v>123.47</v>
      </c>
      <c r="K2567">
        <v>54</v>
      </c>
      <c r="L2567" s="2">
        <v>52</v>
      </c>
      <c r="M2567">
        <v>13</v>
      </c>
      <c r="N2567" s="2">
        <v>30</v>
      </c>
      <c r="O2567">
        <v>2486.98</v>
      </c>
      <c r="P2567">
        <v>3</v>
      </c>
      <c r="Q2567">
        <v>27</v>
      </c>
      <c r="R2567">
        <v>8.3000000000000007</v>
      </c>
      <c r="S2567">
        <v>2</v>
      </c>
      <c r="T2567">
        <v>8</v>
      </c>
      <c r="U2567" s="2">
        <v>987.76</v>
      </c>
      <c r="V2567">
        <v>0</v>
      </c>
      <c r="W2567" t="s">
        <v>29</v>
      </c>
      <c r="X2567" t="str">
        <f>IF(Table2[[#This Row],[Qty available]]&gt;Table2[[#This Row],[Qty on hand]],"Check","OK")</f>
        <v>OK</v>
      </c>
    </row>
    <row r="2568" spans="1:24" x14ac:dyDescent="0.3">
      <c r="A2568" t="s">
        <v>273</v>
      </c>
      <c r="B2568" t="s">
        <v>274</v>
      </c>
      <c r="C2568" t="s">
        <v>57</v>
      </c>
      <c r="D2568" t="s">
        <v>58</v>
      </c>
      <c r="E2568" t="s">
        <v>27</v>
      </c>
      <c r="F2568" s="1" t="s">
        <v>51</v>
      </c>
      <c r="G2568" s="2">
        <v>82.85</v>
      </c>
      <c r="H2568">
        <v>82.85</v>
      </c>
      <c r="I2568">
        <v>82.870345</v>
      </c>
      <c r="J2568">
        <v>123.47</v>
      </c>
      <c r="K2568">
        <v>54</v>
      </c>
      <c r="L2568" s="2">
        <v>52</v>
      </c>
      <c r="M2568">
        <v>43</v>
      </c>
      <c r="N2568" s="2">
        <v>58</v>
      </c>
      <c r="O2568">
        <v>4806.4799999999996</v>
      </c>
      <c r="P2568">
        <v>2</v>
      </c>
      <c r="Q2568">
        <v>56</v>
      </c>
      <c r="R2568">
        <v>16.940000000000001</v>
      </c>
      <c r="S2568">
        <v>0</v>
      </c>
      <c r="T2568">
        <v>15</v>
      </c>
      <c r="U2568" s="2">
        <v>1852.05</v>
      </c>
      <c r="V2568">
        <v>0</v>
      </c>
      <c r="W2568" t="s">
        <v>29</v>
      </c>
      <c r="X2568" t="str">
        <f>IF(Table2[[#This Row],[Qty available]]&gt;Table2[[#This Row],[Qty on hand]],"Check","OK")</f>
        <v>OK</v>
      </c>
    </row>
    <row r="2569" spans="1:24" x14ac:dyDescent="0.3">
      <c r="A2569" t="s">
        <v>273</v>
      </c>
      <c r="B2569" t="s">
        <v>274</v>
      </c>
      <c r="C2569" t="s">
        <v>57</v>
      </c>
      <c r="D2569" t="s">
        <v>58</v>
      </c>
      <c r="E2569" t="s">
        <v>27</v>
      </c>
      <c r="F2569" s="1" t="s">
        <v>52</v>
      </c>
      <c r="G2569" s="2">
        <v>83.47</v>
      </c>
      <c r="H2569">
        <v>83.47</v>
      </c>
      <c r="I2569">
        <v>82.880465000000001</v>
      </c>
      <c r="J2569">
        <v>123.47</v>
      </c>
      <c r="K2569">
        <v>54</v>
      </c>
      <c r="L2569" s="2">
        <v>46</v>
      </c>
      <c r="M2569">
        <v>1</v>
      </c>
      <c r="N2569" s="2">
        <v>43</v>
      </c>
      <c r="O2569">
        <v>3563.86</v>
      </c>
      <c r="P2569">
        <v>4</v>
      </c>
      <c r="Q2569">
        <v>39</v>
      </c>
      <c r="R2569">
        <v>14.49</v>
      </c>
      <c r="S2569">
        <v>3</v>
      </c>
      <c r="T2569">
        <v>16</v>
      </c>
      <c r="U2569" s="2">
        <v>1975.52</v>
      </c>
      <c r="V2569">
        <v>0</v>
      </c>
      <c r="W2569" t="s">
        <v>29</v>
      </c>
      <c r="X2569" t="str">
        <f>IF(Table2[[#This Row],[Qty available]]&gt;Table2[[#This Row],[Qty on hand]],"Check","OK")</f>
        <v>OK</v>
      </c>
    </row>
    <row r="2570" spans="1:24" x14ac:dyDescent="0.3">
      <c r="A2570" t="s">
        <v>275</v>
      </c>
      <c r="B2570" t="s">
        <v>276</v>
      </c>
      <c r="C2570" t="s">
        <v>91</v>
      </c>
      <c r="D2570" t="s">
        <v>92</v>
      </c>
      <c r="E2570" t="s">
        <v>66</v>
      </c>
      <c r="F2570" s="1" t="s">
        <v>28</v>
      </c>
      <c r="G2570" s="2">
        <v>96.65</v>
      </c>
      <c r="H2570">
        <v>96.65</v>
      </c>
      <c r="I2570">
        <v>96.380499999999998</v>
      </c>
      <c r="J2570">
        <v>130.66</v>
      </c>
      <c r="K2570">
        <v>14</v>
      </c>
      <c r="L2570" s="2">
        <v>13</v>
      </c>
      <c r="M2570">
        <v>38</v>
      </c>
      <c r="N2570" s="2">
        <v>40</v>
      </c>
      <c r="O2570">
        <v>3855.22</v>
      </c>
      <c r="P2570">
        <v>6</v>
      </c>
      <c r="Q2570">
        <v>34</v>
      </c>
      <c r="R2570">
        <v>5.97</v>
      </c>
      <c r="S2570">
        <v>14</v>
      </c>
      <c r="T2570">
        <v>33</v>
      </c>
      <c r="U2570" s="2">
        <v>4311.78</v>
      </c>
      <c r="V2570">
        <v>0</v>
      </c>
      <c r="W2570" t="s">
        <v>29</v>
      </c>
      <c r="X2570" t="str">
        <f>IF(Table2[[#This Row],[Qty available]]&gt;Table2[[#This Row],[Qty on hand]],"Check","OK")</f>
        <v>OK</v>
      </c>
    </row>
    <row r="2571" spans="1:24" x14ac:dyDescent="0.3">
      <c r="A2571" t="s">
        <v>275</v>
      </c>
      <c r="B2571" t="s">
        <v>276</v>
      </c>
      <c r="C2571" t="s">
        <v>91</v>
      </c>
      <c r="D2571" t="s">
        <v>92</v>
      </c>
      <c r="E2571" t="s">
        <v>66</v>
      </c>
      <c r="F2571" s="1" t="s">
        <v>30</v>
      </c>
      <c r="G2571" s="2">
        <v>102.06</v>
      </c>
      <c r="H2571">
        <v>102.06</v>
      </c>
      <c r="I2571">
        <v>98.453946999999999</v>
      </c>
      <c r="J2571">
        <v>130.66</v>
      </c>
      <c r="K2571">
        <v>14</v>
      </c>
      <c r="L2571" s="2">
        <v>20</v>
      </c>
      <c r="M2571">
        <v>23</v>
      </c>
      <c r="N2571" s="2">
        <v>38</v>
      </c>
      <c r="O2571">
        <v>3741.25</v>
      </c>
      <c r="P2571">
        <v>4</v>
      </c>
      <c r="Q2571">
        <v>34</v>
      </c>
      <c r="R2571">
        <v>6.75</v>
      </c>
      <c r="S2571">
        <v>3</v>
      </c>
      <c r="T2571">
        <v>25</v>
      </c>
      <c r="U2571" s="2">
        <v>3266.5</v>
      </c>
      <c r="V2571">
        <v>0</v>
      </c>
      <c r="W2571" t="s">
        <v>29</v>
      </c>
      <c r="X2571" t="str">
        <f>IF(Table2[[#This Row],[Qty available]]&gt;Table2[[#This Row],[Qty on hand]],"Check","OK")</f>
        <v>OK</v>
      </c>
    </row>
    <row r="2572" spans="1:24" x14ac:dyDescent="0.3">
      <c r="A2572" t="s">
        <v>275</v>
      </c>
      <c r="B2572" t="s">
        <v>276</v>
      </c>
      <c r="C2572" t="s">
        <v>91</v>
      </c>
      <c r="D2572" t="s">
        <v>92</v>
      </c>
      <c r="E2572" t="s">
        <v>66</v>
      </c>
      <c r="F2572" s="1" t="s">
        <v>31</v>
      </c>
      <c r="G2572" s="2">
        <v>102.74</v>
      </c>
      <c r="H2572">
        <v>102.74</v>
      </c>
      <c r="I2572">
        <v>100.113148</v>
      </c>
      <c r="J2572">
        <v>130.66</v>
      </c>
      <c r="K2572">
        <v>14</v>
      </c>
      <c r="L2572" s="2">
        <v>13</v>
      </c>
      <c r="M2572">
        <v>24</v>
      </c>
      <c r="N2572" s="2">
        <v>54</v>
      </c>
      <c r="O2572">
        <v>5406.11</v>
      </c>
      <c r="P2572">
        <v>2</v>
      </c>
      <c r="Q2572">
        <v>52</v>
      </c>
      <c r="R2572">
        <v>10.64</v>
      </c>
      <c r="S2572">
        <v>21</v>
      </c>
      <c r="T2572">
        <v>8</v>
      </c>
      <c r="U2572" s="2">
        <v>1045.28</v>
      </c>
      <c r="V2572">
        <v>0</v>
      </c>
      <c r="W2572" t="s">
        <v>29</v>
      </c>
      <c r="X2572" t="str">
        <f>IF(Table2[[#This Row],[Qty available]]&gt;Table2[[#This Row],[Qty on hand]],"Check","OK")</f>
        <v>OK</v>
      </c>
    </row>
    <row r="2573" spans="1:24" x14ac:dyDescent="0.3">
      <c r="A2573" t="s">
        <v>275</v>
      </c>
      <c r="B2573" t="s">
        <v>276</v>
      </c>
      <c r="C2573" t="s">
        <v>91</v>
      </c>
      <c r="D2573" t="s">
        <v>92</v>
      </c>
      <c r="E2573" t="s">
        <v>66</v>
      </c>
      <c r="F2573" s="1" t="s">
        <v>32</v>
      </c>
      <c r="G2573" s="2">
        <v>101.19</v>
      </c>
      <c r="H2573">
        <v>101.19</v>
      </c>
      <c r="I2573">
        <v>100.40410300000001</v>
      </c>
      <c r="J2573">
        <v>130.66</v>
      </c>
      <c r="K2573">
        <v>14</v>
      </c>
      <c r="L2573" s="2">
        <v>13</v>
      </c>
      <c r="M2573">
        <v>20</v>
      </c>
      <c r="N2573" s="2">
        <v>39</v>
      </c>
      <c r="O2573">
        <v>3915.76</v>
      </c>
      <c r="P2573">
        <v>3</v>
      </c>
      <c r="Q2573">
        <v>36</v>
      </c>
      <c r="R2573">
        <v>7.54</v>
      </c>
      <c r="S2573">
        <v>1</v>
      </c>
      <c r="T2573">
        <v>35</v>
      </c>
      <c r="U2573" s="2">
        <v>4573.1000000000004</v>
      </c>
      <c r="V2573">
        <v>0</v>
      </c>
      <c r="W2573" t="s">
        <v>29</v>
      </c>
      <c r="X2573" t="str">
        <f>IF(Table2[[#This Row],[Qty available]]&gt;Table2[[#This Row],[Qty on hand]],"Check","OK")</f>
        <v>OK</v>
      </c>
    </row>
    <row r="2574" spans="1:24" x14ac:dyDescent="0.3">
      <c r="A2574" t="s">
        <v>275</v>
      </c>
      <c r="B2574" t="s">
        <v>276</v>
      </c>
      <c r="C2574" t="s">
        <v>91</v>
      </c>
      <c r="D2574" t="s">
        <v>92</v>
      </c>
      <c r="E2574" t="s">
        <v>66</v>
      </c>
      <c r="F2574" s="1" t="s">
        <v>33</v>
      </c>
      <c r="G2574" s="2">
        <v>102.19</v>
      </c>
      <c r="H2574">
        <v>102.19</v>
      </c>
      <c r="I2574">
        <v>101.389375</v>
      </c>
      <c r="J2574">
        <v>130.66</v>
      </c>
      <c r="K2574">
        <v>14</v>
      </c>
      <c r="L2574" s="2">
        <v>14</v>
      </c>
      <c r="M2574">
        <v>48</v>
      </c>
      <c r="N2574" s="2">
        <v>64</v>
      </c>
      <c r="O2574">
        <v>6488.92</v>
      </c>
      <c r="P2574">
        <v>6</v>
      </c>
      <c r="Q2574">
        <v>58</v>
      </c>
      <c r="R2574">
        <v>12.74</v>
      </c>
      <c r="S2574">
        <v>7</v>
      </c>
      <c r="T2574">
        <v>23</v>
      </c>
      <c r="U2574" s="2">
        <v>3005.18</v>
      </c>
      <c r="V2574">
        <v>0</v>
      </c>
      <c r="W2574" t="s">
        <v>29</v>
      </c>
      <c r="X2574" t="str">
        <f>IF(Table2[[#This Row],[Qty available]]&gt;Table2[[#This Row],[Qty on hand]],"Check","OK")</f>
        <v>OK</v>
      </c>
    </row>
    <row r="2575" spans="1:24" x14ac:dyDescent="0.3">
      <c r="A2575" t="s">
        <v>275</v>
      </c>
      <c r="B2575" t="s">
        <v>276</v>
      </c>
      <c r="C2575" t="s">
        <v>91</v>
      </c>
      <c r="D2575" t="s">
        <v>92</v>
      </c>
      <c r="E2575" t="s">
        <v>66</v>
      </c>
      <c r="F2575" s="1" t="s">
        <v>34</v>
      </c>
      <c r="G2575" s="2">
        <v>104.44</v>
      </c>
      <c r="H2575">
        <v>104.44</v>
      </c>
      <c r="I2575">
        <v>102.115686</v>
      </c>
      <c r="J2575">
        <v>135.27000000000001</v>
      </c>
      <c r="K2575">
        <v>14</v>
      </c>
      <c r="L2575" s="2">
        <v>16</v>
      </c>
      <c r="M2575">
        <v>20</v>
      </c>
      <c r="N2575" s="2">
        <v>51</v>
      </c>
      <c r="O2575">
        <v>5207.8999999999996</v>
      </c>
      <c r="P2575">
        <v>6</v>
      </c>
      <c r="Q2575">
        <v>45</v>
      </c>
      <c r="R2575">
        <v>7.21</v>
      </c>
      <c r="S2575">
        <v>0</v>
      </c>
      <c r="T2575">
        <v>33</v>
      </c>
      <c r="U2575" s="2">
        <v>4463.91</v>
      </c>
      <c r="V2575">
        <v>0</v>
      </c>
      <c r="W2575" t="s">
        <v>29</v>
      </c>
      <c r="X2575" t="str">
        <f>IF(Table2[[#This Row],[Qty available]]&gt;Table2[[#This Row],[Qty on hand]],"Check","OK")</f>
        <v>OK</v>
      </c>
    </row>
    <row r="2576" spans="1:24" x14ac:dyDescent="0.3">
      <c r="A2576" t="s">
        <v>275</v>
      </c>
      <c r="B2576" t="s">
        <v>276</v>
      </c>
      <c r="C2576" t="s">
        <v>91</v>
      </c>
      <c r="D2576" t="s">
        <v>92</v>
      </c>
      <c r="E2576" t="s">
        <v>66</v>
      </c>
      <c r="F2576" s="1" t="s">
        <v>35</v>
      </c>
      <c r="G2576" s="2">
        <v>104.09</v>
      </c>
      <c r="H2576">
        <v>104.09</v>
      </c>
      <c r="I2576">
        <v>102.671778</v>
      </c>
      <c r="J2576">
        <v>135.27000000000001</v>
      </c>
      <c r="K2576">
        <v>14</v>
      </c>
      <c r="L2576" s="2">
        <v>22</v>
      </c>
      <c r="M2576">
        <v>20</v>
      </c>
      <c r="N2576" s="2">
        <v>45</v>
      </c>
      <c r="O2576">
        <v>4620.2299999999996</v>
      </c>
      <c r="P2576">
        <v>4</v>
      </c>
      <c r="Q2576">
        <v>41</v>
      </c>
      <c r="R2576">
        <v>7.06</v>
      </c>
      <c r="S2576">
        <v>2</v>
      </c>
      <c r="T2576">
        <v>26</v>
      </c>
      <c r="U2576" s="2">
        <v>3517.02</v>
      </c>
      <c r="V2576">
        <v>0</v>
      </c>
      <c r="W2576" t="s">
        <v>29</v>
      </c>
      <c r="X2576" t="str">
        <f>IF(Table2[[#This Row],[Qty available]]&gt;Table2[[#This Row],[Qty on hand]],"Check","OK")</f>
        <v>OK</v>
      </c>
    </row>
    <row r="2577" spans="1:24" x14ac:dyDescent="0.3">
      <c r="A2577" t="s">
        <v>275</v>
      </c>
      <c r="B2577" t="s">
        <v>276</v>
      </c>
      <c r="C2577" t="s">
        <v>91</v>
      </c>
      <c r="D2577" t="s">
        <v>92</v>
      </c>
      <c r="E2577" t="s">
        <v>66</v>
      </c>
      <c r="F2577" s="1" t="s">
        <v>36</v>
      </c>
      <c r="G2577" s="2">
        <v>101.08</v>
      </c>
      <c r="H2577">
        <v>101.08</v>
      </c>
      <c r="I2577">
        <v>102.18187500000001</v>
      </c>
      <c r="J2577">
        <v>135.27000000000001</v>
      </c>
      <c r="K2577">
        <v>14</v>
      </c>
      <c r="L2577" s="2">
        <v>14</v>
      </c>
      <c r="M2577">
        <v>20</v>
      </c>
      <c r="N2577" s="2">
        <v>32</v>
      </c>
      <c r="O2577">
        <v>3269.82</v>
      </c>
      <c r="P2577">
        <v>6</v>
      </c>
      <c r="Q2577">
        <v>26</v>
      </c>
      <c r="R2577">
        <v>4.42</v>
      </c>
      <c r="S2577">
        <v>1</v>
      </c>
      <c r="T2577">
        <v>33</v>
      </c>
      <c r="U2577" s="2">
        <v>4463.91</v>
      </c>
      <c r="V2577">
        <v>0</v>
      </c>
      <c r="W2577" t="s">
        <v>29</v>
      </c>
      <c r="X2577" t="str">
        <f>IF(Table2[[#This Row],[Qty available]]&gt;Table2[[#This Row],[Qty on hand]],"Check","OK")</f>
        <v>OK</v>
      </c>
    </row>
    <row r="2578" spans="1:24" x14ac:dyDescent="0.3">
      <c r="A2578" t="s">
        <v>275</v>
      </c>
      <c r="B2578" t="s">
        <v>276</v>
      </c>
      <c r="C2578" t="s">
        <v>91</v>
      </c>
      <c r="D2578" t="s">
        <v>92</v>
      </c>
      <c r="E2578" t="s">
        <v>66</v>
      </c>
      <c r="F2578" s="1" t="s">
        <v>37</v>
      </c>
      <c r="G2578" s="2">
        <v>104.22</v>
      </c>
      <c r="H2578">
        <v>104.22</v>
      </c>
      <c r="I2578">
        <v>103.13297300000001</v>
      </c>
      <c r="J2578">
        <v>135.27000000000001</v>
      </c>
      <c r="K2578">
        <v>14</v>
      </c>
      <c r="L2578" s="2">
        <v>13</v>
      </c>
      <c r="M2578">
        <v>28</v>
      </c>
      <c r="N2578" s="2">
        <v>37</v>
      </c>
      <c r="O2578">
        <v>3815.92</v>
      </c>
      <c r="P2578">
        <v>7</v>
      </c>
      <c r="Q2578">
        <v>30</v>
      </c>
      <c r="R2578">
        <v>5.93</v>
      </c>
      <c r="S2578">
        <v>0</v>
      </c>
      <c r="T2578">
        <v>23</v>
      </c>
      <c r="U2578" s="2">
        <v>3111.21</v>
      </c>
      <c r="V2578">
        <v>0</v>
      </c>
      <c r="W2578" t="s">
        <v>29</v>
      </c>
      <c r="X2578" t="str">
        <f>IF(Table2[[#This Row],[Qty available]]&gt;Table2[[#This Row],[Qty on hand]],"Check","OK")</f>
        <v>OK</v>
      </c>
    </row>
    <row r="2579" spans="1:24" x14ac:dyDescent="0.3">
      <c r="A2579" t="s">
        <v>275</v>
      </c>
      <c r="B2579" t="s">
        <v>276</v>
      </c>
      <c r="C2579" t="s">
        <v>91</v>
      </c>
      <c r="D2579" t="s">
        <v>92</v>
      </c>
      <c r="E2579" t="s">
        <v>66</v>
      </c>
      <c r="F2579" s="1" t="s">
        <v>38</v>
      </c>
      <c r="G2579" s="2">
        <v>102.58</v>
      </c>
      <c r="H2579">
        <v>102.58</v>
      </c>
      <c r="I2579">
        <v>102.87657900000001</v>
      </c>
      <c r="J2579">
        <v>135.27000000000001</v>
      </c>
      <c r="K2579">
        <v>14</v>
      </c>
      <c r="L2579" s="2">
        <v>18</v>
      </c>
      <c r="M2579">
        <v>32</v>
      </c>
      <c r="N2579" s="2">
        <v>38</v>
      </c>
      <c r="O2579">
        <v>3909.31</v>
      </c>
      <c r="P2579">
        <v>4</v>
      </c>
      <c r="Q2579">
        <v>34</v>
      </c>
      <c r="R2579">
        <v>5.68</v>
      </c>
      <c r="S2579">
        <v>0</v>
      </c>
      <c r="T2579">
        <v>31</v>
      </c>
      <c r="U2579" s="2">
        <v>4193.37</v>
      </c>
      <c r="V2579">
        <v>0</v>
      </c>
      <c r="W2579" t="s">
        <v>29</v>
      </c>
      <c r="X2579" t="str">
        <f>IF(Table2[[#This Row],[Qty available]]&gt;Table2[[#This Row],[Qty on hand]],"Check","OK")</f>
        <v>OK</v>
      </c>
    </row>
    <row r="2580" spans="1:24" x14ac:dyDescent="0.3">
      <c r="A2580" t="s">
        <v>275</v>
      </c>
      <c r="B2580" t="s">
        <v>276</v>
      </c>
      <c r="C2580" t="s">
        <v>91</v>
      </c>
      <c r="D2580" t="s">
        <v>92</v>
      </c>
      <c r="E2580" t="s">
        <v>66</v>
      </c>
      <c r="F2580" s="1" t="s">
        <v>39</v>
      </c>
      <c r="G2580" s="2">
        <v>104.22</v>
      </c>
      <c r="H2580">
        <v>104.22</v>
      </c>
      <c r="I2580">
        <v>103.33973</v>
      </c>
      <c r="J2580">
        <v>135.27000000000001</v>
      </c>
      <c r="K2580">
        <v>14</v>
      </c>
      <c r="L2580" s="2">
        <v>12</v>
      </c>
      <c r="M2580">
        <v>20</v>
      </c>
      <c r="N2580" s="2">
        <v>37</v>
      </c>
      <c r="O2580">
        <v>3823.57</v>
      </c>
      <c r="P2580">
        <v>8</v>
      </c>
      <c r="Q2580">
        <v>29</v>
      </c>
      <c r="R2580">
        <v>6.48</v>
      </c>
      <c r="S2580">
        <v>5</v>
      </c>
      <c r="T2580">
        <v>21</v>
      </c>
      <c r="U2580" s="2">
        <v>2840.67</v>
      </c>
      <c r="V2580">
        <v>0</v>
      </c>
      <c r="W2580" t="s">
        <v>29</v>
      </c>
      <c r="X2580" t="str">
        <f>IF(Table2[[#This Row],[Qty available]]&gt;Table2[[#This Row],[Qty on hand]],"Check","OK")</f>
        <v>OK</v>
      </c>
    </row>
    <row r="2581" spans="1:24" x14ac:dyDescent="0.3">
      <c r="A2581" t="s">
        <v>275</v>
      </c>
      <c r="B2581" t="s">
        <v>276</v>
      </c>
      <c r="C2581" t="s">
        <v>91</v>
      </c>
      <c r="D2581" t="s">
        <v>92</v>
      </c>
      <c r="E2581" t="s">
        <v>66</v>
      </c>
      <c r="F2581" s="1" t="s">
        <v>40</v>
      </c>
      <c r="G2581" s="2">
        <v>104.21</v>
      </c>
      <c r="H2581">
        <v>104.21</v>
      </c>
      <c r="I2581">
        <v>103.690541</v>
      </c>
      <c r="J2581">
        <v>135.27000000000001</v>
      </c>
      <c r="K2581">
        <v>14</v>
      </c>
      <c r="L2581" s="2">
        <v>12</v>
      </c>
      <c r="M2581">
        <v>25</v>
      </c>
      <c r="N2581" s="2">
        <v>37</v>
      </c>
      <c r="O2581">
        <v>3836.55</v>
      </c>
      <c r="P2581">
        <v>2</v>
      </c>
      <c r="Q2581">
        <v>35</v>
      </c>
      <c r="R2581">
        <v>6.32</v>
      </c>
      <c r="S2581">
        <v>12</v>
      </c>
      <c r="T2581">
        <v>25</v>
      </c>
      <c r="U2581" s="2">
        <v>3381.75</v>
      </c>
      <c r="V2581">
        <v>0</v>
      </c>
      <c r="W2581" t="s">
        <v>29</v>
      </c>
      <c r="X2581" t="str">
        <f>IF(Table2[[#This Row],[Qty available]]&gt;Table2[[#This Row],[Qty on hand]],"Check","OK")</f>
        <v>OK</v>
      </c>
    </row>
    <row r="2582" spans="1:24" x14ac:dyDescent="0.3">
      <c r="A2582" t="s">
        <v>275</v>
      </c>
      <c r="B2582" t="s">
        <v>276</v>
      </c>
      <c r="C2582" t="s">
        <v>91</v>
      </c>
      <c r="D2582" t="s">
        <v>92</v>
      </c>
      <c r="E2582" t="s">
        <v>66</v>
      </c>
      <c r="F2582" s="1" t="s">
        <v>41</v>
      </c>
      <c r="G2582" s="2">
        <v>103.6</v>
      </c>
      <c r="H2582">
        <v>103.6</v>
      </c>
      <c r="I2582">
        <v>103.65234</v>
      </c>
      <c r="J2582">
        <v>135.27000000000001</v>
      </c>
      <c r="K2582">
        <v>14</v>
      </c>
      <c r="L2582" s="2">
        <v>13</v>
      </c>
      <c r="M2582">
        <v>27</v>
      </c>
      <c r="N2582" s="2">
        <v>47</v>
      </c>
      <c r="O2582">
        <v>4871.66</v>
      </c>
      <c r="P2582">
        <v>2</v>
      </c>
      <c r="Q2582">
        <v>45</v>
      </c>
      <c r="R2582">
        <v>9.8000000000000007</v>
      </c>
      <c r="S2582">
        <v>5</v>
      </c>
      <c r="T2582">
        <v>17</v>
      </c>
      <c r="U2582" s="2">
        <v>2299.59</v>
      </c>
      <c r="V2582">
        <v>0</v>
      </c>
      <c r="W2582" t="s">
        <v>29</v>
      </c>
      <c r="X2582" t="str">
        <f>IF(Table2[[#This Row],[Qty available]]&gt;Table2[[#This Row],[Qty on hand]],"Check","OK")</f>
        <v>OK</v>
      </c>
    </row>
    <row r="2583" spans="1:24" x14ac:dyDescent="0.3">
      <c r="A2583" t="s">
        <v>275</v>
      </c>
      <c r="B2583" t="s">
        <v>276</v>
      </c>
      <c r="C2583" t="s">
        <v>91</v>
      </c>
      <c r="D2583" t="s">
        <v>92</v>
      </c>
      <c r="E2583" t="s">
        <v>66</v>
      </c>
      <c r="F2583" s="1" t="s">
        <v>42</v>
      </c>
      <c r="G2583" s="2">
        <v>110.76</v>
      </c>
      <c r="H2583">
        <v>110.76</v>
      </c>
      <c r="I2583">
        <v>105.847273</v>
      </c>
      <c r="J2583">
        <v>135.27000000000001</v>
      </c>
      <c r="K2583">
        <v>14</v>
      </c>
      <c r="L2583" s="2">
        <v>23</v>
      </c>
      <c r="M2583">
        <v>21</v>
      </c>
      <c r="N2583" s="2">
        <v>33</v>
      </c>
      <c r="O2583">
        <v>3492.96</v>
      </c>
      <c r="P2583">
        <v>2</v>
      </c>
      <c r="Q2583">
        <v>31</v>
      </c>
      <c r="R2583">
        <v>5.63</v>
      </c>
      <c r="S2583">
        <v>4</v>
      </c>
      <c r="T2583">
        <v>35</v>
      </c>
      <c r="U2583" s="2">
        <v>4734.45</v>
      </c>
      <c r="V2583">
        <v>0</v>
      </c>
      <c r="W2583" t="s">
        <v>29</v>
      </c>
      <c r="X2583" t="str">
        <f>IF(Table2[[#This Row],[Qty available]]&gt;Table2[[#This Row],[Qty on hand]],"Check","OK")</f>
        <v>OK</v>
      </c>
    </row>
    <row r="2584" spans="1:24" x14ac:dyDescent="0.3">
      <c r="A2584" t="s">
        <v>275</v>
      </c>
      <c r="B2584" t="s">
        <v>276</v>
      </c>
      <c r="C2584" t="s">
        <v>91</v>
      </c>
      <c r="D2584" t="s">
        <v>92</v>
      </c>
      <c r="E2584" t="s">
        <v>66</v>
      </c>
      <c r="F2584" s="1" t="s">
        <v>43</v>
      </c>
      <c r="G2584" s="2">
        <v>109.12</v>
      </c>
      <c r="H2584">
        <v>109.12</v>
      </c>
      <c r="I2584">
        <v>107.32</v>
      </c>
      <c r="J2584">
        <v>135.27000000000001</v>
      </c>
      <c r="K2584">
        <v>14</v>
      </c>
      <c r="L2584" s="2">
        <v>12</v>
      </c>
      <c r="M2584">
        <v>27</v>
      </c>
      <c r="N2584" s="2">
        <v>51</v>
      </c>
      <c r="O2584">
        <v>5473.32</v>
      </c>
      <c r="P2584">
        <v>5</v>
      </c>
      <c r="Q2584">
        <v>46</v>
      </c>
      <c r="R2584">
        <v>10.87</v>
      </c>
      <c r="S2584">
        <v>4</v>
      </c>
      <c r="T2584">
        <v>9</v>
      </c>
      <c r="U2584" s="2">
        <v>1217.43</v>
      </c>
      <c r="V2584">
        <v>0</v>
      </c>
      <c r="W2584" t="s">
        <v>29</v>
      </c>
      <c r="X2584" t="str">
        <f>IF(Table2[[#This Row],[Qty available]]&gt;Table2[[#This Row],[Qty on hand]],"Check","OK")</f>
        <v>OK</v>
      </c>
    </row>
    <row r="2585" spans="1:24" x14ac:dyDescent="0.3">
      <c r="A2585" t="s">
        <v>275</v>
      </c>
      <c r="B2585" t="s">
        <v>276</v>
      </c>
      <c r="C2585" t="s">
        <v>91</v>
      </c>
      <c r="D2585" t="s">
        <v>92</v>
      </c>
      <c r="E2585" t="s">
        <v>66</v>
      </c>
      <c r="F2585" s="1" t="s">
        <v>44</v>
      </c>
      <c r="G2585" s="2">
        <v>107.36</v>
      </c>
      <c r="H2585">
        <v>107.36</v>
      </c>
      <c r="I2585">
        <v>107.33136399999999</v>
      </c>
      <c r="J2585">
        <v>135.27000000000001</v>
      </c>
      <c r="K2585">
        <v>14</v>
      </c>
      <c r="L2585" s="2">
        <v>13</v>
      </c>
      <c r="M2585">
        <v>20</v>
      </c>
      <c r="N2585" s="2">
        <v>44</v>
      </c>
      <c r="O2585">
        <v>4722.58</v>
      </c>
      <c r="P2585">
        <v>2</v>
      </c>
      <c r="Q2585">
        <v>42</v>
      </c>
      <c r="R2585">
        <v>8.14</v>
      </c>
      <c r="S2585">
        <v>4</v>
      </c>
      <c r="T2585">
        <v>27</v>
      </c>
      <c r="U2585" s="2">
        <v>3652.29</v>
      </c>
      <c r="V2585">
        <v>0</v>
      </c>
      <c r="W2585" t="s">
        <v>29</v>
      </c>
      <c r="X2585" t="str">
        <f>IF(Table2[[#This Row],[Qty available]]&gt;Table2[[#This Row],[Qty on hand]],"Check","OK")</f>
        <v>OK</v>
      </c>
    </row>
    <row r="2586" spans="1:24" x14ac:dyDescent="0.3">
      <c r="A2586" t="s">
        <v>275</v>
      </c>
      <c r="B2586" t="s">
        <v>276</v>
      </c>
      <c r="C2586" t="s">
        <v>91</v>
      </c>
      <c r="D2586" t="s">
        <v>92</v>
      </c>
      <c r="E2586" t="s">
        <v>66</v>
      </c>
      <c r="F2586" s="1" t="s">
        <v>45</v>
      </c>
      <c r="G2586" s="2">
        <v>107.44</v>
      </c>
      <c r="H2586">
        <v>107.44</v>
      </c>
      <c r="I2586">
        <v>107.38085700000001</v>
      </c>
      <c r="J2586">
        <v>135.27000000000001</v>
      </c>
      <c r="K2586">
        <v>14</v>
      </c>
      <c r="L2586" s="2">
        <v>12</v>
      </c>
      <c r="M2586">
        <v>37</v>
      </c>
      <c r="N2586" s="2">
        <v>35</v>
      </c>
      <c r="O2586">
        <v>3758.33</v>
      </c>
      <c r="P2586">
        <v>6</v>
      </c>
      <c r="Q2586">
        <v>29</v>
      </c>
      <c r="R2586">
        <v>5.61</v>
      </c>
      <c r="S2586">
        <v>3</v>
      </c>
      <c r="T2586">
        <v>46</v>
      </c>
      <c r="U2586" s="2">
        <v>6222.42</v>
      </c>
      <c r="V2586">
        <v>0</v>
      </c>
      <c r="W2586" t="s">
        <v>29</v>
      </c>
      <c r="X2586" t="str">
        <f>IF(Table2[[#This Row],[Qty available]]&gt;Table2[[#This Row],[Qty on hand]],"Check","OK")</f>
        <v>OK</v>
      </c>
    </row>
    <row r="2587" spans="1:24" x14ac:dyDescent="0.3">
      <c r="A2587" t="s">
        <v>275</v>
      </c>
      <c r="B2587" t="s">
        <v>276</v>
      </c>
      <c r="C2587" t="s">
        <v>91</v>
      </c>
      <c r="D2587" t="s">
        <v>92</v>
      </c>
      <c r="E2587" t="s">
        <v>66</v>
      </c>
      <c r="F2587" s="1" t="s">
        <v>46</v>
      </c>
      <c r="G2587" s="2">
        <v>110.53</v>
      </c>
      <c r="H2587">
        <v>110.53</v>
      </c>
      <c r="I2587">
        <v>108.661935</v>
      </c>
      <c r="J2587">
        <v>140.05000000000001</v>
      </c>
      <c r="K2587">
        <v>14</v>
      </c>
      <c r="L2587" s="2">
        <v>25</v>
      </c>
      <c r="M2587">
        <v>24</v>
      </c>
      <c r="N2587" s="2">
        <v>31</v>
      </c>
      <c r="O2587">
        <v>3368.52</v>
      </c>
      <c r="P2587">
        <v>5</v>
      </c>
      <c r="Q2587">
        <v>26</v>
      </c>
      <c r="R2587">
        <v>3.95</v>
      </c>
      <c r="S2587">
        <v>5</v>
      </c>
      <c r="T2587">
        <v>28</v>
      </c>
      <c r="U2587" s="2">
        <v>3921.4</v>
      </c>
      <c r="V2587">
        <v>0</v>
      </c>
      <c r="W2587" t="s">
        <v>29</v>
      </c>
      <c r="X2587" t="str">
        <f>IF(Table2[[#This Row],[Qty available]]&gt;Table2[[#This Row],[Qty on hand]],"Check","OK")</f>
        <v>OK</v>
      </c>
    </row>
    <row r="2588" spans="1:24" x14ac:dyDescent="0.3">
      <c r="A2588" t="s">
        <v>275</v>
      </c>
      <c r="B2588" t="s">
        <v>276</v>
      </c>
      <c r="C2588" t="s">
        <v>91</v>
      </c>
      <c r="D2588" t="s">
        <v>92</v>
      </c>
      <c r="E2588" t="s">
        <v>66</v>
      </c>
      <c r="F2588" s="1" t="s">
        <v>47</v>
      </c>
      <c r="G2588" s="2">
        <v>109.73</v>
      </c>
      <c r="H2588">
        <v>109.73</v>
      </c>
      <c r="I2588">
        <v>109.117143</v>
      </c>
      <c r="J2588">
        <v>140.05000000000001</v>
      </c>
      <c r="K2588">
        <v>14</v>
      </c>
      <c r="L2588" s="2">
        <v>20</v>
      </c>
      <c r="M2588">
        <v>23</v>
      </c>
      <c r="N2588" s="2">
        <v>14</v>
      </c>
      <c r="O2588">
        <v>1527.64</v>
      </c>
      <c r="P2588">
        <v>4</v>
      </c>
      <c r="Q2588">
        <v>10</v>
      </c>
      <c r="R2588">
        <v>1.58</v>
      </c>
      <c r="S2588">
        <v>3</v>
      </c>
      <c r="T2588">
        <v>40</v>
      </c>
      <c r="U2588" s="2">
        <v>5602</v>
      </c>
      <c r="V2588">
        <v>0</v>
      </c>
      <c r="W2588" t="s">
        <v>29</v>
      </c>
      <c r="X2588" t="str">
        <f>IF(Table2[[#This Row],[Qty available]]&gt;Table2[[#This Row],[Qty on hand]],"Check","OK")</f>
        <v>OK</v>
      </c>
    </row>
    <row r="2589" spans="1:24" x14ac:dyDescent="0.3">
      <c r="A2589" t="s">
        <v>275</v>
      </c>
      <c r="B2589" t="s">
        <v>276</v>
      </c>
      <c r="C2589" t="s">
        <v>91</v>
      </c>
      <c r="D2589" t="s">
        <v>92</v>
      </c>
      <c r="E2589" t="s">
        <v>66</v>
      </c>
      <c r="F2589" s="1" t="s">
        <v>48</v>
      </c>
      <c r="G2589" s="2">
        <v>108.05</v>
      </c>
      <c r="H2589">
        <v>108.05</v>
      </c>
      <c r="I2589">
        <v>108.25473700000001</v>
      </c>
      <c r="J2589">
        <v>140.05000000000001</v>
      </c>
      <c r="K2589">
        <v>14</v>
      </c>
      <c r="L2589" s="2">
        <v>13</v>
      </c>
      <c r="M2589">
        <v>59</v>
      </c>
      <c r="N2589" s="2">
        <v>57</v>
      </c>
      <c r="O2589">
        <v>6170.52</v>
      </c>
      <c r="P2589">
        <v>5</v>
      </c>
      <c r="Q2589">
        <v>52</v>
      </c>
      <c r="R2589">
        <v>8.6300000000000008</v>
      </c>
      <c r="S2589">
        <v>11</v>
      </c>
      <c r="T2589">
        <v>16</v>
      </c>
      <c r="U2589" s="2">
        <v>2240.8000000000002</v>
      </c>
      <c r="V2589">
        <v>0</v>
      </c>
      <c r="W2589" t="s">
        <v>29</v>
      </c>
      <c r="X2589" t="str">
        <f>IF(Table2[[#This Row],[Qty available]]&gt;Table2[[#This Row],[Qty on hand]],"Check","OK")</f>
        <v>OK</v>
      </c>
    </row>
    <row r="2590" spans="1:24" x14ac:dyDescent="0.3">
      <c r="A2590" t="s">
        <v>275</v>
      </c>
      <c r="B2590" t="s">
        <v>276</v>
      </c>
      <c r="C2590" t="s">
        <v>91</v>
      </c>
      <c r="D2590" t="s">
        <v>92</v>
      </c>
      <c r="E2590" t="s">
        <v>66</v>
      </c>
      <c r="F2590" s="1" t="s">
        <v>49</v>
      </c>
      <c r="G2590" s="2">
        <v>108.15</v>
      </c>
      <c r="H2590">
        <v>108.15</v>
      </c>
      <c r="I2590">
        <v>108.22745500000001</v>
      </c>
      <c r="J2590">
        <v>140.05000000000001</v>
      </c>
      <c r="K2590">
        <v>14</v>
      </c>
      <c r="L2590" s="2">
        <v>21</v>
      </c>
      <c r="M2590">
        <v>20</v>
      </c>
      <c r="N2590" s="2">
        <v>55</v>
      </c>
      <c r="O2590">
        <v>5952.51</v>
      </c>
      <c r="P2590">
        <v>2</v>
      </c>
      <c r="Q2590">
        <v>53</v>
      </c>
      <c r="R2590">
        <v>9.27</v>
      </c>
      <c r="S2590">
        <v>1</v>
      </c>
      <c r="T2590">
        <v>22</v>
      </c>
      <c r="U2590" s="2">
        <v>3081.1</v>
      </c>
      <c r="V2590">
        <v>0</v>
      </c>
      <c r="W2590" t="s">
        <v>29</v>
      </c>
      <c r="X2590" t="str">
        <f>IF(Table2[[#This Row],[Qty available]]&gt;Table2[[#This Row],[Qty on hand]],"Check","OK")</f>
        <v>OK</v>
      </c>
    </row>
    <row r="2591" spans="1:24" x14ac:dyDescent="0.3">
      <c r="A2591" t="s">
        <v>275</v>
      </c>
      <c r="B2591" t="s">
        <v>276</v>
      </c>
      <c r="C2591" t="s">
        <v>91</v>
      </c>
      <c r="D2591" t="s">
        <v>92</v>
      </c>
      <c r="E2591" t="s">
        <v>66</v>
      </c>
      <c r="F2591" s="1" t="s">
        <v>50</v>
      </c>
      <c r="G2591" s="2">
        <v>109.82</v>
      </c>
      <c r="H2591">
        <v>109.82</v>
      </c>
      <c r="I2591">
        <v>108.725238</v>
      </c>
      <c r="J2591">
        <v>140.05000000000001</v>
      </c>
      <c r="K2591">
        <v>14</v>
      </c>
      <c r="L2591" s="2">
        <v>13</v>
      </c>
      <c r="M2591">
        <v>25</v>
      </c>
      <c r="N2591" s="2">
        <v>42</v>
      </c>
      <c r="O2591">
        <v>4566.46</v>
      </c>
      <c r="P2591">
        <v>6</v>
      </c>
      <c r="Q2591">
        <v>36</v>
      </c>
      <c r="R2591">
        <v>7.18</v>
      </c>
      <c r="S2591">
        <v>2</v>
      </c>
      <c r="T2591">
        <v>38</v>
      </c>
      <c r="U2591" s="2">
        <v>5321.9</v>
      </c>
      <c r="V2591">
        <v>0</v>
      </c>
      <c r="W2591" t="s">
        <v>29</v>
      </c>
      <c r="X2591" t="str">
        <f>IF(Table2[[#This Row],[Qty available]]&gt;Table2[[#This Row],[Qty on hand]],"Check","OK")</f>
        <v>OK</v>
      </c>
    </row>
    <row r="2592" spans="1:24" x14ac:dyDescent="0.3">
      <c r="A2592" t="s">
        <v>275</v>
      </c>
      <c r="B2592" t="s">
        <v>276</v>
      </c>
      <c r="C2592" t="s">
        <v>91</v>
      </c>
      <c r="D2592" t="s">
        <v>92</v>
      </c>
      <c r="E2592" t="s">
        <v>66</v>
      </c>
      <c r="F2592" s="1" t="s">
        <v>51</v>
      </c>
      <c r="G2592" s="2">
        <v>108.49</v>
      </c>
      <c r="H2592">
        <v>108.49</v>
      </c>
      <c r="I2592">
        <v>108.61196099999999</v>
      </c>
      <c r="J2592">
        <v>140.05000000000001</v>
      </c>
      <c r="K2592">
        <v>14</v>
      </c>
      <c r="L2592" s="2">
        <v>16</v>
      </c>
      <c r="M2592">
        <v>39</v>
      </c>
      <c r="N2592" s="2">
        <v>51</v>
      </c>
      <c r="O2592">
        <v>5539.21</v>
      </c>
      <c r="P2592">
        <v>7</v>
      </c>
      <c r="Q2592">
        <v>44</v>
      </c>
      <c r="R2592">
        <v>7.45</v>
      </c>
      <c r="S2592">
        <v>7</v>
      </c>
      <c r="T2592">
        <v>30</v>
      </c>
      <c r="U2592" s="2">
        <v>4201.5</v>
      </c>
      <c r="V2592">
        <v>0</v>
      </c>
      <c r="W2592" t="s">
        <v>29</v>
      </c>
      <c r="X2592" t="str">
        <f>IF(Table2[[#This Row],[Qty available]]&gt;Table2[[#This Row],[Qty on hand]],"Check","OK")</f>
        <v>OK</v>
      </c>
    </row>
    <row r="2593" spans="1:24" x14ac:dyDescent="0.3">
      <c r="A2593" t="s">
        <v>275</v>
      </c>
      <c r="B2593" t="s">
        <v>276</v>
      </c>
      <c r="C2593" t="s">
        <v>91</v>
      </c>
      <c r="D2593" t="s">
        <v>92</v>
      </c>
      <c r="E2593" t="s">
        <v>66</v>
      </c>
      <c r="F2593" s="1" t="s">
        <v>52</v>
      </c>
      <c r="G2593" s="2">
        <v>108.05</v>
      </c>
      <c r="H2593">
        <v>108.05</v>
      </c>
      <c r="I2593">
        <v>108.45359000000001</v>
      </c>
      <c r="J2593">
        <v>140.05000000000001</v>
      </c>
      <c r="K2593">
        <v>14</v>
      </c>
      <c r="L2593" s="2">
        <v>14</v>
      </c>
      <c r="M2593">
        <v>20</v>
      </c>
      <c r="N2593" s="2">
        <v>39</v>
      </c>
      <c r="O2593">
        <v>4229.6899999999996</v>
      </c>
      <c r="P2593">
        <v>3</v>
      </c>
      <c r="Q2593">
        <v>36</v>
      </c>
      <c r="R2593">
        <v>5.13</v>
      </c>
      <c r="S2593">
        <v>1</v>
      </c>
      <c r="T2593">
        <v>32</v>
      </c>
      <c r="U2593" s="2">
        <v>4481.6000000000004</v>
      </c>
      <c r="V2593">
        <v>0</v>
      </c>
      <c r="W2593" t="s">
        <v>29</v>
      </c>
      <c r="X2593" t="str">
        <f>IF(Table2[[#This Row],[Qty available]]&gt;Table2[[#This Row],[Qty on hand]],"Check","OK")</f>
        <v>OK</v>
      </c>
    </row>
    <row r="2594" spans="1:24" x14ac:dyDescent="0.3">
      <c r="A2594" t="s">
        <v>277</v>
      </c>
      <c r="B2594" t="s">
        <v>278</v>
      </c>
      <c r="C2594" t="s">
        <v>69</v>
      </c>
      <c r="D2594" t="s">
        <v>70</v>
      </c>
      <c r="E2594" t="s">
        <v>66</v>
      </c>
      <c r="F2594" s="1" t="s">
        <v>28</v>
      </c>
      <c r="G2594" s="2">
        <v>514.69000000000005</v>
      </c>
      <c r="H2594">
        <v>568.41999999999996</v>
      </c>
      <c r="I2594">
        <v>568.41999999999996</v>
      </c>
      <c r="J2594">
        <v>770.41</v>
      </c>
      <c r="K2594">
        <v>38</v>
      </c>
      <c r="L2594" s="2">
        <v>45</v>
      </c>
      <c r="M2594">
        <v>47</v>
      </c>
      <c r="N2594" s="2">
        <v>34</v>
      </c>
      <c r="O2594">
        <v>19326.28</v>
      </c>
      <c r="P2594">
        <v>2</v>
      </c>
      <c r="Q2594">
        <v>32</v>
      </c>
      <c r="R2594">
        <v>4.6100000000000003</v>
      </c>
      <c r="S2594">
        <v>1</v>
      </c>
      <c r="T2594">
        <v>13</v>
      </c>
      <c r="U2594" s="2">
        <v>10015.33</v>
      </c>
      <c r="V2594">
        <v>0</v>
      </c>
      <c r="W2594" t="s">
        <v>29</v>
      </c>
      <c r="X2594" t="str">
        <f>IF(Table2[[#This Row],[Qty available]]&gt;Table2[[#This Row],[Qty on hand]],"Check","OK")</f>
        <v>OK</v>
      </c>
    </row>
    <row r="2595" spans="1:24" x14ac:dyDescent="0.3">
      <c r="A2595" t="s">
        <v>277</v>
      </c>
      <c r="B2595" t="s">
        <v>278</v>
      </c>
      <c r="C2595" t="s">
        <v>69</v>
      </c>
      <c r="D2595" t="s">
        <v>70</v>
      </c>
      <c r="E2595" t="s">
        <v>66</v>
      </c>
      <c r="F2595" s="1" t="s">
        <v>30</v>
      </c>
      <c r="G2595" s="2">
        <v>517.9</v>
      </c>
      <c r="H2595">
        <v>571.97</v>
      </c>
      <c r="I2595">
        <v>570.02333299999998</v>
      </c>
      <c r="J2595">
        <v>770.41</v>
      </c>
      <c r="K2595">
        <v>38</v>
      </c>
      <c r="L2595" s="2">
        <v>49</v>
      </c>
      <c r="M2595">
        <v>28</v>
      </c>
      <c r="N2595" s="2">
        <v>18</v>
      </c>
      <c r="O2595">
        <v>10260.42</v>
      </c>
      <c r="P2595">
        <v>4</v>
      </c>
      <c r="Q2595">
        <v>14</v>
      </c>
      <c r="R2595">
        <v>2.21</v>
      </c>
      <c r="S2595">
        <v>2</v>
      </c>
      <c r="T2595">
        <v>44</v>
      </c>
      <c r="U2595" s="2">
        <v>33898.04</v>
      </c>
      <c r="V2595">
        <v>0</v>
      </c>
      <c r="W2595" t="s">
        <v>29</v>
      </c>
      <c r="X2595" t="str">
        <f>IF(Table2[[#This Row],[Qty available]]&gt;Table2[[#This Row],[Qty on hand]],"Check","OK")</f>
        <v>OK</v>
      </c>
    </row>
    <row r="2596" spans="1:24" x14ac:dyDescent="0.3">
      <c r="A2596" t="s">
        <v>277</v>
      </c>
      <c r="B2596" t="s">
        <v>278</v>
      </c>
      <c r="C2596" t="s">
        <v>69</v>
      </c>
      <c r="D2596" t="s">
        <v>70</v>
      </c>
      <c r="E2596" t="s">
        <v>66</v>
      </c>
      <c r="F2596" s="1" t="s">
        <v>31</v>
      </c>
      <c r="G2596" s="2">
        <v>504.89</v>
      </c>
      <c r="H2596">
        <v>557.6</v>
      </c>
      <c r="I2596">
        <v>562.07228599999996</v>
      </c>
      <c r="J2596">
        <v>770.41</v>
      </c>
      <c r="K2596">
        <v>38</v>
      </c>
      <c r="L2596" s="2">
        <v>59</v>
      </c>
      <c r="M2596">
        <v>32</v>
      </c>
      <c r="N2596" s="2">
        <v>35</v>
      </c>
      <c r="O2596">
        <v>19672.53</v>
      </c>
      <c r="P2596">
        <v>8</v>
      </c>
      <c r="Q2596">
        <v>27</v>
      </c>
      <c r="R2596">
        <v>6.32</v>
      </c>
      <c r="S2596">
        <v>5</v>
      </c>
      <c r="T2596">
        <v>15</v>
      </c>
      <c r="U2596" s="2">
        <v>11556.15</v>
      </c>
      <c r="V2596">
        <v>0</v>
      </c>
      <c r="W2596" t="s">
        <v>29</v>
      </c>
      <c r="X2596" t="str">
        <f>IF(Table2[[#This Row],[Qty available]]&gt;Table2[[#This Row],[Qty on hand]],"Check","OK")</f>
        <v>OK</v>
      </c>
    </row>
    <row r="2597" spans="1:24" x14ac:dyDescent="0.3">
      <c r="A2597" t="s">
        <v>277</v>
      </c>
      <c r="B2597" t="s">
        <v>278</v>
      </c>
      <c r="C2597" t="s">
        <v>69</v>
      </c>
      <c r="D2597" t="s">
        <v>70</v>
      </c>
      <c r="E2597" t="s">
        <v>66</v>
      </c>
      <c r="F2597" s="1" t="s">
        <v>32</v>
      </c>
      <c r="G2597" s="2">
        <v>518.42999999999995</v>
      </c>
      <c r="H2597">
        <v>572.54999999999995</v>
      </c>
      <c r="I2597">
        <v>566.82000000000005</v>
      </c>
      <c r="J2597">
        <v>770.41</v>
      </c>
      <c r="K2597">
        <v>38</v>
      </c>
      <c r="L2597" s="2">
        <v>35</v>
      </c>
      <c r="M2597">
        <v>29</v>
      </c>
      <c r="N2597" s="2">
        <v>17</v>
      </c>
      <c r="O2597">
        <v>9635.94</v>
      </c>
      <c r="P2597">
        <v>2</v>
      </c>
      <c r="Q2597">
        <v>15</v>
      </c>
      <c r="R2597">
        <v>2.11</v>
      </c>
      <c r="S2597">
        <v>3</v>
      </c>
      <c r="T2597">
        <v>47</v>
      </c>
      <c r="U2597" s="2">
        <v>36209.269999999997</v>
      </c>
      <c r="V2597">
        <v>0</v>
      </c>
      <c r="W2597" t="s">
        <v>29</v>
      </c>
      <c r="X2597" t="str">
        <f>IF(Table2[[#This Row],[Qty available]]&gt;Table2[[#This Row],[Qty on hand]],"Check","OK")</f>
        <v>OK</v>
      </c>
    </row>
    <row r="2598" spans="1:24" x14ac:dyDescent="0.3">
      <c r="A2598" t="s">
        <v>277</v>
      </c>
      <c r="B2598" t="s">
        <v>278</v>
      </c>
      <c r="C2598" t="s">
        <v>69</v>
      </c>
      <c r="D2598" t="s">
        <v>70</v>
      </c>
      <c r="E2598" t="s">
        <v>66</v>
      </c>
      <c r="F2598" s="1" t="s">
        <v>33</v>
      </c>
      <c r="G2598" s="2">
        <v>527.27</v>
      </c>
      <c r="H2598">
        <v>582.30999999999995</v>
      </c>
      <c r="I2598">
        <v>566.82000000000005</v>
      </c>
      <c r="J2598">
        <v>770.41</v>
      </c>
      <c r="K2598">
        <v>38</v>
      </c>
      <c r="M2598">
        <v>0</v>
      </c>
      <c r="N2598" s="2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17</v>
      </c>
      <c r="U2598" s="2">
        <v>13096.97</v>
      </c>
      <c r="V2598">
        <v>10</v>
      </c>
      <c r="W2598" t="s">
        <v>59</v>
      </c>
      <c r="X2598" t="str">
        <f>IF(Table2[[#This Row],[Qty available]]&gt;Table2[[#This Row],[Qty on hand]],"Check","OK")</f>
        <v>OK</v>
      </c>
    </row>
    <row r="2599" spans="1:24" x14ac:dyDescent="0.3">
      <c r="A2599" t="s">
        <v>277</v>
      </c>
      <c r="B2599" t="s">
        <v>278</v>
      </c>
      <c r="C2599" t="s">
        <v>69</v>
      </c>
      <c r="D2599" t="s">
        <v>70</v>
      </c>
      <c r="E2599" t="s">
        <v>66</v>
      </c>
      <c r="F2599" s="1" t="s">
        <v>34</v>
      </c>
      <c r="G2599" s="2">
        <v>530.96</v>
      </c>
      <c r="H2599">
        <v>586.39</v>
      </c>
      <c r="I2599">
        <v>586.39</v>
      </c>
      <c r="J2599">
        <v>810.81</v>
      </c>
      <c r="K2599">
        <v>38</v>
      </c>
      <c r="L2599" s="2">
        <v>38</v>
      </c>
      <c r="M2599">
        <v>70</v>
      </c>
      <c r="N2599" s="2">
        <v>51</v>
      </c>
      <c r="O2599">
        <v>29905.89</v>
      </c>
      <c r="P2599">
        <v>8</v>
      </c>
      <c r="Q2599">
        <v>43</v>
      </c>
      <c r="R2599">
        <v>7.9</v>
      </c>
      <c r="S2599">
        <v>1</v>
      </c>
      <c r="T2599">
        <v>19</v>
      </c>
      <c r="U2599" s="2">
        <v>15405.39</v>
      </c>
      <c r="V2599">
        <v>0</v>
      </c>
      <c r="W2599" t="s">
        <v>29</v>
      </c>
      <c r="X2599" t="str">
        <f>IF(Table2[[#This Row],[Qty available]]&gt;Table2[[#This Row],[Qty on hand]],"Check","OK")</f>
        <v>OK</v>
      </c>
    </row>
    <row r="2600" spans="1:24" x14ac:dyDescent="0.3">
      <c r="A2600" t="s">
        <v>277</v>
      </c>
      <c r="B2600" t="s">
        <v>278</v>
      </c>
      <c r="C2600" t="s">
        <v>69</v>
      </c>
      <c r="D2600" t="s">
        <v>70</v>
      </c>
      <c r="E2600" t="s">
        <v>66</v>
      </c>
      <c r="F2600" s="1" t="s">
        <v>35</v>
      </c>
      <c r="G2600" s="2">
        <v>536.4</v>
      </c>
      <c r="H2600">
        <v>592.4</v>
      </c>
      <c r="I2600">
        <v>588.31321400000002</v>
      </c>
      <c r="J2600">
        <v>810.81</v>
      </c>
      <c r="K2600">
        <v>38</v>
      </c>
      <c r="L2600" s="2">
        <v>36</v>
      </c>
      <c r="M2600">
        <v>24</v>
      </c>
      <c r="N2600" s="2">
        <v>56</v>
      </c>
      <c r="O2600">
        <v>32945.54</v>
      </c>
      <c r="P2600">
        <v>5</v>
      </c>
      <c r="Q2600">
        <v>51</v>
      </c>
      <c r="R2600">
        <v>13.09</v>
      </c>
      <c r="S2600">
        <v>2</v>
      </c>
      <c r="T2600">
        <v>19</v>
      </c>
      <c r="U2600" s="2">
        <v>15405.39</v>
      </c>
      <c r="V2600">
        <v>0</v>
      </c>
      <c r="W2600" t="s">
        <v>29</v>
      </c>
      <c r="X2600" t="str">
        <f>IF(Table2[[#This Row],[Qty available]]&gt;Table2[[#This Row],[Qty on hand]],"Check","OK")</f>
        <v>OK</v>
      </c>
    </row>
    <row r="2601" spans="1:24" x14ac:dyDescent="0.3">
      <c r="A2601" t="s">
        <v>277</v>
      </c>
      <c r="B2601" t="s">
        <v>278</v>
      </c>
      <c r="C2601" t="s">
        <v>69</v>
      </c>
      <c r="D2601" t="s">
        <v>70</v>
      </c>
      <c r="E2601" t="s">
        <v>66</v>
      </c>
      <c r="F2601" s="1" t="s">
        <v>36</v>
      </c>
      <c r="G2601" s="2">
        <v>537.30999999999995</v>
      </c>
      <c r="H2601">
        <v>593.4</v>
      </c>
      <c r="I2601">
        <v>588.31326100000001</v>
      </c>
      <c r="J2601">
        <v>810.81</v>
      </c>
      <c r="K2601">
        <v>38</v>
      </c>
      <c r="M2601">
        <v>0</v>
      </c>
      <c r="N2601" s="2">
        <v>46</v>
      </c>
      <c r="O2601">
        <v>27062.41</v>
      </c>
      <c r="P2601">
        <v>3</v>
      </c>
      <c r="Q2601">
        <v>43</v>
      </c>
      <c r="R2601">
        <v>12.18</v>
      </c>
      <c r="S2601">
        <v>1</v>
      </c>
      <c r="T2601">
        <v>10</v>
      </c>
      <c r="U2601" s="2">
        <v>8108.1</v>
      </c>
      <c r="V2601">
        <v>0</v>
      </c>
      <c r="W2601" t="s">
        <v>29</v>
      </c>
      <c r="X2601" t="str">
        <f>IF(Table2[[#This Row],[Qty available]]&gt;Table2[[#This Row],[Qty on hand]],"Check","OK")</f>
        <v>OK</v>
      </c>
    </row>
    <row r="2602" spans="1:24" x14ac:dyDescent="0.3">
      <c r="A2602" t="s">
        <v>277</v>
      </c>
      <c r="B2602" t="s">
        <v>278</v>
      </c>
      <c r="C2602" t="s">
        <v>69</v>
      </c>
      <c r="D2602" t="s">
        <v>70</v>
      </c>
      <c r="E2602" t="s">
        <v>66</v>
      </c>
      <c r="F2602" s="1" t="s">
        <v>37</v>
      </c>
      <c r="G2602" s="2">
        <v>523.94000000000005</v>
      </c>
      <c r="H2602">
        <v>578.64</v>
      </c>
      <c r="I2602">
        <v>583.69652199999996</v>
      </c>
      <c r="J2602">
        <v>810.81</v>
      </c>
      <c r="K2602">
        <v>38</v>
      </c>
      <c r="L2602" s="2">
        <v>43</v>
      </c>
      <c r="M2602">
        <v>42</v>
      </c>
      <c r="N2602" s="2">
        <v>69</v>
      </c>
      <c r="O2602">
        <v>40275.06</v>
      </c>
      <c r="P2602">
        <v>8</v>
      </c>
      <c r="Q2602">
        <v>61</v>
      </c>
      <c r="R2602">
        <v>18.89</v>
      </c>
      <c r="S2602">
        <v>16</v>
      </c>
      <c r="T2602">
        <v>19</v>
      </c>
      <c r="U2602" s="2">
        <v>15405.39</v>
      </c>
      <c r="V2602">
        <v>0</v>
      </c>
      <c r="W2602" t="s">
        <v>29</v>
      </c>
      <c r="X2602" t="str">
        <f>IF(Table2[[#This Row],[Qty available]]&gt;Table2[[#This Row],[Qty on hand]],"Check","OK")</f>
        <v>OK</v>
      </c>
    </row>
    <row r="2603" spans="1:24" x14ac:dyDescent="0.3">
      <c r="A2603" t="s">
        <v>277</v>
      </c>
      <c r="B2603" t="s">
        <v>278</v>
      </c>
      <c r="C2603" t="s">
        <v>69</v>
      </c>
      <c r="D2603" t="s">
        <v>70</v>
      </c>
      <c r="E2603" t="s">
        <v>66</v>
      </c>
      <c r="F2603" s="1" t="s">
        <v>38</v>
      </c>
      <c r="G2603" s="2">
        <v>535.86</v>
      </c>
      <c r="H2603">
        <v>591.79999999999995</v>
      </c>
      <c r="I2603">
        <v>585.78779399999996</v>
      </c>
      <c r="J2603">
        <v>810.81</v>
      </c>
      <c r="K2603">
        <v>38</v>
      </c>
      <c r="L2603" s="2">
        <v>36</v>
      </c>
      <c r="M2603">
        <v>24</v>
      </c>
      <c r="N2603" s="2">
        <v>68</v>
      </c>
      <c r="O2603">
        <v>39833.57</v>
      </c>
      <c r="P2603">
        <v>8</v>
      </c>
      <c r="Q2603">
        <v>60</v>
      </c>
      <c r="R2603">
        <v>16.37</v>
      </c>
      <c r="S2603">
        <v>6</v>
      </c>
      <c r="T2603">
        <v>25</v>
      </c>
      <c r="U2603" s="2">
        <v>20270.25</v>
      </c>
      <c r="V2603">
        <v>0</v>
      </c>
      <c r="W2603" t="s">
        <v>29</v>
      </c>
      <c r="X2603" t="str">
        <f>IF(Table2[[#This Row],[Qty available]]&gt;Table2[[#This Row],[Qty on hand]],"Check","OK")</f>
        <v>OK</v>
      </c>
    </row>
    <row r="2604" spans="1:24" x14ac:dyDescent="0.3">
      <c r="A2604" t="s">
        <v>277</v>
      </c>
      <c r="B2604" t="s">
        <v>278</v>
      </c>
      <c r="C2604" t="s">
        <v>69</v>
      </c>
      <c r="D2604" t="s">
        <v>70</v>
      </c>
      <c r="E2604" t="s">
        <v>66</v>
      </c>
      <c r="F2604" s="1" t="s">
        <v>39</v>
      </c>
      <c r="G2604" s="2">
        <v>517.75</v>
      </c>
      <c r="H2604">
        <v>571.79999999999995</v>
      </c>
      <c r="I2604">
        <v>585.78764699999999</v>
      </c>
      <c r="J2604">
        <v>810.81</v>
      </c>
      <c r="K2604">
        <v>38</v>
      </c>
      <c r="M2604">
        <v>0</v>
      </c>
      <c r="N2604" s="2">
        <v>34</v>
      </c>
      <c r="O2604">
        <v>19916.78</v>
      </c>
      <c r="P2604">
        <v>5</v>
      </c>
      <c r="Q2604">
        <v>29</v>
      </c>
      <c r="R2604">
        <v>5.73</v>
      </c>
      <c r="S2604">
        <v>0</v>
      </c>
      <c r="T2604">
        <v>34</v>
      </c>
      <c r="U2604" s="2">
        <v>27567.54</v>
      </c>
      <c r="V2604">
        <v>0</v>
      </c>
      <c r="W2604" t="s">
        <v>29</v>
      </c>
      <c r="X2604" t="str">
        <f>IF(Table2[[#This Row],[Qty available]]&gt;Table2[[#This Row],[Qty on hand]],"Check","OK")</f>
        <v>OK</v>
      </c>
    </row>
    <row r="2605" spans="1:24" x14ac:dyDescent="0.3">
      <c r="A2605" t="s">
        <v>277</v>
      </c>
      <c r="B2605" t="s">
        <v>278</v>
      </c>
      <c r="C2605" t="s">
        <v>69</v>
      </c>
      <c r="D2605" t="s">
        <v>70</v>
      </c>
      <c r="E2605" t="s">
        <v>66</v>
      </c>
      <c r="F2605" s="1" t="s">
        <v>40</v>
      </c>
      <c r="G2605" s="2">
        <v>521.54999999999995</v>
      </c>
      <c r="H2605">
        <v>576</v>
      </c>
      <c r="I2605">
        <v>585.78714300000001</v>
      </c>
      <c r="J2605">
        <v>810.81</v>
      </c>
      <c r="K2605">
        <v>38</v>
      </c>
      <c r="M2605">
        <v>0</v>
      </c>
      <c r="N2605" s="2">
        <v>7</v>
      </c>
      <c r="O2605">
        <v>4100.51</v>
      </c>
      <c r="P2605">
        <v>5</v>
      </c>
      <c r="Q2605">
        <v>2</v>
      </c>
      <c r="R2605">
        <v>1.07</v>
      </c>
      <c r="S2605">
        <v>7</v>
      </c>
      <c r="T2605">
        <v>27</v>
      </c>
      <c r="U2605" s="2">
        <v>21891.87</v>
      </c>
      <c r="V2605">
        <v>0</v>
      </c>
      <c r="W2605" t="s">
        <v>29</v>
      </c>
      <c r="X2605" t="str">
        <f>IF(Table2[[#This Row],[Qty available]]&gt;Table2[[#This Row],[Qty on hand]],"Check","OK")</f>
        <v>OK</v>
      </c>
    </row>
    <row r="2606" spans="1:24" x14ac:dyDescent="0.3">
      <c r="A2606" t="s">
        <v>277</v>
      </c>
      <c r="B2606" t="s">
        <v>278</v>
      </c>
      <c r="C2606" t="s">
        <v>69</v>
      </c>
      <c r="D2606" t="s">
        <v>70</v>
      </c>
      <c r="E2606" t="s">
        <v>66</v>
      </c>
      <c r="F2606" s="1" t="s">
        <v>41</v>
      </c>
      <c r="G2606" s="2">
        <v>527.41</v>
      </c>
      <c r="H2606">
        <v>582.47</v>
      </c>
      <c r="I2606">
        <v>582.90806499999997</v>
      </c>
      <c r="J2606">
        <v>810.81</v>
      </c>
      <c r="K2606">
        <v>38</v>
      </c>
      <c r="L2606" s="2">
        <v>33</v>
      </c>
      <c r="M2606">
        <v>46</v>
      </c>
      <c r="N2606" s="2">
        <v>31</v>
      </c>
      <c r="O2606">
        <v>18070.150000000001</v>
      </c>
      <c r="P2606">
        <v>2</v>
      </c>
      <c r="Q2606">
        <v>29</v>
      </c>
      <c r="R2606">
        <v>4.91</v>
      </c>
      <c r="S2606">
        <v>0</v>
      </c>
      <c r="T2606">
        <v>22</v>
      </c>
      <c r="U2606" s="2">
        <v>17837.82</v>
      </c>
      <c r="V2606">
        <v>0</v>
      </c>
      <c r="W2606" t="s">
        <v>29</v>
      </c>
      <c r="X2606" t="str">
        <f>IF(Table2[[#This Row],[Qty available]]&gt;Table2[[#This Row],[Qty on hand]],"Check","OK")</f>
        <v>OK</v>
      </c>
    </row>
    <row r="2607" spans="1:24" x14ac:dyDescent="0.3">
      <c r="A2607" t="s">
        <v>277</v>
      </c>
      <c r="B2607" t="s">
        <v>278</v>
      </c>
      <c r="C2607" t="s">
        <v>69</v>
      </c>
      <c r="D2607" t="s">
        <v>70</v>
      </c>
      <c r="E2607" t="s">
        <v>66</v>
      </c>
      <c r="F2607" s="1" t="s">
        <v>42</v>
      </c>
      <c r="G2607" s="2">
        <v>524.78</v>
      </c>
      <c r="H2607">
        <v>579.55999999999995</v>
      </c>
      <c r="I2607">
        <v>580.85730799999999</v>
      </c>
      <c r="J2607">
        <v>810.81</v>
      </c>
      <c r="K2607">
        <v>38</v>
      </c>
      <c r="L2607" s="2">
        <v>34</v>
      </c>
      <c r="M2607">
        <v>49</v>
      </c>
      <c r="N2607" s="2">
        <v>52</v>
      </c>
      <c r="O2607">
        <v>30204.58</v>
      </c>
      <c r="P2607">
        <v>7</v>
      </c>
      <c r="Q2607">
        <v>45</v>
      </c>
      <c r="R2607">
        <v>8.8800000000000008</v>
      </c>
      <c r="S2607">
        <v>10</v>
      </c>
      <c r="T2607">
        <v>28</v>
      </c>
      <c r="U2607" s="2">
        <v>22702.68</v>
      </c>
      <c r="V2607">
        <v>0</v>
      </c>
      <c r="W2607" t="s">
        <v>29</v>
      </c>
      <c r="X2607" t="str">
        <f>IF(Table2[[#This Row],[Qty available]]&gt;Table2[[#This Row],[Qty on hand]],"Check","OK")</f>
        <v>OK</v>
      </c>
    </row>
    <row r="2608" spans="1:24" x14ac:dyDescent="0.3">
      <c r="A2608" t="s">
        <v>277</v>
      </c>
      <c r="B2608" t="s">
        <v>278</v>
      </c>
      <c r="C2608" t="s">
        <v>69</v>
      </c>
      <c r="D2608" t="s">
        <v>70</v>
      </c>
      <c r="E2608" t="s">
        <v>66</v>
      </c>
      <c r="F2608" s="1" t="s">
        <v>43</v>
      </c>
      <c r="G2608" s="2">
        <v>520.74</v>
      </c>
      <c r="H2608">
        <v>575.1</v>
      </c>
      <c r="I2608">
        <v>579.03926799999999</v>
      </c>
      <c r="J2608">
        <v>810.81</v>
      </c>
      <c r="K2608">
        <v>38</v>
      </c>
      <c r="L2608" s="2">
        <v>37</v>
      </c>
      <c r="M2608">
        <v>24</v>
      </c>
      <c r="N2608" s="2">
        <v>41</v>
      </c>
      <c r="O2608">
        <v>23740.61</v>
      </c>
      <c r="P2608">
        <v>5</v>
      </c>
      <c r="Q2608">
        <v>36</v>
      </c>
      <c r="R2608">
        <v>6.27</v>
      </c>
      <c r="S2608">
        <v>8</v>
      </c>
      <c r="T2608">
        <v>35</v>
      </c>
      <c r="U2608" s="2">
        <v>28378.35</v>
      </c>
      <c r="V2608">
        <v>0</v>
      </c>
      <c r="W2608" t="s">
        <v>29</v>
      </c>
      <c r="X2608" t="str">
        <f>IF(Table2[[#This Row],[Qty available]]&gt;Table2[[#This Row],[Qty on hand]],"Check","OK")</f>
        <v>OK</v>
      </c>
    </row>
    <row r="2609" spans="1:24" x14ac:dyDescent="0.3">
      <c r="A2609" t="s">
        <v>277</v>
      </c>
      <c r="B2609" t="s">
        <v>278</v>
      </c>
      <c r="C2609" t="s">
        <v>69</v>
      </c>
      <c r="D2609" t="s">
        <v>70</v>
      </c>
      <c r="E2609" t="s">
        <v>66</v>
      </c>
      <c r="F2609" s="1" t="s">
        <v>44</v>
      </c>
      <c r="G2609" s="2">
        <v>539.65</v>
      </c>
      <c r="H2609">
        <v>595.99</v>
      </c>
      <c r="I2609">
        <v>585.29806499999995</v>
      </c>
      <c r="J2609">
        <v>810.81</v>
      </c>
      <c r="K2609">
        <v>38</v>
      </c>
      <c r="L2609" s="2">
        <v>34</v>
      </c>
      <c r="M2609">
        <v>24</v>
      </c>
      <c r="N2609" s="2">
        <v>31</v>
      </c>
      <c r="O2609">
        <v>18144.240000000002</v>
      </c>
      <c r="P2609">
        <v>8</v>
      </c>
      <c r="Q2609">
        <v>23</v>
      </c>
      <c r="R2609">
        <v>4.2</v>
      </c>
      <c r="S2609">
        <v>0</v>
      </c>
      <c r="T2609">
        <v>34</v>
      </c>
      <c r="U2609" s="2">
        <v>27567.54</v>
      </c>
      <c r="V2609">
        <v>0</v>
      </c>
      <c r="W2609" t="s">
        <v>29</v>
      </c>
      <c r="X2609" t="str">
        <f>IF(Table2[[#This Row],[Qty available]]&gt;Table2[[#This Row],[Qty on hand]],"Check","OK")</f>
        <v>OK</v>
      </c>
    </row>
    <row r="2610" spans="1:24" x14ac:dyDescent="0.3">
      <c r="A2610" t="s">
        <v>277</v>
      </c>
      <c r="B2610" t="s">
        <v>278</v>
      </c>
      <c r="C2610" t="s">
        <v>69</v>
      </c>
      <c r="D2610" t="s">
        <v>70</v>
      </c>
      <c r="E2610" t="s">
        <v>66</v>
      </c>
      <c r="F2610" s="1" t="s">
        <v>45</v>
      </c>
      <c r="G2610" s="2">
        <v>533.80999999999995</v>
      </c>
      <c r="H2610">
        <v>589.54</v>
      </c>
      <c r="I2610">
        <v>587.31130399999995</v>
      </c>
      <c r="J2610">
        <v>810.81</v>
      </c>
      <c r="K2610">
        <v>38</v>
      </c>
      <c r="L2610" s="2">
        <v>33</v>
      </c>
      <c r="M2610">
        <v>28</v>
      </c>
      <c r="N2610" s="2">
        <v>23</v>
      </c>
      <c r="O2610">
        <v>13508.16</v>
      </c>
      <c r="P2610">
        <v>2</v>
      </c>
      <c r="Q2610">
        <v>21</v>
      </c>
      <c r="R2610">
        <v>2.88</v>
      </c>
      <c r="S2610">
        <v>8</v>
      </c>
      <c r="T2610">
        <v>36</v>
      </c>
      <c r="U2610" s="2">
        <v>29189.16</v>
      </c>
      <c r="V2610">
        <v>0</v>
      </c>
      <c r="W2610" t="s">
        <v>29</v>
      </c>
      <c r="X2610" t="str">
        <f>IF(Table2[[#This Row],[Qty available]]&gt;Table2[[#This Row],[Qty on hand]],"Check","OK")</f>
        <v>OK</v>
      </c>
    </row>
    <row r="2611" spans="1:24" x14ac:dyDescent="0.3">
      <c r="A2611" t="s">
        <v>277</v>
      </c>
      <c r="B2611" t="s">
        <v>278</v>
      </c>
      <c r="C2611" t="s">
        <v>69</v>
      </c>
      <c r="D2611" t="s">
        <v>70</v>
      </c>
      <c r="E2611" t="s">
        <v>66</v>
      </c>
      <c r="F2611" s="1" t="s">
        <v>46</v>
      </c>
      <c r="G2611" s="2">
        <v>535.70000000000005</v>
      </c>
      <c r="H2611">
        <v>591.62</v>
      </c>
      <c r="I2611">
        <v>590.16264200000001</v>
      </c>
      <c r="J2611">
        <v>853.33</v>
      </c>
      <c r="K2611">
        <v>38</v>
      </c>
      <c r="L2611" s="2">
        <v>34</v>
      </c>
      <c r="M2611">
        <v>45</v>
      </c>
      <c r="N2611" s="2">
        <v>53</v>
      </c>
      <c r="O2611">
        <v>31278.62</v>
      </c>
      <c r="P2611">
        <v>2</v>
      </c>
      <c r="Q2611">
        <v>51</v>
      </c>
      <c r="R2611">
        <v>8.02</v>
      </c>
      <c r="S2611">
        <v>13</v>
      </c>
      <c r="T2611">
        <v>15</v>
      </c>
      <c r="U2611" s="2">
        <v>12799.95</v>
      </c>
      <c r="V2611">
        <v>0</v>
      </c>
      <c r="W2611" t="s">
        <v>29</v>
      </c>
      <c r="X2611" t="str">
        <f>IF(Table2[[#This Row],[Qty available]]&gt;Table2[[#This Row],[Qty on hand]],"Check","OK")</f>
        <v>OK</v>
      </c>
    </row>
    <row r="2612" spans="1:24" x14ac:dyDescent="0.3">
      <c r="A2612" t="s">
        <v>277</v>
      </c>
      <c r="B2612" t="s">
        <v>278</v>
      </c>
      <c r="C2612" t="s">
        <v>69</v>
      </c>
      <c r="D2612" t="s">
        <v>70</v>
      </c>
      <c r="E2612" t="s">
        <v>66</v>
      </c>
      <c r="F2612" s="1" t="s">
        <v>47</v>
      </c>
      <c r="G2612" s="2">
        <v>542.94000000000005</v>
      </c>
      <c r="H2612">
        <v>599.62</v>
      </c>
      <c r="I2612">
        <v>593.11040800000001</v>
      </c>
      <c r="J2612">
        <v>853.33</v>
      </c>
      <c r="K2612">
        <v>38</v>
      </c>
      <c r="L2612" s="2">
        <v>36</v>
      </c>
      <c r="M2612">
        <v>24</v>
      </c>
      <c r="N2612" s="2">
        <v>49</v>
      </c>
      <c r="O2612">
        <v>29062.41</v>
      </c>
      <c r="P2612">
        <v>6</v>
      </c>
      <c r="Q2612">
        <v>43</v>
      </c>
      <c r="R2612">
        <v>7.97</v>
      </c>
      <c r="S2612">
        <v>1</v>
      </c>
      <c r="T2612">
        <v>28</v>
      </c>
      <c r="U2612" s="2">
        <v>23893.24</v>
      </c>
      <c r="V2612">
        <v>0</v>
      </c>
      <c r="W2612" t="s">
        <v>29</v>
      </c>
      <c r="X2612" t="str">
        <f>IF(Table2[[#This Row],[Qty available]]&gt;Table2[[#This Row],[Qty on hand]],"Check","OK")</f>
        <v>OK</v>
      </c>
    </row>
    <row r="2613" spans="1:24" x14ac:dyDescent="0.3">
      <c r="A2613" t="s">
        <v>277</v>
      </c>
      <c r="B2613" t="s">
        <v>278</v>
      </c>
      <c r="C2613" t="s">
        <v>69</v>
      </c>
      <c r="D2613" t="s">
        <v>70</v>
      </c>
      <c r="E2613" t="s">
        <v>66</v>
      </c>
      <c r="F2613" s="1" t="s">
        <v>48</v>
      </c>
      <c r="G2613" s="2">
        <v>546.87</v>
      </c>
      <c r="H2613">
        <v>603.96</v>
      </c>
      <c r="I2613">
        <v>593.11030300000004</v>
      </c>
      <c r="J2613">
        <v>853.33</v>
      </c>
      <c r="K2613">
        <v>38</v>
      </c>
      <c r="M2613">
        <v>0</v>
      </c>
      <c r="N2613" s="2">
        <v>33</v>
      </c>
      <c r="O2613">
        <v>19572.64</v>
      </c>
      <c r="P2613">
        <v>2</v>
      </c>
      <c r="Q2613">
        <v>31</v>
      </c>
      <c r="R2613">
        <v>7.11</v>
      </c>
      <c r="S2613">
        <v>3</v>
      </c>
      <c r="T2613">
        <v>16</v>
      </c>
      <c r="U2613" s="2">
        <v>13653.28</v>
      </c>
      <c r="V2613">
        <v>0</v>
      </c>
      <c r="W2613" t="s">
        <v>29</v>
      </c>
      <c r="X2613" t="str">
        <f>IF(Table2[[#This Row],[Qty available]]&gt;Table2[[#This Row],[Qty on hand]],"Check","OK")</f>
        <v>OK</v>
      </c>
    </row>
    <row r="2614" spans="1:24" x14ac:dyDescent="0.3">
      <c r="A2614" t="s">
        <v>277</v>
      </c>
      <c r="B2614" t="s">
        <v>278</v>
      </c>
      <c r="C2614" t="s">
        <v>69</v>
      </c>
      <c r="D2614" t="s">
        <v>70</v>
      </c>
      <c r="E2614" t="s">
        <v>66</v>
      </c>
      <c r="F2614" s="1" t="s">
        <v>49</v>
      </c>
      <c r="G2614" s="2">
        <v>536.17999999999995</v>
      </c>
      <c r="H2614">
        <v>592.15</v>
      </c>
      <c r="I2614">
        <v>592.66962999999998</v>
      </c>
      <c r="J2614">
        <v>853.33</v>
      </c>
      <c r="K2614">
        <v>38</v>
      </c>
      <c r="L2614" s="2">
        <v>33</v>
      </c>
      <c r="M2614">
        <v>28</v>
      </c>
      <c r="N2614" s="2">
        <v>27</v>
      </c>
      <c r="O2614">
        <v>16002.08</v>
      </c>
      <c r="P2614">
        <v>2</v>
      </c>
      <c r="Q2614">
        <v>25</v>
      </c>
      <c r="R2614">
        <v>4.55</v>
      </c>
      <c r="S2614">
        <v>5</v>
      </c>
      <c r="T2614">
        <v>34</v>
      </c>
      <c r="U2614" s="2">
        <v>29013.22</v>
      </c>
      <c r="V2614">
        <v>0</v>
      </c>
      <c r="W2614" t="s">
        <v>29</v>
      </c>
      <c r="X2614" t="str">
        <f>IF(Table2[[#This Row],[Qty available]]&gt;Table2[[#This Row],[Qty on hand]],"Check","OK")</f>
        <v>OK</v>
      </c>
    </row>
    <row r="2615" spans="1:24" x14ac:dyDescent="0.3">
      <c r="A2615" t="s">
        <v>277</v>
      </c>
      <c r="B2615" t="s">
        <v>278</v>
      </c>
      <c r="C2615" t="s">
        <v>69</v>
      </c>
      <c r="D2615" t="s">
        <v>70</v>
      </c>
      <c r="E2615" t="s">
        <v>66</v>
      </c>
      <c r="F2615" s="1" t="s">
        <v>50</v>
      </c>
      <c r="G2615" s="2">
        <v>532.9</v>
      </c>
      <c r="H2615">
        <v>588.53</v>
      </c>
      <c r="I2615">
        <v>592.66937499999995</v>
      </c>
      <c r="J2615">
        <v>853.33</v>
      </c>
      <c r="K2615">
        <v>38</v>
      </c>
      <c r="M2615">
        <v>0</v>
      </c>
      <c r="N2615" s="2">
        <v>16</v>
      </c>
      <c r="O2615">
        <v>9482.7099999999991</v>
      </c>
      <c r="P2615">
        <v>5</v>
      </c>
      <c r="Q2615">
        <v>11</v>
      </c>
      <c r="R2615">
        <v>3.41</v>
      </c>
      <c r="S2615">
        <v>20</v>
      </c>
      <c r="T2615">
        <v>11</v>
      </c>
      <c r="U2615" s="2">
        <v>9386.6299999999992</v>
      </c>
      <c r="V2615">
        <v>0</v>
      </c>
      <c r="W2615" t="s">
        <v>29</v>
      </c>
      <c r="X2615" t="str">
        <f>IF(Table2[[#This Row],[Qty available]]&gt;Table2[[#This Row],[Qty on hand]],"Check","OK")</f>
        <v>OK</v>
      </c>
    </row>
    <row r="2616" spans="1:24" x14ac:dyDescent="0.3">
      <c r="A2616" t="s">
        <v>277</v>
      </c>
      <c r="B2616" t="s">
        <v>278</v>
      </c>
      <c r="C2616" t="s">
        <v>69</v>
      </c>
      <c r="D2616" t="s">
        <v>70</v>
      </c>
      <c r="E2616" t="s">
        <v>66</v>
      </c>
      <c r="F2616" s="1" t="s">
        <v>51</v>
      </c>
      <c r="G2616" s="2">
        <v>531.29</v>
      </c>
      <c r="H2616">
        <v>586.75</v>
      </c>
      <c r="I2616">
        <v>587.81419400000004</v>
      </c>
      <c r="J2616">
        <v>853.33</v>
      </c>
      <c r="K2616">
        <v>38</v>
      </c>
      <c r="L2616" s="2">
        <v>58</v>
      </c>
      <c r="M2616">
        <v>73</v>
      </c>
      <c r="N2616" s="2">
        <v>62</v>
      </c>
      <c r="O2616">
        <v>36444.480000000003</v>
      </c>
      <c r="P2616">
        <v>8</v>
      </c>
      <c r="Q2616">
        <v>54</v>
      </c>
      <c r="R2616">
        <v>11.32</v>
      </c>
      <c r="S2616">
        <v>1</v>
      </c>
      <c r="T2616">
        <v>27</v>
      </c>
      <c r="U2616" s="2">
        <v>23039.91</v>
      </c>
      <c r="V2616">
        <v>0</v>
      </c>
      <c r="W2616" t="s">
        <v>29</v>
      </c>
      <c r="X2616" t="str">
        <f>IF(Table2[[#This Row],[Qty available]]&gt;Table2[[#This Row],[Qty on hand]],"Check","OK")</f>
        <v>OK</v>
      </c>
    </row>
    <row r="2617" spans="1:24" x14ac:dyDescent="0.3">
      <c r="A2617" t="s">
        <v>277</v>
      </c>
      <c r="B2617" t="s">
        <v>278</v>
      </c>
      <c r="C2617" t="s">
        <v>69</v>
      </c>
      <c r="D2617" t="s">
        <v>70</v>
      </c>
      <c r="E2617" t="s">
        <v>66</v>
      </c>
      <c r="F2617" s="1" t="s">
        <v>52</v>
      </c>
      <c r="G2617" s="2">
        <v>534.03</v>
      </c>
      <c r="H2617">
        <v>589.78</v>
      </c>
      <c r="I2617">
        <v>587.81424200000004</v>
      </c>
      <c r="J2617">
        <v>853.33</v>
      </c>
      <c r="K2617">
        <v>38</v>
      </c>
      <c r="M2617">
        <v>0</v>
      </c>
      <c r="N2617" s="2">
        <v>33</v>
      </c>
      <c r="O2617">
        <v>19397.87</v>
      </c>
      <c r="P2617">
        <v>8</v>
      </c>
      <c r="Q2617">
        <v>25</v>
      </c>
      <c r="R2617">
        <v>6.47</v>
      </c>
      <c r="S2617">
        <v>0</v>
      </c>
      <c r="T2617">
        <v>29</v>
      </c>
      <c r="U2617" s="2">
        <v>24746.57</v>
      </c>
      <c r="V2617">
        <v>0</v>
      </c>
      <c r="W2617" t="s">
        <v>29</v>
      </c>
      <c r="X2617" t="str">
        <f>IF(Table2[[#This Row],[Qty available]]&gt;Table2[[#This Row],[Qty on hand]],"Check","OK")</f>
        <v>OK</v>
      </c>
    </row>
    <row r="2618" spans="1:24" x14ac:dyDescent="0.3">
      <c r="A2618" t="s">
        <v>279</v>
      </c>
      <c r="B2618" t="s">
        <v>280</v>
      </c>
      <c r="C2618" t="s">
        <v>77</v>
      </c>
      <c r="D2618" t="s">
        <v>78</v>
      </c>
      <c r="E2618" t="s">
        <v>66</v>
      </c>
      <c r="F2618" s="1" t="s">
        <v>28</v>
      </c>
      <c r="G2618" s="2">
        <v>313.51</v>
      </c>
      <c r="H2618">
        <v>313.51</v>
      </c>
      <c r="I2618">
        <v>313.50428599999998</v>
      </c>
      <c r="J2618">
        <v>456.95</v>
      </c>
      <c r="K2618">
        <v>36</v>
      </c>
      <c r="L2618" s="2">
        <v>35</v>
      </c>
      <c r="M2618">
        <v>19</v>
      </c>
      <c r="N2618" s="2">
        <v>14</v>
      </c>
      <c r="O2618">
        <v>4389.0600000000004</v>
      </c>
      <c r="P2618">
        <v>1</v>
      </c>
      <c r="Q2618">
        <v>13</v>
      </c>
      <c r="R2618">
        <v>8.36</v>
      </c>
      <c r="S2618">
        <v>21</v>
      </c>
      <c r="T2618">
        <v>6</v>
      </c>
      <c r="U2618" s="2">
        <v>2741.7</v>
      </c>
      <c r="V2618">
        <v>0</v>
      </c>
      <c r="W2618" t="s">
        <v>29</v>
      </c>
      <c r="X2618" t="str">
        <f>IF(Table2[[#This Row],[Qty available]]&gt;Table2[[#This Row],[Qty on hand]],"Check","OK")</f>
        <v>OK</v>
      </c>
    </row>
    <row r="2619" spans="1:24" x14ac:dyDescent="0.3">
      <c r="A2619" t="s">
        <v>279</v>
      </c>
      <c r="B2619" t="s">
        <v>280</v>
      </c>
      <c r="C2619" t="s">
        <v>77</v>
      </c>
      <c r="D2619" t="s">
        <v>78</v>
      </c>
      <c r="E2619" t="s">
        <v>66</v>
      </c>
      <c r="F2619" s="1" t="s">
        <v>30</v>
      </c>
      <c r="G2619" s="2">
        <v>313.54000000000002</v>
      </c>
      <c r="H2619">
        <v>313.54000000000002</v>
      </c>
      <c r="I2619">
        <v>313.51357100000001</v>
      </c>
      <c r="J2619">
        <v>456.95</v>
      </c>
      <c r="K2619">
        <v>36</v>
      </c>
      <c r="L2619" s="2">
        <v>33</v>
      </c>
      <c r="M2619">
        <v>5</v>
      </c>
      <c r="N2619" s="2">
        <v>14</v>
      </c>
      <c r="O2619">
        <v>4389.1899999999996</v>
      </c>
      <c r="P2619">
        <v>1</v>
      </c>
      <c r="Q2619">
        <v>13</v>
      </c>
      <c r="R2619">
        <v>10.220000000000001</v>
      </c>
      <c r="S2619">
        <v>4</v>
      </c>
      <c r="T2619">
        <v>5</v>
      </c>
      <c r="U2619" s="2">
        <v>2284.75</v>
      </c>
      <c r="V2619">
        <v>0</v>
      </c>
      <c r="W2619" t="s">
        <v>29</v>
      </c>
      <c r="X2619" t="str">
        <f>IF(Table2[[#This Row],[Qty available]]&gt;Table2[[#This Row],[Qty on hand]],"Check","OK")</f>
        <v>OK</v>
      </c>
    </row>
    <row r="2620" spans="1:24" x14ac:dyDescent="0.3">
      <c r="A2620" t="s">
        <v>279</v>
      </c>
      <c r="B2620" t="s">
        <v>280</v>
      </c>
      <c r="C2620" t="s">
        <v>77</v>
      </c>
      <c r="D2620" t="s">
        <v>78</v>
      </c>
      <c r="E2620" t="s">
        <v>66</v>
      </c>
      <c r="F2620" s="1" t="s">
        <v>31</v>
      </c>
      <c r="G2620" s="2">
        <v>312.58999999999997</v>
      </c>
      <c r="H2620">
        <v>312.58999999999997</v>
      </c>
      <c r="I2620">
        <v>313.51400000000001</v>
      </c>
      <c r="J2620">
        <v>456.95</v>
      </c>
      <c r="K2620">
        <v>36</v>
      </c>
      <c r="M2620">
        <v>0</v>
      </c>
      <c r="N2620" s="2">
        <v>10</v>
      </c>
      <c r="O2620">
        <v>3135.14</v>
      </c>
      <c r="P2620">
        <v>0</v>
      </c>
      <c r="Q2620">
        <v>10</v>
      </c>
      <c r="R2620">
        <v>8.67</v>
      </c>
      <c r="S2620">
        <v>11</v>
      </c>
      <c r="T2620">
        <v>4</v>
      </c>
      <c r="U2620" s="2">
        <v>1827.8</v>
      </c>
      <c r="V2620">
        <v>0</v>
      </c>
      <c r="W2620" t="s">
        <v>29</v>
      </c>
      <c r="X2620" t="str">
        <f>IF(Table2[[#This Row],[Qty available]]&gt;Table2[[#This Row],[Qty on hand]],"Check","OK")</f>
        <v>OK</v>
      </c>
    </row>
    <row r="2621" spans="1:24" x14ac:dyDescent="0.3">
      <c r="A2621" t="s">
        <v>279</v>
      </c>
      <c r="B2621" t="s">
        <v>280</v>
      </c>
      <c r="C2621" t="s">
        <v>77</v>
      </c>
      <c r="D2621" t="s">
        <v>78</v>
      </c>
      <c r="E2621" t="s">
        <v>66</v>
      </c>
      <c r="F2621" s="1" t="s">
        <v>32</v>
      </c>
      <c r="G2621" s="2">
        <v>317.39999999999998</v>
      </c>
      <c r="H2621">
        <v>317.39999999999998</v>
      </c>
      <c r="I2621">
        <v>314.97125</v>
      </c>
      <c r="J2621">
        <v>456.95</v>
      </c>
      <c r="K2621">
        <v>36</v>
      </c>
      <c r="L2621" s="2">
        <v>35</v>
      </c>
      <c r="M2621">
        <v>6</v>
      </c>
      <c r="N2621" s="2">
        <v>8</v>
      </c>
      <c r="O2621">
        <v>2519.77</v>
      </c>
      <c r="P2621">
        <v>1</v>
      </c>
      <c r="Q2621">
        <v>7</v>
      </c>
      <c r="R2621">
        <v>6.18</v>
      </c>
      <c r="S2621">
        <v>6</v>
      </c>
      <c r="T2621">
        <v>8</v>
      </c>
      <c r="U2621" s="2">
        <v>3655.6</v>
      </c>
      <c r="V2621">
        <v>0</v>
      </c>
      <c r="W2621" t="s">
        <v>29</v>
      </c>
      <c r="X2621" t="str">
        <f>IF(Table2[[#This Row],[Qty available]]&gt;Table2[[#This Row],[Qty on hand]],"Check","OK")</f>
        <v>OK</v>
      </c>
    </row>
    <row r="2622" spans="1:24" x14ac:dyDescent="0.3">
      <c r="A2622" t="s">
        <v>279</v>
      </c>
      <c r="B2622" t="s">
        <v>280</v>
      </c>
      <c r="C2622" t="s">
        <v>77</v>
      </c>
      <c r="D2622" t="s">
        <v>78</v>
      </c>
      <c r="E2622" t="s">
        <v>66</v>
      </c>
      <c r="F2622" s="1" t="s">
        <v>33</v>
      </c>
      <c r="G2622" s="2">
        <v>310.26</v>
      </c>
      <c r="H2622">
        <v>310.26</v>
      </c>
      <c r="I2622">
        <v>312.05500000000001</v>
      </c>
      <c r="J2622">
        <v>456.95</v>
      </c>
      <c r="K2622">
        <v>36</v>
      </c>
      <c r="L2622" s="2">
        <v>31</v>
      </c>
      <c r="M2622">
        <v>13</v>
      </c>
      <c r="N2622" s="2">
        <v>10</v>
      </c>
      <c r="O2622">
        <v>3120.55</v>
      </c>
      <c r="P2622">
        <v>1</v>
      </c>
      <c r="Q2622">
        <v>9</v>
      </c>
      <c r="R2622">
        <v>5.71</v>
      </c>
      <c r="S2622">
        <v>1</v>
      </c>
      <c r="T2622">
        <v>11</v>
      </c>
      <c r="U2622" s="2">
        <v>5026.45</v>
      </c>
      <c r="V2622">
        <v>0</v>
      </c>
      <c r="W2622" t="s">
        <v>29</v>
      </c>
      <c r="X2622" t="str">
        <f>IF(Table2[[#This Row],[Qty available]]&gt;Table2[[#This Row],[Qty on hand]],"Check","OK")</f>
        <v>OK</v>
      </c>
    </row>
    <row r="2623" spans="1:24" x14ac:dyDescent="0.3">
      <c r="A2623" t="s">
        <v>279</v>
      </c>
      <c r="B2623" t="s">
        <v>280</v>
      </c>
      <c r="C2623" t="s">
        <v>77</v>
      </c>
      <c r="D2623" t="s">
        <v>78</v>
      </c>
      <c r="E2623" t="s">
        <v>66</v>
      </c>
      <c r="F2623" s="1" t="s">
        <v>34</v>
      </c>
      <c r="G2623" s="2">
        <v>309.37</v>
      </c>
      <c r="H2623">
        <v>309.37</v>
      </c>
      <c r="I2623">
        <v>312.05500000000001</v>
      </c>
      <c r="J2623">
        <v>468.64</v>
      </c>
      <c r="K2623">
        <v>36</v>
      </c>
      <c r="M2623">
        <v>0</v>
      </c>
      <c r="N2623" s="2">
        <v>4</v>
      </c>
      <c r="O2623">
        <v>1248.22</v>
      </c>
      <c r="P2623">
        <v>2</v>
      </c>
      <c r="Q2623">
        <v>2</v>
      </c>
      <c r="R2623">
        <v>2.06</v>
      </c>
      <c r="S2623">
        <v>4</v>
      </c>
      <c r="T2623">
        <v>6</v>
      </c>
      <c r="U2623" s="2">
        <v>2811.84</v>
      </c>
      <c r="V2623">
        <v>0</v>
      </c>
      <c r="W2623" t="s">
        <v>29</v>
      </c>
      <c r="X2623" t="str">
        <f>IF(Table2[[#This Row],[Qty available]]&gt;Table2[[#This Row],[Qty on hand]],"Check","OK")</f>
        <v>OK</v>
      </c>
    </row>
    <row r="2624" spans="1:24" x14ac:dyDescent="0.3">
      <c r="A2624" t="s">
        <v>279</v>
      </c>
      <c r="B2624" t="s">
        <v>280</v>
      </c>
      <c r="C2624" t="s">
        <v>77</v>
      </c>
      <c r="D2624" t="s">
        <v>78</v>
      </c>
      <c r="E2624" t="s">
        <v>66</v>
      </c>
      <c r="F2624" s="1" t="s">
        <v>35</v>
      </c>
      <c r="G2624" s="2">
        <v>334.53</v>
      </c>
      <c r="H2624">
        <v>334.53</v>
      </c>
      <c r="I2624">
        <v>327.61333300000001</v>
      </c>
      <c r="J2624">
        <v>468.64</v>
      </c>
      <c r="K2624">
        <v>36</v>
      </c>
      <c r="L2624" s="2">
        <v>33</v>
      </c>
      <c r="M2624">
        <v>9</v>
      </c>
      <c r="N2624" s="2">
        <v>3</v>
      </c>
      <c r="O2624">
        <v>982.84</v>
      </c>
      <c r="P2624">
        <v>0</v>
      </c>
      <c r="Q2624">
        <v>3</v>
      </c>
      <c r="R2624">
        <v>1.43</v>
      </c>
      <c r="S2624">
        <v>6</v>
      </c>
      <c r="T2624">
        <v>10</v>
      </c>
      <c r="U2624" s="2">
        <v>4686.3999999999996</v>
      </c>
      <c r="V2624">
        <v>0</v>
      </c>
      <c r="W2624" t="s">
        <v>29</v>
      </c>
      <c r="X2624" t="str">
        <f>IF(Table2[[#This Row],[Qty available]]&gt;Table2[[#This Row],[Qty on hand]],"Check","OK")</f>
        <v>OK</v>
      </c>
    </row>
    <row r="2625" spans="1:24" x14ac:dyDescent="0.3">
      <c r="A2625" t="s">
        <v>279</v>
      </c>
      <c r="B2625" t="s">
        <v>280</v>
      </c>
      <c r="C2625" t="s">
        <v>77</v>
      </c>
      <c r="D2625" t="s">
        <v>78</v>
      </c>
      <c r="E2625" t="s">
        <v>66</v>
      </c>
      <c r="F2625" s="1" t="s">
        <v>36</v>
      </c>
      <c r="G2625" s="2">
        <v>328.52</v>
      </c>
      <c r="H2625">
        <v>328.52</v>
      </c>
      <c r="I2625">
        <v>328.32625000000002</v>
      </c>
      <c r="J2625">
        <v>468.64</v>
      </c>
      <c r="K2625">
        <v>36</v>
      </c>
      <c r="L2625" s="2">
        <v>35</v>
      </c>
      <c r="M2625">
        <v>11</v>
      </c>
      <c r="N2625" s="2">
        <v>8</v>
      </c>
      <c r="O2625">
        <v>2626.61</v>
      </c>
      <c r="P2625">
        <v>2</v>
      </c>
      <c r="Q2625">
        <v>6</v>
      </c>
      <c r="R2625">
        <v>4.62</v>
      </c>
      <c r="S2625">
        <v>17</v>
      </c>
      <c r="T2625">
        <v>6</v>
      </c>
      <c r="U2625" s="2">
        <v>2811.84</v>
      </c>
      <c r="V2625">
        <v>0</v>
      </c>
      <c r="W2625" t="s">
        <v>29</v>
      </c>
      <c r="X2625" t="str">
        <f>IF(Table2[[#This Row],[Qty available]]&gt;Table2[[#This Row],[Qty on hand]],"Check","OK")</f>
        <v>OK</v>
      </c>
    </row>
    <row r="2626" spans="1:24" x14ac:dyDescent="0.3">
      <c r="A2626" t="s">
        <v>279</v>
      </c>
      <c r="B2626" t="s">
        <v>280</v>
      </c>
      <c r="C2626" t="s">
        <v>77</v>
      </c>
      <c r="D2626" t="s">
        <v>78</v>
      </c>
      <c r="E2626" t="s">
        <v>66</v>
      </c>
      <c r="F2626" s="1" t="s">
        <v>37</v>
      </c>
      <c r="G2626" s="2">
        <v>327.25</v>
      </c>
      <c r="H2626">
        <v>327.25</v>
      </c>
      <c r="I2626">
        <v>327.91199999999998</v>
      </c>
      <c r="J2626">
        <v>468.64</v>
      </c>
      <c r="K2626">
        <v>36</v>
      </c>
      <c r="L2626" s="2">
        <v>34</v>
      </c>
      <c r="M2626">
        <v>5</v>
      </c>
      <c r="N2626" s="2">
        <v>5</v>
      </c>
      <c r="O2626">
        <v>1639.56</v>
      </c>
      <c r="P2626">
        <v>2</v>
      </c>
      <c r="Q2626">
        <v>3</v>
      </c>
      <c r="R2626">
        <v>2.74</v>
      </c>
      <c r="S2626">
        <v>23</v>
      </c>
      <c r="T2626">
        <v>8</v>
      </c>
      <c r="U2626" s="2">
        <v>3749.12</v>
      </c>
      <c r="V2626">
        <v>0</v>
      </c>
      <c r="W2626" t="s">
        <v>29</v>
      </c>
      <c r="X2626" t="str">
        <f>IF(Table2[[#This Row],[Qty available]]&gt;Table2[[#This Row],[Qty on hand]],"Check","OK")</f>
        <v>OK</v>
      </c>
    </row>
    <row r="2627" spans="1:24" x14ac:dyDescent="0.3">
      <c r="A2627" t="s">
        <v>279</v>
      </c>
      <c r="B2627" t="s">
        <v>280</v>
      </c>
      <c r="C2627" t="s">
        <v>77</v>
      </c>
      <c r="D2627" t="s">
        <v>78</v>
      </c>
      <c r="E2627" t="s">
        <v>66</v>
      </c>
      <c r="F2627" s="1" t="s">
        <v>38</v>
      </c>
      <c r="G2627" s="2">
        <v>324.23</v>
      </c>
      <c r="H2627">
        <v>324.23</v>
      </c>
      <c r="I2627">
        <v>325.64600000000002</v>
      </c>
      <c r="J2627">
        <v>468.64</v>
      </c>
      <c r="K2627">
        <v>36</v>
      </c>
      <c r="L2627" s="2">
        <v>35</v>
      </c>
      <c r="M2627">
        <v>8</v>
      </c>
      <c r="N2627" s="2">
        <v>10</v>
      </c>
      <c r="O2627">
        <v>3256.46</v>
      </c>
      <c r="P2627">
        <v>2</v>
      </c>
      <c r="Q2627">
        <v>8</v>
      </c>
      <c r="R2627">
        <v>7.65</v>
      </c>
      <c r="S2627">
        <v>7</v>
      </c>
      <c r="T2627">
        <v>3</v>
      </c>
      <c r="U2627" s="2">
        <v>1405.92</v>
      </c>
      <c r="V2627">
        <v>0</v>
      </c>
      <c r="W2627" t="s">
        <v>29</v>
      </c>
      <c r="X2627" t="str">
        <f>IF(Table2[[#This Row],[Qty available]]&gt;Table2[[#This Row],[Qty on hand]],"Check","OK")</f>
        <v>OK</v>
      </c>
    </row>
    <row r="2628" spans="1:24" x14ac:dyDescent="0.3">
      <c r="A2628" t="s">
        <v>279</v>
      </c>
      <c r="B2628" t="s">
        <v>280</v>
      </c>
      <c r="C2628" t="s">
        <v>77</v>
      </c>
      <c r="D2628" t="s">
        <v>78</v>
      </c>
      <c r="E2628" t="s">
        <v>66</v>
      </c>
      <c r="F2628" s="1" t="s">
        <v>39</v>
      </c>
      <c r="G2628" s="2">
        <v>329.11</v>
      </c>
      <c r="H2628">
        <v>329.11</v>
      </c>
      <c r="I2628">
        <v>327.95538499999998</v>
      </c>
      <c r="J2628">
        <v>468.64</v>
      </c>
      <c r="K2628">
        <v>36</v>
      </c>
      <c r="L2628" s="2">
        <v>31</v>
      </c>
      <c r="M2628">
        <v>20</v>
      </c>
      <c r="N2628" s="2">
        <v>26</v>
      </c>
      <c r="O2628">
        <v>8526.84</v>
      </c>
      <c r="P2628">
        <v>1</v>
      </c>
      <c r="Q2628">
        <v>25</v>
      </c>
      <c r="R2628">
        <v>22.78</v>
      </c>
      <c r="S2628">
        <v>0</v>
      </c>
      <c r="T2628">
        <v>4</v>
      </c>
      <c r="U2628" s="2">
        <v>1874.56</v>
      </c>
      <c r="V2628">
        <v>0</v>
      </c>
      <c r="W2628" t="s">
        <v>29</v>
      </c>
      <c r="X2628" t="str">
        <f>IF(Table2[[#This Row],[Qty available]]&gt;Table2[[#This Row],[Qty on hand]],"Check","OK")</f>
        <v>OK</v>
      </c>
    </row>
    <row r="2629" spans="1:24" x14ac:dyDescent="0.3">
      <c r="A2629" t="s">
        <v>279</v>
      </c>
      <c r="B2629" t="s">
        <v>280</v>
      </c>
      <c r="C2629" t="s">
        <v>77</v>
      </c>
      <c r="D2629" t="s">
        <v>78</v>
      </c>
      <c r="E2629" t="s">
        <v>66</v>
      </c>
      <c r="F2629" s="1" t="s">
        <v>40</v>
      </c>
      <c r="G2629" s="2">
        <v>325.67</v>
      </c>
      <c r="H2629">
        <v>325.67</v>
      </c>
      <c r="I2629">
        <v>327.95541700000001</v>
      </c>
      <c r="J2629">
        <v>468.64</v>
      </c>
      <c r="K2629">
        <v>36</v>
      </c>
      <c r="M2629">
        <v>0</v>
      </c>
      <c r="N2629" s="2">
        <v>24</v>
      </c>
      <c r="O2629">
        <v>7870.93</v>
      </c>
      <c r="P2629">
        <v>1</v>
      </c>
      <c r="Q2629">
        <v>23</v>
      </c>
      <c r="R2629">
        <v>35.049999999999997</v>
      </c>
      <c r="S2629">
        <v>19</v>
      </c>
      <c r="T2629">
        <v>2</v>
      </c>
      <c r="U2629" s="2">
        <v>937.28</v>
      </c>
      <c r="V2629">
        <v>0</v>
      </c>
      <c r="W2629" t="s">
        <v>29</v>
      </c>
      <c r="X2629" t="str">
        <f>IF(Table2[[#This Row],[Qty available]]&gt;Table2[[#This Row],[Qty on hand]],"Check","OK")</f>
        <v>OK</v>
      </c>
    </row>
    <row r="2630" spans="1:24" x14ac:dyDescent="0.3">
      <c r="A2630" t="s">
        <v>279</v>
      </c>
      <c r="B2630" t="s">
        <v>280</v>
      </c>
      <c r="C2630" t="s">
        <v>77</v>
      </c>
      <c r="D2630" t="s">
        <v>78</v>
      </c>
      <c r="E2630" t="s">
        <v>66</v>
      </c>
      <c r="F2630" s="1" t="s">
        <v>41</v>
      </c>
      <c r="G2630" s="2">
        <v>326.58999999999997</v>
      </c>
      <c r="H2630">
        <v>326.58999999999997</v>
      </c>
      <c r="I2630">
        <v>327.95523800000001</v>
      </c>
      <c r="J2630">
        <v>468.64</v>
      </c>
      <c r="K2630">
        <v>36</v>
      </c>
      <c r="M2630">
        <v>0</v>
      </c>
      <c r="N2630" s="2">
        <v>21</v>
      </c>
      <c r="O2630">
        <v>6887.06</v>
      </c>
      <c r="P2630">
        <v>2</v>
      </c>
      <c r="Q2630">
        <v>19</v>
      </c>
      <c r="R2630">
        <v>30.67</v>
      </c>
      <c r="S2630">
        <v>16</v>
      </c>
      <c r="T2630">
        <v>3</v>
      </c>
      <c r="U2630" s="2">
        <v>1405.92</v>
      </c>
      <c r="V2630">
        <v>0</v>
      </c>
      <c r="W2630" t="s">
        <v>29</v>
      </c>
      <c r="X2630" t="str">
        <f>IF(Table2[[#This Row],[Qty available]]&gt;Table2[[#This Row],[Qty on hand]],"Check","OK")</f>
        <v>OK</v>
      </c>
    </row>
    <row r="2631" spans="1:24" x14ac:dyDescent="0.3">
      <c r="A2631" t="s">
        <v>279</v>
      </c>
      <c r="B2631" t="s">
        <v>280</v>
      </c>
      <c r="C2631" t="s">
        <v>77</v>
      </c>
      <c r="D2631" t="s">
        <v>78</v>
      </c>
      <c r="E2631" t="s">
        <v>66</v>
      </c>
      <c r="F2631" s="1" t="s">
        <v>42</v>
      </c>
      <c r="G2631" s="2">
        <v>327.75</v>
      </c>
      <c r="H2631">
        <v>327.75</v>
      </c>
      <c r="I2631">
        <v>327.915909</v>
      </c>
      <c r="J2631">
        <v>468.64</v>
      </c>
      <c r="K2631">
        <v>36</v>
      </c>
      <c r="L2631" s="2">
        <v>35</v>
      </c>
      <c r="M2631">
        <v>5</v>
      </c>
      <c r="N2631" s="2">
        <v>22</v>
      </c>
      <c r="O2631">
        <v>7214.15</v>
      </c>
      <c r="P2631">
        <v>1</v>
      </c>
      <c r="Q2631">
        <v>21</v>
      </c>
      <c r="R2631">
        <v>32.130000000000003</v>
      </c>
      <c r="S2631">
        <v>8</v>
      </c>
      <c r="T2631">
        <v>4</v>
      </c>
      <c r="U2631" s="2">
        <v>1874.56</v>
      </c>
      <c r="V2631">
        <v>0</v>
      </c>
      <c r="W2631" t="s">
        <v>29</v>
      </c>
      <c r="X2631" t="str">
        <f>IF(Table2[[#This Row],[Qty available]]&gt;Table2[[#This Row],[Qty on hand]],"Check","OK")</f>
        <v>OK</v>
      </c>
    </row>
    <row r="2632" spans="1:24" x14ac:dyDescent="0.3">
      <c r="A2632" t="s">
        <v>279</v>
      </c>
      <c r="B2632" t="s">
        <v>280</v>
      </c>
      <c r="C2632" t="s">
        <v>77</v>
      </c>
      <c r="D2632" t="s">
        <v>78</v>
      </c>
      <c r="E2632" t="s">
        <v>66</v>
      </c>
      <c r="F2632" s="1" t="s">
        <v>43</v>
      </c>
      <c r="G2632" s="2">
        <v>336.65</v>
      </c>
      <c r="H2632">
        <v>336.65</v>
      </c>
      <c r="I2632">
        <v>327.91571399999998</v>
      </c>
      <c r="J2632">
        <v>468.64</v>
      </c>
      <c r="K2632">
        <v>36</v>
      </c>
      <c r="M2632">
        <v>0</v>
      </c>
      <c r="N2632" s="2">
        <v>14</v>
      </c>
      <c r="O2632">
        <v>4590.82</v>
      </c>
      <c r="P2632">
        <v>1</v>
      </c>
      <c r="Q2632">
        <v>13</v>
      </c>
      <c r="R2632">
        <v>12.13</v>
      </c>
      <c r="S2632">
        <v>2</v>
      </c>
      <c r="T2632">
        <v>8</v>
      </c>
      <c r="U2632" s="2">
        <v>3749.12</v>
      </c>
      <c r="V2632">
        <v>0</v>
      </c>
      <c r="W2632" t="s">
        <v>29</v>
      </c>
      <c r="X2632" t="str">
        <f>IF(Table2[[#This Row],[Qty available]]&gt;Table2[[#This Row],[Qty on hand]],"Check","OK")</f>
        <v>OK</v>
      </c>
    </row>
    <row r="2633" spans="1:24" x14ac:dyDescent="0.3">
      <c r="A2633" t="s">
        <v>279</v>
      </c>
      <c r="B2633" t="s">
        <v>280</v>
      </c>
      <c r="C2633" t="s">
        <v>77</v>
      </c>
      <c r="D2633" t="s">
        <v>78</v>
      </c>
      <c r="E2633" t="s">
        <v>66</v>
      </c>
      <c r="F2633" s="1" t="s">
        <v>44</v>
      </c>
      <c r="G2633" s="2">
        <v>336.23</v>
      </c>
      <c r="H2633">
        <v>336.23</v>
      </c>
      <c r="I2633">
        <v>331.75315799999998</v>
      </c>
      <c r="J2633">
        <v>468.64</v>
      </c>
      <c r="K2633">
        <v>36</v>
      </c>
      <c r="L2633" s="2">
        <v>31</v>
      </c>
      <c r="M2633">
        <v>12</v>
      </c>
      <c r="N2633" s="2">
        <v>19</v>
      </c>
      <c r="O2633">
        <v>6303.31</v>
      </c>
      <c r="P2633">
        <v>2</v>
      </c>
      <c r="Q2633">
        <v>17</v>
      </c>
      <c r="R2633">
        <v>13.14</v>
      </c>
      <c r="S2633">
        <v>14</v>
      </c>
      <c r="T2633">
        <v>7</v>
      </c>
      <c r="U2633" s="2">
        <v>3280.48</v>
      </c>
      <c r="V2633">
        <v>0</v>
      </c>
      <c r="W2633" t="s">
        <v>29</v>
      </c>
      <c r="X2633" t="str">
        <f>IF(Table2[[#This Row],[Qty available]]&gt;Table2[[#This Row],[Qty on hand]],"Check","OK")</f>
        <v>OK</v>
      </c>
    </row>
    <row r="2634" spans="1:24" x14ac:dyDescent="0.3">
      <c r="A2634" t="s">
        <v>279</v>
      </c>
      <c r="B2634" t="s">
        <v>280</v>
      </c>
      <c r="C2634" t="s">
        <v>77</v>
      </c>
      <c r="D2634" t="s">
        <v>78</v>
      </c>
      <c r="E2634" t="s">
        <v>66</v>
      </c>
      <c r="F2634" s="1" t="s">
        <v>45</v>
      </c>
      <c r="G2634" s="2">
        <v>329.38</v>
      </c>
      <c r="H2634">
        <v>329.38</v>
      </c>
      <c r="I2634">
        <v>331.753333</v>
      </c>
      <c r="J2634">
        <v>468.64</v>
      </c>
      <c r="K2634">
        <v>36</v>
      </c>
      <c r="M2634">
        <v>0</v>
      </c>
      <c r="N2634" s="2">
        <v>6</v>
      </c>
      <c r="O2634">
        <v>1990.52</v>
      </c>
      <c r="P2634">
        <v>0</v>
      </c>
      <c r="Q2634">
        <v>6</v>
      </c>
      <c r="R2634">
        <v>2.82</v>
      </c>
      <c r="S2634">
        <v>2</v>
      </c>
      <c r="T2634">
        <v>13</v>
      </c>
      <c r="U2634" s="2">
        <v>6092.32</v>
      </c>
      <c r="V2634">
        <v>0</v>
      </c>
      <c r="W2634" t="s">
        <v>29</v>
      </c>
      <c r="X2634" t="str">
        <f>IF(Table2[[#This Row],[Qty available]]&gt;Table2[[#This Row],[Qty on hand]],"Check","OK")</f>
        <v>OK</v>
      </c>
    </row>
    <row r="2635" spans="1:24" x14ac:dyDescent="0.3">
      <c r="A2635" t="s">
        <v>279</v>
      </c>
      <c r="B2635" t="s">
        <v>280</v>
      </c>
      <c r="C2635" t="s">
        <v>77</v>
      </c>
      <c r="D2635" t="s">
        <v>78</v>
      </c>
      <c r="E2635" t="s">
        <v>66</v>
      </c>
      <c r="F2635" s="1" t="s">
        <v>46</v>
      </c>
      <c r="G2635" s="2">
        <v>327</v>
      </c>
      <c r="H2635">
        <v>327</v>
      </c>
      <c r="I2635">
        <v>331.753333</v>
      </c>
      <c r="J2635">
        <v>480.63</v>
      </c>
      <c r="K2635">
        <v>36</v>
      </c>
      <c r="M2635">
        <v>0</v>
      </c>
      <c r="N2635" s="2">
        <v>0</v>
      </c>
      <c r="O2635">
        <v>0</v>
      </c>
      <c r="P2635">
        <v>0</v>
      </c>
      <c r="Q2635">
        <v>0</v>
      </c>
      <c r="R2635">
        <v>0</v>
      </c>
      <c r="S2635">
        <v>26</v>
      </c>
      <c r="T2635">
        <v>6</v>
      </c>
      <c r="U2635" s="2">
        <v>2883.78</v>
      </c>
      <c r="V2635">
        <v>1</v>
      </c>
      <c r="W2635" t="s">
        <v>59</v>
      </c>
      <c r="X2635" t="str">
        <f>IF(Table2[[#This Row],[Qty available]]&gt;Table2[[#This Row],[Qty on hand]],"Check","OK")</f>
        <v>OK</v>
      </c>
    </row>
    <row r="2636" spans="1:24" x14ac:dyDescent="0.3">
      <c r="A2636" t="s">
        <v>279</v>
      </c>
      <c r="B2636" t="s">
        <v>280</v>
      </c>
      <c r="C2636" t="s">
        <v>77</v>
      </c>
      <c r="D2636" t="s">
        <v>78</v>
      </c>
      <c r="E2636" t="s">
        <v>66</v>
      </c>
      <c r="F2636" s="1" t="s">
        <v>47</v>
      </c>
      <c r="G2636" s="2">
        <v>349.08</v>
      </c>
      <c r="H2636">
        <v>349.08</v>
      </c>
      <c r="I2636">
        <v>349.08</v>
      </c>
      <c r="J2636">
        <v>480.63</v>
      </c>
      <c r="K2636">
        <v>36</v>
      </c>
      <c r="L2636" s="2">
        <v>31</v>
      </c>
      <c r="M2636">
        <v>12</v>
      </c>
      <c r="N2636" s="2">
        <v>7</v>
      </c>
      <c r="O2636">
        <v>2443.56</v>
      </c>
      <c r="P2636">
        <v>0</v>
      </c>
      <c r="Q2636">
        <v>7</v>
      </c>
      <c r="R2636">
        <v>3.75</v>
      </c>
      <c r="S2636">
        <v>13</v>
      </c>
      <c r="T2636">
        <v>5</v>
      </c>
      <c r="U2636" s="2">
        <v>2403.15</v>
      </c>
      <c r="V2636">
        <v>0</v>
      </c>
      <c r="W2636" t="s">
        <v>29</v>
      </c>
      <c r="X2636" t="str">
        <f>IF(Table2[[#This Row],[Qty available]]&gt;Table2[[#This Row],[Qty on hand]],"Check","OK")</f>
        <v>OK</v>
      </c>
    </row>
    <row r="2637" spans="1:24" x14ac:dyDescent="0.3">
      <c r="A2637" t="s">
        <v>279</v>
      </c>
      <c r="B2637" t="s">
        <v>280</v>
      </c>
      <c r="C2637" t="s">
        <v>77</v>
      </c>
      <c r="D2637" t="s">
        <v>78</v>
      </c>
      <c r="E2637" t="s">
        <v>66</v>
      </c>
      <c r="F2637" s="1" t="s">
        <v>48</v>
      </c>
      <c r="G2637" s="2">
        <v>344.72</v>
      </c>
      <c r="H2637">
        <v>344.72</v>
      </c>
      <c r="I2637">
        <v>346.41583300000002</v>
      </c>
      <c r="J2637">
        <v>480.63</v>
      </c>
      <c r="K2637">
        <v>36</v>
      </c>
      <c r="L2637" s="2">
        <v>34</v>
      </c>
      <c r="M2637">
        <v>11</v>
      </c>
      <c r="N2637" s="2">
        <v>12</v>
      </c>
      <c r="O2637">
        <v>4156.99</v>
      </c>
      <c r="P2637">
        <v>2</v>
      </c>
      <c r="Q2637">
        <v>10</v>
      </c>
      <c r="R2637">
        <v>8.9700000000000006</v>
      </c>
      <c r="S2637">
        <v>21</v>
      </c>
      <c r="T2637">
        <v>6</v>
      </c>
      <c r="U2637" s="2">
        <v>2883.78</v>
      </c>
      <c r="V2637">
        <v>0</v>
      </c>
      <c r="W2637" t="s">
        <v>29</v>
      </c>
      <c r="X2637" t="str">
        <f>IF(Table2[[#This Row],[Qty available]]&gt;Table2[[#This Row],[Qty on hand]],"Check","OK")</f>
        <v>OK</v>
      </c>
    </row>
    <row r="2638" spans="1:24" x14ac:dyDescent="0.3">
      <c r="A2638" t="s">
        <v>279</v>
      </c>
      <c r="B2638" t="s">
        <v>280</v>
      </c>
      <c r="C2638" t="s">
        <v>77</v>
      </c>
      <c r="D2638" t="s">
        <v>78</v>
      </c>
      <c r="E2638" t="s">
        <v>66</v>
      </c>
      <c r="F2638" s="1" t="s">
        <v>49</v>
      </c>
      <c r="G2638" s="2">
        <v>352.63</v>
      </c>
      <c r="H2638">
        <v>352.63</v>
      </c>
      <c r="I2638">
        <v>348.24374999999998</v>
      </c>
      <c r="J2638">
        <v>480.63</v>
      </c>
      <c r="K2638">
        <v>36</v>
      </c>
      <c r="L2638" s="2">
        <v>33</v>
      </c>
      <c r="M2638">
        <v>5</v>
      </c>
      <c r="N2638" s="2">
        <v>8</v>
      </c>
      <c r="O2638">
        <v>2785.95</v>
      </c>
      <c r="P2638">
        <v>1</v>
      </c>
      <c r="Q2638">
        <v>7</v>
      </c>
      <c r="R2638">
        <v>5.26</v>
      </c>
      <c r="S2638">
        <v>3</v>
      </c>
      <c r="T2638">
        <v>9</v>
      </c>
      <c r="U2638" s="2">
        <v>4325.67</v>
      </c>
      <c r="V2638">
        <v>0</v>
      </c>
      <c r="W2638" t="s">
        <v>29</v>
      </c>
      <c r="X2638" t="str">
        <f>IF(Table2[[#This Row],[Qty available]]&gt;Table2[[#This Row],[Qty on hand]],"Check","OK")</f>
        <v>OK</v>
      </c>
    </row>
    <row r="2639" spans="1:24" x14ac:dyDescent="0.3">
      <c r="A2639" t="s">
        <v>279</v>
      </c>
      <c r="B2639" t="s">
        <v>280</v>
      </c>
      <c r="C2639" t="s">
        <v>77</v>
      </c>
      <c r="D2639" t="s">
        <v>78</v>
      </c>
      <c r="E2639" t="s">
        <v>66</v>
      </c>
      <c r="F2639" s="1" t="s">
        <v>50</v>
      </c>
      <c r="G2639" s="2">
        <v>349.53</v>
      </c>
      <c r="H2639">
        <v>349.53</v>
      </c>
      <c r="I2639">
        <v>348.73833300000001</v>
      </c>
      <c r="J2639">
        <v>480.63</v>
      </c>
      <c r="K2639">
        <v>36</v>
      </c>
      <c r="L2639" s="2">
        <v>36</v>
      </c>
      <c r="M2639">
        <v>5</v>
      </c>
      <c r="N2639" s="2">
        <v>6</v>
      </c>
      <c r="O2639">
        <v>2092.4299999999998</v>
      </c>
      <c r="P2639">
        <v>1</v>
      </c>
      <c r="Q2639">
        <v>5</v>
      </c>
      <c r="R2639">
        <v>3.55</v>
      </c>
      <c r="S2639">
        <v>0</v>
      </c>
      <c r="T2639">
        <v>7</v>
      </c>
      <c r="U2639" s="2">
        <v>3364.41</v>
      </c>
      <c r="V2639">
        <v>0</v>
      </c>
      <c r="W2639" t="s">
        <v>29</v>
      </c>
      <c r="X2639" t="str">
        <f>IF(Table2[[#This Row],[Qty available]]&gt;Table2[[#This Row],[Qty on hand]],"Check","OK")</f>
        <v>OK</v>
      </c>
    </row>
    <row r="2640" spans="1:24" x14ac:dyDescent="0.3">
      <c r="A2640" t="s">
        <v>279</v>
      </c>
      <c r="B2640" t="s">
        <v>280</v>
      </c>
      <c r="C2640" t="s">
        <v>77</v>
      </c>
      <c r="D2640" t="s">
        <v>78</v>
      </c>
      <c r="E2640" t="s">
        <v>66</v>
      </c>
      <c r="F2640" s="1" t="s">
        <v>51</v>
      </c>
      <c r="G2640" s="2">
        <v>354.28</v>
      </c>
      <c r="H2640">
        <v>354.28</v>
      </c>
      <c r="I2640">
        <v>351.25799999999998</v>
      </c>
      <c r="J2640">
        <v>480.63</v>
      </c>
      <c r="K2640">
        <v>36</v>
      </c>
      <c r="L2640" s="2">
        <v>31</v>
      </c>
      <c r="M2640">
        <v>5</v>
      </c>
      <c r="N2640" s="2">
        <v>5</v>
      </c>
      <c r="O2640">
        <v>1756.29</v>
      </c>
      <c r="P2640">
        <v>2</v>
      </c>
      <c r="Q2640">
        <v>3</v>
      </c>
      <c r="R2640">
        <v>2.99</v>
      </c>
      <c r="S2640">
        <v>11</v>
      </c>
      <c r="T2640">
        <v>6</v>
      </c>
      <c r="U2640" s="2">
        <v>2883.78</v>
      </c>
      <c r="V2640">
        <v>0</v>
      </c>
      <c r="W2640" t="s">
        <v>29</v>
      </c>
      <c r="X2640" t="str">
        <f>IF(Table2[[#This Row],[Qty available]]&gt;Table2[[#This Row],[Qty on hand]],"Check","OK")</f>
        <v>OK</v>
      </c>
    </row>
    <row r="2641" spans="1:24" x14ac:dyDescent="0.3">
      <c r="A2641" t="s">
        <v>279</v>
      </c>
      <c r="B2641" t="s">
        <v>280</v>
      </c>
      <c r="C2641" t="s">
        <v>77</v>
      </c>
      <c r="D2641" t="s">
        <v>78</v>
      </c>
      <c r="E2641" t="s">
        <v>66</v>
      </c>
      <c r="F2641" s="1" t="s">
        <v>52</v>
      </c>
      <c r="G2641" s="2">
        <v>353.21</v>
      </c>
      <c r="H2641">
        <v>353.21</v>
      </c>
      <c r="I2641">
        <v>352.63625000000002</v>
      </c>
      <c r="J2641">
        <v>480.63</v>
      </c>
      <c r="K2641">
        <v>36</v>
      </c>
      <c r="L2641" s="2">
        <v>60</v>
      </c>
      <c r="M2641">
        <v>12</v>
      </c>
      <c r="N2641" s="2">
        <v>8</v>
      </c>
      <c r="O2641">
        <v>2821.09</v>
      </c>
      <c r="P2641">
        <v>0</v>
      </c>
      <c r="Q2641">
        <v>8</v>
      </c>
      <c r="R2641">
        <v>4.78</v>
      </c>
      <c r="S2641">
        <v>9</v>
      </c>
      <c r="T2641">
        <v>9</v>
      </c>
      <c r="U2641" s="2">
        <v>4325.67</v>
      </c>
      <c r="V2641">
        <v>0</v>
      </c>
      <c r="W2641" t="s">
        <v>29</v>
      </c>
      <c r="X2641" t="str">
        <f>IF(Table2[[#This Row],[Qty available]]&gt;Table2[[#This Row],[Qty on hand]],"Check","OK")</f>
        <v>OK</v>
      </c>
    </row>
    <row r="2642" spans="1:24" x14ac:dyDescent="0.3">
      <c r="A2642" t="s">
        <v>281</v>
      </c>
      <c r="B2642" t="s">
        <v>282</v>
      </c>
      <c r="C2642" t="s">
        <v>91</v>
      </c>
      <c r="D2642" t="s">
        <v>92</v>
      </c>
      <c r="E2642" t="s">
        <v>27</v>
      </c>
      <c r="F2642" s="1" t="s">
        <v>28</v>
      </c>
      <c r="G2642" s="2">
        <v>191.96</v>
      </c>
      <c r="H2642">
        <v>209.29</v>
      </c>
      <c r="I2642">
        <v>209.62</v>
      </c>
      <c r="J2642">
        <v>289.75</v>
      </c>
      <c r="K2642">
        <v>49</v>
      </c>
      <c r="M2642">
        <v>0</v>
      </c>
      <c r="N2642" s="2">
        <v>24</v>
      </c>
      <c r="O2642">
        <v>5030.88</v>
      </c>
      <c r="P2642">
        <v>8</v>
      </c>
      <c r="Q2642">
        <v>16</v>
      </c>
      <c r="R2642">
        <v>3.54</v>
      </c>
      <c r="S2642">
        <v>5</v>
      </c>
      <c r="T2642">
        <v>49</v>
      </c>
      <c r="U2642" s="2">
        <v>14197.75</v>
      </c>
      <c r="V2642">
        <v>0</v>
      </c>
      <c r="W2642" t="s">
        <v>29</v>
      </c>
      <c r="X2642" t="str">
        <f>IF(Table2[[#This Row],[Qty available]]&gt;Table2[[#This Row],[Qty on hand]],"Check","OK")</f>
        <v>OK</v>
      </c>
    </row>
    <row r="2643" spans="1:24" x14ac:dyDescent="0.3">
      <c r="A2643" t="s">
        <v>281</v>
      </c>
      <c r="B2643" t="s">
        <v>282</v>
      </c>
      <c r="C2643" t="s">
        <v>91</v>
      </c>
      <c r="D2643" t="s">
        <v>92</v>
      </c>
      <c r="E2643" t="s">
        <v>27</v>
      </c>
      <c r="F2643" s="1" t="s">
        <v>30</v>
      </c>
      <c r="G2643" s="2">
        <v>208.98</v>
      </c>
      <c r="H2643">
        <v>227.85</v>
      </c>
      <c r="I2643">
        <v>219.09960000000001</v>
      </c>
      <c r="J2643">
        <v>289.75</v>
      </c>
      <c r="K2643">
        <v>49</v>
      </c>
      <c r="L2643" s="2">
        <v>47</v>
      </c>
      <c r="M2643">
        <v>26</v>
      </c>
      <c r="N2643" s="2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50</v>
      </c>
      <c r="U2643" s="2">
        <v>14487.5</v>
      </c>
      <c r="V2643">
        <v>29</v>
      </c>
      <c r="W2643" t="s">
        <v>59</v>
      </c>
      <c r="X2643" t="str">
        <f>IF(Table2[[#This Row],[Qty available]]&gt;Table2[[#This Row],[Qty on hand]],"Check","OK")</f>
        <v>OK</v>
      </c>
    </row>
    <row r="2644" spans="1:24" x14ac:dyDescent="0.3">
      <c r="A2644" t="s">
        <v>281</v>
      </c>
      <c r="B2644" t="s">
        <v>282</v>
      </c>
      <c r="C2644" t="s">
        <v>91</v>
      </c>
      <c r="D2644" t="s">
        <v>92</v>
      </c>
      <c r="E2644" t="s">
        <v>27</v>
      </c>
      <c r="F2644" s="1" t="s">
        <v>31</v>
      </c>
      <c r="G2644" s="2">
        <v>204.67</v>
      </c>
      <c r="H2644">
        <v>223.15</v>
      </c>
      <c r="I2644">
        <v>223.15</v>
      </c>
      <c r="J2644">
        <v>289.75</v>
      </c>
      <c r="K2644">
        <v>49</v>
      </c>
      <c r="L2644" s="2">
        <v>59</v>
      </c>
      <c r="M2644">
        <v>68</v>
      </c>
      <c r="N2644" s="2">
        <v>47</v>
      </c>
      <c r="O2644">
        <v>10488.05</v>
      </c>
      <c r="P2644">
        <v>15</v>
      </c>
      <c r="Q2644">
        <v>32</v>
      </c>
      <c r="R2644">
        <v>5.09</v>
      </c>
      <c r="S2644">
        <v>2</v>
      </c>
      <c r="T2644">
        <v>21</v>
      </c>
      <c r="U2644" s="2">
        <v>6084.75</v>
      </c>
      <c r="V2644">
        <v>0</v>
      </c>
      <c r="W2644" t="s">
        <v>29</v>
      </c>
      <c r="X2644" t="str">
        <f>IF(Table2[[#This Row],[Qty available]]&gt;Table2[[#This Row],[Qty on hand]],"Check","OK")</f>
        <v>OK</v>
      </c>
    </row>
    <row r="2645" spans="1:24" x14ac:dyDescent="0.3">
      <c r="A2645" t="s">
        <v>281</v>
      </c>
      <c r="B2645" t="s">
        <v>282</v>
      </c>
      <c r="C2645" t="s">
        <v>91</v>
      </c>
      <c r="D2645" t="s">
        <v>92</v>
      </c>
      <c r="E2645" t="s">
        <v>27</v>
      </c>
      <c r="F2645" s="1" t="s">
        <v>32</v>
      </c>
      <c r="G2645" s="2">
        <v>202.92</v>
      </c>
      <c r="H2645">
        <v>221.24</v>
      </c>
      <c r="I2645">
        <v>222.872286</v>
      </c>
      <c r="J2645">
        <v>289.75</v>
      </c>
      <c r="K2645">
        <v>49</v>
      </c>
      <c r="L2645" s="2">
        <v>56</v>
      </c>
      <c r="M2645">
        <v>8</v>
      </c>
      <c r="N2645" s="2">
        <v>35</v>
      </c>
      <c r="O2645">
        <v>7800.53</v>
      </c>
      <c r="P2645">
        <v>9</v>
      </c>
      <c r="Q2645">
        <v>26</v>
      </c>
      <c r="R2645">
        <v>5.05</v>
      </c>
      <c r="S2645">
        <v>4</v>
      </c>
      <c r="T2645">
        <v>20</v>
      </c>
      <c r="U2645" s="2">
        <v>5795</v>
      </c>
      <c r="V2645">
        <v>0</v>
      </c>
      <c r="W2645" t="s">
        <v>29</v>
      </c>
      <c r="X2645" t="str">
        <f>IF(Table2[[#This Row],[Qty available]]&gt;Table2[[#This Row],[Qty on hand]],"Check","OK")</f>
        <v>OK</v>
      </c>
    </row>
    <row r="2646" spans="1:24" x14ac:dyDescent="0.3">
      <c r="A2646" t="s">
        <v>281</v>
      </c>
      <c r="B2646" t="s">
        <v>282</v>
      </c>
      <c r="C2646" t="s">
        <v>91</v>
      </c>
      <c r="D2646" t="s">
        <v>92</v>
      </c>
      <c r="E2646" t="s">
        <v>27</v>
      </c>
      <c r="F2646" s="1" t="s">
        <v>33</v>
      </c>
      <c r="G2646" s="2">
        <v>207.82</v>
      </c>
      <c r="H2646">
        <v>226.59</v>
      </c>
      <c r="I2646">
        <v>225.596735</v>
      </c>
      <c r="J2646">
        <v>289.75</v>
      </c>
      <c r="K2646">
        <v>49</v>
      </c>
      <c r="L2646" s="2">
        <v>42</v>
      </c>
      <c r="M2646">
        <v>96</v>
      </c>
      <c r="N2646" s="2">
        <v>98</v>
      </c>
      <c r="O2646">
        <v>22108.48</v>
      </c>
      <c r="P2646">
        <v>9</v>
      </c>
      <c r="Q2646">
        <v>89</v>
      </c>
      <c r="R2646">
        <v>17.41</v>
      </c>
      <c r="S2646">
        <v>4</v>
      </c>
      <c r="T2646">
        <v>33</v>
      </c>
      <c r="U2646" s="2">
        <v>9561.75</v>
      </c>
      <c r="V2646">
        <v>0</v>
      </c>
      <c r="W2646" t="s">
        <v>29</v>
      </c>
      <c r="X2646" t="str">
        <f>IF(Table2[[#This Row],[Qty available]]&gt;Table2[[#This Row],[Qty on hand]],"Check","OK")</f>
        <v>OK</v>
      </c>
    </row>
    <row r="2647" spans="1:24" x14ac:dyDescent="0.3">
      <c r="A2647" t="s">
        <v>281</v>
      </c>
      <c r="B2647" t="s">
        <v>282</v>
      </c>
      <c r="C2647" t="s">
        <v>91</v>
      </c>
      <c r="D2647" t="s">
        <v>92</v>
      </c>
      <c r="E2647" t="s">
        <v>27</v>
      </c>
      <c r="F2647" s="1" t="s">
        <v>34</v>
      </c>
      <c r="G2647" s="2">
        <v>209.99</v>
      </c>
      <c r="H2647">
        <v>228.95</v>
      </c>
      <c r="I2647">
        <v>225.59670299999999</v>
      </c>
      <c r="J2647">
        <v>298.18</v>
      </c>
      <c r="K2647">
        <v>49</v>
      </c>
      <c r="M2647">
        <v>0</v>
      </c>
      <c r="N2647" s="2">
        <v>91</v>
      </c>
      <c r="O2647">
        <v>20529.3</v>
      </c>
      <c r="P2647">
        <v>15</v>
      </c>
      <c r="Q2647">
        <v>76</v>
      </c>
      <c r="R2647">
        <v>19.5</v>
      </c>
      <c r="S2647">
        <v>3</v>
      </c>
      <c r="T2647">
        <v>7</v>
      </c>
      <c r="U2647" s="2">
        <v>2087.2600000000002</v>
      </c>
      <c r="V2647">
        <v>0</v>
      </c>
      <c r="W2647" t="s">
        <v>29</v>
      </c>
      <c r="X2647" t="str">
        <f>IF(Table2[[#This Row],[Qty available]]&gt;Table2[[#This Row],[Qty on hand]],"Check","OK")</f>
        <v>OK</v>
      </c>
    </row>
    <row r="2648" spans="1:24" x14ac:dyDescent="0.3">
      <c r="A2648" t="s">
        <v>281</v>
      </c>
      <c r="B2648" t="s">
        <v>282</v>
      </c>
      <c r="C2648" t="s">
        <v>91</v>
      </c>
      <c r="D2648" t="s">
        <v>92</v>
      </c>
      <c r="E2648" t="s">
        <v>27</v>
      </c>
      <c r="F2648" s="1" t="s">
        <v>35</v>
      </c>
      <c r="G2648" s="2">
        <v>210.08</v>
      </c>
      <c r="H2648">
        <v>229.05</v>
      </c>
      <c r="I2648">
        <v>225.59674999999999</v>
      </c>
      <c r="J2648">
        <v>298.18</v>
      </c>
      <c r="K2648">
        <v>49</v>
      </c>
      <c r="M2648">
        <v>0</v>
      </c>
      <c r="N2648" s="2">
        <v>40</v>
      </c>
      <c r="O2648">
        <v>9023.8700000000008</v>
      </c>
      <c r="P2648">
        <v>9</v>
      </c>
      <c r="Q2648">
        <v>31</v>
      </c>
      <c r="R2648">
        <v>5.65</v>
      </c>
      <c r="S2648">
        <v>1</v>
      </c>
      <c r="T2648">
        <v>51</v>
      </c>
      <c r="U2648" s="2">
        <v>15207.18</v>
      </c>
      <c r="V2648">
        <v>0</v>
      </c>
      <c r="W2648" t="s">
        <v>29</v>
      </c>
      <c r="X2648" t="str">
        <f>IF(Table2[[#This Row],[Qty available]]&gt;Table2[[#This Row],[Qty on hand]],"Check","OK")</f>
        <v>OK</v>
      </c>
    </row>
    <row r="2649" spans="1:24" x14ac:dyDescent="0.3">
      <c r="A2649" t="s">
        <v>281</v>
      </c>
      <c r="B2649" t="s">
        <v>282</v>
      </c>
      <c r="C2649" t="s">
        <v>91</v>
      </c>
      <c r="D2649" t="s">
        <v>92</v>
      </c>
      <c r="E2649" t="s">
        <v>27</v>
      </c>
      <c r="F2649" s="1" t="s">
        <v>36</v>
      </c>
      <c r="G2649" s="2">
        <v>207.99</v>
      </c>
      <c r="H2649">
        <v>226.77</v>
      </c>
      <c r="I2649">
        <v>226.45287099999999</v>
      </c>
      <c r="J2649">
        <v>298.18</v>
      </c>
      <c r="K2649">
        <v>49</v>
      </c>
      <c r="L2649" s="2">
        <v>47</v>
      </c>
      <c r="M2649">
        <v>108</v>
      </c>
      <c r="N2649" s="2">
        <v>101</v>
      </c>
      <c r="O2649">
        <v>22871.74</v>
      </c>
      <c r="P2649">
        <v>14</v>
      </c>
      <c r="Q2649">
        <v>87</v>
      </c>
      <c r="R2649">
        <v>12.23</v>
      </c>
      <c r="S2649">
        <v>8</v>
      </c>
      <c r="T2649">
        <v>47</v>
      </c>
      <c r="U2649" s="2">
        <v>14014.46</v>
      </c>
      <c r="V2649">
        <v>0</v>
      </c>
      <c r="W2649" t="s">
        <v>29</v>
      </c>
      <c r="X2649" t="str">
        <f>IF(Table2[[#This Row],[Qty available]]&gt;Table2[[#This Row],[Qty on hand]],"Check","OK")</f>
        <v>OK</v>
      </c>
    </row>
    <row r="2650" spans="1:24" x14ac:dyDescent="0.3">
      <c r="A2650" t="s">
        <v>281</v>
      </c>
      <c r="B2650" t="s">
        <v>282</v>
      </c>
      <c r="C2650" t="s">
        <v>91</v>
      </c>
      <c r="D2650" t="s">
        <v>92</v>
      </c>
      <c r="E2650" t="s">
        <v>27</v>
      </c>
      <c r="F2650" s="1" t="s">
        <v>37</v>
      </c>
      <c r="G2650" s="2">
        <v>208.02</v>
      </c>
      <c r="H2650">
        <v>226.8</v>
      </c>
      <c r="I2650">
        <v>226.54407399999999</v>
      </c>
      <c r="J2650">
        <v>298.18</v>
      </c>
      <c r="K2650">
        <v>49</v>
      </c>
      <c r="L2650" s="2">
        <v>43</v>
      </c>
      <c r="M2650">
        <v>36</v>
      </c>
      <c r="N2650" s="2">
        <v>81</v>
      </c>
      <c r="O2650">
        <v>18350.07</v>
      </c>
      <c r="P2650">
        <v>11</v>
      </c>
      <c r="Q2650">
        <v>70</v>
      </c>
      <c r="R2650">
        <v>6.91</v>
      </c>
      <c r="S2650">
        <v>8</v>
      </c>
      <c r="T2650">
        <v>56</v>
      </c>
      <c r="U2650" s="2">
        <v>16698.080000000002</v>
      </c>
      <c r="V2650">
        <v>0</v>
      </c>
      <c r="W2650" t="s">
        <v>29</v>
      </c>
      <c r="X2650" t="str">
        <f>IF(Table2[[#This Row],[Qty available]]&gt;Table2[[#This Row],[Qty on hand]],"Check","OK")</f>
        <v>OK</v>
      </c>
    </row>
    <row r="2651" spans="1:24" x14ac:dyDescent="0.3">
      <c r="A2651" t="s">
        <v>281</v>
      </c>
      <c r="B2651" t="s">
        <v>282</v>
      </c>
      <c r="C2651" t="s">
        <v>91</v>
      </c>
      <c r="D2651" t="s">
        <v>92</v>
      </c>
      <c r="E2651" t="s">
        <v>27</v>
      </c>
      <c r="F2651" s="1" t="s">
        <v>38</v>
      </c>
      <c r="G2651" s="2">
        <v>204.11</v>
      </c>
      <c r="H2651">
        <v>222.54</v>
      </c>
      <c r="I2651">
        <v>226.544085</v>
      </c>
      <c r="J2651">
        <v>298.18</v>
      </c>
      <c r="K2651">
        <v>49</v>
      </c>
      <c r="M2651">
        <v>0</v>
      </c>
      <c r="N2651" s="2">
        <v>71</v>
      </c>
      <c r="O2651">
        <v>16084.63</v>
      </c>
      <c r="P2651">
        <v>14</v>
      </c>
      <c r="Q2651">
        <v>57</v>
      </c>
      <c r="R2651">
        <v>8.17</v>
      </c>
      <c r="S2651">
        <v>1</v>
      </c>
      <c r="T2651">
        <v>10</v>
      </c>
      <c r="U2651" s="2">
        <v>2981.8</v>
      </c>
      <c r="V2651">
        <v>0</v>
      </c>
      <c r="W2651" t="s">
        <v>29</v>
      </c>
      <c r="X2651" t="str">
        <f>IF(Table2[[#This Row],[Qty available]]&gt;Table2[[#This Row],[Qty on hand]],"Check","OK")</f>
        <v>OK</v>
      </c>
    </row>
    <row r="2652" spans="1:24" x14ac:dyDescent="0.3">
      <c r="A2652" t="s">
        <v>281</v>
      </c>
      <c r="B2652" t="s">
        <v>282</v>
      </c>
      <c r="C2652" t="s">
        <v>91</v>
      </c>
      <c r="D2652" t="s">
        <v>92</v>
      </c>
      <c r="E2652" t="s">
        <v>27</v>
      </c>
      <c r="F2652" s="1" t="s">
        <v>39</v>
      </c>
      <c r="G2652" s="2">
        <v>205.4</v>
      </c>
      <c r="H2652">
        <v>223.95</v>
      </c>
      <c r="I2652">
        <v>225.655306</v>
      </c>
      <c r="J2652">
        <v>298.18</v>
      </c>
      <c r="K2652">
        <v>49</v>
      </c>
      <c r="L2652" s="2">
        <v>45</v>
      </c>
      <c r="M2652">
        <v>37</v>
      </c>
      <c r="N2652" s="2">
        <v>49</v>
      </c>
      <c r="O2652">
        <v>11057.11</v>
      </c>
      <c r="P2652">
        <v>11</v>
      </c>
      <c r="Q2652">
        <v>38</v>
      </c>
      <c r="R2652">
        <v>5.15</v>
      </c>
      <c r="S2652">
        <v>0</v>
      </c>
      <c r="T2652">
        <v>59</v>
      </c>
      <c r="U2652" s="2">
        <v>17592.62</v>
      </c>
      <c r="V2652">
        <v>0</v>
      </c>
      <c r="W2652" t="s">
        <v>29</v>
      </c>
      <c r="X2652" t="str">
        <f>IF(Table2[[#This Row],[Qty available]]&gt;Table2[[#This Row],[Qty on hand]],"Check","OK")</f>
        <v>OK</v>
      </c>
    </row>
    <row r="2653" spans="1:24" x14ac:dyDescent="0.3">
      <c r="A2653" t="s">
        <v>281</v>
      </c>
      <c r="B2653" t="s">
        <v>282</v>
      </c>
      <c r="C2653" t="s">
        <v>91</v>
      </c>
      <c r="D2653" t="s">
        <v>92</v>
      </c>
      <c r="E2653" t="s">
        <v>27</v>
      </c>
      <c r="F2653" s="1" t="s">
        <v>40</v>
      </c>
      <c r="G2653" s="2">
        <v>205.06</v>
      </c>
      <c r="H2653">
        <v>223.58</v>
      </c>
      <c r="I2653">
        <v>224.44175000000001</v>
      </c>
      <c r="J2653">
        <v>298.18</v>
      </c>
      <c r="K2653">
        <v>49</v>
      </c>
      <c r="L2653" s="2">
        <v>45</v>
      </c>
      <c r="M2653">
        <v>69</v>
      </c>
      <c r="N2653" s="2">
        <v>80</v>
      </c>
      <c r="O2653">
        <v>17955.34</v>
      </c>
      <c r="P2653">
        <v>14</v>
      </c>
      <c r="Q2653">
        <v>66</v>
      </c>
      <c r="R2653">
        <v>9.83</v>
      </c>
      <c r="S2653">
        <v>8</v>
      </c>
      <c r="T2653">
        <v>38</v>
      </c>
      <c r="U2653" s="2">
        <v>11330.84</v>
      </c>
      <c r="V2653">
        <v>0</v>
      </c>
      <c r="W2653" t="s">
        <v>29</v>
      </c>
      <c r="X2653" t="str">
        <f>IF(Table2[[#This Row],[Qty available]]&gt;Table2[[#This Row],[Qty on hand]],"Check","OK")</f>
        <v>OK</v>
      </c>
    </row>
    <row r="2654" spans="1:24" x14ac:dyDescent="0.3">
      <c r="A2654" t="s">
        <v>281</v>
      </c>
      <c r="B2654" t="s">
        <v>282</v>
      </c>
      <c r="C2654" t="s">
        <v>91</v>
      </c>
      <c r="D2654" t="s">
        <v>92</v>
      </c>
      <c r="E2654" t="s">
        <v>27</v>
      </c>
      <c r="F2654" s="1" t="s">
        <v>41</v>
      </c>
      <c r="G2654" s="2">
        <v>203.94</v>
      </c>
      <c r="H2654">
        <v>222.36</v>
      </c>
      <c r="I2654">
        <v>224.441667</v>
      </c>
      <c r="J2654">
        <v>298.18</v>
      </c>
      <c r="K2654">
        <v>49</v>
      </c>
      <c r="M2654">
        <v>0</v>
      </c>
      <c r="N2654" s="2">
        <v>48</v>
      </c>
      <c r="O2654">
        <v>10773.2</v>
      </c>
      <c r="P2654">
        <v>15</v>
      </c>
      <c r="Q2654">
        <v>33</v>
      </c>
      <c r="R2654">
        <v>4.8899999999999997</v>
      </c>
      <c r="S2654">
        <v>4</v>
      </c>
      <c r="T2654">
        <v>32</v>
      </c>
      <c r="U2654" s="2">
        <v>9541.76</v>
      </c>
      <c r="V2654">
        <v>0</v>
      </c>
      <c r="W2654" t="s">
        <v>29</v>
      </c>
      <c r="X2654" t="str">
        <f>IF(Table2[[#This Row],[Qty available]]&gt;Table2[[#This Row],[Qty on hand]],"Check","OK")</f>
        <v>OK</v>
      </c>
    </row>
    <row r="2655" spans="1:24" x14ac:dyDescent="0.3">
      <c r="A2655" t="s">
        <v>281</v>
      </c>
      <c r="B2655" t="s">
        <v>282</v>
      </c>
      <c r="C2655" t="s">
        <v>91</v>
      </c>
      <c r="D2655" t="s">
        <v>92</v>
      </c>
      <c r="E2655" t="s">
        <v>27</v>
      </c>
      <c r="F2655" s="1" t="s">
        <v>42</v>
      </c>
      <c r="G2655" s="2">
        <v>220.33</v>
      </c>
      <c r="H2655">
        <v>240.23</v>
      </c>
      <c r="I2655">
        <v>233.277333</v>
      </c>
      <c r="J2655">
        <v>298.18</v>
      </c>
      <c r="K2655">
        <v>49</v>
      </c>
      <c r="L2655" s="2">
        <v>46</v>
      </c>
      <c r="M2655">
        <v>61</v>
      </c>
      <c r="N2655" s="2">
        <v>45</v>
      </c>
      <c r="O2655">
        <v>10497.48</v>
      </c>
      <c r="P2655">
        <v>14</v>
      </c>
      <c r="Q2655">
        <v>31</v>
      </c>
      <c r="R2655">
        <v>4.41</v>
      </c>
      <c r="S2655">
        <v>0</v>
      </c>
      <c r="T2655">
        <v>64</v>
      </c>
      <c r="U2655" s="2">
        <v>19083.52</v>
      </c>
      <c r="V2655">
        <v>0</v>
      </c>
      <c r="W2655" t="s">
        <v>29</v>
      </c>
      <c r="X2655" t="str">
        <f>IF(Table2[[#This Row],[Qty available]]&gt;Table2[[#This Row],[Qty on hand]],"Check","OK")</f>
        <v>OK</v>
      </c>
    </row>
    <row r="2656" spans="1:24" x14ac:dyDescent="0.3">
      <c r="A2656" t="s">
        <v>281</v>
      </c>
      <c r="B2656" t="s">
        <v>282</v>
      </c>
      <c r="C2656" t="s">
        <v>91</v>
      </c>
      <c r="D2656" t="s">
        <v>92</v>
      </c>
      <c r="E2656" t="s">
        <v>27</v>
      </c>
      <c r="F2656" s="1" t="s">
        <v>43</v>
      </c>
      <c r="G2656" s="2">
        <v>216.2</v>
      </c>
      <c r="H2656">
        <v>235.72</v>
      </c>
      <c r="I2656">
        <v>233.27727300000001</v>
      </c>
      <c r="J2656">
        <v>298.18</v>
      </c>
      <c r="K2656">
        <v>49</v>
      </c>
      <c r="M2656">
        <v>0</v>
      </c>
      <c r="N2656" s="2">
        <v>22</v>
      </c>
      <c r="O2656">
        <v>5132.1000000000004</v>
      </c>
      <c r="P2656">
        <v>15</v>
      </c>
      <c r="Q2656">
        <v>7</v>
      </c>
      <c r="R2656">
        <v>2.4</v>
      </c>
      <c r="S2656">
        <v>6</v>
      </c>
      <c r="T2656">
        <v>23</v>
      </c>
      <c r="U2656" s="2">
        <v>6858.14</v>
      </c>
      <c r="V2656">
        <v>0</v>
      </c>
      <c r="W2656" t="s">
        <v>29</v>
      </c>
      <c r="X2656" t="str">
        <f>IF(Table2[[#This Row],[Qty available]]&gt;Table2[[#This Row],[Qty on hand]],"Check","OK")</f>
        <v>OK</v>
      </c>
    </row>
    <row r="2657" spans="1:24" x14ac:dyDescent="0.3">
      <c r="A2657" t="s">
        <v>281</v>
      </c>
      <c r="B2657" t="s">
        <v>282</v>
      </c>
      <c r="C2657" t="s">
        <v>91</v>
      </c>
      <c r="D2657" t="s">
        <v>92</v>
      </c>
      <c r="E2657" t="s">
        <v>27</v>
      </c>
      <c r="F2657" s="1" t="s">
        <v>44</v>
      </c>
      <c r="G2657" s="2">
        <v>220.86</v>
      </c>
      <c r="H2657">
        <v>240.8</v>
      </c>
      <c r="I2657">
        <v>237.6772</v>
      </c>
      <c r="J2657">
        <v>298.18</v>
      </c>
      <c r="K2657">
        <v>49</v>
      </c>
      <c r="L2657" s="2">
        <v>49</v>
      </c>
      <c r="M2657">
        <v>31</v>
      </c>
      <c r="N2657" s="2">
        <v>25</v>
      </c>
      <c r="O2657">
        <v>5941.93</v>
      </c>
      <c r="P2657">
        <v>14</v>
      </c>
      <c r="Q2657">
        <v>11</v>
      </c>
      <c r="R2657">
        <v>2.86</v>
      </c>
      <c r="S2657">
        <v>2</v>
      </c>
      <c r="T2657">
        <v>28</v>
      </c>
      <c r="U2657" s="2">
        <v>8349.0400000000009</v>
      </c>
      <c r="V2657">
        <v>0</v>
      </c>
      <c r="W2657" t="s">
        <v>29</v>
      </c>
      <c r="X2657" t="str">
        <f>IF(Table2[[#This Row],[Qty available]]&gt;Table2[[#This Row],[Qty on hand]],"Check","OK")</f>
        <v>OK</v>
      </c>
    </row>
    <row r="2658" spans="1:24" x14ac:dyDescent="0.3">
      <c r="A2658" t="s">
        <v>281</v>
      </c>
      <c r="B2658" t="s">
        <v>282</v>
      </c>
      <c r="C2658" t="s">
        <v>91</v>
      </c>
      <c r="D2658" t="s">
        <v>92</v>
      </c>
      <c r="E2658" t="s">
        <v>27</v>
      </c>
      <c r="F2658" s="1" t="s">
        <v>45</v>
      </c>
      <c r="G2658" s="2">
        <v>216.59</v>
      </c>
      <c r="H2658">
        <v>236.15</v>
      </c>
      <c r="I2658">
        <v>236.46039999999999</v>
      </c>
      <c r="J2658">
        <v>298.18</v>
      </c>
      <c r="K2658">
        <v>49</v>
      </c>
      <c r="L2658" s="2">
        <v>42</v>
      </c>
      <c r="M2658">
        <v>98</v>
      </c>
      <c r="N2658" s="2">
        <v>50</v>
      </c>
      <c r="O2658">
        <v>11823.02</v>
      </c>
      <c r="P2658">
        <v>3</v>
      </c>
      <c r="Q2658">
        <v>47</v>
      </c>
      <c r="R2658">
        <v>5.3</v>
      </c>
      <c r="S2658">
        <v>1</v>
      </c>
      <c r="T2658">
        <v>73</v>
      </c>
      <c r="U2658" s="2">
        <v>21767.14</v>
      </c>
      <c r="V2658">
        <v>0</v>
      </c>
      <c r="W2658" t="s">
        <v>29</v>
      </c>
      <c r="X2658" t="str">
        <f>IF(Table2[[#This Row],[Qty available]]&gt;Table2[[#This Row],[Qty on hand]],"Check","OK")</f>
        <v>OK</v>
      </c>
    </row>
    <row r="2659" spans="1:24" x14ac:dyDescent="0.3">
      <c r="A2659" t="s">
        <v>281</v>
      </c>
      <c r="B2659" t="s">
        <v>282</v>
      </c>
      <c r="C2659" t="s">
        <v>91</v>
      </c>
      <c r="D2659" t="s">
        <v>92</v>
      </c>
      <c r="E2659" t="s">
        <v>27</v>
      </c>
      <c r="F2659" s="1" t="s">
        <v>46</v>
      </c>
      <c r="G2659" s="2">
        <v>218.17</v>
      </c>
      <c r="H2659">
        <v>237.87</v>
      </c>
      <c r="I2659">
        <v>236.46034499999999</v>
      </c>
      <c r="J2659">
        <v>306.86</v>
      </c>
      <c r="K2659">
        <v>49</v>
      </c>
      <c r="M2659">
        <v>0</v>
      </c>
      <c r="N2659" s="2">
        <v>29</v>
      </c>
      <c r="O2659">
        <v>6857.35</v>
      </c>
      <c r="P2659">
        <v>15</v>
      </c>
      <c r="Q2659">
        <v>14</v>
      </c>
      <c r="R2659">
        <v>3.06</v>
      </c>
      <c r="S2659">
        <v>0</v>
      </c>
      <c r="T2659">
        <v>21</v>
      </c>
      <c r="U2659" s="2">
        <v>6444.06</v>
      </c>
      <c r="V2659">
        <v>0</v>
      </c>
      <c r="W2659" t="s">
        <v>29</v>
      </c>
      <c r="X2659" t="str">
        <f>IF(Table2[[#This Row],[Qty available]]&gt;Table2[[#This Row],[Qty on hand]],"Check","OK")</f>
        <v>OK</v>
      </c>
    </row>
    <row r="2660" spans="1:24" x14ac:dyDescent="0.3">
      <c r="A2660" t="s">
        <v>281</v>
      </c>
      <c r="B2660" t="s">
        <v>282</v>
      </c>
      <c r="C2660" t="s">
        <v>91</v>
      </c>
      <c r="D2660" t="s">
        <v>92</v>
      </c>
      <c r="E2660" t="s">
        <v>27</v>
      </c>
      <c r="F2660" s="1" t="s">
        <v>47</v>
      </c>
      <c r="G2660" s="2">
        <v>220.19</v>
      </c>
      <c r="H2660">
        <v>240.07</v>
      </c>
      <c r="I2660">
        <v>238.96803299999999</v>
      </c>
      <c r="J2660">
        <v>306.86</v>
      </c>
      <c r="K2660">
        <v>49</v>
      </c>
      <c r="L2660" s="2">
        <v>58</v>
      </c>
      <c r="M2660">
        <v>66</v>
      </c>
      <c r="N2660" s="2">
        <v>61</v>
      </c>
      <c r="O2660">
        <v>14577.05</v>
      </c>
      <c r="P2660">
        <v>11</v>
      </c>
      <c r="Q2660">
        <v>50</v>
      </c>
      <c r="R2660">
        <v>6.13</v>
      </c>
      <c r="S2660">
        <v>16</v>
      </c>
      <c r="T2660">
        <v>34</v>
      </c>
      <c r="U2660" s="2">
        <v>10433.24</v>
      </c>
      <c r="V2660">
        <v>0</v>
      </c>
      <c r="W2660" t="s">
        <v>29</v>
      </c>
      <c r="X2660" t="str">
        <f>IF(Table2[[#This Row],[Qty available]]&gt;Table2[[#This Row],[Qty on hand]],"Check","OK")</f>
        <v>OK</v>
      </c>
    </row>
    <row r="2661" spans="1:24" x14ac:dyDescent="0.3">
      <c r="A2661" t="s">
        <v>281</v>
      </c>
      <c r="B2661" t="s">
        <v>282</v>
      </c>
      <c r="C2661" t="s">
        <v>91</v>
      </c>
      <c r="D2661" t="s">
        <v>92</v>
      </c>
      <c r="E2661" t="s">
        <v>27</v>
      </c>
      <c r="F2661" s="1" t="s">
        <v>48</v>
      </c>
      <c r="G2661" s="2">
        <v>220.06</v>
      </c>
      <c r="H2661">
        <v>239.93</v>
      </c>
      <c r="I2661">
        <v>238.96777800000001</v>
      </c>
      <c r="J2661">
        <v>306.86</v>
      </c>
      <c r="K2661">
        <v>49</v>
      </c>
      <c r="M2661">
        <v>0</v>
      </c>
      <c r="N2661" s="2">
        <v>18</v>
      </c>
      <c r="O2661">
        <v>4301.42</v>
      </c>
      <c r="P2661">
        <v>12</v>
      </c>
      <c r="Q2661">
        <v>6</v>
      </c>
      <c r="R2661">
        <v>2.34</v>
      </c>
      <c r="S2661">
        <v>4</v>
      </c>
      <c r="T2661">
        <v>43</v>
      </c>
      <c r="U2661" s="2">
        <v>13194.98</v>
      </c>
      <c r="V2661">
        <v>0</v>
      </c>
      <c r="W2661" t="s">
        <v>29</v>
      </c>
      <c r="X2661" t="str">
        <f>IF(Table2[[#This Row],[Qty available]]&gt;Table2[[#This Row],[Qty on hand]],"Check","OK")</f>
        <v>OK</v>
      </c>
    </row>
    <row r="2662" spans="1:24" x14ac:dyDescent="0.3">
      <c r="A2662" t="s">
        <v>281</v>
      </c>
      <c r="B2662" t="s">
        <v>282</v>
      </c>
      <c r="C2662" t="s">
        <v>91</v>
      </c>
      <c r="D2662" t="s">
        <v>92</v>
      </c>
      <c r="E2662" t="s">
        <v>27</v>
      </c>
      <c r="F2662" s="1" t="s">
        <v>49</v>
      </c>
      <c r="G2662" s="2">
        <v>220.8</v>
      </c>
      <c r="H2662">
        <v>240.74</v>
      </c>
      <c r="I2662">
        <v>240.11451</v>
      </c>
      <c r="J2662">
        <v>306.86</v>
      </c>
      <c r="K2662">
        <v>49</v>
      </c>
      <c r="L2662" s="2">
        <v>42</v>
      </c>
      <c r="M2662">
        <v>33</v>
      </c>
      <c r="N2662" s="2">
        <v>0</v>
      </c>
      <c r="O2662">
        <v>0</v>
      </c>
      <c r="P2662">
        <v>0</v>
      </c>
      <c r="Q2662">
        <v>0</v>
      </c>
      <c r="R2662">
        <v>0</v>
      </c>
      <c r="S2662">
        <v>6</v>
      </c>
      <c r="T2662">
        <v>51</v>
      </c>
      <c r="U2662" s="2">
        <v>15649.86</v>
      </c>
      <c r="V2662">
        <v>13</v>
      </c>
      <c r="W2662" t="s">
        <v>59</v>
      </c>
      <c r="X2662" t="str">
        <f>IF(Table2[[#This Row],[Qty available]]&gt;Table2[[#This Row],[Qty on hand]],"Check","OK")</f>
        <v>OK</v>
      </c>
    </row>
    <row r="2663" spans="1:24" x14ac:dyDescent="0.3">
      <c r="A2663" t="s">
        <v>281</v>
      </c>
      <c r="B2663" t="s">
        <v>282</v>
      </c>
      <c r="C2663" t="s">
        <v>91</v>
      </c>
      <c r="D2663" t="s">
        <v>92</v>
      </c>
      <c r="E2663" t="s">
        <v>27</v>
      </c>
      <c r="F2663" s="1" t="s">
        <v>50</v>
      </c>
      <c r="G2663" s="2">
        <v>220</v>
      </c>
      <c r="H2663">
        <v>239.87</v>
      </c>
      <c r="I2663">
        <v>239.87</v>
      </c>
      <c r="J2663">
        <v>306.86</v>
      </c>
      <c r="K2663">
        <v>49</v>
      </c>
      <c r="L2663" s="2">
        <v>45</v>
      </c>
      <c r="M2663">
        <v>25</v>
      </c>
      <c r="N2663" s="2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25</v>
      </c>
      <c r="U2663" s="2">
        <v>7671.5</v>
      </c>
      <c r="V2663">
        <v>34</v>
      </c>
      <c r="W2663" t="s">
        <v>59</v>
      </c>
      <c r="X2663" t="str">
        <f>IF(Table2[[#This Row],[Qty available]]&gt;Table2[[#This Row],[Qty on hand]],"Check","OK")</f>
        <v>OK</v>
      </c>
    </row>
    <row r="2664" spans="1:24" x14ac:dyDescent="0.3">
      <c r="A2664" t="s">
        <v>281</v>
      </c>
      <c r="B2664" t="s">
        <v>282</v>
      </c>
      <c r="C2664" t="s">
        <v>91</v>
      </c>
      <c r="D2664" t="s">
        <v>92</v>
      </c>
      <c r="E2664" t="s">
        <v>27</v>
      </c>
      <c r="F2664" s="1" t="s">
        <v>51</v>
      </c>
      <c r="G2664" s="2">
        <v>221.21</v>
      </c>
      <c r="H2664">
        <v>241.19</v>
      </c>
      <c r="I2664">
        <v>241.19</v>
      </c>
      <c r="J2664">
        <v>306.86</v>
      </c>
      <c r="K2664">
        <v>49</v>
      </c>
      <c r="L2664" s="2">
        <v>45</v>
      </c>
      <c r="M2664">
        <v>99</v>
      </c>
      <c r="N2664" s="2">
        <v>36</v>
      </c>
      <c r="O2664">
        <v>8682.84</v>
      </c>
      <c r="P2664">
        <v>14</v>
      </c>
      <c r="Q2664">
        <v>22</v>
      </c>
      <c r="R2664">
        <v>3.4</v>
      </c>
      <c r="S2664">
        <v>0</v>
      </c>
      <c r="T2664">
        <v>63</v>
      </c>
      <c r="U2664" s="2">
        <v>19332.18</v>
      </c>
      <c r="V2664">
        <v>0</v>
      </c>
      <c r="W2664" t="s">
        <v>29</v>
      </c>
      <c r="X2664" t="str">
        <f>IF(Table2[[#This Row],[Qty available]]&gt;Table2[[#This Row],[Qty on hand]],"Check","OK")</f>
        <v>OK</v>
      </c>
    </row>
    <row r="2665" spans="1:24" x14ac:dyDescent="0.3">
      <c r="A2665" t="s">
        <v>281</v>
      </c>
      <c r="B2665" t="s">
        <v>282</v>
      </c>
      <c r="C2665" t="s">
        <v>91</v>
      </c>
      <c r="D2665" t="s">
        <v>92</v>
      </c>
      <c r="E2665" t="s">
        <v>27</v>
      </c>
      <c r="F2665" s="1" t="s">
        <v>52</v>
      </c>
      <c r="G2665" s="2">
        <v>220.57</v>
      </c>
      <c r="H2665">
        <v>240.49</v>
      </c>
      <c r="I2665">
        <v>241.19</v>
      </c>
      <c r="J2665">
        <v>306.86</v>
      </c>
      <c r="K2665">
        <v>49</v>
      </c>
      <c r="M2665">
        <v>0</v>
      </c>
      <c r="N2665" s="2">
        <v>0</v>
      </c>
      <c r="O2665">
        <v>0</v>
      </c>
      <c r="P2665">
        <v>0</v>
      </c>
      <c r="Q2665">
        <v>0</v>
      </c>
      <c r="R2665">
        <v>0</v>
      </c>
      <c r="S2665">
        <v>8</v>
      </c>
      <c r="T2665">
        <v>36</v>
      </c>
      <c r="U2665" s="2">
        <v>11046.96</v>
      </c>
      <c r="V2665">
        <v>32</v>
      </c>
      <c r="W2665" t="s">
        <v>59</v>
      </c>
      <c r="X2665" t="str">
        <f>IF(Table2[[#This Row],[Qty available]]&gt;Table2[[#This Row],[Qty on hand]],"Check","OK")</f>
        <v>OK</v>
      </c>
    </row>
    <row r="2666" spans="1:24" x14ac:dyDescent="0.3">
      <c r="A2666" t="s">
        <v>283</v>
      </c>
      <c r="B2666" t="s">
        <v>284</v>
      </c>
      <c r="C2666" t="s">
        <v>91</v>
      </c>
      <c r="D2666" t="s">
        <v>92</v>
      </c>
      <c r="E2666" t="s">
        <v>66</v>
      </c>
      <c r="F2666" s="1" t="s">
        <v>28</v>
      </c>
      <c r="G2666" s="2">
        <v>231.55</v>
      </c>
      <c r="H2666">
        <v>231.55</v>
      </c>
      <c r="I2666">
        <v>235.71947700000001</v>
      </c>
      <c r="J2666">
        <v>320.70999999999998</v>
      </c>
      <c r="K2666">
        <v>24</v>
      </c>
      <c r="L2666" s="2">
        <v>23</v>
      </c>
      <c r="M2666">
        <v>45</v>
      </c>
      <c r="N2666" s="2">
        <v>172</v>
      </c>
      <c r="O2666">
        <v>40543.75</v>
      </c>
      <c r="P2666">
        <v>12</v>
      </c>
      <c r="Q2666">
        <v>160</v>
      </c>
      <c r="R2666">
        <v>19</v>
      </c>
      <c r="S2666">
        <v>11</v>
      </c>
      <c r="T2666">
        <v>33</v>
      </c>
      <c r="U2666" s="2">
        <v>10583.43</v>
      </c>
      <c r="V2666">
        <v>0</v>
      </c>
      <c r="W2666" t="s">
        <v>29</v>
      </c>
      <c r="X2666" t="str">
        <f>IF(Table2[[#This Row],[Qty available]]&gt;Table2[[#This Row],[Qty on hand]],"Check","OK")</f>
        <v>OK</v>
      </c>
    </row>
    <row r="2667" spans="1:24" x14ac:dyDescent="0.3">
      <c r="A2667" t="s">
        <v>283</v>
      </c>
      <c r="B2667" t="s">
        <v>284</v>
      </c>
      <c r="C2667" t="s">
        <v>91</v>
      </c>
      <c r="D2667" t="s">
        <v>92</v>
      </c>
      <c r="E2667" t="s">
        <v>66</v>
      </c>
      <c r="F2667" s="1" t="s">
        <v>30</v>
      </c>
      <c r="G2667" s="2">
        <v>249.9</v>
      </c>
      <c r="H2667">
        <v>249.9</v>
      </c>
      <c r="I2667">
        <v>238.660113</v>
      </c>
      <c r="J2667">
        <v>320.70999999999998</v>
      </c>
      <c r="K2667">
        <v>24</v>
      </c>
      <c r="L2667" s="2">
        <v>23</v>
      </c>
      <c r="M2667">
        <v>45</v>
      </c>
      <c r="N2667" s="2">
        <v>177</v>
      </c>
      <c r="O2667">
        <v>42242.84</v>
      </c>
      <c r="P2667">
        <v>11</v>
      </c>
      <c r="Q2667">
        <v>166</v>
      </c>
      <c r="R2667">
        <v>18.91</v>
      </c>
      <c r="S2667">
        <v>3</v>
      </c>
      <c r="T2667">
        <v>40</v>
      </c>
      <c r="U2667" s="2">
        <v>12828.4</v>
      </c>
      <c r="V2667">
        <v>0</v>
      </c>
      <c r="W2667" t="s">
        <v>29</v>
      </c>
      <c r="X2667" t="str">
        <f>IF(Table2[[#This Row],[Qty available]]&gt;Table2[[#This Row],[Qty on hand]],"Check","OK")</f>
        <v>OK</v>
      </c>
    </row>
    <row r="2668" spans="1:24" x14ac:dyDescent="0.3">
      <c r="A2668" t="s">
        <v>283</v>
      </c>
      <c r="B2668" t="s">
        <v>284</v>
      </c>
      <c r="C2668" t="s">
        <v>91</v>
      </c>
      <c r="D2668" t="s">
        <v>92</v>
      </c>
      <c r="E2668" t="s">
        <v>66</v>
      </c>
      <c r="F2668" s="1" t="s">
        <v>31</v>
      </c>
      <c r="G2668" s="2">
        <v>244.7</v>
      </c>
      <c r="H2668">
        <v>244.7</v>
      </c>
      <c r="I2668">
        <v>239.88440900000001</v>
      </c>
      <c r="J2668">
        <v>320.70999999999998</v>
      </c>
      <c r="K2668">
        <v>24</v>
      </c>
      <c r="L2668" s="2">
        <v>24</v>
      </c>
      <c r="M2668">
        <v>45</v>
      </c>
      <c r="N2668" s="2">
        <v>186</v>
      </c>
      <c r="O2668">
        <v>44618.5</v>
      </c>
      <c r="P2668">
        <v>6</v>
      </c>
      <c r="Q2668">
        <v>180</v>
      </c>
      <c r="R2668">
        <v>22.18</v>
      </c>
      <c r="S2668">
        <v>8</v>
      </c>
      <c r="T2668">
        <v>36</v>
      </c>
      <c r="U2668" s="2">
        <v>11545.56</v>
      </c>
      <c r="V2668">
        <v>0</v>
      </c>
      <c r="W2668" t="s">
        <v>29</v>
      </c>
      <c r="X2668" t="str">
        <f>IF(Table2[[#This Row],[Qty available]]&gt;Table2[[#This Row],[Qty on hand]],"Check","OK")</f>
        <v>OK</v>
      </c>
    </row>
    <row r="2669" spans="1:24" x14ac:dyDescent="0.3">
      <c r="A2669" t="s">
        <v>283</v>
      </c>
      <c r="B2669" t="s">
        <v>284</v>
      </c>
      <c r="C2669" t="s">
        <v>91</v>
      </c>
      <c r="D2669" t="s">
        <v>92</v>
      </c>
      <c r="E2669" t="s">
        <v>66</v>
      </c>
      <c r="F2669" s="1" t="s">
        <v>32</v>
      </c>
      <c r="G2669" s="2">
        <v>246.34</v>
      </c>
      <c r="H2669">
        <v>246.34</v>
      </c>
      <c r="I2669">
        <v>239.884444</v>
      </c>
      <c r="J2669">
        <v>320.70999999999998</v>
      </c>
      <c r="K2669">
        <v>24</v>
      </c>
      <c r="M2669">
        <v>0</v>
      </c>
      <c r="N2669" s="2">
        <v>135</v>
      </c>
      <c r="O2669">
        <v>32384.400000000001</v>
      </c>
      <c r="P2669">
        <v>14</v>
      </c>
      <c r="Q2669">
        <v>121</v>
      </c>
      <c r="R2669">
        <v>13.97</v>
      </c>
      <c r="S2669">
        <v>2</v>
      </c>
      <c r="T2669">
        <v>51</v>
      </c>
      <c r="U2669" s="2">
        <v>16356.21</v>
      </c>
      <c r="V2669">
        <v>0</v>
      </c>
      <c r="W2669" t="s">
        <v>29</v>
      </c>
      <c r="X2669" t="str">
        <f>IF(Table2[[#This Row],[Qty available]]&gt;Table2[[#This Row],[Qty on hand]],"Check","OK")</f>
        <v>OK</v>
      </c>
    </row>
    <row r="2670" spans="1:24" x14ac:dyDescent="0.3">
      <c r="A2670" t="s">
        <v>283</v>
      </c>
      <c r="B2670" t="s">
        <v>284</v>
      </c>
      <c r="C2670" t="s">
        <v>91</v>
      </c>
      <c r="D2670" t="s">
        <v>92</v>
      </c>
      <c r="E2670" t="s">
        <v>66</v>
      </c>
      <c r="F2670" s="1" t="s">
        <v>33</v>
      </c>
      <c r="G2670" s="2">
        <v>248.47</v>
      </c>
      <c r="H2670">
        <v>248.47</v>
      </c>
      <c r="I2670">
        <v>242.03081900000001</v>
      </c>
      <c r="J2670">
        <v>320.70999999999998</v>
      </c>
      <c r="K2670">
        <v>24</v>
      </c>
      <c r="L2670" s="2">
        <v>39</v>
      </c>
      <c r="M2670">
        <v>45</v>
      </c>
      <c r="N2670" s="2">
        <v>171</v>
      </c>
      <c r="O2670">
        <v>41387.269999999997</v>
      </c>
      <c r="P2670">
        <v>11</v>
      </c>
      <c r="Q2670">
        <v>160</v>
      </c>
      <c r="R2670">
        <v>23.41</v>
      </c>
      <c r="S2670">
        <v>6</v>
      </c>
      <c r="T2670">
        <v>9</v>
      </c>
      <c r="U2670" s="2">
        <v>2886.39</v>
      </c>
      <c r="V2670">
        <v>0</v>
      </c>
      <c r="W2670" t="s">
        <v>29</v>
      </c>
      <c r="X2670" t="str">
        <f>IF(Table2[[#This Row],[Qty available]]&gt;Table2[[#This Row],[Qty on hand]],"Check","OK")</f>
        <v>OK</v>
      </c>
    </row>
    <row r="2671" spans="1:24" x14ac:dyDescent="0.3">
      <c r="A2671" t="s">
        <v>283</v>
      </c>
      <c r="B2671" t="s">
        <v>284</v>
      </c>
      <c r="C2671" t="s">
        <v>91</v>
      </c>
      <c r="D2671" t="s">
        <v>92</v>
      </c>
      <c r="E2671" t="s">
        <v>66</v>
      </c>
      <c r="F2671" s="1" t="s">
        <v>34</v>
      </c>
      <c r="G2671" s="2">
        <v>247.64</v>
      </c>
      <c r="H2671">
        <v>247.64</v>
      </c>
      <c r="I2671">
        <v>242.030821</v>
      </c>
      <c r="J2671">
        <v>336.99</v>
      </c>
      <c r="K2671">
        <v>24</v>
      </c>
      <c r="M2671">
        <v>0</v>
      </c>
      <c r="N2671" s="2">
        <v>134</v>
      </c>
      <c r="O2671">
        <v>32432.13</v>
      </c>
      <c r="P2671">
        <v>12</v>
      </c>
      <c r="Q2671">
        <v>122</v>
      </c>
      <c r="R2671">
        <v>17.760000000000002</v>
      </c>
      <c r="S2671">
        <v>2</v>
      </c>
      <c r="T2671">
        <v>37</v>
      </c>
      <c r="U2671" s="2">
        <v>12468.63</v>
      </c>
      <c r="V2671">
        <v>0</v>
      </c>
      <c r="W2671" t="s">
        <v>29</v>
      </c>
      <c r="X2671" t="str">
        <f>IF(Table2[[#This Row],[Qty available]]&gt;Table2[[#This Row],[Qty on hand]],"Check","OK")</f>
        <v>OK</v>
      </c>
    </row>
    <row r="2672" spans="1:24" x14ac:dyDescent="0.3">
      <c r="A2672" t="s">
        <v>283</v>
      </c>
      <c r="B2672" t="s">
        <v>284</v>
      </c>
      <c r="C2672" t="s">
        <v>91</v>
      </c>
      <c r="D2672" t="s">
        <v>92</v>
      </c>
      <c r="E2672" t="s">
        <v>66</v>
      </c>
      <c r="F2672" s="1" t="s">
        <v>35</v>
      </c>
      <c r="G2672" s="2">
        <v>248.34</v>
      </c>
      <c r="H2672">
        <v>248.34</v>
      </c>
      <c r="I2672">
        <v>243.61695</v>
      </c>
      <c r="J2672">
        <v>336.99</v>
      </c>
      <c r="K2672">
        <v>24</v>
      </c>
      <c r="L2672" s="2">
        <v>33</v>
      </c>
      <c r="M2672">
        <v>45</v>
      </c>
      <c r="N2672" s="2">
        <v>141</v>
      </c>
      <c r="O2672">
        <v>34349.99</v>
      </c>
      <c r="P2672">
        <v>9</v>
      </c>
      <c r="Q2672">
        <v>132</v>
      </c>
      <c r="R2672">
        <v>21.58</v>
      </c>
      <c r="S2672">
        <v>2</v>
      </c>
      <c r="T2672">
        <v>38</v>
      </c>
      <c r="U2672" s="2">
        <v>12805.62</v>
      </c>
      <c r="V2672">
        <v>0</v>
      </c>
      <c r="W2672" t="s">
        <v>29</v>
      </c>
      <c r="X2672" t="str">
        <f>IF(Table2[[#This Row],[Qty available]]&gt;Table2[[#This Row],[Qty on hand]],"Check","OK")</f>
        <v>OK</v>
      </c>
    </row>
    <row r="2673" spans="1:24" x14ac:dyDescent="0.3">
      <c r="A2673" t="s">
        <v>283</v>
      </c>
      <c r="B2673" t="s">
        <v>284</v>
      </c>
      <c r="C2673" t="s">
        <v>91</v>
      </c>
      <c r="D2673" t="s">
        <v>92</v>
      </c>
      <c r="E2673" t="s">
        <v>66</v>
      </c>
      <c r="F2673" s="1" t="s">
        <v>36</v>
      </c>
      <c r="G2673" s="2">
        <v>250.98</v>
      </c>
      <c r="H2673">
        <v>250.98</v>
      </c>
      <c r="I2673">
        <v>246.77681799999999</v>
      </c>
      <c r="J2673">
        <v>336.99</v>
      </c>
      <c r="K2673">
        <v>24</v>
      </c>
      <c r="L2673" s="2">
        <v>24</v>
      </c>
      <c r="M2673">
        <v>106</v>
      </c>
      <c r="N2673" s="2">
        <v>198</v>
      </c>
      <c r="O2673">
        <v>48861.81</v>
      </c>
      <c r="P2673">
        <v>11</v>
      </c>
      <c r="Q2673">
        <v>187</v>
      </c>
      <c r="R2673">
        <v>20.3</v>
      </c>
      <c r="S2673">
        <v>0</v>
      </c>
      <c r="T2673">
        <v>49</v>
      </c>
      <c r="U2673" s="2">
        <v>16512.509999999998</v>
      </c>
      <c r="V2673">
        <v>0</v>
      </c>
      <c r="W2673" t="s">
        <v>29</v>
      </c>
      <c r="X2673" t="str">
        <f>IF(Table2[[#This Row],[Qty available]]&gt;Table2[[#This Row],[Qty on hand]],"Check","OK")</f>
        <v>OK</v>
      </c>
    </row>
    <row r="2674" spans="1:24" x14ac:dyDescent="0.3">
      <c r="A2674" t="s">
        <v>283</v>
      </c>
      <c r="B2674" t="s">
        <v>284</v>
      </c>
      <c r="C2674" t="s">
        <v>91</v>
      </c>
      <c r="D2674" t="s">
        <v>92</v>
      </c>
      <c r="E2674" t="s">
        <v>66</v>
      </c>
      <c r="F2674" s="1" t="s">
        <v>37</v>
      </c>
      <c r="G2674" s="2">
        <v>251.22</v>
      </c>
      <c r="H2674">
        <v>251.22</v>
      </c>
      <c r="I2674">
        <v>247.59961699999999</v>
      </c>
      <c r="J2674">
        <v>336.99</v>
      </c>
      <c r="K2674">
        <v>24</v>
      </c>
      <c r="L2674" s="2">
        <v>22</v>
      </c>
      <c r="M2674">
        <v>45</v>
      </c>
      <c r="N2674" s="2">
        <v>209</v>
      </c>
      <c r="O2674">
        <v>51748.32</v>
      </c>
      <c r="P2674">
        <v>9</v>
      </c>
      <c r="Q2674">
        <v>200</v>
      </c>
      <c r="R2674">
        <v>22.7</v>
      </c>
      <c r="S2674">
        <v>0</v>
      </c>
      <c r="T2674">
        <v>34</v>
      </c>
      <c r="U2674" s="2">
        <v>11457.66</v>
      </c>
      <c r="V2674">
        <v>0</v>
      </c>
      <c r="W2674" t="s">
        <v>29</v>
      </c>
      <c r="X2674" t="str">
        <f>IF(Table2[[#This Row],[Qty available]]&gt;Table2[[#This Row],[Qty on hand]],"Check","OK")</f>
        <v>OK</v>
      </c>
    </row>
    <row r="2675" spans="1:24" x14ac:dyDescent="0.3">
      <c r="A2675" t="s">
        <v>283</v>
      </c>
      <c r="B2675" t="s">
        <v>284</v>
      </c>
      <c r="C2675" t="s">
        <v>91</v>
      </c>
      <c r="D2675" t="s">
        <v>92</v>
      </c>
      <c r="E2675" t="s">
        <v>66</v>
      </c>
      <c r="F2675" s="1" t="s">
        <v>38</v>
      </c>
      <c r="G2675" s="2">
        <v>249.86</v>
      </c>
      <c r="H2675">
        <v>249.86</v>
      </c>
      <c r="I2675">
        <v>247.599603</v>
      </c>
      <c r="J2675">
        <v>336.99</v>
      </c>
      <c r="K2675">
        <v>24</v>
      </c>
      <c r="M2675">
        <v>0</v>
      </c>
      <c r="N2675" s="2">
        <v>151</v>
      </c>
      <c r="O2675">
        <v>37387.54</v>
      </c>
      <c r="P2675">
        <v>9</v>
      </c>
      <c r="Q2675">
        <v>142</v>
      </c>
      <c r="R2675">
        <v>13.92</v>
      </c>
      <c r="S2675">
        <v>7</v>
      </c>
      <c r="T2675">
        <v>58</v>
      </c>
      <c r="U2675" s="2">
        <v>19545.419999999998</v>
      </c>
      <c r="V2675">
        <v>0</v>
      </c>
      <c r="W2675" t="s">
        <v>29</v>
      </c>
      <c r="X2675" t="str">
        <f>IF(Table2[[#This Row],[Qty available]]&gt;Table2[[#This Row],[Qty on hand]],"Check","OK")</f>
        <v>OK</v>
      </c>
    </row>
    <row r="2676" spans="1:24" x14ac:dyDescent="0.3">
      <c r="A2676" t="s">
        <v>283</v>
      </c>
      <c r="B2676" t="s">
        <v>284</v>
      </c>
      <c r="C2676" t="s">
        <v>91</v>
      </c>
      <c r="D2676" t="s">
        <v>92</v>
      </c>
      <c r="E2676" t="s">
        <v>66</v>
      </c>
      <c r="F2676" s="1" t="s">
        <v>39</v>
      </c>
      <c r="G2676" s="2">
        <v>249.31</v>
      </c>
      <c r="H2676">
        <v>249.31</v>
      </c>
      <c r="I2676">
        <v>247.59956500000001</v>
      </c>
      <c r="J2676">
        <v>336.99</v>
      </c>
      <c r="K2676">
        <v>24</v>
      </c>
      <c r="M2676">
        <v>0</v>
      </c>
      <c r="N2676" s="2">
        <v>92</v>
      </c>
      <c r="O2676">
        <v>22779.16</v>
      </c>
      <c r="P2676">
        <v>11</v>
      </c>
      <c r="Q2676">
        <v>81</v>
      </c>
      <c r="R2676">
        <v>8.01</v>
      </c>
      <c r="S2676">
        <v>0</v>
      </c>
      <c r="T2676">
        <v>59</v>
      </c>
      <c r="U2676" s="2">
        <v>19882.41</v>
      </c>
      <c r="V2676">
        <v>0</v>
      </c>
      <c r="W2676" t="s">
        <v>29</v>
      </c>
      <c r="X2676" t="str">
        <f>IF(Table2[[#This Row],[Qty available]]&gt;Table2[[#This Row],[Qty on hand]],"Check","OK")</f>
        <v>OK</v>
      </c>
    </row>
    <row r="2677" spans="1:24" x14ac:dyDescent="0.3">
      <c r="A2677" t="s">
        <v>283</v>
      </c>
      <c r="B2677" t="s">
        <v>284</v>
      </c>
      <c r="C2677" t="s">
        <v>91</v>
      </c>
      <c r="D2677" t="s">
        <v>92</v>
      </c>
      <c r="E2677" t="s">
        <v>66</v>
      </c>
      <c r="F2677" s="1" t="s">
        <v>40</v>
      </c>
      <c r="G2677" s="2">
        <v>252.48</v>
      </c>
      <c r="H2677">
        <v>252.48</v>
      </c>
      <c r="I2677">
        <v>250.38186400000001</v>
      </c>
      <c r="J2677">
        <v>336.99</v>
      </c>
      <c r="K2677">
        <v>24</v>
      </c>
      <c r="L2677" s="2">
        <v>23</v>
      </c>
      <c r="M2677">
        <v>122</v>
      </c>
      <c r="N2677" s="2">
        <v>177</v>
      </c>
      <c r="O2677">
        <v>44317.59</v>
      </c>
      <c r="P2677">
        <v>5</v>
      </c>
      <c r="Q2677">
        <v>172</v>
      </c>
      <c r="R2677">
        <v>15.11</v>
      </c>
      <c r="S2677">
        <v>0</v>
      </c>
      <c r="T2677">
        <v>37</v>
      </c>
      <c r="U2677" s="2">
        <v>12468.63</v>
      </c>
      <c r="V2677">
        <v>0</v>
      </c>
      <c r="W2677" t="s">
        <v>29</v>
      </c>
      <c r="X2677" t="str">
        <f>IF(Table2[[#This Row],[Qty available]]&gt;Table2[[#This Row],[Qty on hand]],"Check","OK")</f>
        <v>OK</v>
      </c>
    </row>
    <row r="2678" spans="1:24" x14ac:dyDescent="0.3">
      <c r="A2678" t="s">
        <v>283</v>
      </c>
      <c r="B2678" t="s">
        <v>284</v>
      </c>
      <c r="C2678" t="s">
        <v>91</v>
      </c>
      <c r="D2678" t="s">
        <v>92</v>
      </c>
      <c r="E2678" t="s">
        <v>66</v>
      </c>
      <c r="F2678" s="1" t="s">
        <v>41</v>
      </c>
      <c r="G2678" s="2">
        <v>250.88</v>
      </c>
      <c r="H2678">
        <v>250.88</v>
      </c>
      <c r="I2678">
        <v>250.48284899999999</v>
      </c>
      <c r="J2678">
        <v>336.99</v>
      </c>
      <c r="K2678">
        <v>24</v>
      </c>
      <c r="L2678" s="2">
        <v>23</v>
      </c>
      <c r="M2678">
        <v>45</v>
      </c>
      <c r="N2678" s="2">
        <v>186</v>
      </c>
      <c r="O2678">
        <v>46589.81</v>
      </c>
      <c r="P2678">
        <v>9</v>
      </c>
      <c r="Q2678">
        <v>177</v>
      </c>
      <c r="R2678">
        <v>18.52</v>
      </c>
      <c r="S2678">
        <v>3</v>
      </c>
      <c r="T2678">
        <v>36</v>
      </c>
      <c r="U2678" s="2">
        <v>12131.64</v>
      </c>
      <c r="V2678">
        <v>0</v>
      </c>
      <c r="W2678" t="s">
        <v>29</v>
      </c>
      <c r="X2678" t="str">
        <f>IF(Table2[[#This Row],[Qty available]]&gt;Table2[[#This Row],[Qty on hand]],"Check","OK")</f>
        <v>OK</v>
      </c>
    </row>
    <row r="2679" spans="1:24" x14ac:dyDescent="0.3">
      <c r="A2679" t="s">
        <v>283</v>
      </c>
      <c r="B2679" t="s">
        <v>284</v>
      </c>
      <c r="C2679" t="s">
        <v>91</v>
      </c>
      <c r="D2679" t="s">
        <v>92</v>
      </c>
      <c r="E2679" t="s">
        <v>66</v>
      </c>
      <c r="F2679" s="1" t="s">
        <v>42</v>
      </c>
      <c r="G2679" s="2">
        <v>264.82</v>
      </c>
      <c r="H2679">
        <v>264.82</v>
      </c>
      <c r="I2679">
        <v>253.275789</v>
      </c>
      <c r="J2679">
        <v>336.99</v>
      </c>
      <c r="K2679">
        <v>24</v>
      </c>
      <c r="L2679" s="2">
        <v>21</v>
      </c>
      <c r="M2679">
        <v>45</v>
      </c>
      <c r="N2679" s="2">
        <v>171</v>
      </c>
      <c r="O2679">
        <v>43310.16</v>
      </c>
      <c r="P2679">
        <v>5</v>
      </c>
      <c r="Q2679">
        <v>166</v>
      </c>
      <c r="R2679">
        <v>16.899999999999999</v>
      </c>
      <c r="S2679">
        <v>4</v>
      </c>
      <c r="T2679">
        <v>60</v>
      </c>
      <c r="U2679" s="2">
        <v>20219.400000000001</v>
      </c>
      <c r="V2679">
        <v>0</v>
      </c>
      <c r="W2679" t="s">
        <v>29</v>
      </c>
      <c r="X2679" t="str">
        <f>IF(Table2[[#This Row],[Qty available]]&gt;Table2[[#This Row],[Qty on hand]],"Check","OK")</f>
        <v>OK</v>
      </c>
    </row>
    <row r="2680" spans="1:24" x14ac:dyDescent="0.3">
      <c r="A2680" t="s">
        <v>283</v>
      </c>
      <c r="B2680" t="s">
        <v>284</v>
      </c>
      <c r="C2680" t="s">
        <v>91</v>
      </c>
      <c r="D2680" t="s">
        <v>92</v>
      </c>
      <c r="E2680" t="s">
        <v>66</v>
      </c>
      <c r="F2680" s="1" t="s">
        <v>43</v>
      </c>
      <c r="G2680" s="2">
        <v>266.60000000000002</v>
      </c>
      <c r="H2680">
        <v>266.60000000000002</v>
      </c>
      <c r="I2680">
        <v>256.05164000000002</v>
      </c>
      <c r="J2680">
        <v>336.99</v>
      </c>
      <c r="K2680">
        <v>24</v>
      </c>
      <c r="L2680" s="2">
        <v>28</v>
      </c>
      <c r="M2680">
        <v>45</v>
      </c>
      <c r="N2680" s="2">
        <v>189</v>
      </c>
      <c r="O2680">
        <v>48393.760000000002</v>
      </c>
      <c r="P2680">
        <v>3</v>
      </c>
      <c r="Q2680">
        <v>186</v>
      </c>
      <c r="R2680">
        <v>19.98</v>
      </c>
      <c r="S2680">
        <v>9</v>
      </c>
      <c r="T2680">
        <v>27</v>
      </c>
      <c r="U2680" s="2">
        <v>9098.73</v>
      </c>
      <c r="V2680">
        <v>0</v>
      </c>
      <c r="W2680" t="s">
        <v>29</v>
      </c>
      <c r="X2680" t="str">
        <f>IF(Table2[[#This Row],[Qty available]]&gt;Table2[[#This Row],[Qty on hand]],"Check","OK")</f>
        <v>OK</v>
      </c>
    </row>
    <row r="2681" spans="1:24" x14ac:dyDescent="0.3">
      <c r="A2681" t="s">
        <v>283</v>
      </c>
      <c r="B2681" t="s">
        <v>284</v>
      </c>
      <c r="C2681" t="s">
        <v>91</v>
      </c>
      <c r="D2681" t="s">
        <v>92</v>
      </c>
      <c r="E2681" t="s">
        <v>66</v>
      </c>
      <c r="F2681" s="1" t="s">
        <v>44</v>
      </c>
      <c r="G2681" s="2">
        <v>261.41000000000003</v>
      </c>
      <c r="H2681">
        <v>261.41000000000003</v>
      </c>
      <c r="I2681">
        <v>256.05160999999998</v>
      </c>
      <c r="J2681">
        <v>336.99</v>
      </c>
      <c r="K2681">
        <v>24</v>
      </c>
      <c r="M2681">
        <v>0</v>
      </c>
      <c r="N2681" s="2">
        <v>118</v>
      </c>
      <c r="O2681">
        <v>30214.09</v>
      </c>
      <c r="P2681">
        <v>15</v>
      </c>
      <c r="Q2681">
        <v>103</v>
      </c>
      <c r="R2681">
        <v>9.82</v>
      </c>
      <c r="S2681">
        <v>1</v>
      </c>
      <c r="T2681">
        <v>71</v>
      </c>
      <c r="U2681" s="2">
        <v>23926.29</v>
      </c>
      <c r="V2681">
        <v>0</v>
      </c>
      <c r="W2681" t="s">
        <v>29</v>
      </c>
      <c r="X2681" t="str">
        <f>IF(Table2[[#This Row],[Qty available]]&gt;Table2[[#This Row],[Qty on hand]],"Check","OK")</f>
        <v>OK</v>
      </c>
    </row>
    <row r="2682" spans="1:24" x14ac:dyDescent="0.3">
      <c r="A2682" t="s">
        <v>283</v>
      </c>
      <c r="B2682" t="s">
        <v>284</v>
      </c>
      <c r="C2682" t="s">
        <v>91</v>
      </c>
      <c r="D2682" t="s">
        <v>92</v>
      </c>
      <c r="E2682" t="s">
        <v>66</v>
      </c>
      <c r="F2682" s="1" t="s">
        <v>45</v>
      </c>
      <c r="G2682" s="2">
        <v>261.67</v>
      </c>
      <c r="H2682">
        <v>261.67</v>
      </c>
      <c r="I2682">
        <v>258.18066199999998</v>
      </c>
      <c r="J2682">
        <v>336.99</v>
      </c>
      <c r="K2682">
        <v>24</v>
      </c>
      <c r="L2682" s="2">
        <v>22</v>
      </c>
      <c r="M2682">
        <v>72</v>
      </c>
      <c r="N2682" s="2">
        <v>136</v>
      </c>
      <c r="O2682">
        <v>35112.57</v>
      </c>
      <c r="P2682">
        <v>12</v>
      </c>
      <c r="Q2682">
        <v>124</v>
      </c>
      <c r="R2682">
        <v>11.76</v>
      </c>
      <c r="S2682">
        <v>3</v>
      </c>
      <c r="T2682">
        <v>54</v>
      </c>
      <c r="U2682" s="2">
        <v>18197.46</v>
      </c>
      <c r="V2682">
        <v>0</v>
      </c>
      <c r="W2682" t="s">
        <v>29</v>
      </c>
      <c r="X2682" t="str">
        <f>IF(Table2[[#This Row],[Qty available]]&gt;Table2[[#This Row],[Qty on hand]],"Check","OK")</f>
        <v>OK</v>
      </c>
    </row>
    <row r="2683" spans="1:24" x14ac:dyDescent="0.3">
      <c r="A2683" t="s">
        <v>283</v>
      </c>
      <c r="B2683" t="s">
        <v>284</v>
      </c>
      <c r="C2683" t="s">
        <v>91</v>
      </c>
      <c r="D2683" t="s">
        <v>92</v>
      </c>
      <c r="E2683" t="s">
        <v>66</v>
      </c>
      <c r="F2683" s="1" t="s">
        <v>46</v>
      </c>
      <c r="G2683" s="2">
        <v>267.7</v>
      </c>
      <c r="H2683">
        <v>267.7</v>
      </c>
      <c r="I2683">
        <v>260.547372</v>
      </c>
      <c r="J2683">
        <v>354.1</v>
      </c>
      <c r="K2683">
        <v>24</v>
      </c>
      <c r="L2683" s="2">
        <v>23</v>
      </c>
      <c r="M2683">
        <v>45</v>
      </c>
      <c r="N2683" s="2">
        <v>137</v>
      </c>
      <c r="O2683">
        <v>35694.99</v>
      </c>
      <c r="P2683">
        <v>9</v>
      </c>
      <c r="Q2683">
        <v>128</v>
      </c>
      <c r="R2683">
        <v>10.42</v>
      </c>
      <c r="S2683">
        <v>4</v>
      </c>
      <c r="T2683">
        <v>44</v>
      </c>
      <c r="U2683" s="2">
        <v>15580.4</v>
      </c>
      <c r="V2683">
        <v>0</v>
      </c>
      <c r="W2683" t="s">
        <v>29</v>
      </c>
      <c r="X2683" t="str">
        <f>IF(Table2[[#This Row],[Qty available]]&gt;Table2[[#This Row],[Qty on hand]],"Check","OK")</f>
        <v>OK</v>
      </c>
    </row>
    <row r="2684" spans="1:24" x14ac:dyDescent="0.3">
      <c r="A2684" t="s">
        <v>283</v>
      </c>
      <c r="B2684" t="s">
        <v>284</v>
      </c>
      <c r="C2684" t="s">
        <v>91</v>
      </c>
      <c r="D2684" t="s">
        <v>92</v>
      </c>
      <c r="E2684" t="s">
        <v>66</v>
      </c>
      <c r="F2684" s="1" t="s">
        <v>47</v>
      </c>
      <c r="G2684" s="2">
        <v>258.24</v>
      </c>
      <c r="H2684">
        <v>258.24</v>
      </c>
      <c r="I2684">
        <v>259.71028699999999</v>
      </c>
      <c r="J2684">
        <v>354.1</v>
      </c>
      <c r="K2684">
        <v>24</v>
      </c>
      <c r="L2684" s="2">
        <v>21</v>
      </c>
      <c r="M2684">
        <v>78</v>
      </c>
      <c r="N2684" s="2">
        <v>174</v>
      </c>
      <c r="O2684">
        <v>45189.59</v>
      </c>
      <c r="P2684">
        <v>9</v>
      </c>
      <c r="Q2684">
        <v>165</v>
      </c>
      <c r="R2684">
        <v>16.09</v>
      </c>
      <c r="S2684">
        <v>6</v>
      </c>
      <c r="T2684">
        <v>41</v>
      </c>
      <c r="U2684" s="2">
        <v>14518.1</v>
      </c>
      <c r="V2684">
        <v>0</v>
      </c>
      <c r="W2684" t="s">
        <v>29</v>
      </c>
      <c r="X2684" t="str">
        <f>IF(Table2[[#This Row],[Qty available]]&gt;Table2[[#This Row],[Qty on hand]],"Check","OK")</f>
        <v>OK</v>
      </c>
    </row>
    <row r="2685" spans="1:24" x14ac:dyDescent="0.3">
      <c r="A2685" t="s">
        <v>283</v>
      </c>
      <c r="B2685" t="s">
        <v>284</v>
      </c>
      <c r="C2685" t="s">
        <v>91</v>
      </c>
      <c r="D2685" t="s">
        <v>92</v>
      </c>
      <c r="E2685" t="s">
        <v>66</v>
      </c>
      <c r="F2685" s="1" t="s">
        <v>48</v>
      </c>
      <c r="G2685" s="2">
        <v>265.16000000000003</v>
      </c>
      <c r="H2685">
        <v>265.16000000000003</v>
      </c>
      <c r="I2685">
        <v>259.710263</v>
      </c>
      <c r="J2685">
        <v>354.1</v>
      </c>
      <c r="K2685">
        <v>24</v>
      </c>
      <c r="M2685">
        <v>0</v>
      </c>
      <c r="N2685" s="2">
        <v>114</v>
      </c>
      <c r="O2685">
        <v>29606.97</v>
      </c>
      <c r="P2685">
        <v>15</v>
      </c>
      <c r="Q2685">
        <v>99</v>
      </c>
      <c r="R2685">
        <v>10</v>
      </c>
      <c r="S2685">
        <v>1</v>
      </c>
      <c r="T2685">
        <v>60</v>
      </c>
      <c r="U2685" s="2">
        <v>21246</v>
      </c>
      <c r="V2685">
        <v>0</v>
      </c>
      <c r="W2685" t="s">
        <v>29</v>
      </c>
      <c r="X2685" t="str">
        <f>IF(Table2[[#This Row],[Qty available]]&gt;Table2[[#This Row],[Qty on hand]],"Check","OK")</f>
        <v>OK</v>
      </c>
    </row>
    <row r="2686" spans="1:24" x14ac:dyDescent="0.3">
      <c r="A2686" t="s">
        <v>283</v>
      </c>
      <c r="B2686" t="s">
        <v>284</v>
      </c>
      <c r="C2686" t="s">
        <v>91</v>
      </c>
      <c r="D2686" t="s">
        <v>92</v>
      </c>
      <c r="E2686" t="s">
        <v>66</v>
      </c>
      <c r="F2686" s="1" t="s">
        <v>49</v>
      </c>
      <c r="G2686" s="2">
        <v>268.14</v>
      </c>
      <c r="H2686">
        <v>268.14</v>
      </c>
      <c r="I2686">
        <v>262.096</v>
      </c>
      <c r="J2686">
        <v>354.1</v>
      </c>
      <c r="K2686">
        <v>24</v>
      </c>
      <c r="L2686" s="2">
        <v>23</v>
      </c>
      <c r="M2686">
        <v>45</v>
      </c>
      <c r="N2686" s="2">
        <v>100</v>
      </c>
      <c r="O2686">
        <v>26209.599999999999</v>
      </c>
      <c r="P2686">
        <v>3</v>
      </c>
      <c r="Q2686">
        <v>97</v>
      </c>
      <c r="R2686">
        <v>8.2100000000000009</v>
      </c>
      <c r="S2686">
        <v>1</v>
      </c>
      <c r="T2686">
        <v>59</v>
      </c>
      <c r="U2686" s="2">
        <v>20891.900000000001</v>
      </c>
      <c r="V2686">
        <v>0</v>
      </c>
      <c r="W2686" t="s">
        <v>29</v>
      </c>
      <c r="X2686" t="str">
        <f>IF(Table2[[#This Row],[Qty available]]&gt;Table2[[#This Row],[Qty on hand]],"Check","OK")</f>
        <v>OK</v>
      </c>
    </row>
    <row r="2687" spans="1:24" x14ac:dyDescent="0.3">
      <c r="A2687" t="s">
        <v>283</v>
      </c>
      <c r="B2687" t="s">
        <v>284</v>
      </c>
      <c r="C2687" t="s">
        <v>91</v>
      </c>
      <c r="D2687" t="s">
        <v>92</v>
      </c>
      <c r="E2687" t="s">
        <v>66</v>
      </c>
      <c r="F2687" s="1" t="s">
        <v>50</v>
      </c>
      <c r="G2687" s="2">
        <v>262.02</v>
      </c>
      <c r="H2687">
        <v>262.02</v>
      </c>
      <c r="I2687">
        <v>262.05919999999998</v>
      </c>
      <c r="J2687">
        <v>354.1</v>
      </c>
      <c r="K2687">
        <v>24</v>
      </c>
      <c r="L2687" s="2">
        <v>22</v>
      </c>
      <c r="M2687">
        <v>94</v>
      </c>
      <c r="N2687" s="2">
        <v>125</v>
      </c>
      <c r="O2687">
        <v>32757.4</v>
      </c>
      <c r="P2687">
        <v>12</v>
      </c>
      <c r="Q2687">
        <v>113</v>
      </c>
      <c r="R2687">
        <v>8.64</v>
      </c>
      <c r="S2687">
        <v>0</v>
      </c>
      <c r="T2687">
        <v>69</v>
      </c>
      <c r="U2687" s="2">
        <v>24432.9</v>
      </c>
      <c r="V2687">
        <v>0</v>
      </c>
      <c r="W2687" t="s">
        <v>29</v>
      </c>
      <c r="X2687" t="str">
        <f>IF(Table2[[#This Row],[Qty available]]&gt;Table2[[#This Row],[Qty on hand]],"Check","OK")</f>
        <v>OK</v>
      </c>
    </row>
    <row r="2688" spans="1:24" x14ac:dyDescent="0.3">
      <c r="A2688" t="s">
        <v>283</v>
      </c>
      <c r="B2688" t="s">
        <v>284</v>
      </c>
      <c r="C2688" t="s">
        <v>91</v>
      </c>
      <c r="D2688" t="s">
        <v>92</v>
      </c>
      <c r="E2688" t="s">
        <v>66</v>
      </c>
      <c r="F2688" s="1" t="s">
        <v>51</v>
      </c>
      <c r="G2688" s="2">
        <v>264.22000000000003</v>
      </c>
      <c r="H2688">
        <v>264.22000000000003</v>
      </c>
      <c r="I2688">
        <v>262.63117599999998</v>
      </c>
      <c r="J2688">
        <v>354.1</v>
      </c>
      <c r="K2688">
        <v>24</v>
      </c>
      <c r="L2688" s="2">
        <v>21</v>
      </c>
      <c r="M2688">
        <v>45</v>
      </c>
      <c r="N2688" s="2">
        <v>119</v>
      </c>
      <c r="O2688">
        <v>31253.11</v>
      </c>
      <c r="P2688">
        <v>12</v>
      </c>
      <c r="Q2688">
        <v>107</v>
      </c>
      <c r="R2688">
        <v>8.74</v>
      </c>
      <c r="S2688">
        <v>0</v>
      </c>
      <c r="T2688">
        <v>51</v>
      </c>
      <c r="U2688" s="2">
        <v>18059.099999999999</v>
      </c>
      <c r="V2688">
        <v>0</v>
      </c>
      <c r="W2688" t="s">
        <v>29</v>
      </c>
      <c r="X2688" t="str">
        <f>IF(Table2[[#This Row],[Qty available]]&gt;Table2[[#This Row],[Qty on hand]],"Check","OK")</f>
        <v>OK</v>
      </c>
    </row>
    <row r="2689" spans="1:24" x14ac:dyDescent="0.3">
      <c r="A2689" t="s">
        <v>283</v>
      </c>
      <c r="B2689" t="s">
        <v>284</v>
      </c>
      <c r="C2689" t="s">
        <v>91</v>
      </c>
      <c r="D2689" t="s">
        <v>92</v>
      </c>
      <c r="E2689" t="s">
        <v>66</v>
      </c>
      <c r="F2689" s="1" t="s">
        <v>52</v>
      </c>
      <c r="G2689" s="2">
        <v>266.95999999999998</v>
      </c>
      <c r="H2689">
        <v>266.95999999999998</v>
      </c>
      <c r="I2689">
        <v>264.39718699999997</v>
      </c>
      <c r="J2689">
        <v>354.1</v>
      </c>
      <c r="K2689">
        <v>24</v>
      </c>
      <c r="L2689" s="2">
        <v>22</v>
      </c>
      <c r="M2689">
        <v>82</v>
      </c>
      <c r="N2689" s="2">
        <v>160</v>
      </c>
      <c r="O2689">
        <v>42303.55</v>
      </c>
      <c r="P2689">
        <v>15</v>
      </c>
      <c r="Q2689">
        <v>145</v>
      </c>
      <c r="R2689">
        <v>13.06</v>
      </c>
      <c r="S2689">
        <v>1</v>
      </c>
      <c r="T2689">
        <v>41</v>
      </c>
      <c r="U2689" s="2">
        <v>14518.1</v>
      </c>
      <c r="V2689">
        <v>0</v>
      </c>
      <c r="W2689" t="s">
        <v>29</v>
      </c>
      <c r="X2689" t="str">
        <f>IF(Table2[[#This Row],[Qty available]]&gt;Table2[[#This Row],[Qty on hand]],"Check","OK")</f>
        <v>OK</v>
      </c>
    </row>
    <row r="2690" spans="1:24" x14ac:dyDescent="0.3">
      <c r="A2690" t="s">
        <v>285</v>
      </c>
      <c r="B2690" t="s">
        <v>286</v>
      </c>
      <c r="C2690" t="s">
        <v>25</v>
      </c>
      <c r="D2690" t="s">
        <v>26</v>
      </c>
      <c r="E2690" t="s">
        <v>27</v>
      </c>
      <c r="F2690" s="1" t="s">
        <v>28</v>
      </c>
      <c r="G2690" s="2">
        <v>67.010000000000005</v>
      </c>
      <c r="H2690">
        <v>73.58</v>
      </c>
      <c r="I2690">
        <v>74.145221000000006</v>
      </c>
      <c r="J2690">
        <v>95.9</v>
      </c>
      <c r="K2690">
        <v>53</v>
      </c>
      <c r="L2690" s="2">
        <v>50</v>
      </c>
      <c r="M2690">
        <v>201</v>
      </c>
      <c r="N2690" s="2">
        <v>249</v>
      </c>
      <c r="O2690">
        <v>18462.16</v>
      </c>
      <c r="P2690">
        <v>39</v>
      </c>
      <c r="Q2690">
        <v>210</v>
      </c>
      <c r="R2690">
        <v>4.1100000000000003</v>
      </c>
      <c r="S2690">
        <v>1</v>
      </c>
      <c r="T2690">
        <v>320</v>
      </c>
      <c r="U2690" s="2">
        <v>30688</v>
      </c>
      <c r="V2690">
        <v>0</v>
      </c>
      <c r="W2690" t="s">
        <v>29</v>
      </c>
      <c r="X2690" t="str">
        <f>IF(Table2[[#This Row],[Qty available]]&gt;Table2[[#This Row],[Qty on hand]],"Check","OK")</f>
        <v>OK</v>
      </c>
    </row>
    <row r="2691" spans="1:24" x14ac:dyDescent="0.3">
      <c r="A2691" t="s">
        <v>285</v>
      </c>
      <c r="B2691" t="s">
        <v>286</v>
      </c>
      <c r="C2691" t="s">
        <v>25</v>
      </c>
      <c r="D2691" t="s">
        <v>26</v>
      </c>
      <c r="E2691" t="s">
        <v>27</v>
      </c>
      <c r="F2691" s="1" t="s">
        <v>30</v>
      </c>
      <c r="G2691" s="2">
        <v>66.790000000000006</v>
      </c>
      <c r="H2691">
        <v>73.34</v>
      </c>
      <c r="I2691">
        <v>73.788560000000004</v>
      </c>
      <c r="J2691">
        <v>95.9</v>
      </c>
      <c r="K2691">
        <v>53</v>
      </c>
      <c r="L2691" s="2">
        <v>47</v>
      </c>
      <c r="M2691">
        <v>198</v>
      </c>
      <c r="N2691" s="2">
        <v>361</v>
      </c>
      <c r="O2691">
        <v>26637.67</v>
      </c>
      <c r="P2691">
        <v>28</v>
      </c>
      <c r="Q2691">
        <v>333</v>
      </c>
      <c r="R2691">
        <v>8.1</v>
      </c>
      <c r="S2691">
        <v>4</v>
      </c>
      <c r="T2691">
        <v>86</v>
      </c>
      <c r="U2691" s="2">
        <v>8247.4</v>
      </c>
      <c r="V2691">
        <v>0</v>
      </c>
      <c r="W2691" t="s">
        <v>29</v>
      </c>
      <c r="X2691" t="str">
        <f>IF(Table2[[#This Row],[Qty available]]&gt;Table2[[#This Row],[Qty on hand]],"Check","OK")</f>
        <v>OK</v>
      </c>
    </row>
    <row r="2692" spans="1:24" x14ac:dyDescent="0.3">
      <c r="A2692" t="s">
        <v>285</v>
      </c>
      <c r="B2692" t="s">
        <v>286</v>
      </c>
      <c r="C2692" t="s">
        <v>25</v>
      </c>
      <c r="D2692" t="s">
        <v>26</v>
      </c>
      <c r="E2692" t="s">
        <v>27</v>
      </c>
      <c r="F2692" s="1" t="s">
        <v>31</v>
      </c>
      <c r="G2692" s="2">
        <v>68.45</v>
      </c>
      <c r="H2692">
        <v>75.16</v>
      </c>
      <c r="I2692">
        <v>73.788571000000005</v>
      </c>
      <c r="J2692">
        <v>95.9</v>
      </c>
      <c r="K2692">
        <v>53</v>
      </c>
      <c r="M2692">
        <v>0</v>
      </c>
      <c r="N2692" s="2">
        <v>203</v>
      </c>
      <c r="O2692">
        <v>14979.08</v>
      </c>
      <c r="P2692">
        <v>44</v>
      </c>
      <c r="Q2692">
        <v>159</v>
      </c>
      <c r="R2692">
        <v>4.68</v>
      </c>
      <c r="S2692">
        <v>3</v>
      </c>
      <c r="T2692">
        <v>158</v>
      </c>
      <c r="U2692" s="2">
        <v>15152.2</v>
      </c>
      <c r="V2692">
        <v>0</v>
      </c>
      <c r="W2692" t="s">
        <v>29</v>
      </c>
      <c r="X2692" t="str">
        <f>IF(Table2[[#This Row],[Qty available]]&gt;Table2[[#This Row],[Qty on hand]],"Check","OK")</f>
        <v>OK</v>
      </c>
    </row>
    <row r="2693" spans="1:24" x14ac:dyDescent="0.3">
      <c r="A2693" t="s">
        <v>285</v>
      </c>
      <c r="B2693" t="s">
        <v>286</v>
      </c>
      <c r="C2693" t="s">
        <v>25</v>
      </c>
      <c r="D2693" t="s">
        <v>26</v>
      </c>
      <c r="E2693" t="s">
        <v>27</v>
      </c>
      <c r="F2693" s="1" t="s">
        <v>32</v>
      </c>
      <c r="G2693" s="2">
        <v>66.95</v>
      </c>
      <c r="H2693">
        <v>73.510000000000005</v>
      </c>
      <c r="I2693">
        <v>73.591956999999994</v>
      </c>
      <c r="J2693">
        <v>95.9</v>
      </c>
      <c r="K2693">
        <v>53</v>
      </c>
      <c r="L2693" s="2">
        <v>49</v>
      </c>
      <c r="M2693">
        <v>487</v>
      </c>
      <c r="N2693" s="2">
        <v>644</v>
      </c>
      <c r="O2693">
        <v>47393.22</v>
      </c>
      <c r="P2693">
        <v>55</v>
      </c>
      <c r="Q2693">
        <v>589</v>
      </c>
      <c r="R2693">
        <v>29.19</v>
      </c>
      <c r="S2693">
        <v>0</v>
      </c>
      <c r="T2693">
        <v>46</v>
      </c>
      <c r="U2693" s="2">
        <v>4411.3999999999996</v>
      </c>
      <c r="V2693">
        <v>0</v>
      </c>
      <c r="W2693" t="s">
        <v>29</v>
      </c>
      <c r="X2693" t="str">
        <f>IF(Table2[[#This Row],[Qty available]]&gt;Table2[[#This Row],[Qty on hand]],"Check","OK")</f>
        <v>OK</v>
      </c>
    </row>
    <row r="2694" spans="1:24" x14ac:dyDescent="0.3">
      <c r="A2694" t="s">
        <v>285</v>
      </c>
      <c r="B2694" t="s">
        <v>286</v>
      </c>
      <c r="C2694" t="s">
        <v>25</v>
      </c>
      <c r="D2694" t="s">
        <v>26</v>
      </c>
      <c r="E2694" t="s">
        <v>27</v>
      </c>
      <c r="F2694" s="1" t="s">
        <v>33</v>
      </c>
      <c r="G2694" s="2">
        <v>68.540000000000006</v>
      </c>
      <c r="H2694">
        <v>75.260000000000005</v>
      </c>
      <c r="I2694">
        <v>73.591961999999995</v>
      </c>
      <c r="J2694">
        <v>95.9</v>
      </c>
      <c r="K2694">
        <v>53</v>
      </c>
      <c r="M2694">
        <v>0</v>
      </c>
      <c r="N2694" s="2">
        <v>479</v>
      </c>
      <c r="O2694">
        <v>35250.550000000003</v>
      </c>
      <c r="P2694">
        <v>28</v>
      </c>
      <c r="Q2694">
        <v>451</v>
      </c>
      <c r="R2694">
        <v>17.059999999999999</v>
      </c>
      <c r="S2694">
        <v>5</v>
      </c>
      <c r="T2694">
        <v>165</v>
      </c>
      <c r="U2694" s="2">
        <v>15823.5</v>
      </c>
      <c r="V2694">
        <v>0</v>
      </c>
      <c r="W2694" t="s">
        <v>29</v>
      </c>
      <c r="X2694" t="str">
        <f>IF(Table2[[#This Row],[Qty available]]&gt;Table2[[#This Row],[Qty on hand]],"Check","OK")</f>
        <v>OK</v>
      </c>
    </row>
    <row r="2695" spans="1:24" x14ac:dyDescent="0.3">
      <c r="A2695" t="s">
        <v>285</v>
      </c>
      <c r="B2695" t="s">
        <v>286</v>
      </c>
      <c r="C2695" t="s">
        <v>25</v>
      </c>
      <c r="D2695" t="s">
        <v>26</v>
      </c>
      <c r="E2695" t="s">
        <v>27</v>
      </c>
      <c r="F2695" s="1" t="s">
        <v>34</v>
      </c>
      <c r="G2695" s="2">
        <v>68.16</v>
      </c>
      <c r="H2695">
        <v>74.84</v>
      </c>
      <c r="I2695">
        <v>73.86318</v>
      </c>
      <c r="J2695">
        <v>98.75</v>
      </c>
      <c r="K2695">
        <v>53</v>
      </c>
      <c r="L2695" s="2">
        <v>48</v>
      </c>
      <c r="M2695">
        <v>133</v>
      </c>
      <c r="N2695" s="2">
        <v>500</v>
      </c>
      <c r="O2695">
        <v>36931.589999999997</v>
      </c>
      <c r="P2695">
        <v>44</v>
      </c>
      <c r="Q2695">
        <v>456</v>
      </c>
      <c r="R2695">
        <v>19.899999999999999</v>
      </c>
      <c r="S2695">
        <v>1</v>
      </c>
      <c r="T2695">
        <v>112</v>
      </c>
      <c r="U2695" s="2">
        <v>11060</v>
      </c>
      <c r="V2695">
        <v>0</v>
      </c>
      <c r="W2695" t="s">
        <v>29</v>
      </c>
      <c r="X2695" t="str">
        <f>IF(Table2[[#This Row],[Qty available]]&gt;Table2[[#This Row],[Qty on hand]],"Check","OK")</f>
        <v>OK</v>
      </c>
    </row>
    <row r="2696" spans="1:24" x14ac:dyDescent="0.3">
      <c r="A2696" t="s">
        <v>285</v>
      </c>
      <c r="B2696" t="s">
        <v>286</v>
      </c>
      <c r="C2696" t="s">
        <v>25</v>
      </c>
      <c r="D2696" t="s">
        <v>26</v>
      </c>
      <c r="E2696" t="s">
        <v>27</v>
      </c>
      <c r="F2696" s="1" t="s">
        <v>35</v>
      </c>
      <c r="G2696" s="2">
        <v>68.33</v>
      </c>
      <c r="H2696">
        <v>75.03</v>
      </c>
      <c r="I2696">
        <v>74.267365999999996</v>
      </c>
      <c r="J2696">
        <v>98.75</v>
      </c>
      <c r="K2696">
        <v>53</v>
      </c>
      <c r="L2696" s="2">
        <v>52</v>
      </c>
      <c r="M2696">
        <v>265</v>
      </c>
      <c r="N2696" s="2">
        <v>672</v>
      </c>
      <c r="O2696">
        <v>49907.67</v>
      </c>
      <c r="P2696">
        <v>39</v>
      </c>
      <c r="Q2696">
        <v>633</v>
      </c>
      <c r="R2696">
        <v>23.35</v>
      </c>
      <c r="S2696">
        <v>0</v>
      </c>
      <c r="T2696">
        <v>93</v>
      </c>
      <c r="U2696" s="2">
        <v>9183.75</v>
      </c>
      <c r="V2696">
        <v>0</v>
      </c>
      <c r="W2696" t="s">
        <v>29</v>
      </c>
      <c r="X2696" t="str">
        <f>IF(Table2[[#This Row],[Qty available]]&gt;Table2[[#This Row],[Qty on hand]],"Check","OK")</f>
        <v>OK</v>
      </c>
    </row>
    <row r="2697" spans="1:24" x14ac:dyDescent="0.3">
      <c r="A2697" t="s">
        <v>285</v>
      </c>
      <c r="B2697" t="s">
        <v>286</v>
      </c>
      <c r="C2697" t="s">
        <v>25</v>
      </c>
      <c r="D2697" t="s">
        <v>26</v>
      </c>
      <c r="E2697" t="s">
        <v>27</v>
      </c>
      <c r="F2697" s="1" t="s">
        <v>36</v>
      </c>
      <c r="G2697" s="2">
        <v>68.37</v>
      </c>
      <c r="H2697">
        <v>75.069999999999993</v>
      </c>
      <c r="I2697">
        <v>74.267366999999993</v>
      </c>
      <c r="J2697">
        <v>98.75</v>
      </c>
      <c r="K2697">
        <v>53</v>
      </c>
      <c r="M2697">
        <v>0</v>
      </c>
      <c r="N2697" s="2">
        <v>509</v>
      </c>
      <c r="O2697">
        <v>37802.089999999997</v>
      </c>
      <c r="P2697">
        <v>55</v>
      </c>
      <c r="Q2697">
        <v>454</v>
      </c>
      <c r="R2697">
        <v>17.59</v>
      </c>
      <c r="S2697">
        <v>2</v>
      </c>
      <c r="T2697">
        <v>163</v>
      </c>
      <c r="U2697" s="2">
        <v>16096.25</v>
      </c>
      <c r="V2697">
        <v>0</v>
      </c>
      <c r="W2697" t="s">
        <v>29</v>
      </c>
      <c r="X2697" t="str">
        <f>IF(Table2[[#This Row],[Qty available]]&gt;Table2[[#This Row],[Qty on hand]],"Check","OK")</f>
        <v>OK</v>
      </c>
    </row>
    <row r="2698" spans="1:24" x14ac:dyDescent="0.3">
      <c r="A2698" t="s">
        <v>285</v>
      </c>
      <c r="B2698" t="s">
        <v>286</v>
      </c>
      <c r="C2698" t="s">
        <v>25</v>
      </c>
      <c r="D2698" t="s">
        <v>26</v>
      </c>
      <c r="E2698" t="s">
        <v>27</v>
      </c>
      <c r="F2698" s="1" t="s">
        <v>37</v>
      </c>
      <c r="G2698" s="2">
        <v>68.08</v>
      </c>
      <c r="H2698">
        <v>74.75</v>
      </c>
      <c r="I2698">
        <v>74.457543999999999</v>
      </c>
      <c r="J2698">
        <v>98.75</v>
      </c>
      <c r="K2698">
        <v>53</v>
      </c>
      <c r="L2698" s="2">
        <v>51</v>
      </c>
      <c r="M2698">
        <v>331</v>
      </c>
      <c r="N2698" s="2">
        <v>619</v>
      </c>
      <c r="O2698">
        <v>46089.22</v>
      </c>
      <c r="P2698">
        <v>17</v>
      </c>
      <c r="Q2698">
        <v>602</v>
      </c>
      <c r="R2698">
        <v>17.059999999999999</v>
      </c>
      <c r="S2698">
        <v>2</v>
      </c>
      <c r="T2698">
        <v>221</v>
      </c>
      <c r="U2698" s="2">
        <v>21823.75</v>
      </c>
      <c r="V2698">
        <v>0</v>
      </c>
      <c r="W2698" t="s">
        <v>29</v>
      </c>
      <c r="X2698" t="str">
        <f>IF(Table2[[#This Row],[Qty available]]&gt;Table2[[#This Row],[Qty on hand]],"Check","OK")</f>
        <v>OK</v>
      </c>
    </row>
    <row r="2699" spans="1:24" x14ac:dyDescent="0.3">
      <c r="A2699" t="s">
        <v>285</v>
      </c>
      <c r="B2699" t="s">
        <v>286</v>
      </c>
      <c r="C2699" t="s">
        <v>25</v>
      </c>
      <c r="D2699" t="s">
        <v>26</v>
      </c>
      <c r="E2699" t="s">
        <v>27</v>
      </c>
      <c r="F2699" s="1" t="s">
        <v>38</v>
      </c>
      <c r="G2699" s="2">
        <v>68.819999999999993</v>
      </c>
      <c r="H2699">
        <v>75.569999999999993</v>
      </c>
      <c r="I2699">
        <v>74.457552000000007</v>
      </c>
      <c r="J2699">
        <v>98.75</v>
      </c>
      <c r="K2699">
        <v>53</v>
      </c>
      <c r="M2699">
        <v>0</v>
      </c>
      <c r="N2699" s="2">
        <v>429</v>
      </c>
      <c r="O2699">
        <v>31942.29</v>
      </c>
      <c r="P2699">
        <v>50</v>
      </c>
      <c r="Q2699">
        <v>379</v>
      </c>
      <c r="R2699">
        <v>9.7200000000000006</v>
      </c>
      <c r="S2699">
        <v>0</v>
      </c>
      <c r="T2699">
        <v>190</v>
      </c>
      <c r="U2699" s="2">
        <v>18762.5</v>
      </c>
      <c r="V2699">
        <v>0</v>
      </c>
      <c r="W2699" t="s">
        <v>29</v>
      </c>
      <c r="X2699" t="str">
        <f>IF(Table2[[#This Row],[Qty available]]&gt;Table2[[#This Row],[Qty on hand]],"Check","OK")</f>
        <v>OK</v>
      </c>
    </row>
    <row r="2700" spans="1:24" x14ac:dyDescent="0.3">
      <c r="A2700" t="s">
        <v>285</v>
      </c>
      <c r="B2700" t="s">
        <v>286</v>
      </c>
      <c r="C2700" t="s">
        <v>25</v>
      </c>
      <c r="D2700" t="s">
        <v>26</v>
      </c>
      <c r="E2700" t="s">
        <v>27</v>
      </c>
      <c r="F2700" s="1" t="s">
        <v>39</v>
      </c>
      <c r="G2700" s="2">
        <v>69.34</v>
      </c>
      <c r="H2700">
        <v>76.14</v>
      </c>
      <c r="I2700">
        <v>74.457539999999995</v>
      </c>
      <c r="J2700">
        <v>98.75</v>
      </c>
      <c r="K2700">
        <v>53</v>
      </c>
      <c r="M2700">
        <v>0</v>
      </c>
      <c r="N2700" s="2">
        <v>252</v>
      </c>
      <c r="O2700">
        <v>18763.3</v>
      </c>
      <c r="P2700">
        <v>33</v>
      </c>
      <c r="Q2700">
        <v>219</v>
      </c>
      <c r="R2700">
        <v>5.63</v>
      </c>
      <c r="S2700">
        <v>2</v>
      </c>
      <c r="T2700">
        <v>177</v>
      </c>
      <c r="U2700" s="2">
        <v>17478.75</v>
      </c>
      <c r="V2700">
        <v>0</v>
      </c>
      <c r="W2700" t="s">
        <v>29</v>
      </c>
      <c r="X2700" t="str">
        <f>IF(Table2[[#This Row],[Qty available]]&gt;Table2[[#This Row],[Qty on hand]],"Check","OK")</f>
        <v>OK</v>
      </c>
    </row>
    <row r="2701" spans="1:24" x14ac:dyDescent="0.3">
      <c r="A2701" t="s">
        <v>285</v>
      </c>
      <c r="B2701" t="s">
        <v>286</v>
      </c>
      <c r="C2701" t="s">
        <v>25</v>
      </c>
      <c r="D2701" t="s">
        <v>26</v>
      </c>
      <c r="E2701" t="s">
        <v>27</v>
      </c>
      <c r="F2701" s="1" t="s">
        <v>40</v>
      </c>
      <c r="G2701" s="2">
        <v>68.92</v>
      </c>
      <c r="H2701">
        <v>75.680000000000007</v>
      </c>
      <c r="I2701">
        <v>75.087570999999997</v>
      </c>
      <c r="J2701">
        <v>98.75</v>
      </c>
      <c r="K2701">
        <v>53</v>
      </c>
      <c r="L2701" s="2">
        <v>49</v>
      </c>
      <c r="M2701">
        <v>268</v>
      </c>
      <c r="N2701" s="2">
        <v>387</v>
      </c>
      <c r="O2701">
        <v>29058.89</v>
      </c>
      <c r="P2701">
        <v>22</v>
      </c>
      <c r="Q2701">
        <v>365</v>
      </c>
      <c r="R2701">
        <v>10.17</v>
      </c>
      <c r="S2701">
        <v>1</v>
      </c>
      <c r="T2701">
        <v>133</v>
      </c>
      <c r="U2701" s="2">
        <v>13133.75</v>
      </c>
      <c r="V2701">
        <v>0</v>
      </c>
      <c r="W2701" t="s">
        <v>29</v>
      </c>
      <c r="X2701" t="str">
        <f>IF(Table2[[#This Row],[Qty available]]&gt;Table2[[#This Row],[Qty on hand]],"Check","OK")</f>
        <v>OK</v>
      </c>
    </row>
    <row r="2702" spans="1:24" x14ac:dyDescent="0.3">
      <c r="A2702" t="s">
        <v>285</v>
      </c>
      <c r="B2702" t="s">
        <v>286</v>
      </c>
      <c r="C2702" t="s">
        <v>25</v>
      </c>
      <c r="D2702" t="s">
        <v>26</v>
      </c>
      <c r="E2702" t="s">
        <v>27</v>
      </c>
      <c r="F2702" s="1" t="s">
        <v>41</v>
      </c>
      <c r="G2702" s="2">
        <v>69.56</v>
      </c>
      <c r="H2702">
        <v>76.38</v>
      </c>
      <c r="I2702">
        <v>75.087570999999997</v>
      </c>
      <c r="J2702">
        <v>98.75</v>
      </c>
      <c r="K2702">
        <v>53</v>
      </c>
      <c r="M2702">
        <v>0</v>
      </c>
      <c r="N2702" s="2">
        <v>177</v>
      </c>
      <c r="O2702">
        <v>13290.5</v>
      </c>
      <c r="P2702">
        <v>44</v>
      </c>
      <c r="Q2702">
        <v>133</v>
      </c>
      <c r="R2702">
        <v>4.47</v>
      </c>
      <c r="S2702">
        <v>0</v>
      </c>
      <c r="T2702">
        <v>210</v>
      </c>
      <c r="U2702" s="2">
        <v>20737.5</v>
      </c>
      <c r="V2702">
        <v>0</v>
      </c>
      <c r="W2702" t="s">
        <v>29</v>
      </c>
      <c r="X2702" t="str">
        <f>IF(Table2[[#This Row],[Qty available]]&gt;Table2[[#This Row],[Qty on hand]],"Check","OK")</f>
        <v>OK</v>
      </c>
    </row>
    <row r="2703" spans="1:24" x14ac:dyDescent="0.3">
      <c r="A2703" t="s">
        <v>285</v>
      </c>
      <c r="B2703" t="s">
        <v>286</v>
      </c>
      <c r="C2703" t="s">
        <v>25</v>
      </c>
      <c r="D2703" t="s">
        <v>26</v>
      </c>
      <c r="E2703" t="s">
        <v>27</v>
      </c>
      <c r="F2703" s="1" t="s">
        <v>42</v>
      </c>
      <c r="G2703" s="2">
        <v>70.48</v>
      </c>
      <c r="H2703">
        <v>77.39</v>
      </c>
      <c r="I2703">
        <v>76.796791999999996</v>
      </c>
      <c r="J2703">
        <v>98.75</v>
      </c>
      <c r="K2703">
        <v>53</v>
      </c>
      <c r="L2703" s="2">
        <v>46</v>
      </c>
      <c r="M2703">
        <v>510</v>
      </c>
      <c r="N2703" s="2">
        <v>614</v>
      </c>
      <c r="O2703">
        <v>47153.23</v>
      </c>
      <c r="P2703">
        <v>39</v>
      </c>
      <c r="Q2703">
        <v>575</v>
      </c>
      <c r="R2703">
        <v>19.399999999999999</v>
      </c>
      <c r="S2703">
        <v>1</v>
      </c>
      <c r="T2703">
        <v>73</v>
      </c>
      <c r="U2703" s="2">
        <v>7208.75</v>
      </c>
      <c r="V2703">
        <v>0</v>
      </c>
      <c r="W2703" t="s">
        <v>29</v>
      </c>
      <c r="X2703" t="str">
        <f>IF(Table2[[#This Row],[Qty available]]&gt;Table2[[#This Row],[Qty on hand]],"Check","OK")</f>
        <v>OK</v>
      </c>
    </row>
    <row r="2704" spans="1:24" x14ac:dyDescent="0.3">
      <c r="A2704" t="s">
        <v>285</v>
      </c>
      <c r="B2704" t="s">
        <v>286</v>
      </c>
      <c r="C2704" t="s">
        <v>25</v>
      </c>
      <c r="D2704" t="s">
        <v>26</v>
      </c>
      <c r="E2704" t="s">
        <v>27</v>
      </c>
      <c r="F2704" s="1" t="s">
        <v>43</v>
      </c>
      <c r="G2704" s="2">
        <v>68.06</v>
      </c>
      <c r="H2704">
        <v>74.73</v>
      </c>
      <c r="I2704">
        <v>76.664458999999994</v>
      </c>
      <c r="J2704">
        <v>98.75</v>
      </c>
      <c r="K2704">
        <v>53</v>
      </c>
      <c r="L2704" s="2">
        <v>52</v>
      </c>
      <c r="M2704">
        <v>42</v>
      </c>
      <c r="N2704" s="2">
        <v>628</v>
      </c>
      <c r="O2704">
        <v>48145.279999999999</v>
      </c>
      <c r="P2704">
        <v>17</v>
      </c>
      <c r="Q2704">
        <v>611</v>
      </c>
      <c r="R2704">
        <v>26.25</v>
      </c>
      <c r="S2704">
        <v>5</v>
      </c>
      <c r="T2704">
        <v>28</v>
      </c>
      <c r="U2704" s="2">
        <v>2765</v>
      </c>
      <c r="V2704">
        <v>0</v>
      </c>
      <c r="W2704" t="s">
        <v>29</v>
      </c>
      <c r="X2704" t="str">
        <f>IF(Table2[[#This Row],[Qty available]]&gt;Table2[[#This Row],[Qty on hand]],"Check","OK")</f>
        <v>OK</v>
      </c>
    </row>
    <row r="2705" spans="1:24" x14ac:dyDescent="0.3">
      <c r="A2705" t="s">
        <v>285</v>
      </c>
      <c r="B2705" t="s">
        <v>286</v>
      </c>
      <c r="C2705" t="s">
        <v>25</v>
      </c>
      <c r="D2705" t="s">
        <v>26</v>
      </c>
      <c r="E2705" t="s">
        <v>27</v>
      </c>
      <c r="F2705" s="1" t="s">
        <v>44</v>
      </c>
      <c r="G2705" s="2">
        <v>68.47</v>
      </c>
      <c r="H2705">
        <v>75.180000000000007</v>
      </c>
      <c r="I2705">
        <v>76.097565000000003</v>
      </c>
      <c r="J2705">
        <v>98.75</v>
      </c>
      <c r="K2705">
        <v>53</v>
      </c>
      <c r="L2705" s="2">
        <v>47</v>
      </c>
      <c r="M2705">
        <v>388</v>
      </c>
      <c r="N2705" s="2">
        <v>768</v>
      </c>
      <c r="O2705">
        <v>58442.93</v>
      </c>
      <c r="P2705">
        <v>39</v>
      </c>
      <c r="Q2705">
        <v>729</v>
      </c>
      <c r="R2705">
        <v>28.92</v>
      </c>
      <c r="S2705">
        <v>1</v>
      </c>
      <c r="T2705">
        <v>248</v>
      </c>
      <c r="U2705" s="2">
        <v>24490</v>
      </c>
      <c r="V2705">
        <v>0</v>
      </c>
      <c r="W2705" t="s">
        <v>29</v>
      </c>
      <c r="X2705" t="str">
        <f>IF(Table2[[#This Row],[Qty available]]&gt;Table2[[#This Row],[Qty on hand]],"Check","OK")</f>
        <v>OK</v>
      </c>
    </row>
    <row r="2706" spans="1:24" x14ac:dyDescent="0.3">
      <c r="A2706" t="s">
        <v>285</v>
      </c>
      <c r="B2706" t="s">
        <v>286</v>
      </c>
      <c r="C2706" t="s">
        <v>25</v>
      </c>
      <c r="D2706" t="s">
        <v>26</v>
      </c>
      <c r="E2706" t="s">
        <v>27</v>
      </c>
      <c r="F2706" s="1" t="s">
        <v>45</v>
      </c>
      <c r="G2706" s="2">
        <v>69.569999999999993</v>
      </c>
      <c r="H2706">
        <v>76.39</v>
      </c>
      <c r="I2706">
        <v>76.097570000000005</v>
      </c>
      <c r="J2706">
        <v>98.75</v>
      </c>
      <c r="K2706">
        <v>53</v>
      </c>
      <c r="M2706">
        <v>0</v>
      </c>
      <c r="N2706" s="2">
        <v>646</v>
      </c>
      <c r="O2706">
        <v>49159.03</v>
      </c>
      <c r="P2706">
        <v>11</v>
      </c>
      <c r="Q2706">
        <v>635</v>
      </c>
      <c r="R2706">
        <v>21.33</v>
      </c>
      <c r="S2706">
        <v>4</v>
      </c>
      <c r="T2706">
        <v>122</v>
      </c>
      <c r="U2706" s="2">
        <v>12047.5</v>
      </c>
      <c r="V2706">
        <v>0</v>
      </c>
      <c r="W2706" t="s">
        <v>29</v>
      </c>
      <c r="X2706" t="str">
        <f>IF(Table2[[#This Row],[Qty available]]&gt;Table2[[#This Row],[Qty on hand]],"Check","OK")</f>
        <v>OK</v>
      </c>
    </row>
    <row r="2707" spans="1:24" x14ac:dyDescent="0.3">
      <c r="A2707" t="s">
        <v>285</v>
      </c>
      <c r="B2707" t="s">
        <v>286</v>
      </c>
      <c r="C2707" t="s">
        <v>25</v>
      </c>
      <c r="D2707" t="s">
        <v>26</v>
      </c>
      <c r="E2707" t="s">
        <v>27</v>
      </c>
      <c r="F2707" s="1" t="s">
        <v>46</v>
      </c>
      <c r="G2707" s="2">
        <v>68.97</v>
      </c>
      <c r="H2707">
        <v>75.73</v>
      </c>
      <c r="I2707">
        <v>76.097560999999999</v>
      </c>
      <c r="J2707">
        <v>101.68</v>
      </c>
      <c r="K2707">
        <v>53</v>
      </c>
      <c r="M2707">
        <v>0</v>
      </c>
      <c r="N2707" s="2">
        <v>488</v>
      </c>
      <c r="O2707">
        <v>37135.61</v>
      </c>
      <c r="P2707">
        <v>17</v>
      </c>
      <c r="Q2707">
        <v>471</v>
      </c>
      <c r="R2707">
        <v>11.88</v>
      </c>
      <c r="S2707">
        <v>0</v>
      </c>
      <c r="T2707">
        <v>158</v>
      </c>
      <c r="U2707" s="2">
        <v>16065.44</v>
      </c>
      <c r="V2707">
        <v>0</v>
      </c>
      <c r="W2707" t="s">
        <v>29</v>
      </c>
      <c r="X2707" t="str">
        <f>IF(Table2[[#This Row],[Qty available]]&gt;Table2[[#This Row],[Qty on hand]],"Check","OK")</f>
        <v>OK</v>
      </c>
    </row>
    <row r="2708" spans="1:24" x14ac:dyDescent="0.3">
      <c r="A2708" t="s">
        <v>285</v>
      </c>
      <c r="B2708" t="s">
        <v>286</v>
      </c>
      <c r="C2708" t="s">
        <v>25</v>
      </c>
      <c r="D2708" t="s">
        <v>26</v>
      </c>
      <c r="E2708" t="s">
        <v>27</v>
      </c>
      <c r="F2708" s="1" t="s">
        <v>47</v>
      </c>
      <c r="G2708" s="2">
        <v>68.73</v>
      </c>
      <c r="H2708">
        <v>75.47</v>
      </c>
      <c r="I2708">
        <v>75.833280000000002</v>
      </c>
      <c r="J2708">
        <v>101.68</v>
      </c>
      <c r="K2708">
        <v>53</v>
      </c>
      <c r="L2708" s="2">
        <v>47</v>
      </c>
      <c r="M2708">
        <v>355</v>
      </c>
      <c r="N2708" s="2">
        <v>686</v>
      </c>
      <c r="O2708">
        <v>52021.63</v>
      </c>
      <c r="P2708">
        <v>33</v>
      </c>
      <c r="Q2708">
        <v>653</v>
      </c>
      <c r="R2708">
        <v>20.18</v>
      </c>
      <c r="S2708">
        <v>0</v>
      </c>
      <c r="T2708">
        <v>157</v>
      </c>
      <c r="U2708" s="2">
        <v>15963.76</v>
      </c>
      <c r="V2708">
        <v>0</v>
      </c>
      <c r="W2708" t="s">
        <v>29</v>
      </c>
      <c r="X2708" t="str">
        <f>IF(Table2[[#This Row],[Qty available]]&gt;Table2[[#This Row],[Qty on hand]],"Check","OK")</f>
        <v>OK</v>
      </c>
    </row>
    <row r="2709" spans="1:24" x14ac:dyDescent="0.3">
      <c r="A2709" t="s">
        <v>285</v>
      </c>
      <c r="B2709" t="s">
        <v>286</v>
      </c>
      <c r="C2709" t="s">
        <v>25</v>
      </c>
      <c r="D2709" t="s">
        <v>26</v>
      </c>
      <c r="E2709" t="s">
        <v>27</v>
      </c>
      <c r="F2709" s="1" t="s">
        <v>48</v>
      </c>
      <c r="G2709" s="2">
        <v>71.62</v>
      </c>
      <c r="H2709">
        <v>78.64</v>
      </c>
      <c r="I2709">
        <v>76.286199999999994</v>
      </c>
      <c r="J2709">
        <v>101.68</v>
      </c>
      <c r="K2709">
        <v>53</v>
      </c>
      <c r="L2709" s="2">
        <v>46</v>
      </c>
      <c r="M2709">
        <v>132</v>
      </c>
      <c r="N2709" s="2">
        <v>571</v>
      </c>
      <c r="O2709">
        <v>43559.42</v>
      </c>
      <c r="P2709">
        <v>28</v>
      </c>
      <c r="Q2709">
        <v>543</v>
      </c>
      <c r="R2709">
        <v>12.92</v>
      </c>
      <c r="S2709">
        <v>1</v>
      </c>
      <c r="T2709">
        <v>247</v>
      </c>
      <c r="U2709" s="2">
        <v>25114.959999999999</v>
      </c>
      <c r="V2709">
        <v>0</v>
      </c>
      <c r="W2709" t="s">
        <v>29</v>
      </c>
      <c r="X2709" t="str">
        <f>IF(Table2[[#This Row],[Qty available]]&gt;Table2[[#This Row],[Qty on hand]],"Check","OK")</f>
        <v>OK</v>
      </c>
    </row>
    <row r="2710" spans="1:24" x14ac:dyDescent="0.3">
      <c r="A2710" t="s">
        <v>285</v>
      </c>
      <c r="B2710" t="s">
        <v>286</v>
      </c>
      <c r="C2710" t="s">
        <v>25</v>
      </c>
      <c r="D2710" t="s">
        <v>26</v>
      </c>
      <c r="E2710" t="s">
        <v>27</v>
      </c>
      <c r="F2710" s="1" t="s">
        <v>49</v>
      </c>
      <c r="G2710" s="2">
        <v>70.19</v>
      </c>
      <c r="H2710">
        <v>77.069999999999993</v>
      </c>
      <c r="I2710">
        <v>76.286203</v>
      </c>
      <c r="J2710">
        <v>101.68</v>
      </c>
      <c r="K2710">
        <v>53</v>
      </c>
      <c r="M2710">
        <v>0</v>
      </c>
      <c r="N2710" s="2">
        <v>453</v>
      </c>
      <c r="O2710">
        <v>34557.65</v>
      </c>
      <c r="P2710">
        <v>17</v>
      </c>
      <c r="Q2710">
        <v>436</v>
      </c>
      <c r="R2710">
        <v>11.41</v>
      </c>
      <c r="S2710">
        <v>1</v>
      </c>
      <c r="T2710">
        <v>118</v>
      </c>
      <c r="U2710" s="2">
        <v>11998.24</v>
      </c>
      <c r="V2710">
        <v>0</v>
      </c>
      <c r="W2710" t="s">
        <v>29</v>
      </c>
      <c r="X2710" t="str">
        <f>IF(Table2[[#This Row],[Qty available]]&gt;Table2[[#This Row],[Qty on hand]],"Check","OK")</f>
        <v>OK</v>
      </c>
    </row>
    <row r="2711" spans="1:24" x14ac:dyDescent="0.3">
      <c r="A2711" t="s">
        <v>285</v>
      </c>
      <c r="B2711" t="s">
        <v>286</v>
      </c>
      <c r="C2711" t="s">
        <v>25</v>
      </c>
      <c r="D2711" t="s">
        <v>26</v>
      </c>
      <c r="E2711" t="s">
        <v>27</v>
      </c>
      <c r="F2711" s="1" t="s">
        <v>50</v>
      </c>
      <c r="G2711" s="2">
        <v>71.42</v>
      </c>
      <c r="H2711">
        <v>78.42</v>
      </c>
      <c r="I2711">
        <v>77.438669000000004</v>
      </c>
      <c r="J2711">
        <v>101.68</v>
      </c>
      <c r="K2711">
        <v>53</v>
      </c>
      <c r="L2711" s="2">
        <v>45</v>
      </c>
      <c r="M2711">
        <v>532</v>
      </c>
      <c r="N2711" s="2">
        <v>676</v>
      </c>
      <c r="O2711">
        <v>52348.54</v>
      </c>
      <c r="P2711">
        <v>55</v>
      </c>
      <c r="Q2711">
        <v>621</v>
      </c>
      <c r="R2711">
        <v>13.04</v>
      </c>
      <c r="S2711">
        <v>1</v>
      </c>
      <c r="T2711">
        <v>309</v>
      </c>
      <c r="U2711" s="2">
        <v>31419.119999999999</v>
      </c>
      <c r="V2711">
        <v>0</v>
      </c>
      <c r="W2711" t="s">
        <v>29</v>
      </c>
      <c r="X2711" t="str">
        <f>IF(Table2[[#This Row],[Qty available]]&gt;Table2[[#This Row],[Qty on hand]],"Check","OK")</f>
        <v>OK</v>
      </c>
    </row>
    <row r="2712" spans="1:24" x14ac:dyDescent="0.3">
      <c r="A2712" t="s">
        <v>285</v>
      </c>
      <c r="B2712" t="s">
        <v>286</v>
      </c>
      <c r="C2712" t="s">
        <v>25</v>
      </c>
      <c r="D2712" t="s">
        <v>26</v>
      </c>
      <c r="E2712" t="s">
        <v>27</v>
      </c>
      <c r="F2712" s="1" t="s">
        <v>51</v>
      </c>
      <c r="G2712" s="2">
        <v>72.510000000000005</v>
      </c>
      <c r="H2712">
        <v>79.62</v>
      </c>
      <c r="I2712">
        <v>77.438672999999994</v>
      </c>
      <c r="J2712">
        <v>101.68</v>
      </c>
      <c r="K2712">
        <v>53</v>
      </c>
      <c r="M2712">
        <v>0</v>
      </c>
      <c r="N2712" s="2">
        <v>520</v>
      </c>
      <c r="O2712">
        <v>40268.11</v>
      </c>
      <c r="P2712">
        <v>39</v>
      </c>
      <c r="Q2712">
        <v>481</v>
      </c>
      <c r="R2712">
        <v>11.72</v>
      </c>
      <c r="S2712">
        <v>0</v>
      </c>
      <c r="T2712">
        <v>156</v>
      </c>
      <c r="U2712" s="2">
        <v>15862.08</v>
      </c>
      <c r="V2712">
        <v>0</v>
      </c>
      <c r="W2712" t="s">
        <v>29</v>
      </c>
      <c r="X2712" t="str">
        <f>IF(Table2[[#This Row],[Qty available]]&gt;Table2[[#This Row],[Qty on hand]],"Check","OK")</f>
        <v>OK</v>
      </c>
    </row>
    <row r="2713" spans="1:24" x14ac:dyDescent="0.3">
      <c r="A2713" t="s">
        <v>285</v>
      </c>
      <c r="B2713" t="s">
        <v>286</v>
      </c>
      <c r="C2713" t="s">
        <v>25</v>
      </c>
      <c r="D2713" t="s">
        <v>26</v>
      </c>
      <c r="E2713" t="s">
        <v>27</v>
      </c>
      <c r="F2713" s="1" t="s">
        <v>52</v>
      </c>
      <c r="G2713" s="2">
        <v>70.59</v>
      </c>
      <c r="H2713">
        <v>77.510000000000005</v>
      </c>
      <c r="I2713">
        <v>77.465154999999996</v>
      </c>
      <c r="J2713">
        <v>101.68</v>
      </c>
      <c r="K2713">
        <v>53</v>
      </c>
      <c r="L2713" s="2">
        <v>51</v>
      </c>
      <c r="M2713">
        <v>307</v>
      </c>
      <c r="N2713" s="2">
        <v>772</v>
      </c>
      <c r="O2713">
        <v>59803.1</v>
      </c>
      <c r="P2713">
        <v>28</v>
      </c>
      <c r="Q2713">
        <v>744</v>
      </c>
      <c r="R2713">
        <v>19.510000000000002</v>
      </c>
      <c r="S2713">
        <v>1</v>
      </c>
      <c r="T2713">
        <v>55</v>
      </c>
      <c r="U2713" s="2">
        <v>5592.4</v>
      </c>
      <c r="V2713">
        <v>0</v>
      </c>
      <c r="W2713" t="s">
        <v>29</v>
      </c>
      <c r="X2713" t="str">
        <f>IF(Table2[[#This Row],[Qty available]]&gt;Table2[[#This Row],[Qty on hand]],"Check","OK")</f>
        <v>OK</v>
      </c>
    </row>
    <row r="2714" spans="1:24" x14ac:dyDescent="0.3">
      <c r="A2714" t="s">
        <v>287</v>
      </c>
      <c r="B2714" t="s">
        <v>288</v>
      </c>
      <c r="C2714" t="s">
        <v>57</v>
      </c>
      <c r="D2714" t="s">
        <v>58</v>
      </c>
      <c r="E2714" t="s">
        <v>66</v>
      </c>
      <c r="F2714" s="1" t="s">
        <v>28</v>
      </c>
      <c r="G2714" s="2">
        <v>2.5</v>
      </c>
      <c r="H2714">
        <v>2.5</v>
      </c>
      <c r="I2714">
        <v>2.5078830000000001</v>
      </c>
      <c r="J2714">
        <v>3.57</v>
      </c>
      <c r="K2714">
        <v>14</v>
      </c>
      <c r="L2714" s="2">
        <v>13</v>
      </c>
      <c r="M2714">
        <v>769</v>
      </c>
      <c r="N2714" s="2">
        <v>1441</v>
      </c>
      <c r="O2714">
        <v>3613.86</v>
      </c>
      <c r="P2714">
        <v>85</v>
      </c>
      <c r="Q2714">
        <v>1356</v>
      </c>
      <c r="R2714">
        <v>21.62</v>
      </c>
      <c r="S2714">
        <v>2</v>
      </c>
      <c r="T2714">
        <v>280</v>
      </c>
      <c r="U2714" s="2">
        <v>999.6</v>
      </c>
      <c r="V2714">
        <v>0</v>
      </c>
      <c r="W2714" t="s">
        <v>29</v>
      </c>
      <c r="X2714" t="str">
        <f>IF(Table2[[#This Row],[Qty available]]&gt;Table2[[#This Row],[Qty on hand]],"Check","OK")</f>
        <v>OK</v>
      </c>
    </row>
    <row r="2715" spans="1:24" x14ac:dyDescent="0.3">
      <c r="A2715" t="s">
        <v>287</v>
      </c>
      <c r="B2715" t="s">
        <v>288</v>
      </c>
      <c r="C2715" t="s">
        <v>57</v>
      </c>
      <c r="D2715" t="s">
        <v>58</v>
      </c>
      <c r="E2715" t="s">
        <v>66</v>
      </c>
      <c r="F2715" s="1" t="s">
        <v>30</v>
      </c>
      <c r="G2715" s="2">
        <v>2.5099999999999998</v>
      </c>
      <c r="H2715">
        <v>2.5099999999999998</v>
      </c>
      <c r="I2715">
        <v>2.507978</v>
      </c>
      <c r="J2715">
        <v>3.57</v>
      </c>
      <c r="K2715">
        <v>14</v>
      </c>
      <c r="L2715" s="2">
        <v>15</v>
      </c>
      <c r="M2715">
        <v>67</v>
      </c>
      <c r="N2715" s="2">
        <v>994</v>
      </c>
      <c r="O2715">
        <v>2492.9299999999998</v>
      </c>
      <c r="P2715">
        <v>85</v>
      </c>
      <c r="Q2715">
        <v>909</v>
      </c>
      <c r="R2715">
        <v>12.62</v>
      </c>
      <c r="S2715">
        <v>0</v>
      </c>
      <c r="T2715">
        <v>514</v>
      </c>
      <c r="U2715" s="2">
        <v>1834.98</v>
      </c>
      <c r="V2715">
        <v>0</v>
      </c>
      <c r="W2715" t="s">
        <v>29</v>
      </c>
      <c r="X2715" t="str">
        <f>IF(Table2[[#This Row],[Qty available]]&gt;Table2[[#This Row],[Qty on hand]],"Check","OK")</f>
        <v>OK</v>
      </c>
    </row>
    <row r="2716" spans="1:24" x14ac:dyDescent="0.3">
      <c r="A2716" t="s">
        <v>287</v>
      </c>
      <c r="B2716" t="s">
        <v>288</v>
      </c>
      <c r="C2716" t="s">
        <v>57</v>
      </c>
      <c r="D2716" t="s">
        <v>58</v>
      </c>
      <c r="E2716" t="s">
        <v>66</v>
      </c>
      <c r="F2716" s="1" t="s">
        <v>31</v>
      </c>
      <c r="G2716" s="2">
        <v>2.5499999999999998</v>
      </c>
      <c r="H2716">
        <v>2.5499999999999998</v>
      </c>
      <c r="I2716">
        <v>2.527495</v>
      </c>
      <c r="J2716">
        <v>3.57</v>
      </c>
      <c r="K2716">
        <v>14</v>
      </c>
      <c r="L2716" s="2">
        <v>21</v>
      </c>
      <c r="M2716">
        <v>862</v>
      </c>
      <c r="N2716" s="2">
        <v>1429</v>
      </c>
      <c r="O2716">
        <v>3611.79</v>
      </c>
      <c r="P2716">
        <v>48</v>
      </c>
      <c r="Q2716">
        <v>1381</v>
      </c>
      <c r="R2716">
        <v>15.21</v>
      </c>
      <c r="S2716">
        <v>0</v>
      </c>
      <c r="T2716">
        <v>427</v>
      </c>
      <c r="U2716" s="2">
        <v>1524.39</v>
      </c>
      <c r="V2716">
        <v>0</v>
      </c>
      <c r="W2716" t="s">
        <v>29</v>
      </c>
      <c r="X2716" t="str">
        <f>IF(Table2[[#This Row],[Qty available]]&gt;Table2[[#This Row],[Qty on hand]],"Check","OK")</f>
        <v>OK</v>
      </c>
    </row>
    <row r="2717" spans="1:24" x14ac:dyDescent="0.3">
      <c r="A2717" t="s">
        <v>287</v>
      </c>
      <c r="B2717" t="s">
        <v>288</v>
      </c>
      <c r="C2717" t="s">
        <v>57</v>
      </c>
      <c r="D2717" t="s">
        <v>58</v>
      </c>
      <c r="E2717" t="s">
        <v>66</v>
      </c>
      <c r="F2717" s="1" t="s">
        <v>32</v>
      </c>
      <c r="G2717" s="2">
        <v>2.5299999999999998</v>
      </c>
      <c r="H2717">
        <v>2.5299999999999998</v>
      </c>
      <c r="I2717">
        <v>2.5277270000000001</v>
      </c>
      <c r="J2717">
        <v>3.57</v>
      </c>
      <c r="K2717">
        <v>14</v>
      </c>
      <c r="L2717" s="2">
        <v>13</v>
      </c>
      <c r="M2717">
        <v>145</v>
      </c>
      <c r="N2717" s="2">
        <v>1069</v>
      </c>
      <c r="O2717">
        <v>2702.14</v>
      </c>
      <c r="P2717">
        <v>36</v>
      </c>
      <c r="Q2717">
        <v>1033</v>
      </c>
      <c r="R2717">
        <v>9.7200000000000006</v>
      </c>
      <c r="S2717">
        <v>0</v>
      </c>
      <c r="T2717">
        <v>505</v>
      </c>
      <c r="U2717" s="2">
        <v>1802.85</v>
      </c>
      <c r="V2717">
        <v>0</v>
      </c>
      <c r="W2717" t="s">
        <v>29</v>
      </c>
      <c r="X2717" t="str">
        <f>IF(Table2[[#This Row],[Qty available]]&gt;Table2[[#This Row],[Qty on hand]],"Check","OK")</f>
        <v>OK</v>
      </c>
    </row>
    <row r="2718" spans="1:24" x14ac:dyDescent="0.3">
      <c r="A2718" t="s">
        <v>287</v>
      </c>
      <c r="B2718" t="s">
        <v>288</v>
      </c>
      <c r="C2718" t="s">
        <v>57</v>
      </c>
      <c r="D2718" t="s">
        <v>58</v>
      </c>
      <c r="E2718" t="s">
        <v>66</v>
      </c>
      <c r="F2718" s="1" t="s">
        <v>33</v>
      </c>
      <c r="G2718" s="2">
        <v>2.6</v>
      </c>
      <c r="H2718">
        <v>2.6</v>
      </c>
      <c r="I2718">
        <v>2.5568610000000001</v>
      </c>
      <c r="J2718">
        <v>3.57</v>
      </c>
      <c r="K2718">
        <v>14</v>
      </c>
      <c r="L2718" s="2">
        <v>12</v>
      </c>
      <c r="M2718">
        <v>722</v>
      </c>
      <c r="N2718" s="2">
        <v>1475</v>
      </c>
      <c r="O2718">
        <v>3771.37</v>
      </c>
      <c r="P2718">
        <v>73</v>
      </c>
      <c r="Q2718">
        <v>1402</v>
      </c>
      <c r="R2718">
        <v>15.53</v>
      </c>
      <c r="S2718">
        <v>1</v>
      </c>
      <c r="T2718">
        <v>316</v>
      </c>
      <c r="U2718" s="2">
        <v>1128.1199999999999</v>
      </c>
      <c r="V2718">
        <v>0</v>
      </c>
      <c r="W2718" t="s">
        <v>29</v>
      </c>
      <c r="X2718" t="str">
        <f>IF(Table2[[#This Row],[Qty available]]&gt;Table2[[#This Row],[Qty on hand]],"Check","OK")</f>
        <v>OK</v>
      </c>
    </row>
    <row r="2719" spans="1:24" x14ac:dyDescent="0.3">
      <c r="A2719" t="s">
        <v>287</v>
      </c>
      <c r="B2719" t="s">
        <v>288</v>
      </c>
      <c r="C2719" t="s">
        <v>57</v>
      </c>
      <c r="D2719" t="s">
        <v>58</v>
      </c>
      <c r="E2719" t="s">
        <v>66</v>
      </c>
      <c r="F2719" s="1" t="s">
        <v>34</v>
      </c>
      <c r="G2719" s="2">
        <v>2.6</v>
      </c>
      <c r="H2719">
        <v>2.6</v>
      </c>
      <c r="I2719">
        <v>2.5568599999999999</v>
      </c>
      <c r="J2719">
        <v>3.73</v>
      </c>
      <c r="K2719">
        <v>14</v>
      </c>
      <c r="M2719">
        <v>0</v>
      </c>
      <c r="N2719" s="2">
        <v>1016</v>
      </c>
      <c r="O2719">
        <v>2597.77</v>
      </c>
      <c r="P2719">
        <v>121</v>
      </c>
      <c r="Q2719">
        <v>895</v>
      </c>
      <c r="R2719">
        <v>10.210000000000001</v>
      </c>
      <c r="S2719">
        <v>0</v>
      </c>
      <c r="T2719">
        <v>459</v>
      </c>
      <c r="U2719" s="2">
        <v>1712.07</v>
      </c>
      <c r="V2719">
        <v>0</v>
      </c>
      <c r="W2719" t="s">
        <v>29</v>
      </c>
      <c r="X2719" t="str">
        <f>IF(Table2[[#This Row],[Qty available]]&gt;Table2[[#This Row],[Qty on hand]],"Check","OK")</f>
        <v>OK</v>
      </c>
    </row>
    <row r="2720" spans="1:24" x14ac:dyDescent="0.3">
      <c r="A2720" t="s">
        <v>287</v>
      </c>
      <c r="B2720" t="s">
        <v>288</v>
      </c>
      <c r="C2720" t="s">
        <v>57</v>
      </c>
      <c r="D2720" t="s">
        <v>58</v>
      </c>
      <c r="E2720" t="s">
        <v>66</v>
      </c>
      <c r="F2720" s="1" t="s">
        <v>35</v>
      </c>
      <c r="G2720" s="2">
        <v>2.62</v>
      </c>
      <c r="H2720">
        <v>2.62</v>
      </c>
      <c r="I2720">
        <v>2.5629759999999999</v>
      </c>
      <c r="J2720">
        <v>3.73</v>
      </c>
      <c r="K2720">
        <v>14</v>
      </c>
      <c r="L2720" s="2">
        <v>12</v>
      </c>
      <c r="M2720">
        <v>109</v>
      </c>
      <c r="N2720" s="2">
        <v>850</v>
      </c>
      <c r="O2720">
        <v>2178.5300000000002</v>
      </c>
      <c r="P2720">
        <v>48</v>
      </c>
      <c r="Q2720">
        <v>802</v>
      </c>
      <c r="R2720">
        <v>10.41</v>
      </c>
      <c r="S2720">
        <v>0</v>
      </c>
      <c r="T2720">
        <v>275</v>
      </c>
      <c r="U2720" s="2">
        <v>1025.75</v>
      </c>
      <c r="V2720">
        <v>0</v>
      </c>
      <c r="W2720" t="s">
        <v>29</v>
      </c>
      <c r="X2720" t="str">
        <f>IF(Table2[[#This Row],[Qty available]]&gt;Table2[[#This Row],[Qty on hand]],"Check","OK")</f>
        <v>OK</v>
      </c>
    </row>
    <row r="2721" spans="1:24" x14ac:dyDescent="0.3">
      <c r="A2721" t="s">
        <v>287</v>
      </c>
      <c r="B2721" t="s">
        <v>288</v>
      </c>
      <c r="C2721" t="s">
        <v>57</v>
      </c>
      <c r="D2721" t="s">
        <v>58</v>
      </c>
      <c r="E2721" t="s">
        <v>66</v>
      </c>
      <c r="F2721" s="1" t="s">
        <v>36</v>
      </c>
      <c r="G2721" s="2">
        <v>2.65</v>
      </c>
      <c r="H2721">
        <v>2.65</v>
      </c>
      <c r="I2721">
        <v>2.603507</v>
      </c>
      <c r="J2721">
        <v>3.73</v>
      </c>
      <c r="K2721">
        <v>14</v>
      </c>
      <c r="L2721" s="2">
        <v>22</v>
      </c>
      <c r="M2721">
        <v>741</v>
      </c>
      <c r="N2721" s="2">
        <v>1283</v>
      </c>
      <c r="O2721">
        <v>3340.3</v>
      </c>
      <c r="P2721">
        <v>97</v>
      </c>
      <c r="Q2721">
        <v>1186</v>
      </c>
      <c r="R2721">
        <v>15.65</v>
      </c>
      <c r="S2721">
        <v>0</v>
      </c>
      <c r="T2721">
        <v>308</v>
      </c>
      <c r="U2721" s="2">
        <v>1148.8399999999999</v>
      </c>
      <c r="V2721">
        <v>0</v>
      </c>
      <c r="W2721" t="s">
        <v>29</v>
      </c>
      <c r="X2721" t="str">
        <f>IF(Table2[[#This Row],[Qty available]]&gt;Table2[[#This Row],[Qty on hand]],"Check","OK")</f>
        <v>OK</v>
      </c>
    </row>
    <row r="2722" spans="1:24" x14ac:dyDescent="0.3">
      <c r="A2722" t="s">
        <v>287</v>
      </c>
      <c r="B2722" t="s">
        <v>288</v>
      </c>
      <c r="C2722" t="s">
        <v>57</v>
      </c>
      <c r="D2722" t="s">
        <v>58</v>
      </c>
      <c r="E2722" t="s">
        <v>66</v>
      </c>
      <c r="F2722" s="1" t="s">
        <v>37</v>
      </c>
      <c r="G2722" s="2">
        <v>2.61</v>
      </c>
      <c r="H2722">
        <v>2.61</v>
      </c>
      <c r="I2722">
        <v>2.6040169999999998</v>
      </c>
      <c r="J2722">
        <v>3.73</v>
      </c>
      <c r="K2722">
        <v>14</v>
      </c>
      <c r="L2722" s="2">
        <v>13</v>
      </c>
      <c r="M2722">
        <v>110</v>
      </c>
      <c r="N2722" s="2">
        <v>1277</v>
      </c>
      <c r="O2722">
        <v>3325.33</v>
      </c>
      <c r="P2722">
        <v>61</v>
      </c>
      <c r="Q2722">
        <v>1216</v>
      </c>
      <c r="R2722">
        <v>24.01</v>
      </c>
      <c r="S2722">
        <v>2</v>
      </c>
      <c r="T2722">
        <v>116</v>
      </c>
      <c r="U2722" s="2">
        <v>432.68</v>
      </c>
      <c r="V2722">
        <v>0</v>
      </c>
      <c r="W2722" t="s">
        <v>29</v>
      </c>
      <c r="X2722" t="str">
        <f>IF(Table2[[#This Row],[Qty available]]&gt;Table2[[#This Row],[Qty on hand]],"Check","OK")</f>
        <v>OK</v>
      </c>
    </row>
    <row r="2723" spans="1:24" x14ac:dyDescent="0.3">
      <c r="A2723" t="s">
        <v>287</v>
      </c>
      <c r="B2723" t="s">
        <v>288</v>
      </c>
      <c r="C2723" t="s">
        <v>57</v>
      </c>
      <c r="D2723" t="s">
        <v>58</v>
      </c>
      <c r="E2723" t="s">
        <v>66</v>
      </c>
      <c r="F2723" s="1" t="s">
        <v>38</v>
      </c>
      <c r="G2723" s="2">
        <v>2.63</v>
      </c>
      <c r="H2723">
        <v>2.63</v>
      </c>
      <c r="I2723">
        <v>2.6040209999999999</v>
      </c>
      <c r="J2723">
        <v>3.73</v>
      </c>
      <c r="K2723">
        <v>14</v>
      </c>
      <c r="M2723">
        <v>0</v>
      </c>
      <c r="N2723" s="2">
        <v>853</v>
      </c>
      <c r="O2723">
        <v>2221.23</v>
      </c>
      <c r="P2723">
        <v>109</v>
      </c>
      <c r="Q2723">
        <v>744</v>
      </c>
      <c r="R2723">
        <v>13.08</v>
      </c>
      <c r="S2723">
        <v>1</v>
      </c>
      <c r="T2723">
        <v>424</v>
      </c>
      <c r="U2723" s="2">
        <v>1581.52</v>
      </c>
      <c r="V2723">
        <v>0</v>
      </c>
      <c r="W2723" t="s">
        <v>29</v>
      </c>
      <c r="X2723" t="str">
        <f>IF(Table2[[#This Row],[Qty available]]&gt;Table2[[#This Row],[Qty on hand]],"Check","OK")</f>
        <v>OK</v>
      </c>
    </row>
    <row r="2724" spans="1:24" x14ac:dyDescent="0.3">
      <c r="A2724" t="s">
        <v>287</v>
      </c>
      <c r="B2724" t="s">
        <v>288</v>
      </c>
      <c r="C2724" t="s">
        <v>57</v>
      </c>
      <c r="D2724" t="s">
        <v>58</v>
      </c>
      <c r="E2724" t="s">
        <v>66</v>
      </c>
      <c r="F2724" s="1" t="s">
        <v>39</v>
      </c>
      <c r="G2724" s="2">
        <v>2.58</v>
      </c>
      <c r="H2724">
        <v>2.58</v>
      </c>
      <c r="I2724">
        <v>2.592565</v>
      </c>
      <c r="J2724">
        <v>3.73</v>
      </c>
      <c r="K2724">
        <v>14</v>
      </c>
      <c r="L2724" s="2">
        <v>14</v>
      </c>
      <c r="M2724">
        <v>778</v>
      </c>
      <c r="N2724" s="2">
        <v>1228</v>
      </c>
      <c r="O2724">
        <v>3183.67</v>
      </c>
      <c r="P2724">
        <v>121</v>
      </c>
      <c r="Q2724">
        <v>1107</v>
      </c>
      <c r="R2724">
        <v>17.11</v>
      </c>
      <c r="S2724">
        <v>2</v>
      </c>
      <c r="T2724">
        <v>403</v>
      </c>
      <c r="U2724" s="2">
        <v>1503.19</v>
      </c>
      <c r="V2724">
        <v>0</v>
      </c>
      <c r="W2724" t="s">
        <v>29</v>
      </c>
      <c r="X2724" t="str">
        <f>IF(Table2[[#This Row],[Qty available]]&gt;Table2[[#This Row],[Qty on hand]],"Check","OK")</f>
        <v>OK</v>
      </c>
    </row>
    <row r="2725" spans="1:24" x14ac:dyDescent="0.3">
      <c r="A2725" t="s">
        <v>287</v>
      </c>
      <c r="B2725" t="s">
        <v>288</v>
      </c>
      <c r="C2725" t="s">
        <v>57</v>
      </c>
      <c r="D2725" t="s">
        <v>58</v>
      </c>
      <c r="E2725" t="s">
        <v>66</v>
      </c>
      <c r="F2725" s="1" t="s">
        <v>40</v>
      </c>
      <c r="G2725" s="2">
        <v>2.65</v>
      </c>
      <c r="H2725">
        <v>2.65</v>
      </c>
      <c r="I2725">
        <v>2.5925609999999999</v>
      </c>
      <c r="J2725">
        <v>3.73</v>
      </c>
      <c r="K2725">
        <v>14</v>
      </c>
      <c r="M2725">
        <v>0</v>
      </c>
      <c r="N2725" s="2">
        <v>785</v>
      </c>
      <c r="O2725">
        <v>2035.16</v>
      </c>
      <c r="P2725">
        <v>109</v>
      </c>
      <c r="Q2725">
        <v>676</v>
      </c>
      <c r="R2725">
        <v>8.1199999999999992</v>
      </c>
      <c r="S2725">
        <v>0</v>
      </c>
      <c r="T2725">
        <v>443</v>
      </c>
      <c r="U2725" s="2">
        <v>1652.39</v>
      </c>
      <c r="V2725">
        <v>0</v>
      </c>
      <c r="W2725" t="s">
        <v>29</v>
      </c>
      <c r="X2725" t="str">
        <f>IF(Table2[[#This Row],[Qty available]]&gt;Table2[[#This Row],[Qty on hand]],"Check","OK")</f>
        <v>OK</v>
      </c>
    </row>
    <row r="2726" spans="1:24" x14ac:dyDescent="0.3">
      <c r="A2726" t="s">
        <v>287</v>
      </c>
      <c r="B2726" t="s">
        <v>288</v>
      </c>
      <c r="C2726" t="s">
        <v>57</v>
      </c>
      <c r="D2726" t="s">
        <v>58</v>
      </c>
      <c r="E2726" t="s">
        <v>66</v>
      </c>
      <c r="F2726" s="1" t="s">
        <v>41</v>
      </c>
      <c r="G2726" s="2">
        <v>2.58</v>
      </c>
      <c r="H2726">
        <v>2.58</v>
      </c>
      <c r="I2726">
        <v>2.5859269999999999</v>
      </c>
      <c r="J2726">
        <v>3.73</v>
      </c>
      <c r="K2726">
        <v>14</v>
      </c>
      <c r="L2726" s="2">
        <v>12</v>
      </c>
      <c r="M2726">
        <v>879</v>
      </c>
      <c r="N2726" s="2">
        <v>1289</v>
      </c>
      <c r="O2726">
        <v>3333.26</v>
      </c>
      <c r="P2726">
        <v>61</v>
      </c>
      <c r="Q2726">
        <v>1228</v>
      </c>
      <c r="R2726">
        <v>13.87</v>
      </c>
      <c r="S2726">
        <v>0</v>
      </c>
      <c r="T2726">
        <v>375</v>
      </c>
      <c r="U2726" s="2">
        <v>1398.75</v>
      </c>
      <c r="V2726">
        <v>0</v>
      </c>
      <c r="W2726" t="s">
        <v>29</v>
      </c>
      <c r="X2726" t="str">
        <f>IF(Table2[[#This Row],[Qty available]]&gt;Table2[[#This Row],[Qty on hand]],"Check","OK")</f>
        <v>OK</v>
      </c>
    </row>
    <row r="2727" spans="1:24" x14ac:dyDescent="0.3">
      <c r="A2727" t="s">
        <v>287</v>
      </c>
      <c r="B2727" t="s">
        <v>288</v>
      </c>
      <c r="C2727" t="s">
        <v>57</v>
      </c>
      <c r="D2727" t="s">
        <v>58</v>
      </c>
      <c r="E2727" t="s">
        <v>66</v>
      </c>
      <c r="F2727" s="1" t="s">
        <v>42</v>
      </c>
      <c r="G2727" s="2">
        <v>2.56</v>
      </c>
      <c r="H2727">
        <v>2.56</v>
      </c>
      <c r="I2727">
        <v>2.5835340000000002</v>
      </c>
      <c r="J2727">
        <v>3.73</v>
      </c>
      <c r="K2727">
        <v>14</v>
      </c>
      <c r="L2727" s="2">
        <v>13</v>
      </c>
      <c r="M2727">
        <v>131</v>
      </c>
      <c r="N2727" s="2">
        <v>1081</v>
      </c>
      <c r="O2727">
        <v>2792.8</v>
      </c>
      <c r="P2727">
        <v>73</v>
      </c>
      <c r="Q2727">
        <v>1008</v>
      </c>
      <c r="R2727">
        <v>12.28</v>
      </c>
      <c r="S2727">
        <v>0</v>
      </c>
      <c r="T2727">
        <v>339</v>
      </c>
      <c r="U2727" s="2">
        <v>1264.47</v>
      </c>
      <c r="V2727">
        <v>0</v>
      </c>
      <c r="W2727" t="s">
        <v>29</v>
      </c>
      <c r="X2727" t="str">
        <f>IF(Table2[[#This Row],[Qty available]]&gt;Table2[[#This Row],[Qty on hand]],"Check","OK")</f>
        <v>OK</v>
      </c>
    </row>
    <row r="2728" spans="1:24" x14ac:dyDescent="0.3">
      <c r="A2728" t="s">
        <v>287</v>
      </c>
      <c r="B2728" t="s">
        <v>288</v>
      </c>
      <c r="C2728" t="s">
        <v>57</v>
      </c>
      <c r="D2728" t="s">
        <v>58</v>
      </c>
      <c r="E2728" t="s">
        <v>66</v>
      </c>
      <c r="F2728" s="1" t="s">
        <v>43</v>
      </c>
      <c r="G2728" s="2">
        <v>2.61</v>
      </c>
      <c r="H2728">
        <v>2.61</v>
      </c>
      <c r="I2728">
        <v>2.5882100000000001</v>
      </c>
      <c r="J2728">
        <v>3.73</v>
      </c>
      <c r="K2728">
        <v>14</v>
      </c>
      <c r="L2728" s="2">
        <v>22</v>
      </c>
      <c r="M2728">
        <v>232</v>
      </c>
      <c r="N2728" s="2">
        <v>944</v>
      </c>
      <c r="O2728">
        <v>2443.27</v>
      </c>
      <c r="P2728">
        <v>85</v>
      </c>
      <c r="Q2728">
        <v>859</v>
      </c>
      <c r="R2728">
        <v>11.33</v>
      </c>
      <c r="S2728">
        <v>0</v>
      </c>
      <c r="T2728">
        <v>369</v>
      </c>
      <c r="U2728" s="2">
        <v>1376.37</v>
      </c>
      <c r="V2728">
        <v>0</v>
      </c>
      <c r="W2728" t="s">
        <v>29</v>
      </c>
      <c r="X2728" t="str">
        <f>IF(Table2[[#This Row],[Qty available]]&gt;Table2[[#This Row],[Qty on hand]],"Check","OK")</f>
        <v>OK</v>
      </c>
    </row>
    <row r="2729" spans="1:24" x14ac:dyDescent="0.3">
      <c r="A2729" t="s">
        <v>287</v>
      </c>
      <c r="B2729" t="s">
        <v>288</v>
      </c>
      <c r="C2729" t="s">
        <v>57</v>
      </c>
      <c r="D2729" t="s">
        <v>58</v>
      </c>
      <c r="E2729" t="s">
        <v>66</v>
      </c>
      <c r="F2729" s="1" t="s">
        <v>44</v>
      </c>
      <c r="G2729" s="2">
        <v>2.61</v>
      </c>
      <c r="H2729">
        <v>2.61</v>
      </c>
      <c r="I2729">
        <v>2.5955539999999999</v>
      </c>
      <c r="J2729">
        <v>3.73</v>
      </c>
      <c r="K2729">
        <v>14</v>
      </c>
      <c r="L2729" s="2">
        <v>19</v>
      </c>
      <c r="M2729">
        <v>480</v>
      </c>
      <c r="N2729" s="2">
        <v>1318</v>
      </c>
      <c r="O2729">
        <v>3420.94</v>
      </c>
      <c r="P2729">
        <v>48</v>
      </c>
      <c r="Q2729">
        <v>1270</v>
      </c>
      <c r="R2729">
        <v>21.28</v>
      </c>
      <c r="S2729">
        <v>3</v>
      </c>
      <c r="T2729">
        <v>106</v>
      </c>
      <c r="U2729" s="2">
        <v>395.38</v>
      </c>
      <c r="V2729">
        <v>0</v>
      </c>
      <c r="W2729" t="s">
        <v>29</v>
      </c>
      <c r="X2729" t="str">
        <f>IF(Table2[[#This Row],[Qty available]]&gt;Table2[[#This Row],[Qty on hand]],"Check","OK")</f>
        <v>OK</v>
      </c>
    </row>
    <row r="2730" spans="1:24" x14ac:dyDescent="0.3">
      <c r="A2730" t="s">
        <v>287</v>
      </c>
      <c r="B2730" t="s">
        <v>288</v>
      </c>
      <c r="C2730" t="s">
        <v>57</v>
      </c>
      <c r="D2730" t="s">
        <v>58</v>
      </c>
      <c r="E2730" t="s">
        <v>66</v>
      </c>
      <c r="F2730" s="1" t="s">
        <v>45</v>
      </c>
      <c r="G2730" s="2">
        <v>2.69</v>
      </c>
      <c r="H2730">
        <v>2.69</v>
      </c>
      <c r="I2730">
        <v>2.603615</v>
      </c>
      <c r="J2730">
        <v>3.73</v>
      </c>
      <c r="K2730">
        <v>14</v>
      </c>
      <c r="L2730" s="2">
        <v>12</v>
      </c>
      <c r="M2730">
        <v>123</v>
      </c>
      <c r="N2730" s="2">
        <v>877</v>
      </c>
      <c r="O2730">
        <v>2283.37</v>
      </c>
      <c r="P2730">
        <v>121</v>
      </c>
      <c r="Q2730">
        <v>756</v>
      </c>
      <c r="R2730">
        <v>11.09</v>
      </c>
      <c r="S2730">
        <v>0</v>
      </c>
      <c r="T2730">
        <v>564</v>
      </c>
      <c r="U2730" s="2">
        <v>2103.7199999999998</v>
      </c>
      <c r="V2730">
        <v>0</v>
      </c>
      <c r="W2730" t="s">
        <v>29</v>
      </c>
      <c r="X2730" t="str">
        <f>IF(Table2[[#This Row],[Qty available]]&gt;Table2[[#This Row],[Qty on hand]],"Check","OK")</f>
        <v>OK</v>
      </c>
    </row>
    <row r="2731" spans="1:24" x14ac:dyDescent="0.3">
      <c r="A2731" t="s">
        <v>287</v>
      </c>
      <c r="B2731" t="s">
        <v>288</v>
      </c>
      <c r="C2731" t="s">
        <v>57</v>
      </c>
      <c r="D2731" t="s">
        <v>58</v>
      </c>
      <c r="E2731" t="s">
        <v>66</v>
      </c>
      <c r="F2731" s="1" t="s">
        <v>46</v>
      </c>
      <c r="G2731" s="2">
        <v>2.7</v>
      </c>
      <c r="H2731">
        <v>2.7</v>
      </c>
      <c r="I2731">
        <v>2.6405979999999998</v>
      </c>
      <c r="J2731">
        <v>3.9</v>
      </c>
      <c r="K2731">
        <v>14</v>
      </c>
      <c r="L2731" s="2">
        <v>14</v>
      </c>
      <c r="M2731">
        <v>546</v>
      </c>
      <c r="N2731" s="2">
        <v>1220</v>
      </c>
      <c r="O2731">
        <v>3221.53</v>
      </c>
      <c r="P2731">
        <v>24</v>
      </c>
      <c r="Q2731">
        <v>1196</v>
      </c>
      <c r="R2731">
        <v>17.97</v>
      </c>
      <c r="S2731">
        <v>0</v>
      </c>
      <c r="T2731">
        <v>203</v>
      </c>
      <c r="U2731" s="2">
        <v>791.7</v>
      </c>
      <c r="V2731">
        <v>0</v>
      </c>
      <c r="W2731" t="s">
        <v>29</v>
      </c>
      <c r="X2731" t="str">
        <f>IF(Table2[[#This Row],[Qty available]]&gt;Table2[[#This Row],[Qty on hand]],"Check","OK")</f>
        <v>OK</v>
      </c>
    </row>
    <row r="2732" spans="1:24" x14ac:dyDescent="0.3">
      <c r="A2732" t="s">
        <v>287</v>
      </c>
      <c r="B2732" t="s">
        <v>288</v>
      </c>
      <c r="C2732" t="s">
        <v>57</v>
      </c>
      <c r="D2732" t="s">
        <v>58</v>
      </c>
      <c r="E2732" t="s">
        <v>66</v>
      </c>
      <c r="F2732" s="1" t="s">
        <v>47</v>
      </c>
      <c r="G2732" s="2">
        <v>2.76</v>
      </c>
      <c r="H2732">
        <v>2.76</v>
      </c>
      <c r="I2732">
        <v>2.6645430000000001</v>
      </c>
      <c r="J2732">
        <v>3.9</v>
      </c>
      <c r="K2732">
        <v>14</v>
      </c>
      <c r="L2732" s="2">
        <v>14</v>
      </c>
      <c r="M2732">
        <v>306</v>
      </c>
      <c r="N2732" s="2">
        <v>1323</v>
      </c>
      <c r="O2732">
        <v>3525.19</v>
      </c>
      <c r="P2732">
        <v>36</v>
      </c>
      <c r="Q2732">
        <v>1287</v>
      </c>
      <c r="R2732">
        <v>17.54</v>
      </c>
      <c r="S2732">
        <v>0</v>
      </c>
      <c r="T2732">
        <v>203</v>
      </c>
      <c r="U2732" s="2">
        <v>791.7</v>
      </c>
      <c r="V2732">
        <v>0</v>
      </c>
      <c r="W2732" t="s">
        <v>29</v>
      </c>
      <c r="X2732" t="str">
        <f>IF(Table2[[#This Row],[Qty available]]&gt;Table2[[#This Row],[Qty on hand]],"Check","OK")</f>
        <v>OK</v>
      </c>
    </row>
    <row r="2733" spans="1:24" x14ac:dyDescent="0.3">
      <c r="A2733" t="s">
        <v>287</v>
      </c>
      <c r="B2733" t="s">
        <v>288</v>
      </c>
      <c r="C2733" t="s">
        <v>57</v>
      </c>
      <c r="D2733" t="s">
        <v>58</v>
      </c>
      <c r="E2733" t="s">
        <v>66</v>
      </c>
      <c r="F2733" s="1" t="s">
        <v>48</v>
      </c>
      <c r="G2733" s="2">
        <v>2.7</v>
      </c>
      <c r="H2733">
        <v>2.7</v>
      </c>
      <c r="I2733">
        <v>2.6645400000000001</v>
      </c>
      <c r="J2733">
        <v>3.9</v>
      </c>
      <c r="K2733">
        <v>14</v>
      </c>
      <c r="M2733">
        <v>0</v>
      </c>
      <c r="N2733" s="2">
        <v>1044</v>
      </c>
      <c r="O2733">
        <v>2781.78</v>
      </c>
      <c r="P2733">
        <v>121</v>
      </c>
      <c r="Q2733">
        <v>923</v>
      </c>
      <c r="R2733">
        <v>19.38</v>
      </c>
      <c r="S2733">
        <v>0</v>
      </c>
      <c r="T2733">
        <v>279</v>
      </c>
      <c r="U2733" s="2">
        <v>1088.0999999999999</v>
      </c>
      <c r="V2733">
        <v>0</v>
      </c>
      <c r="W2733" t="s">
        <v>29</v>
      </c>
      <c r="X2733" t="str">
        <f>IF(Table2[[#This Row],[Qty available]]&gt;Table2[[#This Row],[Qty on hand]],"Check","OK")</f>
        <v>OK</v>
      </c>
    </row>
    <row r="2734" spans="1:24" x14ac:dyDescent="0.3">
      <c r="A2734" t="s">
        <v>287</v>
      </c>
      <c r="B2734" t="s">
        <v>288</v>
      </c>
      <c r="C2734" t="s">
        <v>57</v>
      </c>
      <c r="D2734" t="s">
        <v>58</v>
      </c>
      <c r="E2734" t="s">
        <v>66</v>
      </c>
      <c r="F2734" s="1" t="s">
        <v>49</v>
      </c>
      <c r="G2734" s="2">
        <v>2.66</v>
      </c>
      <c r="H2734">
        <v>2.66</v>
      </c>
      <c r="I2734">
        <v>2.662903</v>
      </c>
      <c r="J2734">
        <v>3.9</v>
      </c>
      <c r="K2734">
        <v>14</v>
      </c>
      <c r="L2734" s="2">
        <v>13</v>
      </c>
      <c r="M2734">
        <v>587</v>
      </c>
      <c r="N2734" s="2">
        <v>1264</v>
      </c>
      <c r="O2734">
        <v>3365.91</v>
      </c>
      <c r="P2734">
        <v>121</v>
      </c>
      <c r="Q2734">
        <v>1143</v>
      </c>
      <c r="R2734">
        <v>19.57</v>
      </c>
      <c r="S2734">
        <v>2</v>
      </c>
      <c r="T2734">
        <v>367</v>
      </c>
      <c r="U2734" s="2">
        <v>1431.3</v>
      </c>
      <c r="V2734">
        <v>0</v>
      </c>
      <c r="W2734" t="s">
        <v>29</v>
      </c>
      <c r="X2734" t="str">
        <f>IF(Table2[[#This Row],[Qty available]]&gt;Table2[[#This Row],[Qty on hand]],"Check","OK")</f>
        <v>OK</v>
      </c>
    </row>
    <row r="2735" spans="1:24" x14ac:dyDescent="0.3">
      <c r="A2735" t="s">
        <v>287</v>
      </c>
      <c r="B2735" t="s">
        <v>288</v>
      </c>
      <c r="C2735" t="s">
        <v>57</v>
      </c>
      <c r="D2735" t="s">
        <v>58</v>
      </c>
      <c r="E2735" t="s">
        <v>66</v>
      </c>
      <c r="F2735" s="1" t="s">
        <v>50</v>
      </c>
      <c r="G2735" s="2">
        <v>2.66</v>
      </c>
      <c r="H2735">
        <v>2.66</v>
      </c>
      <c r="I2735">
        <v>2.662547</v>
      </c>
      <c r="J2735">
        <v>3.9</v>
      </c>
      <c r="K2735">
        <v>14</v>
      </c>
      <c r="L2735" s="2">
        <v>17</v>
      </c>
      <c r="M2735">
        <v>177</v>
      </c>
      <c r="N2735" s="2">
        <v>962</v>
      </c>
      <c r="O2735">
        <v>2561.37</v>
      </c>
      <c r="P2735">
        <v>109</v>
      </c>
      <c r="Q2735">
        <v>853</v>
      </c>
      <c r="R2735">
        <v>11.12</v>
      </c>
      <c r="S2735">
        <v>1</v>
      </c>
      <c r="T2735">
        <v>479</v>
      </c>
      <c r="U2735" s="2">
        <v>1868.1</v>
      </c>
      <c r="V2735">
        <v>0</v>
      </c>
      <c r="W2735" t="s">
        <v>29</v>
      </c>
      <c r="X2735" t="str">
        <f>IF(Table2[[#This Row],[Qty available]]&gt;Table2[[#This Row],[Qty on hand]],"Check","OK")</f>
        <v>OK</v>
      </c>
    </row>
    <row r="2736" spans="1:24" x14ac:dyDescent="0.3">
      <c r="A2736" t="s">
        <v>287</v>
      </c>
      <c r="B2736" t="s">
        <v>288</v>
      </c>
      <c r="C2736" t="s">
        <v>57</v>
      </c>
      <c r="D2736" t="s">
        <v>58</v>
      </c>
      <c r="E2736" t="s">
        <v>66</v>
      </c>
      <c r="F2736" s="1" t="s">
        <v>51</v>
      </c>
      <c r="G2736" s="2">
        <v>2.74</v>
      </c>
      <c r="H2736">
        <v>2.74</v>
      </c>
      <c r="I2736">
        <v>2.6955969999999998</v>
      </c>
      <c r="J2736">
        <v>3.9</v>
      </c>
      <c r="K2736">
        <v>14</v>
      </c>
      <c r="L2736" s="2">
        <v>12</v>
      </c>
      <c r="M2736">
        <v>716</v>
      </c>
      <c r="N2736" s="2">
        <v>1599</v>
      </c>
      <c r="O2736">
        <v>4310.26</v>
      </c>
      <c r="P2736">
        <v>48</v>
      </c>
      <c r="Q2736">
        <v>1551</v>
      </c>
      <c r="R2736">
        <v>22.72</v>
      </c>
      <c r="S2736">
        <v>6</v>
      </c>
      <c r="T2736">
        <v>79</v>
      </c>
      <c r="U2736" s="2">
        <v>308.10000000000002</v>
      </c>
      <c r="V2736">
        <v>0</v>
      </c>
      <c r="W2736" t="s">
        <v>29</v>
      </c>
      <c r="X2736" t="str">
        <f>IF(Table2[[#This Row],[Qty available]]&gt;Table2[[#This Row],[Qty on hand]],"Check","OK")</f>
        <v>OK</v>
      </c>
    </row>
    <row r="2737" spans="1:24" x14ac:dyDescent="0.3">
      <c r="A2737" t="s">
        <v>287</v>
      </c>
      <c r="B2737" t="s">
        <v>288</v>
      </c>
      <c r="C2737" t="s">
        <v>57</v>
      </c>
      <c r="D2737" t="s">
        <v>58</v>
      </c>
      <c r="E2737" t="s">
        <v>66</v>
      </c>
      <c r="F2737" s="1" t="s">
        <v>52</v>
      </c>
      <c r="G2737" s="2">
        <v>2.72</v>
      </c>
      <c r="H2737">
        <v>2.72</v>
      </c>
      <c r="I2737">
        <v>2.6955939999999998</v>
      </c>
      <c r="J2737">
        <v>3.9</v>
      </c>
      <c r="K2737">
        <v>14</v>
      </c>
      <c r="M2737">
        <v>0</v>
      </c>
      <c r="N2737" s="2">
        <v>1321</v>
      </c>
      <c r="O2737">
        <v>3560.88</v>
      </c>
      <c r="P2737">
        <v>85</v>
      </c>
      <c r="Q2737">
        <v>1236</v>
      </c>
      <c r="R2737">
        <v>20.77</v>
      </c>
      <c r="S2737">
        <v>0</v>
      </c>
      <c r="T2737">
        <v>278</v>
      </c>
      <c r="U2737" s="2">
        <v>1084.2</v>
      </c>
      <c r="V2737">
        <v>0</v>
      </c>
      <c r="W2737" t="s">
        <v>29</v>
      </c>
      <c r="X2737" t="str">
        <f>IF(Table2[[#This Row],[Qty available]]&gt;Table2[[#This Row],[Qty on hand]],"Check","OK")</f>
        <v>OK</v>
      </c>
    </row>
    <row r="2738" spans="1:24" x14ac:dyDescent="0.3">
      <c r="A2738" t="s">
        <v>289</v>
      </c>
      <c r="B2738" t="s">
        <v>290</v>
      </c>
      <c r="C2738" t="s">
        <v>25</v>
      </c>
      <c r="D2738" t="s">
        <v>26</v>
      </c>
      <c r="E2738" t="s">
        <v>66</v>
      </c>
      <c r="F2738" s="1" t="s">
        <v>28</v>
      </c>
      <c r="G2738" s="2">
        <v>357.35</v>
      </c>
      <c r="H2738">
        <v>390.54</v>
      </c>
      <c r="I2738">
        <v>384.83876199999997</v>
      </c>
      <c r="J2738">
        <v>504.22</v>
      </c>
      <c r="K2738">
        <v>45</v>
      </c>
      <c r="L2738" s="2">
        <v>40</v>
      </c>
      <c r="M2738">
        <v>58</v>
      </c>
      <c r="N2738" s="2">
        <v>105</v>
      </c>
      <c r="O2738">
        <v>40408.07</v>
      </c>
      <c r="P2738">
        <v>13</v>
      </c>
      <c r="Q2738">
        <v>92</v>
      </c>
      <c r="R2738">
        <v>20.29</v>
      </c>
      <c r="S2738">
        <v>9</v>
      </c>
      <c r="T2738">
        <v>46</v>
      </c>
      <c r="U2738" s="2">
        <v>23194.12</v>
      </c>
      <c r="V2738">
        <v>0</v>
      </c>
      <c r="W2738" t="s">
        <v>29</v>
      </c>
      <c r="X2738" t="str">
        <f>IF(Table2[[#This Row],[Qty available]]&gt;Table2[[#This Row],[Qty on hand]],"Check","OK")</f>
        <v>OK</v>
      </c>
    </row>
    <row r="2739" spans="1:24" x14ac:dyDescent="0.3">
      <c r="A2739" t="s">
        <v>289</v>
      </c>
      <c r="B2739" t="s">
        <v>290</v>
      </c>
      <c r="C2739" t="s">
        <v>25</v>
      </c>
      <c r="D2739" t="s">
        <v>26</v>
      </c>
      <c r="E2739" t="s">
        <v>66</v>
      </c>
      <c r="F2739" s="1" t="s">
        <v>30</v>
      </c>
      <c r="G2739" s="2">
        <v>347.04</v>
      </c>
      <c r="H2739">
        <v>379.27</v>
      </c>
      <c r="I2739">
        <v>382.81374099999999</v>
      </c>
      <c r="J2739">
        <v>504.22</v>
      </c>
      <c r="K2739">
        <v>45</v>
      </c>
      <c r="L2739" s="2">
        <v>43</v>
      </c>
      <c r="M2739">
        <v>60</v>
      </c>
      <c r="N2739" s="2">
        <v>147</v>
      </c>
      <c r="O2739">
        <v>56273.62</v>
      </c>
      <c r="P2739">
        <v>4</v>
      </c>
      <c r="Q2739">
        <v>143</v>
      </c>
      <c r="R2739">
        <v>28.41</v>
      </c>
      <c r="S2739">
        <v>9</v>
      </c>
      <c r="T2739">
        <v>18</v>
      </c>
      <c r="U2739" s="2">
        <v>9075.9599999999991</v>
      </c>
      <c r="V2739">
        <v>0</v>
      </c>
      <c r="W2739" t="s">
        <v>29</v>
      </c>
      <c r="X2739" t="str">
        <f>IF(Table2[[#This Row],[Qty available]]&gt;Table2[[#This Row],[Qty on hand]],"Check","OK")</f>
        <v>OK</v>
      </c>
    </row>
    <row r="2740" spans="1:24" x14ac:dyDescent="0.3">
      <c r="A2740" t="s">
        <v>289</v>
      </c>
      <c r="B2740" t="s">
        <v>290</v>
      </c>
      <c r="C2740" t="s">
        <v>25</v>
      </c>
      <c r="D2740" t="s">
        <v>26</v>
      </c>
      <c r="E2740" t="s">
        <v>66</v>
      </c>
      <c r="F2740" s="1" t="s">
        <v>31</v>
      </c>
      <c r="G2740" s="2">
        <v>351.93</v>
      </c>
      <c r="H2740">
        <v>384.61</v>
      </c>
      <c r="I2740">
        <v>382.81373500000001</v>
      </c>
      <c r="J2740">
        <v>504.22</v>
      </c>
      <c r="K2740">
        <v>45</v>
      </c>
      <c r="M2740">
        <v>0</v>
      </c>
      <c r="N2740" s="2">
        <v>83</v>
      </c>
      <c r="O2740">
        <v>31773.54</v>
      </c>
      <c r="P2740">
        <v>10</v>
      </c>
      <c r="Q2740">
        <v>73</v>
      </c>
      <c r="R2740">
        <v>8.43</v>
      </c>
      <c r="S2740">
        <v>4</v>
      </c>
      <c r="T2740">
        <v>64</v>
      </c>
      <c r="U2740" s="2">
        <v>32270.080000000002</v>
      </c>
      <c r="V2740">
        <v>0</v>
      </c>
      <c r="W2740" t="s">
        <v>29</v>
      </c>
      <c r="X2740" t="str">
        <f>IF(Table2[[#This Row],[Qty available]]&gt;Table2[[#This Row],[Qty on hand]],"Check","OK")</f>
        <v>OK</v>
      </c>
    </row>
    <row r="2741" spans="1:24" x14ac:dyDescent="0.3">
      <c r="A2741" t="s">
        <v>289</v>
      </c>
      <c r="B2741" t="s">
        <v>290</v>
      </c>
      <c r="C2741" t="s">
        <v>25</v>
      </c>
      <c r="D2741" t="s">
        <v>26</v>
      </c>
      <c r="E2741" t="s">
        <v>66</v>
      </c>
      <c r="F2741" s="1" t="s">
        <v>32</v>
      </c>
      <c r="G2741" s="2">
        <v>353.45</v>
      </c>
      <c r="H2741">
        <v>386.27</v>
      </c>
      <c r="I2741">
        <v>382.81388900000002</v>
      </c>
      <c r="J2741">
        <v>504.22</v>
      </c>
      <c r="K2741">
        <v>45</v>
      </c>
      <c r="M2741">
        <v>0</v>
      </c>
      <c r="N2741" s="2">
        <v>18</v>
      </c>
      <c r="O2741">
        <v>6890.65</v>
      </c>
      <c r="P2741">
        <v>7</v>
      </c>
      <c r="Q2741">
        <v>11</v>
      </c>
      <c r="R2741">
        <v>1.61</v>
      </c>
      <c r="S2741">
        <v>11</v>
      </c>
      <c r="T2741">
        <v>65</v>
      </c>
      <c r="U2741" s="2">
        <v>32774.300000000003</v>
      </c>
      <c r="V2741">
        <v>0</v>
      </c>
      <c r="W2741" t="s">
        <v>29</v>
      </c>
      <c r="X2741" t="str">
        <f>IF(Table2[[#This Row],[Qty available]]&gt;Table2[[#This Row],[Qty on hand]],"Check","OK")</f>
        <v>OK</v>
      </c>
    </row>
    <row r="2742" spans="1:24" x14ac:dyDescent="0.3">
      <c r="A2742" t="s">
        <v>289</v>
      </c>
      <c r="B2742" t="s">
        <v>290</v>
      </c>
      <c r="C2742" t="s">
        <v>25</v>
      </c>
      <c r="D2742" t="s">
        <v>26</v>
      </c>
      <c r="E2742" t="s">
        <v>66</v>
      </c>
      <c r="F2742" s="1" t="s">
        <v>33</v>
      </c>
      <c r="G2742" s="2">
        <v>353.01</v>
      </c>
      <c r="H2742">
        <v>385.79</v>
      </c>
      <c r="I2742">
        <v>384.965778</v>
      </c>
      <c r="J2742">
        <v>504.22</v>
      </c>
      <c r="K2742">
        <v>45</v>
      </c>
      <c r="L2742" s="2">
        <v>43</v>
      </c>
      <c r="M2742">
        <v>47</v>
      </c>
      <c r="N2742" s="2">
        <v>45</v>
      </c>
      <c r="O2742">
        <v>17323.46</v>
      </c>
      <c r="P2742">
        <v>8</v>
      </c>
      <c r="Q2742">
        <v>37</v>
      </c>
      <c r="R2742">
        <v>3.97</v>
      </c>
      <c r="S2742">
        <v>8</v>
      </c>
      <c r="T2742">
        <v>20</v>
      </c>
      <c r="U2742" s="2">
        <v>10084.4</v>
      </c>
      <c r="V2742">
        <v>0</v>
      </c>
      <c r="W2742" t="s">
        <v>29</v>
      </c>
      <c r="X2742" t="str">
        <f>IF(Table2[[#This Row],[Qty available]]&gt;Table2[[#This Row],[Qty on hand]],"Check","OK")</f>
        <v>OK</v>
      </c>
    </row>
    <row r="2743" spans="1:24" x14ac:dyDescent="0.3">
      <c r="A2743" t="s">
        <v>289</v>
      </c>
      <c r="B2743" t="s">
        <v>290</v>
      </c>
      <c r="C2743" t="s">
        <v>25</v>
      </c>
      <c r="D2743" t="s">
        <v>26</v>
      </c>
      <c r="E2743" t="s">
        <v>66</v>
      </c>
      <c r="F2743" s="1" t="s">
        <v>34</v>
      </c>
      <c r="G2743" s="2">
        <v>355.18</v>
      </c>
      <c r="H2743">
        <v>388.17</v>
      </c>
      <c r="I2743">
        <v>386.54979600000001</v>
      </c>
      <c r="J2743">
        <v>534.37</v>
      </c>
      <c r="K2743">
        <v>45</v>
      </c>
      <c r="L2743" s="2">
        <v>43</v>
      </c>
      <c r="M2743">
        <v>44</v>
      </c>
      <c r="N2743" s="2">
        <v>49</v>
      </c>
      <c r="O2743">
        <v>18940.939999999999</v>
      </c>
      <c r="P2743">
        <v>3</v>
      </c>
      <c r="Q2743">
        <v>46</v>
      </c>
      <c r="R2743">
        <v>5.04</v>
      </c>
      <c r="S2743">
        <v>5</v>
      </c>
      <c r="T2743">
        <v>40</v>
      </c>
      <c r="U2743" s="2">
        <v>21374.799999999999</v>
      </c>
      <c r="V2743">
        <v>0</v>
      </c>
      <c r="W2743" t="s">
        <v>29</v>
      </c>
      <c r="X2743" t="str">
        <f>IF(Table2[[#This Row],[Qty available]]&gt;Table2[[#This Row],[Qty on hand]],"Check","OK")</f>
        <v>OK</v>
      </c>
    </row>
    <row r="2744" spans="1:24" x14ac:dyDescent="0.3">
      <c r="A2744" t="s">
        <v>289</v>
      </c>
      <c r="B2744" t="s">
        <v>290</v>
      </c>
      <c r="C2744" t="s">
        <v>25</v>
      </c>
      <c r="D2744" t="s">
        <v>26</v>
      </c>
      <c r="E2744" t="s">
        <v>66</v>
      </c>
      <c r="F2744" s="1" t="s">
        <v>35</v>
      </c>
      <c r="G2744" s="2">
        <v>356.6</v>
      </c>
      <c r="H2744">
        <v>389.72</v>
      </c>
      <c r="I2744">
        <v>388.06757599999997</v>
      </c>
      <c r="J2744">
        <v>534.37</v>
      </c>
      <c r="K2744">
        <v>45</v>
      </c>
      <c r="L2744" s="2">
        <v>45</v>
      </c>
      <c r="M2744">
        <v>45</v>
      </c>
      <c r="N2744" s="2">
        <v>33</v>
      </c>
      <c r="O2744">
        <v>12806.23</v>
      </c>
      <c r="P2744">
        <v>4</v>
      </c>
      <c r="Q2744">
        <v>29</v>
      </c>
      <c r="R2744">
        <v>3.51</v>
      </c>
      <c r="S2744">
        <v>1</v>
      </c>
      <c r="T2744">
        <v>61</v>
      </c>
      <c r="U2744" s="2">
        <v>32596.57</v>
      </c>
      <c r="V2744">
        <v>0</v>
      </c>
      <c r="W2744" t="s">
        <v>29</v>
      </c>
      <c r="X2744" t="str">
        <f>IF(Table2[[#This Row],[Qty available]]&gt;Table2[[#This Row],[Qty on hand]],"Check","OK")</f>
        <v>OK</v>
      </c>
    </row>
    <row r="2745" spans="1:24" x14ac:dyDescent="0.3">
      <c r="A2745" t="s">
        <v>289</v>
      </c>
      <c r="B2745" t="s">
        <v>290</v>
      </c>
      <c r="C2745" t="s">
        <v>25</v>
      </c>
      <c r="D2745" t="s">
        <v>26</v>
      </c>
      <c r="E2745" t="s">
        <v>66</v>
      </c>
      <c r="F2745" s="1" t="s">
        <v>36</v>
      </c>
      <c r="G2745" s="2">
        <v>366.25</v>
      </c>
      <c r="H2745">
        <v>400.26</v>
      </c>
      <c r="I2745">
        <v>388.06757599999997</v>
      </c>
      <c r="J2745">
        <v>534.37</v>
      </c>
      <c r="K2745">
        <v>45</v>
      </c>
      <c r="M2745">
        <v>0</v>
      </c>
      <c r="N2745" s="2">
        <v>0</v>
      </c>
      <c r="O2745">
        <v>0</v>
      </c>
      <c r="P2745">
        <v>0</v>
      </c>
      <c r="Q2745">
        <v>0</v>
      </c>
      <c r="R2745">
        <v>0</v>
      </c>
      <c r="S2745">
        <v>4</v>
      </c>
      <c r="T2745">
        <v>33</v>
      </c>
      <c r="U2745" s="2">
        <v>17634.21</v>
      </c>
      <c r="V2745">
        <v>20</v>
      </c>
      <c r="W2745" t="s">
        <v>59</v>
      </c>
      <c r="X2745" t="str">
        <f>IF(Table2[[#This Row],[Qty available]]&gt;Table2[[#This Row],[Qty on hand]],"Check","OK")</f>
        <v>OK</v>
      </c>
    </row>
    <row r="2746" spans="1:24" x14ac:dyDescent="0.3">
      <c r="A2746" t="s">
        <v>289</v>
      </c>
      <c r="B2746" t="s">
        <v>290</v>
      </c>
      <c r="C2746" t="s">
        <v>25</v>
      </c>
      <c r="D2746" t="s">
        <v>26</v>
      </c>
      <c r="E2746" t="s">
        <v>66</v>
      </c>
      <c r="F2746" s="1" t="s">
        <v>37</v>
      </c>
      <c r="G2746" s="2">
        <v>357.71</v>
      </c>
      <c r="H2746">
        <v>390.93</v>
      </c>
      <c r="I2746">
        <v>390.93</v>
      </c>
      <c r="J2746">
        <v>534.37</v>
      </c>
      <c r="K2746">
        <v>45</v>
      </c>
      <c r="L2746" s="2">
        <v>42</v>
      </c>
      <c r="M2746">
        <v>193</v>
      </c>
      <c r="N2746" s="2">
        <v>150</v>
      </c>
      <c r="O2746">
        <v>58639.5</v>
      </c>
      <c r="P2746">
        <v>10</v>
      </c>
      <c r="Q2746">
        <v>140</v>
      </c>
      <c r="R2746">
        <v>14.39</v>
      </c>
      <c r="S2746">
        <v>0</v>
      </c>
      <c r="T2746">
        <v>43</v>
      </c>
      <c r="U2746" s="2">
        <v>22977.91</v>
      </c>
      <c r="V2746">
        <v>0</v>
      </c>
      <c r="W2746" t="s">
        <v>29</v>
      </c>
      <c r="X2746" t="str">
        <f>IF(Table2[[#This Row],[Qty available]]&gt;Table2[[#This Row],[Qty on hand]],"Check","OK")</f>
        <v>OK</v>
      </c>
    </row>
    <row r="2747" spans="1:24" x14ac:dyDescent="0.3">
      <c r="A2747" t="s">
        <v>289</v>
      </c>
      <c r="B2747" t="s">
        <v>290</v>
      </c>
      <c r="C2747" t="s">
        <v>25</v>
      </c>
      <c r="D2747" t="s">
        <v>26</v>
      </c>
      <c r="E2747" t="s">
        <v>66</v>
      </c>
      <c r="F2747" s="1" t="s">
        <v>38</v>
      </c>
      <c r="G2747" s="2">
        <v>358.27</v>
      </c>
      <c r="H2747">
        <v>391.54</v>
      </c>
      <c r="I2747">
        <v>390.93</v>
      </c>
      <c r="J2747">
        <v>534.37</v>
      </c>
      <c r="K2747">
        <v>45</v>
      </c>
      <c r="M2747">
        <v>0</v>
      </c>
      <c r="N2747" s="2">
        <v>90</v>
      </c>
      <c r="O2747">
        <v>35183.699999999997</v>
      </c>
      <c r="P2747">
        <v>7</v>
      </c>
      <c r="Q2747">
        <v>83</v>
      </c>
      <c r="R2747">
        <v>8.6</v>
      </c>
      <c r="S2747">
        <v>2</v>
      </c>
      <c r="T2747">
        <v>60</v>
      </c>
      <c r="U2747" s="2">
        <v>32062.2</v>
      </c>
      <c r="V2747">
        <v>0</v>
      </c>
      <c r="W2747" t="s">
        <v>29</v>
      </c>
      <c r="X2747" t="str">
        <f>IF(Table2[[#This Row],[Qty available]]&gt;Table2[[#This Row],[Qty on hand]],"Check","OK")</f>
        <v>OK</v>
      </c>
    </row>
    <row r="2748" spans="1:24" x14ac:dyDescent="0.3">
      <c r="A2748" t="s">
        <v>289</v>
      </c>
      <c r="B2748" t="s">
        <v>290</v>
      </c>
      <c r="C2748" t="s">
        <v>25</v>
      </c>
      <c r="D2748" t="s">
        <v>26</v>
      </c>
      <c r="E2748" t="s">
        <v>66</v>
      </c>
      <c r="F2748" s="1" t="s">
        <v>39</v>
      </c>
      <c r="G2748" s="2">
        <v>358.32</v>
      </c>
      <c r="H2748">
        <v>391.6</v>
      </c>
      <c r="I2748">
        <v>390.93</v>
      </c>
      <c r="J2748">
        <v>534.37</v>
      </c>
      <c r="K2748">
        <v>45</v>
      </c>
      <c r="M2748">
        <v>0</v>
      </c>
      <c r="N2748" s="2">
        <v>65</v>
      </c>
      <c r="O2748">
        <v>25410.45</v>
      </c>
      <c r="P2748">
        <v>12</v>
      </c>
      <c r="Q2748">
        <v>53</v>
      </c>
      <c r="R2748">
        <v>6.67</v>
      </c>
      <c r="S2748">
        <v>4</v>
      </c>
      <c r="T2748">
        <v>25</v>
      </c>
      <c r="U2748" s="2">
        <v>13359.25</v>
      </c>
      <c r="V2748">
        <v>0</v>
      </c>
      <c r="W2748" t="s">
        <v>29</v>
      </c>
      <c r="X2748" t="str">
        <f>IF(Table2[[#This Row],[Qty available]]&gt;Table2[[#This Row],[Qty on hand]],"Check","OK")</f>
        <v>OK</v>
      </c>
    </row>
    <row r="2749" spans="1:24" x14ac:dyDescent="0.3">
      <c r="A2749" t="s">
        <v>289</v>
      </c>
      <c r="B2749" t="s">
        <v>290</v>
      </c>
      <c r="C2749" t="s">
        <v>25</v>
      </c>
      <c r="D2749" t="s">
        <v>26</v>
      </c>
      <c r="E2749" t="s">
        <v>66</v>
      </c>
      <c r="F2749" s="1" t="s">
        <v>40</v>
      </c>
      <c r="G2749" s="2">
        <v>366.89</v>
      </c>
      <c r="H2749">
        <v>400.96</v>
      </c>
      <c r="I2749">
        <v>396.400893</v>
      </c>
      <c r="J2749">
        <v>534.37</v>
      </c>
      <c r="K2749">
        <v>45</v>
      </c>
      <c r="L2749" s="2">
        <v>52</v>
      </c>
      <c r="M2749">
        <v>78</v>
      </c>
      <c r="N2749" s="2">
        <v>112</v>
      </c>
      <c r="O2749">
        <v>44396.9</v>
      </c>
      <c r="P2749">
        <v>9</v>
      </c>
      <c r="Q2749">
        <v>103</v>
      </c>
      <c r="R2749">
        <v>12.69</v>
      </c>
      <c r="S2749">
        <v>22</v>
      </c>
      <c r="T2749">
        <v>31</v>
      </c>
      <c r="U2749" s="2">
        <v>16565.47</v>
      </c>
      <c r="V2749">
        <v>0</v>
      </c>
      <c r="W2749" t="s">
        <v>29</v>
      </c>
      <c r="X2749" t="str">
        <f>IF(Table2[[#This Row],[Qty available]]&gt;Table2[[#This Row],[Qty on hand]],"Check","OK")</f>
        <v>OK</v>
      </c>
    </row>
    <row r="2750" spans="1:24" x14ac:dyDescent="0.3">
      <c r="A2750" t="s">
        <v>289</v>
      </c>
      <c r="B2750" t="s">
        <v>290</v>
      </c>
      <c r="C2750" t="s">
        <v>25</v>
      </c>
      <c r="D2750" t="s">
        <v>26</v>
      </c>
      <c r="E2750" t="s">
        <v>66</v>
      </c>
      <c r="F2750" s="1" t="s">
        <v>41</v>
      </c>
      <c r="G2750" s="2">
        <v>364.12</v>
      </c>
      <c r="H2750">
        <v>397.94</v>
      </c>
      <c r="I2750">
        <v>396.40089599999999</v>
      </c>
      <c r="J2750">
        <v>534.37</v>
      </c>
      <c r="K2750">
        <v>45</v>
      </c>
      <c r="M2750">
        <v>0</v>
      </c>
      <c r="N2750" s="2">
        <v>67</v>
      </c>
      <c r="O2750">
        <v>26558.86</v>
      </c>
      <c r="P2750">
        <v>4</v>
      </c>
      <c r="Q2750">
        <v>63</v>
      </c>
      <c r="R2750">
        <v>8.7200000000000006</v>
      </c>
      <c r="S2750">
        <v>3</v>
      </c>
      <c r="T2750">
        <v>45</v>
      </c>
      <c r="U2750" s="2">
        <v>24046.65</v>
      </c>
      <c r="V2750">
        <v>0</v>
      </c>
      <c r="W2750" t="s">
        <v>29</v>
      </c>
      <c r="X2750" t="str">
        <f>IF(Table2[[#This Row],[Qty available]]&gt;Table2[[#This Row],[Qty on hand]],"Check","OK")</f>
        <v>OK</v>
      </c>
    </row>
    <row r="2751" spans="1:24" x14ac:dyDescent="0.3">
      <c r="A2751" t="s">
        <v>289</v>
      </c>
      <c r="B2751" t="s">
        <v>290</v>
      </c>
      <c r="C2751" t="s">
        <v>25</v>
      </c>
      <c r="D2751" t="s">
        <v>26</v>
      </c>
      <c r="E2751" t="s">
        <v>66</v>
      </c>
      <c r="F2751" s="1" t="s">
        <v>42</v>
      </c>
      <c r="G2751" s="2">
        <v>355.57</v>
      </c>
      <c r="H2751">
        <v>388.59</v>
      </c>
      <c r="I2751">
        <v>396.40088200000002</v>
      </c>
      <c r="J2751">
        <v>534.37</v>
      </c>
      <c r="K2751">
        <v>45</v>
      </c>
      <c r="M2751">
        <v>0</v>
      </c>
      <c r="N2751" s="2">
        <v>34</v>
      </c>
      <c r="O2751">
        <v>13477.63</v>
      </c>
      <c r="P2751">
        <v>3</v>
      </c>
      <c r="Q2751">
        <v>31</v>
      </c>
      <c r="R2751">
        <v>4.0999999999999996</v>
      </c>
      <c r="S2751">
        <v>2</v>
      </c>
      <c r="T2751">
        <v>33</v>
      </c>
      <c r="U2751" s="2">
        <v>17634.21</v>
      </c>
      <c r="V2751">
        <v>0</v>
      </c>
      <c r="W2751" t="s">
        <v>29</v>
      </c>
      <c r="X2751" t="str">
        <f>IF(Table2[[#This Row],[Qty available]]&gt;Table2[[#This Row],[Qty on hand]],"Check","OK")</f>
        <v>OK</v>
      </c>
    </row>
    <row r="2752" spans="1:24" x14ac:dyDescent="0.3">
      <c r="A2752" t="s">
        <v>289</v>
      </c>
      <c r="B2752" t="s">
        <v>290</v>
      </c>
      <c r="C2752" t="s">
        <v>25</v>
      </c>
      <c r="D2752" t="s">
        <v>26</v>
      </c>
      <c r="E2752" t="s">
        <v>66</v>
      </c>
      <c r="F2752" s="1" t="s">
        <v>43</v>
      </c>
      <c r="G2752" s="2">
        <v>363.99</v>
      </c>
      <c r="H2752">
        <v>397.79</v>
      </c>
      <c r="I2752">
        <v>397.53190799999999</v>
      </c>
      <c r="J2752">
        <v>534.37</v>
      </c>
      <c r="K2752">
        <v>45</v>
      </c>
      <c r="L2752" s="2">
        <v>43</v>
      </c>
      <c r="M2752">
        <v>149</v>
      </c>
      <c r="N2752" s="2">
        <v>131</v>
      </c>
      <c r="O2752">
        <v>52076.68</v>
      </c>
      <c r="P2752">
        <v>3</v>
      </c>
      <c r="Q2752">
        <v>128</v>
      </c>
      <c r="R2752">
        <v>13.1</v>
      </c>
      <c r="S2752">
        <v>3</v>
      </c>
      <c r="T2752">
        <v>52</v>
      </c>
      <c r="U2752" s="2">
        <v>27787.24</v>
      </c>
      <c r="V2752">
        <v>0</v>
      </c>
      <c r="W2752" t="s">
        <v>29</v>
      </c>
      <c r="X2752" t="str">
        <f>IF(Table2[[#This Row],[Qty available]]&gt;Table2[[#This Row],[Qty on hand]],"Check","OK")</f>
        <v>OK</v>
      </c>
    </row>
    <row r="2753" spans="1:24" x14ac:dyDescent="0.3">
      <c r="A2753" t="s">
        <v>289</v>
      </c>
      <c r="B2753" t="s">
        <v>290</v>
      </c>
      <c r="C2753" t="s">
        <v>25</v>
      </c>
      <c r="D2753" t="s">
        <v>26</v>
      </c>
      <c r="E2753" t="s">
        <v>66</v>
      </c>
      <c r="F2753" s="1" t="s">
        <v>44</v>
      </c>
      <c r="G2753" s="2">
        <v>366.6</v>
      </c>
      <c r="H2753">
        <v>400.65</v>
      </c>
      <c r="I2753">
        <v>397.53197399999999</v>
      </c>
      <c r="J2753">
        <v>534.37</v>
      </c>
      <c r="K2753">
        <v>45</v>
      </c>
      <c r="M2753">
        <v>0</v>
      </c>
      <c r="N2753" s="2">
        <v>76</v>
      </c>
      <c r="O2753">
        <v>30212.43</v>
      </c>
      <c r="P2753">
        <v>13</v>
      </c>
      <c r="Q2753">
        <v>63</v>
      </c>
      <c r="R2753">
        <v>7.13</v>
      </c>
      <c r="S2753">
        <v>4</v>
      </c>
      <c r="T2753">
        <v>55</v>
      </c>
      <c r="U2753" s="2">
        <v>29390.35</v>
      </c>
      <c r="V2753">
        <v>0</v>
      </c>
      <c r="W2753" t="s">
        <v>29</v>
      </c>
      <c r="X2753" t="str">
        <f>IF(Table2[[#This Row],[Qty available]]&gt;Table2[[#This Row],[Qty on hand]],"Check","OK")</f>
        <v>OK</v>
      </c>
    </row>
    <row r="2754" spans="1:24" x14ac:dyDescent="0.3">
      <c r="A2754" t="s">
        <v>289</v>
      </c>
      <c r="B2754" t="s">
        <v>290</v>
      </c>
      <c r="C2754" t="s">
        <v>25</v>
      </c>
      <c r="D2754" t="s">
        <v>26</v>
      </c>
      <c r="E2754" t="s">
        <v>66</v>
      </c>
      <c r="F2754" s="1" t="s">
        <v>45</v>
      </c>
      <c r="G2754" s="2">
        <v>356.77</v>
      </c>
      <c r="H2754">
        <v>389.9</v>
      </c>
      <c r="I2754">
        <v>394.943692</v>
      </c>
      <c r="J2754">
        <v>534.37</v>
      </c>
      <c r="K2754">
        <v>45</v>
      </c>
      <c r="L2754" s="2">
        <v>39</v>
      </c>
      <c r="M2754">
        <v>39</v>
      </c>
      <c r="N2754" s="2">
        <v>65</v>
      </c>
      <c r="O2754">
        <v>25671.34</v>
      </c>
      <c r="P2754">
        <v>12</v>
      </c>
      <c r="Q2754">
        <v>53</v>
      </c>
      <c r="R2754">
        <v>5.44</v>
      </c>
      <c r="S2754">
        <v>7</v>
      </c>
      <c r="T2754">
        <v>50</v>
      </c>
      <c r="U2754" s="2">
        <v>26718.5</v>
      </c>
      <c r="V2754">
        <v>0</v>
      </c>
      <c r="W2754" t="s">
        <v>29</v>
      </c>
      <c r="X2754" t="str">
        <f>IF(Table2[[#This Row],[Qty available]]&gt;Table2[[#This Row],[Qty on hand]],"Check","OK")</f>
        <v>OK</v>
      </c>
    </row>
    <row r="2755" spans="1:24" x14ac:dyDescent="0.3">
      <c r="A2755" t="s">
        <v>289</v>
      </c>
      <c r="B2755" t="s">
        <v>290</v>
      </c>
      <c r="C2755" t="s">
        <v>25</v>
      </c>
      <c r="D2755" t="s">
        <v>26</v>
      </c>
      <c r="E2755" t="s">
        <v>66</v>
      </c>
      <c r="F2755" s="1" t="s">
        <v>46</v>
      </c>
      <c r="G2755" s="2">
        <v>360.2</v>
      </c>
      <c r="H2755">
        <v>393.65</v>
      </c>
      <c r="I2755">
        <v>394.943714</v>
      </c>
      <c r="J2755">
        <v>566.32000000000005</v>
      </c>
      <c r="K2755">
        <v>45</v>
      </c>
      <c r="M2755">
        <v>0</v>
      </c>
      <c r="N2755" s="2">
        <v>35</v>
      </c>
      <c r="O2755">
        <v>13823.03</v>
      </c>
      <c r="P2755">
        <v>3</v>
      </c>
      <c r="Q2755">
        <v>32</v>
      </c>
      <c r="R2755">
        <v>3.33</v>
      </c>
      <c r="S2755">
        <v>4</v>
      </c>
      <c r="T2755">
        <v>30</v>
      </c>
      <c r="U2755" s="2">
        <v>16989.599999999999</v>
      </c>
      <c r="V2755">
        <v>0</v>
      </c>
      <c r="W2755" t="s">
        <v>29</v>
      </c>
      <c r="X2755" t="str">
        <f>IF(Table2[[#This Row],[Qty available]]&gt;Table2[[#This Row],[Qty on hand]],"Check","OK")</f>
        <v>OK</v>
      </c>
    </row>
    <row r="2756" spans="1:24" x14ac:dyDescent="0.3">
      <c r="A2756" t="s">
        <v>289</v>
      </c>
      <c r="B2756" t="s">
        <v>290</v>
      </c>
      <c r="C2756" t="s">
        <v>25</v>
      </c>
      <c r="D2756" t="s">
        <v>26</v>
      </c>
      <c r="E2756" t="s">
        <v>66</v>
      </c>
      <c r="F2756" s="1" t="s">
        <v>47</v>
      </c>
      <c r="G2756" s="2">
        <v>358.16</v>
      </c>
      <c r="H2756">
        <v>391.42</v>
      </c>
      <c r="I2756">
        <v>394.943714</v>
      </c>
      <c r="J2756">
        <v>566.32000000000005</v>
      </c>
      <c r="K2756">
        <v>45</v>
      </c>
      <c r="M2756">
        <v>0</v>
      </c>
      <c r="N2756" s="2">
        <v>0</v>
      </c>
      <c r="O2756">
        <v>0</v>
      </c>
      <c r="P2756">
        <v>0</v>
      </c>
      <c r="Q2756">
        <v>0</v>
      </c>
      <c r="R2756">
        <v>0</v>
      </c>
      <c r="S2756">
        <v>2</v>
      </c>
      <c r="T2756">
        <v>35</v>
      </c>
      <c r="U2756" s="2">
        <v>19821.2</v>
      </c>
      <c r="V2756">
        <v>10</v>
      </c>
      <c r="W2756" t="s">
        <v>59</v>
      </c>
      <c r="X2756" t="str">
        <f>IF(Table2[[#This Row],[Qty available]]&gt;Table2[[#This Row],[Qty on hand]],"Check","OK")</f>
        <v>OK</v>
      </c>
    </row>
    <row r="2757" spans="1:24" x14ac:dyDescent="0.3">
      <c r="A2757" t="s">
        <v>289</v>
      </c>
      <c r="B2757" t="s">
        <v>290</v>
      </c>
      <c r="C2757" t="s">
        <v>25</v>
      </c>
      <c r="D2757" t="s">
        <v>26</v>
      </c>
      <c r="E2757" t="s">
        <v>66</v>
      </c>
      <c r="F2757" s="1" t="s">
        <v>48</v>
      </c>
      <c r="G2757" s="2">
        <v>367.05</v>
      </c>
      <c r="H2757">
        <v>401.14</v>
      </c>
      <c r="I2757">
        <v>401.14</v>
      </c>
      <c r="J2757">
        <v>566.32000000000005</v>
      </c>
      <c r="K2757">
        <v>45</v>
      </c>
      <c r="L2757" s="2">
        <v>53</v>
      </c>
      <c r="M2757">
        <v>132</v>
      </c>
      <c r="N2757" s="2">
        <v>73</v>
      </c>
      <c r="O2757">
        <v>29283.22</v>
      </c>
      <c r="P2757">
        <v>10</v>
      </c>
      <c r="Q2757">
        <v>63</v>
      </c>
      <c r="R2757">
        <v>7.49</v>
      </c>
      <c r="S2757">
        <v>3</v>
      </c>
      <c r="T2757">
        <v>59</v>
      </c>
      <c r="U2757" s="2">
        <v>33412.879999999997</v>
      </c>
      <c r="V2757">
        <v>0</v>
      </c>
      <c r="W2757" t="s">
        <v>29</v>
      </c>
      <c r="X2757" t="str">
        <f>IF(Table2[[#This Row],[Qty available]]&gt;Table2[[#This Row],[Qty on hand]],"Check","OK")</f>
        <v>OK</v>
      </c>
    </row>
    <row r="2758" spans="1:24" x14ac:dyDescent="0.3">
      <c r="A2758" t="s">
        <v>289</v>
      </c>
      <c r="B2758" t="s">
        <v>290</v>
      </c>
      <c r="C2758" t="s">
        <v>25</v>
      </c>
      <c r="D2758" t="s">
        <v>26</v>
      </c>
      <c r="E2758" t="s">
        <v>66</v>
      </c>
      <c r="F2758" s="1" t="s">
        <v>49</v>
      </c>
      <c r="G2758" s="2">
        <v>373.36</v>
      </c>
      <c r="H2758">
        <v>408.03</v>
      </c>
      <c r="I2758">
        <v>401.14</v>
      </c>
      <c r="J2758">
        <v>566.32000000000005</v>
      </c>
      <c r="K2758">
        <v>45</v>
      </c>
      <c r="M2758">
        <v>0</v>
      </c>
      <c r="N2758" s="2">
        <v>49</v>
      </c>
      <c r="O2758">
        <v>19655.86</v>
      </c>
      <c r="P2758">
        <v>10</v>
      </c>
      <c r="Q2758">
        <v>39</v>
      </c>
      <c r="R2758">
        <v>5.46</v>
      </c>
      <c r="S2758">
        <v>4</v>
      </c>
      <c r="T2758">
        <v>24</v>
      </c>
      <c r="U2758" s="2">
        <v>13591.68</v>
      </c>
      <c r="V2758">
        <v>0</v>
      </c>
      <c r="W2758" t="s">
        <v>29</v>
      </c>
      <c r="X2758" t="str">
        <f>IF(Table2[[#This Row],[Qty available]]&gt;Table2[[#This Row],[Qty on hand]],"Check","OK")</f>
        <v>OK</v>
      </c>
    </row>
    <row r="2759" spans="1:24" x14ac:dyDescent="0.3">
      <c r="A2759" t="s">
        <v>289</v>
      </c>
      <c r="B2759" t="s">
        <v>290</v>
      </c>
      <c r="C2759" t="s">
        <v>25</v>
      </c>
      <c r="D2759" t="s">
        <v>26</v>
      </c>
      <c r="E2759" t="s">
        <v>66</v>
      </c>
      <c r="F2759" s="1" t="s">
        <v>50</v>
      </c>
      <c r="G2759" s="2">
        <v>372.89</v>
      </c>
      <c r="H2759">
        <v>407.52</v>
      </c>
      <c r="I2759">
        <v>405.25459799999999</v>
      </c>
      <c r="J2759">
        <v>566.32000000000005</v>
      </c>
      <c r="K2759">
        <v>45</v>
      </c>
      <c r="L2759" s="2">
        <v>41</v>
      </c>
      <c r="M2759">
        <v>89</v>
      </c>
      <c r="N2759" s="2">
        <v>87</v>
      </c>
      <c r="O2759">
        <v>35257.15</v>
      </c>
      <c r="P2759">
        <v>8</v>
      </c>
      <c r="Q2759">
        <v>79</v>
      </c>
      <c r="R2759">
        <v>8.44</v>
      </c>
      <c r="S2759">
        <v>2</v>
      </c>
      <c r="T2759">
        <v>51</v>
      </c>
      <c r="U2759" s="2">
        <v>28882.32</v>
      </c>
      <c r="V2759">
        <v>0</v>
      </c>
      <c r="W2759" t="s">
        <v>29</v>
      </c>
      <c r="X2759" t="str">
        <f>IF(Table2[[#This Row],[Qty available]]&gt;Table2[[#This Row],[Qty on hand]],"Check","OK")</f>
        <v>OK</v>
      </c>
    </row>
    <row r="2760" spans="1:24" x14ac:dyDescent="0.3">
      <c r="A2760" t="s">
        <v>289</v>
      </c>
      <c r="B2760" t="s">
        <v>290</v>
      </c>
      <c r="C2760" t="s">
        <v>25</v>
      </c>
      <c r="D2760" t="s">
        <v>26</v>
      </c>
      <c r="E2760" t="s">
        <v>66</v>
      </c>
      <c r="F2760" s="1" t="s">
        <v>51</v>
      </c>
      <c r="G2760" s="2">
        <v>367.93</v>
      </c>
      <c r="H2760">
        <v>402.1</v>
      </c>
      <c r="I2760">
        <v>405.25456500000001</v>
      </c>
      <c r="J2760">
        <v>566.32000000000005</v>
      </c>
      <c r="K2760">
        <v>45</v>
      </c>
      <c r="M2760">
        <v>0</v>
      </c>
      <c r="N2760" s="2">
        <v>46</v>
      </c>
      <c r="O2760">
        <v>18641.71</v>
      </c>
      <c r="P2760">
        <v>13</v>
      </c>
      <c r="Q2760">
        <v>33</v>
      </c>
      <c r="R2760">
        <v>5.21</v>
      </c>
      <c r="S2760">
        <v>5</v>
      </c>
      <c r="T2760">
        <v>41</v>
      </c>
      <c r="U2760" s="2">
        <v>23219.119999999999</v>
      </c>
      <c r="V2760">
        <v>0</v>
      </c>
      <c r="W2760" t="s">
        <v>29</v>
      </c>
      <c r="X2760" t="str">
        <f>IF(Table2[[#This Row],[Qty available]]&gt;Table2[[#This Row],[Qty on hand]],"Check","OK")</f>
        <v>OK</v>
      </c>
    </row>
    <row r="2761" spans="1:24" x14ac:dyDescent="0.3">
      <c r="A2761" t="s">
        <v>289</v>
      </c>
      <c r="B2761" t="s">
        <v>290</v>
      </c>
      <c r="C2761" t="s">
        <v>25</v>
      </c>
      <c r="D2761" t="s">
        <v>26</v>
      </c>
      <c r="E2761" t="s">
        <v>66</v>
      </c>
      <c r="F2761" s="1" t="s">
        <v>52</v>
      </c>
      <c r="G2761" s="2">
        <v>379.02</v>
      </c>
      <c r="H2761">
        <v>414.22</v>
      </c>
      <c r="I2761">
        <v>410.01178599999997</v>
      </c>
      <c r="J2761">
        <v>566.32000000000005</v>
      </c>
      <c r="K2761">
        <v>45</v>
      </c>
      <c r="L2761" s="2">
        <v>44</v>
      </c>
      <c r="M2761">
        <v>52</v>
      </c>
      <c r="N2761" s="2">
        <v>56</v>
      </c>
      <c r="O2761">
        <v>22960.66</v>
      </c>
      <c r="P2761">
        <v>3</v>
      </c>
      <c r="Q2761">
        <v>53</v>
      </c>
      <c r="R2761">
        <v>5.49</v>
      </c>
      <c r="S2761">
        <v>0</v>
      </c>
      <c r="T2761">
        <v>42</v>
      </c>
      <c r="U2761" s="2">
        <v>23785.439999999999</v>
      </c>
      <c r="V2761">
        <v>0</v>
      </c>
      <c r="W2761" t="s">
        <v>29</v>
      </c>
      <c r="X2761" t="str">
        <f>IF(Table2[[#This Row],[Qty available]]&gt;Table2[[#This Row],[Qty on hand]],"Check","OK")</f>
        <v>OK</v>
      </c>
    </row>
    <row r="2762" spans="1:24" x14ac:dyDescent="0.3">
      <c r="A2762" t="s">
        <v>291</v>
      </c>
      <c r="B2762" t="s">
        <v>292</v>
      </c>
      <c r="C2762" t="s">
        <v>77</v>
      </c>
      <c r="D2762" t="s">
        <v>78</v>
      </c>
      <c r="E2762" t="s">
        <v>66</v>
      </c>
      <c r="F2762" s="1" t="s">
        <v>28</v>
      </c>
      <c r="G2762" s="2">
        <v>79.739999999999995</v>
      </c>
      <c r="H2762">
        <v>87.55</v>
      </c>
      <c r="I2762">
        <v>86.962174000000005</v>
      </c>
      <c r="J2762">
        <v>120.8</v>
      </c>
      <c r="K2762">
        <v>17</v>
      </c>
      <c r="L2762" s="2">
        <v>14</v>
      </c>
      <c r="M2762">
        <v>31</v>
      </c>
      <c r="N2762" s="2">
        <v>23</v>
      </c>
      <c r="O2762">
        <v>2000.13</v>
      </c>
      <c r="P2762">
        <v>6</v>
      </c>
      <c r="Q2762">
        <v>17</v>
      </c>
      <c r="R2762">
        <v>5.21</v>
      </c>
      <c r="S2762">
        <v>3</v>
      </c>
      <c r="T2762">
        <v>28</v>
      </c>
      <c r="U2762" s="2">
        <v>3382.4</v>
      </c>
      <c r="V2762">
        <v>0</v>
      </c>
      <c r="W2762" t="s">
        <v>29</v>
      </c>
      <c r="X2762" t="str">
        <f>IF(Table2[[#This Row],[Qty available]]&gt;Table2[[#This Row],[Qty on hand]],"Check","OK")</f>
        <v>OK</v>
      </c>
    </row>
    <row r="2763" spans="1:24" x14ac:dyDescent="0.3">
      <c r="A2763" t="s">
        <v>291</v>
      </c>
      <c r="B2763" t="s">
        <v>292</v>
      </c>
      <c r="C2763" t="s">
        <v>77</v>
      </c>
      <c r="D2763" t="s">
        <v>78</v>
      </c>
      <c r="E2763" t="s">
        <v>66</v>
      </c>
      <c r="F2763" s="1" t="s">
        <v>30</v>
      </c>
      <c r="G2763" s="2">
        <v>78.67</v>
      </c>
      <c r="H2763">
        <v>86.38</v>
      </c>
      <c r="I2763">
        <v>86.798570999999995</v>
      </c>
      <c r="J2763">
        <v>120.8</v>
      </c>
      <c r="K2763">
        <v>17</v>
      </c>
      <c r="L2763" s="2">
        <v>16</v>
      </c>
      <c r="M2763">
        <v>9</v>
      </c>
      <c r="N2763" s="2">
        <v>21</v>
      </c>
      <c r="O2763">
        <v>1822.77</v>
      </c>
      <c r="P2763">
        <v>4</v>
      </c>
      <c r="Q2763">
        <v>17</v>
      </c>
      <c r="R2763">
        <v>5.52</v>
      </c>
      <c r="S2763">
        <v>2</v>
      </c>
      <c r="T2763">
        <v>11</v>
      </c>
      <c r="U2763" s="2">
        <v>1328.8</v>
      </c>
      <c r="V2763">
        <v>0</v>
      </c>
      <c r="W2763" t="s">
        <v>29</v>
      </c>
      <c r="X2763" t="str">
        <f>IF(Table2[[#This Row],[Qty available]]&gt;Table2[[#This Row],[Qty on hand]],"Check","OK")</f>
        <v>OK</v>
      </c>
    </row>
    <row r="2764" spans="1:24" x14ac:dyDescent="0.3">
      <c r="A2764" t="s">
        <v>291</v>
      </c>
      <c r="B2764" t="s">
        <v>292</v>
      </c>
      <c r="C2764" t="s">
        <v>77</v>
      </c>
      <c r="D2764" t="s">
        <v>78</v>
      </c>
      <c r="E2764" t="s">
        <v>66</v>
      </c>
      <c r="F2764" s="1" t="s">
        <v>31</v>
      </c>
      <c r="G2764" s="2">
        <v>78.88</v>
      </c>
      <c r="H2764">
        <v>86.61</v>
      </c>
      <c r="I2764">
        <v>86.73</v>
      </c>
      <c r="J2764">
        <v>120.8</v>
      </c>
      <c r="K2764">
        <v>17</v>
      </c>
      <c r="L2764" s="2">
        <v>27</v>
      </c>
      <c r="M2764">
        <v>12</v>
      </c>
      <c r="N2764" s="2">
        <v>15</v>
      </c>
      <c r="O2764">
        <v>1300.95</v>
      </c>
      <c r="P2764">
        <v>4</v>
      </c>
      <c r="Q2764">
        <v>11</v>
      </c>
      <c r="R2764">
        <v>3.42</v>
      </c>
      <c r="S2764">
        <v>3</v>
      </c>
      <c r="T2764">
        <v>18</v>
      </c>
      <c r="U2764" s="2">
        <v>2174.4</v>
      </c>
      <c r="V2764">
        <v>0</v>
      </c>
      <c r="W2764" t="s">
        <v>29</v>
      </c>
      <c r="X2764" t="str">
        <f>IF(Table2[[#This Row],[Qty available]]&gt;Table2[[#This Row],[Qty on hand]],"Check","OK")</f>
        <v>OK</v>
      </c>
    </row>
    <row r="2765" spans="1:24" x14ac:dyDescent="0.3">
      <c r="A2765" t="s">
        <v>291</v>
      </c>
      <c r="B2765" t="s">
        <v>292</v>
      </c>
      <c r="C2765" t="s">
        <v>77</v>
      </c>
      <c r="D2765" t="s">
        <v>78</v>
      </c>
      <c r="E2765" t="s">
        <v>66</v>
      </c>
      <c r="F2765" s="1" t="s">
        <v>32</v>
      </c>
      <c r="G2765" s="2">
        <v>79.03</v>
      </c>
      <c r="H2765">
        <v>86.77</v>
      </c>
      <c r="I2765">
        <v>86.756</v>
      </c>
      <c r="J2765">
        <v>120.8</v>
      </c>
      <c r="K2765">
        <v>17</v>
      </c>
      <c r="L2765" s="2">
        <v>17</v>
      </c>
      <c r="M2765">
        <v>27</v>
      </c>
      <c r="N2765" s="2">
        <v>10</v>
      </c>
      <c r="O2765">
        <v>867.56</v>
      </c>
      <c r="P2765">
        <v>4</v>
      </c>
      <c r="Q2765">
        <v>6</v>
      </c>
      <c r="R2765">
        <v>2.15</v>
      </c>
      <c r="S2765">
        <v>8</v>
      </c>
      <c r="T2765">
        <v>32</v>
      </c>
      <c r="U2765" s="2">
        <v>3865.6</v>
      </c>
      <c r="V2765">
        <v>0</v>
      </c>
      <c r="W2765" t="s">
        <v>29</v>
      </c>
      <c r="X2765" t="str">
        <f>IF(Table2[[#This Row],[Qty available]]&gt;Table2[[#This Row],[Qty on hand]],"Check","OK")</f>
        <v>OK</v>
      </c>
    </row>
    <row r="2766" spans="1:24" x14ac:dyDescent="0.3">
      <c r="A2766" t="s">
        <v>291</v>
      </c>
      <c r="B2766" t="s">
        <v>292</v>
      </c>
      <c r="C2766" t="s">
        <v>77</v>
      </c>
      <c r="D2766" t="s">
        <v>78</v>
      </c>
      <c r="E2766" t="s">
        <v>66</v>
      </c>
      <c r="F2766" s="1" t="s">
        <v>33</v>
      </c>
      <c r="G2766" s="2">
        <v>77.86</v>
      </c>
      <c r="H2766">
        <v>85.49</v>
      </c>
      <c r="I2766">
        <v>85.777777999999998</v>
      </c>
      <c r="J2766">
        <v>120.8</v>
      </c>
      <c r="K2766">
        <v>17</v>
      </c>
      <c r="L2766" s="2">
        <v>30</v>
      </c>
      <c r="M2766">
        <v>34</v>
      </c>
      <c r="N2766" s="2">
        <v>18</v>
      </c>
      <c r="O2766">
        <v>1544</v>
      </c>
      <c r="P2766">
        <v>1</v>
      </c>
      <c r="Q2766">
        <v>17</v>
      </c>
      <c r="R2766">
        <v>3.11</v>
      </c>
      <c r="S2766">
        <v>2</v>
      </c>
      <c r="T2766">
        <v>26</v>
      </c>
      <c r="U2766" s="2">
        <v>3140.8</v>
      </c>
      <c r="V2766">
        <v>0</v>
      </c>
      <c r="W2766" t="s">
        <v>29</v>
      </c>
      <c r="X2766" t="str">
        <f>IF(Table2[[#This Row],[Qty available]]&gt;Table2[[#This Row],[Qty on hand]],"Check","OK")</f>
        <v>OK</v>
      </c>
    </row>
    <row r="2767" spans="1:24" x14ac:dyDescent="0.3">
      <c r="A2767" t="s">
        <v>291</v>
      </c>
      <c r="B2767" t="s">
        <v>292</v>
      </c>
      <c r="C2767" t="s">
        <v>77</v>
      </c>
      <c r="D2767" t="s">
        <v>78</v>
      </c>
      <c r="E2767" t="s">
        <v>66</v>
      </c>
      <c r="F2767" s="1" t="s">
        <v>34</v>
      </c>
      <c r="G2767" s="2">
        <v>79.959999999999994</v>
      </c>
      <c r="H2767">
        <v>87.79</v>
      </c>
      <c r="I2767">
        <v>86.884500000000003</v>
      </c>
      <c r="J2767">
        <v>127.79</v>
      </c>
      <c r="K2767">
        <v>17</v>
      </c>
      <c r="L2767" s="2">
        <v>15</v>
      </c>
      <c r="M2767">
        <v>22</v>
      </c>
      <c r="N2767" s="2">
        <v>20</v>
      </c>
      <c r="O2767">
        <v>1737.69</v>
      </c>
      <c r="P2767">
        <v>1</v>
      </c>
      <c r="Q2767">
        <v>19</v>
      </c>
      <c r="R2767">
        <v>3.3</v>
      </c>
      <c r="S2767">
        <v>6</v>
      </c>
      <c r="T2767">
        <v>20</v>
      </c>
      <c r="U2767" s="2">
        <v>2555.8000000000002</v>
      </c>
      <c r="V2767">
        <v>0</v>
      </c>
      <c r="W2767" t="s">
        <v>29</v>
      </c>
      <c r="X2767" t="str">
        <f>IF(Table2[[#This Row],[Qty available]]&gt;Table2[[#This Row],[Qty on hand]],"Check","OK")</f>
        <v>OK</v>
      </c>
    </row>
    <row r="2768" spans="1:24" x14ac:dyDescent="0.3">
      <c r="A2768" t="s">
        <v>291</v>
      </c>
      <c r="B2768" t="s">
        <v>292</v>
      </c>
      <c r="C2768" t="s">
        <v>77</v>
      </c>
      <c r="D2768" t="s">
        <v>78</v>
      </c>
      <c r="E2768" t="s">
        <v>66</v>
      </c>
      <c r="F2768" s="1" t="s">
        <v>35</v>
      </c>
      <c r="G2768" s="2">
        <v>83.06</v>
      </c>
      <c r="H2768">
        <v>91.2</v>
      </c>
      <c r="I2768">
        <v>89.144814999999994</v>
      </c>
      <c r="J2768">
        <v>127.79</v>
      </c>
      <c r="K2768">
        <v>17</v>
      </c>
      <c r="L2768" s="2">
        <v>16</v>
      </c>
      <c r="M2768">
        <v>22</v>
      </c>
      <c r="N2768" s="2">
        <v>27</v>
      </c>
      <c r="O2768">
        <v>2406.91</v>
      </c>
      <c r="P2768">
        <v>4</v>
      </c>
      <c r="Q2768">
        <v>23</v>
      </c>
      <c r="R2768">
        <v>5.69</v>
      </c>
      <c r="S2768">
        <v>7</v>
      </c>
      <c r="T2768">
        <v>15</v>
      </c>
      <c r="U2768" s="2">
        <v>1916.85</v>
      </c>
      <c r="V2768">
        <v>0</v>
      </c>
      <c r="W2768" t="s">
        <v>29</v>
      </c>
      <c r="X2768" t="str">
        <f>IF(Table2[[#This Row],[Qty available]]&gt;Table2[[#This Row],[Qty on hand]],"Check","OK")</f>
        <v>OK</v>
      </c>
    </row>
    <row r="2769" spans="1:24" x14ac:dyDescent="0.3">
      <c r="A2769" t="s">
        <v>291</v>
      </c>
      <c r="B2769" t="s">
        <v>292</v>
      </c>
      <c r="C2769" t="s">
        <v>77</v>
      </c>
      <c r="D2769" t="s">
        <v>78</v>
      </c>
      <c r="E2769" t="s">
        <v>66</v>
      </c>
      <c r="F2769" s="1" t="s">
        <v>36</v>
      </c>
      <c r="G2769" s="2">
        <v>83.26</v>
      </c>
      <c r="H2769">
        <v>91.42</v>
      </c>
      <c r="I2769">
        <v>89.664444000000003</v>
      </c>
      <c r="J2769">
        <v>127.79</v>
      </c>
      <c r="K2769">
        <v>17</v>
      </c>
      <c r="L2769" s="2">
        <v>15</v>
      </c>
      <c r="M2769">
        <v>8</v>
      </c>
      <c r="N2769" s="2">
        <v>9</v>
      </c>
      <c r="O2769">
        <v>806.98</v>
      </c>
      <c r="P2769">
        <v>1</v>
      </c>
      <c r="Q2769">
        <v>8</v>
      </c>
      <c r="R2769">
        <v>1.88</v>
      </c>
      <c r="S2769">
        <v>2</v>
      </c>
      <c r="T2769">
        <v>26</v>
      </c>
      <c r="U2769" s="2">
        <v>3322.54</v>
      </c>
      <c r="V2769">
        <v>0</v>
      </c>
      <c r="W2769" t="s">
        <v>29</v>
      </c>
      <c r="X2769" t="str">
        <f>IF(Table2[[#This Row],[Qty available]]&gt;Table2[[#This Row],[Qty on hand]],"Check","OK")</f>
        <v>OK</v>
      </c>
    </row>
    <row r="2770" spans="1:24" x14ac:dyDescent="0.3">
      <c r="A2770" t="s">
        <v>291</v>
      </c>
      <c r="B2770" t="s">
        <v>292</v>
      </c>
      <c r="C2770" t="s">
        <v>77</v>
      </c>
      <c r="D2770" t="s">
        <v>78</v>
      </c>
      <c r="E2770" t="s">
        <v>66</v>
      </c>
      <c r="F2770" s="1" t="s">
        <v>37</v>
      </c>
      <c r="G2770" s="2">
        <v>82.39</v>
      </c>
      <c r="H2770">
        <v>90.46</v>
      </c>
      <c r="I2770">
        <v>90.313783999999998</v>
      </c>
      <c r="J2770">
        <v>127.79</v>
      </c>
      <c r="K2770">
        <v>17</v>
      </c>
      <c r="L2770" s="2">
        <v>28</v>
      </c>
      <c r="M2770">
        <v>40</v>
      </c>
      <c r="N2770" s="2">
        <v>37</v>
      </c>
      <c r="O2770">
        <v>3341.61</v>
      </c>
      <c r="P2770">
        <v>5</v>
      </c>
      <c r="Q2770">
        <v>32</v>
      </c>
      <c r="R2770">
        <v>9.18</v>
      </c>
      <c r="S2770">
        <v>17</v>
      </c>
      <c r="T2770">
        <v>12</v>
      </c>
      <c r="U2770" s="2">
        <v>1533.48</v>
      </c>
      <c r="V2770">
        <v>0</v>
      </c>
      <c r="W2770" t="s">
        <v>29</v>
      </c>
      <c r="X2770" t="str">
        <f>IF(Table2[[#This Row],[Qty available]]&gt;Table2[[#This Row],[Qty on hand]],"Check","OK")</f>
        <v>OK</v>
      </c>
    </row>
    <row r="2771" spans="1:24" x14ac:dyDescent="0.3">
      <c r="A2771" t="s">
        <v>291</v>
      </c>
      <c r="B2771" t="s">
        <v>292</v>
      </c>
      <c r="C2771" t="s">
        <v>77</v>
      </c>
      <c r="D2771" t="s">
        <v>78</v>
      </c>
      <c r="E2771" t="s">
        <v>66</v>
      </c>
      <c r="F2771" s="1" t="s">
        <v>38</v>
      </c>
      <c r="G2771" s="2">
        <v>81.89</v>
      </c>
      <c r="H2771">
        <v>89.91</v>
      </c>
      <c r="I2771">
        <v>90.249655000000004</v>
      </c>
      <c r="J2771">
        <v>127.79</v>
      </c>
      <c r="K2771">
        <v>17</v>
      </c>
      <c r="L2771" s="2">
        <v>22</v>
      </c>
      <c r="M2771">
        <v>7</v>
      </c>
      <c r="N2771" s="2">
        <v>29</v>
      </c>
      <c r="O2771">
        <v>2617.2399999999998</v>
      </c>
      <c r="P2771">
        <v>3</v>
      </c>
      <c r="Q2771">
        <v>26</v>
      </c>
      <c r="R2771">
        <v>7.11</v>
      </c>
      <c r="S2771">
        <v>3</v>
      </c>
      <c r="T2771">
        <v>15</v>
      </c>
      <c r="U2771" s="2">
        <v>1916.85</v>
      </c>
      <c r="V2771">
        <v>0</v>
      </c>
      <c r="W2771" t="s">
        <v>29</v>
      </c>
      <c r="X2771" t="str">
        <f>IF(Table2[[#This Row],[Qty available]]&gt;Table2[[#This Row],[Qty on hand]],"Check","OK")</f>
        <v>OK</v>
      </c>
    </row>
    <row r="2772" spans="1:24" x14ac:dyDescent="0.3">
      <c r="A2772" t="s">
        <v>291</v>
      </c>
      <c r="B2772" t="s">
        <v>292</v>
      </c>
      <c r="C2772" t="s">
        <v>77</v>
      </c>
      <c r="D2772" t="s">
        <v>78</v>
      </c>
      <c r="E2772" t="s">
        <v>66</v>
      </c>
      <c r="F2772" s="1" t="s">
        <v>39</v>
      </c>
      <c r="G2772" s="2">
        <v>83.65</v>
      </c>
      <c r="H2772">
        <v>91.84</v>
      </c>
      <c r="I2772">
        <v>90.837352999999993</v>
      </c>
      <c r="J2772">
        <v>127.79</v>
      </c>
      <c r="K2772">
        <v>17</v>
      </c>
      <c r="L2772" s="2">
        <v>16</v>
      </c>
      <c r="M2772">
        <v>17</v>
      </c>
      <c r="N2772" s="2">
        <v>34</v>
      </c>
      <c r="O2772">
        <v>3088.47</v>
      </c>
      <c r="P2772">
        <v>2</v>
      </c>
      <c r="Q2772">
        <v>32</v>
      </c>
      <c r="R2772">
        <v>11.46</v>
      </c>
      <c r="S2772">
        <v>16</v>
      </c>
      <c r="T2772">
        <v>12</v>
      </c>
      <c r="U2772" s="2">
        <v>1533.48</v>
      </c>
      <c r="V2772">
        <v>0</v>
      </c>
      <c r="W2772" t="s">
        <v>29</v>
      </c>
      <c r="X2772" t="str">
        <f>IF(Table2[[#This Row],[Qty available]]&gt;Table2[[#This Row],[Qty on hand]],"Check","OK")</f>
        <v>OK</v>
      </c>
    </row>
    <row r="2773" spans="1:24" x14ac:dyDescent="0.3">
      <c r="A2773" t="s">
        <v>291</v>
      </c>
      <c r="B2773" t="s">
        <v>292</v>
      </c>
      <c r="C2773" t="s">
        <v>77</v>
      </c>
      <c r="D2773" t="s">
        <v>78</v>
      </c>
      <c r="E2773" t="s">
        <v>66</v>
      </c>
      <c r="F2773" s="1" t="s">
        <v>40</v>
      </c>
      <c r="G2773" s="2">
        <v>83.73</v>
      </c>
      <c r="H2773">
        <v>91.93</v>
      </c>
      <c r="I2773">
        <v>91.023809999999997</v>
      </c>
      <c r="J2773">
        <v>127.79</v>
      </c>
      <c r="K2773">
        <v>17</v>
      </c>
      <c r="L2773" s="2">
        <v>16</v>
      </c>
      <c r="M2773">
        <v>7</v>
      </c>
      <c r="N2773" s="2">
        <v>21</v>
      </c>
      <c r="O2773">
        <v>1911.5</v>
      </c>
      <c r="P2773">
        <v>5</v>
      </c>
      <c r="Q2773">
        <v>16</v>
      </c>
      <c r="R2773">
        <v>5.87</v>
      </c>
      <c r="S2773">
        <v>4</v>
      </c>
      <c r="T2773">
        <v>20</v>
      </c>
      <c r="U2773" s="2">
        <v>2555.8000000000002</v>
      </c>
      <c r="V2773">
        <v>0</v>
      </c>
      <c r="W2773" t="s">
        <v>29</v>
      </c>
      <c r="X2773" t="str">
        <f>IF(Table2[[#This Row],[Qty available]]&gt;Table2[[#This Row],[Qty on hand]],"Check","OK")</f>
        <v>OK</v>
      </c>
    </row>
    <row r="2774" spans="1:24" x14ac:dyDescent="0.3">
      <c r="A2774" t="s">
        <v>291</v>
      </c>
      <c r="B2774" t="s">
        <v>292</v>
      </c>
      <c r="C2774" t="s">
        <v>77</v>
      </c>
      <c r="D2774" t="s">
        <v>78</v>
      </c>
      <c r="E2774" t="s">
        <v>66</v>
      </c>
      <c r="F2774" s="1" t="s">
        <v>41</v>
      </c>
      <c r="G2774" s="2">
        <v>83.01</v>
      </c>
      <c r="H2774">
        <v>91.14</v>
      </c>
      <c r="I2774">
        <v>91.077500000000001</v>
      </c>
      <c r="J2774">
        <v>127.79</v>
      </c>
      <c r="K2774">
        <v>17</v>
      </c>
      <c r="L2774" s="2">
        <v>15</v>
      </c>
      <c r="M2774">
        <v>18</v>
      </c>
      <c r="N2774" s="2">
        <v>24</v>
      </c>
      <c r="O2774">
        <v>2185.86</v>
      </c>
      <c r="P2774">
        <v>4</v>
      </c>
      <c r="Q2774">
        <v>20</v>
      </c>
      <c r="R2774">
        <v>6.71</v>
      </c>
      <c r="S2774">
        <v>4</v>
      </c>
      <c r="T2774">
        <v>15</v>
      </c>
      <c r="U2774" s="2">
        <v>1916.85</v>
      </c>
      <c r="V2774">
        <v>0</v>
      </c>
      <c r="W2774" t="s">
        <v>29</v>
      </c>
      <c r="X2774" t="str">
        <f>IF(Table2[[#This Row],[Qty available]]&gt;Table2[[#This Row],[Qty on hand]],"Check","OK")</f>
        <v>OK</v>
      </c>
    </row>
    <row r="2775" spans="1:24" x14ac:dyDescent="0.3">
      <c r="A2775" t="s">
        <v>291</v>
      </c>
      <c r="B2775" t="s">
        <v>292</v>
      </c>
      <c r="C2775" t="s">
        <v>77</v>
      </c>
      <c r="D2775" t="s">
        <v>78</v>
      </c>
      <c r="E2775" t="s">
        <v>66</v>
      </c>
      <c r="F2775" s="1" t="s">
        <v>42</v>
      </c>
      <c r="G2775" s="2">
        <v>82.3</v>
      </c>
      <c r="H2775">
        <v>90.36</v>
      </c>
      <c r="I2775">
        <v>90.678824000000006</v>
      </c>
      <c r="J2775">
        <v>127.79</v>
      </c>
      <c r="K2775">
        <v>17</v>
      </c>
      <c r="L2775" s="2">
        <v>19</v>
      </c>
      <c r="M2775">
        <v>30</v>
      </c>
      <c r="N2775" s="2">
        <v>34</v>
      </c>
      <c r="O2775">
        <v>3083.08</v>
      </c>
      <c r="P2775">
        <v>3</v>
      </c>
      <c r="Q2775">
        <v>31</v>
      </c>
      <c r="R2775">
        <v>8.1199999999999992</v>
      </c>
      <c r="S2775">
        <v>5</v>
      </c>
      <c r="T2775">
        <v>20</v>
      </c>
      <c r="U2775" s="2">
        <v>2555.8000000000002</v>
      </c>
      <c r="V2775">
        <v>0</v>
      </c>
      <c r="W2775" t="s">
        <v>29</v>
      </c>
      <c r="X2775" t="str">
        <f>IF(Table2[[#This Row],[Qty available]]&gt;Table2[[#This Row],[Qty on hand]],"Check","OK")</f>
        <v>OK</v>
      </c>
    </row>
    <row r="2776" spans="1:24" x14ac:dyDescent="0.3">
      <c r="A2776" t="s">
        <v>291</v>
      </c>
      <c r="B2776" t="s">
        <v>292</v>
      </c>
      <c r="C2776" t="s">
        <v>77</v>
      </c>
      <c r="D2776" t="s">
        <v>78</v>
      </c>
      <c r="E2776" t="s">
        <v>66</v>
      </c>
      <c r="F2776" s="1" t="s">
        <v>43</v>
      </c>
      <c r="G2776" s="2">
        <v>82.95</v>
      </c>
      <c r="H2776">
        <v>91.08</v>
      </c>
      <c r="I2776">
        <v>90.678888999999998</v>
      </c>
      <c r="J2776">
        <v>127.79</v>
      </c>
      <c r="K2776">
        <v>17</v>
      </c>
      <c r="M2776">
        <v>0</v>
      </c>
      <c r="N2776" s="2">
        <v>18</v>
      </c>
      <c r="O2776">
        <v>1632.22</v>
      </c>
      <c r="P2776">
        <v>1</v>
      </c>
      <c r="Q2776">
        <v>17</v>
      </c>
      <c r="R2776">
        <v>4.59</v>
      </c>
      <c r="S2776">
        <v>6</v>
      </c>
      <c r="T2776">
        <v>16</v>
      </c>
      <c r="U2776" s="2">
        <v>2044.64</v>
      </c>
      <c r="V2776">
        <v>0</v>
      </c>
      <c r="W2776" t="s">
        <v>29</v>
      </c>
      <c r="X2776" t="str">
        <f>IF(Table2[[#This Row],[Qty available]]&gt;Table2[[#This Row],[Qty on hand]],"Check","OK")</f>
        <v>OK</v>
      </c>
    </row>
    <row r="2777" spans="1:24" x14ac:dyDescent="0.3">
      <c r="A2777" t="s">
        <v>291</v>
      </c>
      <c r="B2777" t="s">
        <v>292</v>
      </c>
      <c r="C2777" t="s">
        <v>77</v>
      </c>
      <c r="D2777" t="s">
        <v>78</v>
      </c>
      <c r="E2777" t="s">
        <v>66</v>
      </c>
      <c r="F2777" s="1" t="s">
        <v>44</v>
      </c>
      <c r="G2777" s="2">
        <v>83.18</v>
      </c>
      <c r="H2777">
        <v>91.33</v>
      </c>
      <c r="I2777">
        <v>91.112903000000003</v>
      </c>
      <c r="J2777">
        <v>127.79</v>
      </c>
      <c r="K2777">
        <v>17</v>
      </c>
      <c r="L2777" s="2">
        <v>20</v>
      </c>
      <c r="M2777">
        <v>36</v>
      </c>
      <c r="N2777" s="2">
        <v>31</v>
      </c>
      <c r="O2777">
        <v>2824.5</v>
      </c>
      <c r="P2777">
        <v>6</v>
      </c>
      <c r="Q2777">
        <v>25</v>
      </c>
      <c r="R2777">
        <v>6.91</v>
      </c>
      <c r="S2777">
        <v>2</v>
      </c>
      <c r="T2777">
        <v>23</v>
      </c>
      <c r="U2777" s="2">
        <v>2939.17</v>
      </c>
      <c r="V2777">
        <v>0</v>
      </c>
      <c r="W2777" t="s">
        <v>29</v>
      </c>
      <c r="X2777" t="str">
        <f>IF(Table2[[#This Row],[Qty available]]&gt;Table2[[#This Row],[Qty on hand]],"Check","OK")</f>
        <v>OK</v>
      </c>
    </row>
    <row r="2778" spans="1:24" x14ac:dyDescent="0.3">
      <c r="A2778" t="s">
        <v>291</v>
      </c>
      <c r="B2778" t="s">
        <v>292</v>
      </c>
      <c r="C2778" t="s">
        <v>77</v>
      </c>
      <c r="D2778" t="s">
        <v>78</v>
      </c>
      <c r="E2778" t="s">
        <v>66</v>
      </c>
      <c r="F2778" s="1" t="s">
        <v>45</v>
      </c>
      <c r="G2778" s="2">
        <v>81.47</v>
      </c>
      <c r="H2778">
        <v>89.45</v>
      </c>
      <c r="I2778">
        <v>91.012308000000004</v>
      </c>
      <c r="J2778">
        <v>127.79</v>
      </c>
      <c r="K2778">
        <v>17</v>
      </c>
      <c r="L2778" s="2">
        <v>17</v>
      </c>
      <c r="M2778">
        <v>2</v>
      </c>
      <c r="N2778" s="2">
        <v>13</v>
      </c>
      <c r="O2778">
        <v>1183.1600000000001</v>
      </c>
      <c r="P2778">
        <v>2</v>
      </c>
      <c r="Q2778">
        <v>11</v>
      </c>
      <c r="R2778">
        <v>2.9</v>
      </c>
      <c r="S2778">
        <v>3</v>
      </c>
      <c r="T2778">
        <v>20</v>
      </c>
      <c r="U2778" s="2">
        <v>2555.8000000000002</v>
      </c>
      <c r="V2778">
        <v>0</v>
      </c>
      <c r="W2778" t="s">
        <v>29</v>
      </c>
      <c r="X2778" t="str">
        <f>IF(Table2[[#This Row],[Qty available]]&gt;Table2[[#This Row],[Qty on hand]],"Check","OK")</f>
        <v>OK</v>
      </c>
    </row>
    <row r="2779" spans="1:24" x14ac:dyDescent="0.3">
      <c r="A2779" t="s">
        <v>291</v>
      </c>
      <c r="B2779" t="s">
        <v>292</v>
      </c>
      <c r="C2779" t="s">
        <v>77</v>
      </c>
      <c r="D2779" t="s">
        <v>78</v>
      </c>
      <c r="E2779" t="s">
        <v>66</v>
      </c>
      <c r="F2779" s="1" t="s">
        <v>46</v>
      </c>
      <c r="G2779" s="2">
        <v>83.98</v>
      </c>
      <c r="H2779">
        <v>92.21</v>
      </c>
      <c r="I2779">
        <v>91.871515000000002</v>
      </c>
      <c r="J2779">
        <v>135.19</v>
      </c>
      <c r="K2779">
        <v>17</v>
      </c>
      <c r="L2779" s="2">
        <v>17</v>
      </c>
      <c r="M2779">
        <v>33</v>
      </c>
      <c r="N2779" s="2">
        <v>33</v>
      </c>
      <c r="O2779">
        <v>3031.76</v>
      </c>
      <c r="P2779">
        <v>4</v>
      </c>
      <c r="Q2779">
        <v>29</v>
      </c>
      <c r="R2779">
        <v>7.58</v>
      </c>
      <c r="S2779">
        <v>3</v>
      </c>
      <c r="T2779">
        <v>13</v>
      </c>
      <c r="U2779" s="2">
        <v>1757.47</v>
      </c>
      <c r="V2779">
        <v>0</v>
      </c>
      <c r="W2779" t="s">
        <v>29</v>
      </c>
      <c r="X2779" t="str">
        <f>IF(Table2[[#This Row],[Qty available]]&gt;Table2[[#This Row],[Qty on hand]],"Check","OK")</f>
        <v>OK</v>
      </c>
    </row>
    <row r="2780" spans="1:24" x14ac:dyDescent="0.3">
      <c r="A2780" t="s">
        <v>291</v>
      </c>
      <c r="B2780" t="s">
        <v>292</v>
      </c>
      <c r="C2780" t="s">
        <v>77</v>
      </c>
      <c r="D2780" t="s">
        <v>78</v>
      </c>
      <c r="E2780" t="s">
        <v>66</v>
      </c>
      <c r="F2780" s="1" t="s">
        <v>47</v>
      </c>
      <c r="G2780" s="2">
        <v>88.61</v>
      </c>
      <c r="H2780">
        <v>97.29</v>
      </c>
      <c r="I2780">
        <v>91.871250000000003</v>
      </c>
      <c r="J2780">
        <v>135.19</v>
      </c>
      <c r="K2780">
        <v>17</v>
      </c>
      <c r="M2780">
        <v>0</v>
      </c>
      <c r="N2780" s="2">
        <v>16</v>
      </c>
      <c r="O2780">
        <v>1469.94</v>
      </c>
      <c r="P2780">
        <v>2</v>
      </c>
      <c r="Q2780">
        <v>14</v>
      </c>
      <c r="R2780">
        <v>4.1100000000000003</v>
      </c>
      <c r="S2780">
        <v>1</v>
      </c>
      <c r="T2780">
        <v>17</v>
      </c>
      <c r="U2780" s="2">
        <v>2298.23</v>
      </c>
      <c r="V2780">
        <v>0</v>
      </c>
      <c r="W2780" t="s">
        <v>29</v>
      </c>
      <c r="X2780" t="str">
        <f>IF(Table2[[#This Row],[Qty available]]&gt;Table2[[#This Row],[Qty on hand]],"Check","OK")</f>
        <v>OK</v>
      </c>
    </row>
    <row r="2781" spans="1:24" x14ac:dyDescent="0.3">
      <c r="A2781" t="s">
        <v>291</v>
      </c>
      <c r="B2781" t="s">
        <v>292</v>
      </c>
      <c r="C2781" t="s">
        <v>77</v>
      </c>
      <c r="D2781" t="s">
        <v>78</v>
      </c>
      <c r="E2781" t="s">
        <v>66</v>
      </c>
      <c r="F2781" s="1" t="s">
        <v>48</v>
      </c>
      <c r="G2781" s="2">
        <v>87.36</v>
      </c>
      <c r="H2781">
        <v>95.92</v>
      </c>
      <c r="I2781">
        <v>93.520555999999999</v>
      </c>
      <c r="J2781">
        <v>135.19</v>
      </c>
      <c r="K2781">
        <v>17</v>
      </c>
      <c r="L2781" s="2">
        <v>17</v>
      </c>
      <c r="M2781">
        <v>11</v>
      </c>
      <c r="N2781" s="2">
        <v>18</v>
      </c>
      <c r="O2781">
        <v>1683.37</v>
      </c>
      <c r="P2781">
        <v>1</v>
      </c>
      <c r="Q2781">
        <v>17</v>
      </c>
      <c r="R2781">
        <v>5.87</v>
      </c>
      <c r="S2781">
        <v>5</v>
      </c>
      <c r="T2781">
        <v>9</v>
      </c>
      <c r="U2781" s="2">
        <v>1216.71</v>
      </c>
      <c r="V2781">
        <v>0</v>
      </c>
      <c r="W2781" t="s">
        <v>29</v>
      </c>
      <c r="X2781" t="str">
        <f>IF(Table2[[#This Row],[Qty available]]&gt;Table2[[#This Row],[Qty on hand]],"Check","OK")</f>
        <v>OK</v>
      </c>
    </row>
    <row r="2782" spans="1:24" x14ac:dyDescent="0.3">
      <c r="A2782" t="s">
        <v>291</v>
      </c>
      <c r="B2782" t="s">
        <v>292</v>
      </c>
      <c r="C2782" t="s">
        <v>77</v>
      </c>
      <c r="D2782" t="s">
        <v>78</v>
      </c>
      <c r="E2782" t="s">
        <v>66</v>
      </c>
      <c r="F2782" s="1" t="s">
        <v>49</v>
      </c>
      <c r="G2782" s="2">
        <v>89.23</v>
      </c>
      <c r="H2782">
        <v>97.97</v>
      </c>
      <c r="I2782">
        <v>95.300332999999995</v>
      </c>
      <c r="J2782">
        <v>135.19</v>
      </c>
      <c r="K2782">
        <v>17</v>
      </c>
      <c r="L2782" s="2">
        <v>30</v>
      </c>
      <c r="M2782">
        <v>12</v>
      </c>
      <c r="N2782" s="2">
        <v>0</v>
      </c>
      <c r="O2782">
        <v>0</v>
      </c>
      <c r="P2782">
        <v>0</v>
      </c>
      <c r="Q2782">
        <v>0</v>
      </c>
      <c r="R2782">
        <v>0</v>
      </c>
      <c r="S2782">
        <v>4</v>
      </c>
      <c r="T2782">
        <v>30</v>
      </c>
      <c r="U2782" s="2">
        <v>4055.7</v>
      </c>
      <c r="V2782">
        <v>3</v>
      </c>
      <c r="W2782" t="s">
        <v>59</v>
      </c>
      <c r="X2782" t="str">
        <f>IF(Table2[[#This Row],[Qty available]]&gt;Table2[[#This Row],[Qty on hand]],"Check","OK")</f>
        <v>OK</v>
      </c>
    </row>
    <row r="2783" spans="1:24" x14ac:dyDescent="0.3">
      <c r="A2783" t="s">
        <v>291</v>
      </c>
      <c r="B2783" t="s">
        <v>292</v>
      </c>
      <c r="C2783" t="s">
        <v>77</v>
      </c>
      <c r="D2783" t="s">
        <v>78</v>
      </c>
      <c r="E2783" t="s">
        <v>66</v>
      </c>
      <c r="F2783" s="1" t="s">
        <v>50</v>
      </c>
      <c r="G2783" s="2">
        <v>89.16</v>
      </c>
      <c r="H2783">
        <v>97.89</v>
      </c>
      <c r="I2783">
        <v>97.89</v>
      </c>
      <c r="J2783">
        <v>135.19</v>
      </c>
      <c r="K2783">
        <v>17</v>
      </c>
      <c r="L2783" s="2">
        <v>24</v>
      </c>
      <c r="M2783">
        <v>42</v>
      </c>
      <c r="N2783" s="2">
        <v>19</v>
      </c>
      <c r="O2783">
        <v>1859.91</v>
      </c>
      <c r="P2783">
        <v>1</v>
      </c>
      <c r="Q2783">
        <v>18</v>
      </c>
      <c r="R2783">
        <v>3.98</v>
      </c>
      <c r="S2783">
        <v>10</v>
      </c>
      <c r="T2783">
        <v>23</v>
      </c>
      <c r="U2783" s="2">
        <v>3109.37</v>
      </c>
      <c r="V2783">
        <v>0</v>
      </c>
      <c r="W2783" t="s">
        <v>29</v>
      </c>
      <c r="X2783" t="str">
        <f>IF(Table2[[#This Row],[Qty available]]&gt;Table2[[#This Row],[Qty on hand]],"Check","OK")</f>
        <v>OK</v>
      </c>
    </row>
    <row r="2784" spans="1:24" x14ac:dyDescent="0.3">
      <c r="A2784" t="s">
        <v>291</v>
      </c>
      <c r="B2784" t="s">
        <v>292</v>
      </c>
      <c r="C2784" t="s">
        <v>77</v>
      </c>
      <c r="D2784" t="s">
        <v>78</v>
      </c>
      <c r="E2784" t="s">
        <v>66</v>
      </c>
      <c r="F2784" s="1" t="s">
        <v>51</v>
      </c>
      <c r="G2784" s="2">
        <v>89.4</v>
      </c>
      <c r="H2784">
        <v>98.16</v>
      </c>
      <c r="I2784">
        <v>98.045882000000006</v>
      </c>
      <c r="J2784">
        <v>135.19</v>
      </c>
      <c r="K2784">
        <v>17</v>
      </c>
      <c r="L2784" s="2">
        <v>16</v>
      </c>
      <c r="M2784">
        <v>26</v>
      </c>
      <c r="N2784" s="2">
        <v>34</v>
      </c>
      <c r="O2784">
        <v>3333.56</v>
      </c>
      <c r="P2784">
        <v>1</v>
      </c>
      <c r="Q2784">
        <v>33</v>
      </c>
      <c r="R2784">
        <v>6.98</v>
      </c>
      <c r="S2784">
        <v>4</v>
      </c>
      <c r="T2784">
        <v>11</v>
      </c>
      <c r="U2784" s="2">
        <v>1487.09</v>
      </c>
      <c r="V2784">
        <v>0</v>
      </c>
      <c r="W2784" t="s">
        <v>29</v>
      </c>
      <c r="X2784" t="str">
        <f>IF(Table2[[#This Row],[Qty available]]&gt;Table2[[#This Row],[Qty on hand]],"Check","OK")</f>
        <v>OK</v>
      </c>
    </row>
    <row r="2785" spans="1:24" x14ac:dyDescent="0.3">
      <c r="A2785" t="s">
        <v>291</v>
      </c>
      <c r="B2785" t="s">
        <v>292</v>
      </c>
      <c r="C2785" t="s">
        <v>77</v>
      </c>
      <c r="D2785" t="s">
        <v>78</v>
      </c>
      <c r="E2785" t="s">
        <v>66</v>
      </c>
      <c r="F2785" s="1" t="s">
        <v>52</v>
      </c>
      <c r="G2785" s="2">
        <v>88.46</v>
      </c>
      <c r="H2785">
        <v>97.13</v>
      </c>
      <c r="I2785">
        <v>97.889565000000005</v>
      </c>
      <c r="J2785">
        <v>135.19</v>
      </c>
      <c r="K2785">
        <v>17</v>
      </c>
      <c r="L2785" s="2">
        <v>17</v>
      </c>
      <c r="M2785">
        <v>7</v>
      </c>
      <c r="N2785" s="2">
        <v>23</v>
      </c>
      <c r="O2785">
        <v>2251.46</v>
      </c>
      <c r="P2785">
        <v>1</v>
      </c>
      <c r="Q2785">
        <v>22</v>
      </c>
      <c r="R2785">
        <v>5.81</v>
      </c>
      <c r="S2785">
        <v>4</v>
      </c>
      <c r="T2785">
        <v>18</v>
      </c>
      <c r="U2785" s="2">
        <v>2433.42</v>
      </c>
      <c r="V2785">
        <v>0</v>
      </c>
      <c r="W2785" t="s">
        <v>29</v>
      </c>
      <c r="X2785" t="str">
        <f>IF(Table2[[#This Row],[Qty available]]&gt;Table2[[#This Row],[Qty on hand]],"Check","OK")</f>
        <v>OK</v>
      </c>
    </row>
    <row r="2786" spans="1:24" x14ac:dyDescent="0.3">
      <c r="A2786" t="s">
        <v>293</v>
      </c>
      <c r="B2786" t="s">
        <v>294</v>
      </c>
      <c r="C2786" t="s">
        <v>57</v>
      </c>
      <c r="D2786" t="s">
        <v>58</v>
      </c>
      <c r="E2786" t="s">
        <v>66</v>
      </c>
      <c r="F2786" s="1" t="s">
        <v>28</v>
      </c>
      <c r="G2786" s="2">
        <v>294.35000000000002</v>
      </c>
      <c r="H2786">
        <v>294.35000000000002</v>
      </c>
      <c r="I2786">
        <v>293.778571</v>
      </c>
      <c r="J2786">
        <v>417.09</v>
      </c>
      <c r="K2786">
        <v>55</v>
      </c>
      <c r="L2786" s="2">
        <v>48</v>
      </c>
      <c r="M2786">
        <v>6</v>
      </c>
      <c r="N2786" s="2">
        <v>7</v>
      </c>
      <c r="O2786">
        <v>2056.4499999999998</v>
      </c>
      <c r="P2786">
        <v>1</v>
      </c>
      <c r="Q2786">
        <v>6</v>
      </c>
      <c r="R2786">
        <v>7.08</v>
      </c>
      <c r="S2786">
        <v>16</v>
      </c>
      <c r="T2786">
        <v>5</v>
      </c>
      <c r="U2786" s="2">
        <v>2085.4499999999998</v>
      </c>
      <c r="V2786">
        <v>0</v>
      </c>
      <c r="W2786" t="s">
        <v>29</v>
      </c>
      <c r="X2786" t="str">
        <f>IF(Table2[[#This Row],[Qty available]]&gt;Table2[[#This Row],[Qty on hand]],"Check","OK")</f>
        <v>OK</v>
      </c>
    </row>
    <row r="2787" spans="1:24" x14ac:dyDescent="0.3">
      <c r="A2787" t="s">
        <v>293</v>
      </c>
      <c r="B2787" t="s">
        <v>294</v>
      </c>
      <c r="C2787" t="s">
        <v>57</v>
      </c>
      <c r="D2787" t="s">
        <v>58</v>
      </c>
      <c r="E2787" t="s">
        <v>66</v>
      </c>
      <c r="F2787" s="1" t="s">
        <v>30</v>
      </c>
      <c r="G2787" s="2">
        <v>288.08</v>
      </c>
      <c r="H2787">
        <v>288.08</v>
      </c>
      <c r="I2787">
        <v>293.77800000000002</v>
      </c>
      <c r="J2787">
        <v>417.09</v>
      </c>
      <c r="K2787">
        <v>55</v>
      </c>
      <c r="M2787">
        <v>0</v>
      </c>
      <c r="N2787" s="2">
        <v>5</v>
      </c>
      <c r="O2787">
        <v>1468.89</v>
      </c>
      <c r="P2787">
        <v>1</v>
      </c>
      <c r="Q2787">
        <v>4</v>
      </c>
      <c r="R2787">
        <v>5.48</v>
      </c>
      <c r="S2787">
        <v>13</v>
      </c>
      <c r="T2787">
        <v>2</v>
      </c>
      <c r="U2787" s="2">
        <v>834.18</v>
      </c>
      <c r="V2787">
        <v>0</v>
      </c>
      <c r="W2787" t="s">
        <v>29</v>
      </c>
      <c r="X2787" t="str">
        <f>IF(Table2[[#This Row],[Qty available]]&gt;Table2[[#This Row],[Qty on hand]],"Check","OK")</f>
        <v>OK</v>
      </c>
    </row>
    <row r="2788" spans="1:24" x14ac:dyDescent="0.3">
      <c r="A2788" t="s">
        <v>293</v>
      </c>
      <c r="B2788" t="s">
        <v>294</v>
      </c>
      <c r="C2788" t="s">
        <v>57</v>
      </c>
      <c r="D2788" t="s">
        <v>58</v>
      </c>
      <c r="E2788" t="s">
        <v>66</v>
      </c>
      <c r="F2788" s="1" t="s">
        <v>31</v>
      </c>
      <c r="G2788" s="2">
        <v>288.77</v>
      </c>
      <c r="H2788">
        <v>288.77</v>
      </c>
      <c r="I2788">
        <v>293.77999999999997</v>
      </c>
      <c r="J2788">
        <v>417.09</v>
      </c>
      <c r="K2788">
        <v>55</v>
      </c>
      <c r="M2788">
        <v>0</v>
      </c>
      <c r="N2788" s="2">
        <v>2</v>
      </c>
      <c r="O2788">
        <v>587.55999999999995</v>
      </c>
      <c r="P2788">
        <v>1</v>
      </c>
      <c r="Q2788">
        <v>1</v>
      </c>
      <c r="R2788">
        <v>2.6</v>
      </c>
      <c r="S2788">
        <v>8</v>
      </c>
      <c r="T2788">
        <v>3</v>
      </c>
      <c r="U2788" s="2">
        <v>1251.27</v>
      </c>
      <c r="V2788">
        <v>0</v>
      </c>
      <c r="W2788" t="s">
        <v>29</v>
      </c>
      <c r="X2788" t="str">
        <f>IF(Table2[[#This Row],[Qty available]]&gt;Table2[[#This Row],[Qty on hand]],"Check","OK")</f>
        <v>OK</v>
      </c>
    </row>
    <row r="2789" spans="1:24" x14ac:dyDescent="0.3">
      <c r="A2789" t="s">
        <v>293</v>
      </c>
      <c r="B2789" t="s">
        <v>294</v>
      </c>
      <c r="C2789" t="s">
        <v>57</v>
      </c>
      <c r="D2789" t="s">
        <v>58</v>
      </c>
      <c r="E2789" t="s">
        <v>66</v>
      </c>
      <c r="F2789" s="1" t="s">
        <v>32</v>
      </c>
      <c r="G2789" s="2">
        <v>289.23</v>
      </c>
      <c r="H2789">
        <v>289.23</v>
      </c>
      <c r="I2789">
        <v>289.83666699999998</v>
      </c>
      <c r="J2789">
        <v>417.09</v>
      </c>
      <c r="K2789">
        <v>55</v>
      </c>
      <c r="L2789" s="2">
        <v>78</v>
      </c>
      <c r="M2789">
        <v>13</v>
      </c>
      <c r="N2789" s="2">
        <v>15</v>
      </c>
      <c r="O2789">
        <v>4347.55</v>
      </c>
      <c r="P2789">
        <v>1</v>
      </c>
      <c r="Q2789">
        <v>14</v>
      </c>
      <c r="R2789">
        <v>39.43</v>
      </c>
      <c r="S2789">
        <v>39</v>
      </c>
      <c r="T2789">
        <v>0</v>
      </c>
      <c r="U2789" s="2">
        <v>0</v>
      </c>
      <c r="V2789">
        <v>0</v>
      </c>
      <c r="W2789" t="s">
        <v>29</v>
      </c>
      <c r="X2789" t="str">
        <f>IF(Table2[[#This Row],[Qty available]]&gt;Table2[[#This Row],[Qty on hand]],"Check","OK")</f>
        <v>OK</v>
      </c>
    </row>
    <row r="2790" spans="1:24" x14ac:dyDescent="0.3">
      <c r="A2790" t="s">
        <v>293</v>
      </c>
      <c r="B2790" t="s">
        <v>294</v>
      </c>
      <c r="C2790" t="s">
        <v>57</v>
      </c>
      <c r="D2790" t="s">
        <v>58</v>
      </c>
      <c r="E2790" t="s">
        <v>66</v>
      </c>
      <c r="F2790" s="1" t="s">
        <v>33</v>
      </c>
      <c r="G2790" s="2">
        <v>309.08999999999997</v>
      </c>
      <c r="H2790">
        <v>309.08999999999997</v>
      </c>
      <c r="I2790">
        <v>289.83642900000001</v>
      </c>
      <c r="J2790">
        <v>417.09</v>
      </c>
      <c r="K2790">
        <v>55</v>
      </c>
      <c r="M2790">
        <v>0</v>
      </c>
      <c r="N2790" s="2">
        <v>14</v>
      </c>
      <c r="O2790">
        <v>4057.71</v>
      </c>
      <c r="P2790">
        <v>1</v>
      </c>
      <c r="Q2790">
        <v>13</v>
      </c>
      <c r="R2790">
        <v>46</v>
      </c>
      <c r="S2790">
        <v>26</v>
      </c>
      <c r="T2790">
        <v>1</v>
      </c>
      <c r="U2790" s="2">
        <v>417.09</v>
      </c>
      <c r="V2790">
        <v>0</v>
      </c>
      <c r="W2790" t="s">
        <v>29</v>
      </c>
      <c r="X2790" t="str">
        <f>IF(Table2[[#This Row],[Qty available]]&gt;Table2[[#This Row],[Qty on hand]],"Check","OK")</f>
        <v>OK</v>
      </c>
    </row>
    <row r="2791" spans="1:24" x14ac:dyDescent="0.3">
      <c r="A2791" t="s">
        <v>293</v>
      </c>
      <c r="B2791" t="s">
        <v>294</v>
      </c>
      <c r="C2791" t="s">
        <v>57</v>
      </c>
      <c r="D2791" t="s">
        <v>58</v>
      </c>
      <c r="E2791" t="s">
        <v>66</v>
      </c>
      <c r="F2791" s="1" t="s">
        <v>34</v>
      </c>
      <c r="G2791" s="2">
        <v>305.54000000000002</v>
      </c>
      <c r="H2791">
        <v>305.54000000000002</v>
      </c>
      <c r="I2791">
        <v>289.83615400000002</v>
      </c>
      <c r="J2791">
        <v>436.77</v>
      </c>
      <c r="K2791">
        <v>55</v>
      </c>
      <c r="M2791">
        <v>0</v>
      </c>
      <c r="N2791" s="2">
        <v>13</v>
      </c>
      <c r="O2791">
        <v>3767.87</v>
      </c>
      <c r="P2791">
        <v>1</v>
      </c>
      <c r="Q2791">
        <v>12</v>
      </c>
      <c r="R2791">
        <v>83.57</v>
      </c>
      <c r="S2791">
        <v>8</v>
      </c>
      <c r="T2791">
        <v>1</v>
      </c>
      <c r="U2791" s="2">
        <v>436.77</v>
      </c>
      <c r="V2791">
        <v>0</v>
      </c>
      <c r="W2791" t="s">
        <v>29</v>
      </c>
      <c r="X2791" t="str">
        <f>IF(Table2[[#This Row],[Qty available]]&gt;Table2[[#This Row],[Qty on hand]],"Check","OK")</f>
        <v>OK</v>
      </c>
    </row>
    <row r="2792" spans="1:24" x14ac:dyDescent="0.3">
      <c r="A2792" t="s">
        <v>293</v>
      </c>
      <c r="B2792" t="s">
        <v>294</v>
      </c>
      <c r="C2792" t="s">
        <v>57</v>
      </c>
      <c r="D2792" t="s">
        <v>58</v>
      </c>
      <c r="E2792" t="s">
        <v>66</v>
      </c>
      <c r="F2792" s="1" t="s">
        <v>35</v>
      </c>
      <c r="G2792" s="2">
        <v>303.89999999999998</v>
      </c>
      <c r="H2792">
        <v>303.89999999999998</v>
      </c>
      <c r="I2792">
        <v>289.83600000000001</v>
      </c>
      <c r="J2792">
        <v>436.77</v>
      </c>
      <c r="K2792">
        <v>55</v>
      </c>
      <c r="M2792">
        <v>0</v>
      </c>
      <c r="N2792" s="2">
        <v>10</v>
      </c>
      <c r="O2792">
        <v>2898.36</v>
      </c>
      <c r="P2792">
        <v>0</v>
      </c>
      <c r="Q2792">
        <v>10</v>
      </c>
      <c r="R2792">
        <v>25.71</v>
      </c>
      <c r="S2792">
        <v>4</v>
      </c>
      <c r="T2792">
        <v>3</v>
      </c>
      <c r="U2792" s="2">
        <v>1310.31</v>
      </c>
      <c r="V2792">
        <v>0</v>
      </c>
      <c r="W2792" t="s">
        <v>29</v>
      </c>
      <c r="X2792" t="str">
        <f>IF(Table2[[#This Row],[Qty available]]&gt;Table2[[#This Row],[Qty on hand]],"Check","OK")</f>
        <v>OK</v>
      </c>
    </row>
    <row r="2793" spans="1:24" x14ac:dyDescent="0.3">
      <c r="A2793" t="s">
        <v>293</v>
      </c>
      <c r="B2793" t="s">
        <v>294</v>
      </c>
      <c r="C2793" t="s">
        <v>57</v>
      </c>
      <c r="D2793" t="s">
        <v>58</v>
      </c>
      <c r="E2793" t="s">
        <v>66</v>
      </c>
      <c r="F2793" s="1" t="s">
        <v>36</v>
      </c>
      <c r="G2793" s="2">
        <v>298.01</v>
      </c>
      <c r="H2793">
        <v>298.01</v>
      </c>
      <c r="I2793">
        <v>289.83625000000001</v>
      </c>
      <c r="J2793">
        <v>436.77</v>
      </c>
      <c r="K2793">
        <v>55</v>
      </c>
      <c r="M2793">
        <v>0</v>
      </c>
      <c r="N2793" s="2">
        <v>8</v>
      </c>
      <c r="O2793">
        <v>2318.69</v>
      </c>
      <c r="P2793">
        <v>1</v>
      </c>
      <c r="Q2793">
        <v>7</v>
      </c>
      <c r="R2793">
        <v>16.95</v>
      </c>
      <c r="S2793">
        <v>15</v>
      </c>
      <c r="T2793">
        <v>2</v>
      </c>
      <c r="U2793" s="2">
        <v>873.54</v>
      </c>
      <c r="V2793">
        <v>0</v>
      </c>
      <c r="W2793" t="s">
        <v>29</v>
      </c>
      <c r="X2793" t="str">
        <f>IF(Table2[[#This Row],[Qty available]]&gt;Table2[[#This Row],[Qty on hand]],"Check","OK")</f>
        <v>OK</v>
      </c>
    </row>
    <row r="2794" spans="1:24" x14ac:dyDescent="0.3">
      <c r="A2794" t="s">
        <v>293</v>
      </c>
      <c r="B2794" t="s">
        <v>294</v>
      </c>
      <c r="C2794" t="s">
        <v>57</v>
      </c>
      <c r="D2794" t="s">
        <v>58</v>
      </c>
      <c r="E2794" t="s">
        <v>66</v>
      </c>
      <c r="F2794" s="1" t="s">
        <v>37</v>
      </c>
      <c r="G2794" s="2">
        <v>305.04000000000002</v>
      </c>
      <c r="H2794">
        <v>305.04000000000002</v>
      </c>
      <c r="I2794">
        <v>294.904</v>
      </c>
      <c r="J2794">
        <v>436.77</v>
      </c>
      <c r="K2794">
        <v>55</v>
      </c>
      <c r="L2794" s="2">
        <v>84</v>
      </c>
      <c r="M2794">
        <v>4</v>
      </c>
      <c r="N2794" s="2">
        <v>10</v>
      </c>
      <c r="O2794">
        <v>2949.04</v>
      </c>
      <c r="P2794">
        <v>1</v>
      </c>
      <c r="Q2794">
        <v>9</v>
      </c>
      <c r="R2794">
        <v>18.78</v>
      </c>
      <c r="S2794">
        <v>28</v>
      </c>
      <c r="T2794">
        <v>2</v>
      </c>
      <c r="U2794" s="2">
        <v>873.54</v>
      </c>
      <c r="V2794">
        <v>0</v>
      </c>
      <c r="W2794" t="s">
        <v>29</v>
      </c>
      <c r="X2794" t="str">
        <f>IF(Table2[[#This Row],[Qty available]]&gt;Table2[[#This Row],[Qty on hand]],"Check","OK")</f>
        <v>OK</v>
      </c>
    </row>
    <row r="2795" spans="1:24" x14ac:dyDescent="0.3">
      <c r="A2795" t="s">
        <v>293</v>
      </c>
      <c r="B2795" t="s">
        <v>294</v>
      </c>
      <c r="C2795" t="s">
        <v>57</v>
      </c>
      <c r="D2795" t="s">
        <v>58</v>
      </c>
      <c r="E2795" t="s">
        <v>66</v>
      </c>
      <c r="F2795" s="1" t="s">
        <v>38</v>
      </c>
      <c r="G2795" s="2">
        <v>299.52</v>
      </c>
      <c r="H2795">
        <v>299.52</v>
      </c>
      <c r="I2795">
        <v>294.90333299999998</v>
      </c>
      <c r="J2795">
        <v>436.77</v>
      </c>
      <c r="K2795">
        <v>55</v>
      </c>
      <c r="M2795">
        <v>0</v>
      </c>
      <c r="N2795" s="2">
        <v>6</v>
      </c>
      <c r="O2795">
        <v>1769.42</v>
      </c>
      <c r="P2795">
        <v>1</v>
      </c>
      <c r="Q2795">
        <v>5</v>
      </c>
      <c r="R2795">
        <v>9.75</v>
      </c>
      <c r="S2795">
        <v>3</v>
      </c>
      <c r="T2795">
        <v>4</v>
      </c>
      <c r="U2795" s="2">
        <v>1747.08</v>
      </c>
      <c r="V2795">
        <v>0</v>
      </c>
      <c r="W2795" t="s">
        <v>29</v>
      </c>
      <c r="X2795" t="str">
        <f>IF(Table2[[#This Row],[Qty available]]&gt;Table2[[#This Row],[Qty on hand]],"Check","OK")</f>
        <v>OK</v>
      </c>
    </row>
    <row r="2796" spans="1:24" x14ac:dyDescent="0.3">
      <c r="A2796" t="s">
        <v>293</v>
      </c>
      <c r="B2796" t="s">
        <v>294</v>
      </c>
      <c r="C2796" t="s">
        <v>57</v>
      </c>
      <c r="D2796" t="s">
        <v>58</v>
      </c>
      <c r="E2796" t="s">
        <v>66</v>
      </c>
      <c r="F2796" s="1" t="s">
        <v>39</v>
      </c>
      <c r="G2796" s="2">
        <v>305.98</v>
      </c>
      <c r="H2796">
        <v>305.98</v>
      </c>
      <c r="I2796">
        <v>299.938333</v>
      </c>
      <c r="J2796">
        <v>436.77</v>
      </c>
      <c r="K2796">
        <v>55</v>
      </c>
      <c r="L2796" s="2">
        <v>68</v>
      </c>
      <c r="M2796">
        <v>5</v>
      </c>
      <c r="N2796" s="2">
        <v>6</v>
      </c>
      <c r="O2796">
        <v>1799.63</v>
      </c>
      <c r="P2796">
        <v>1</v>
      </c>
      <c r="Q2796">
        <v>5</v>
      </c>
      <c r="R2796">
        <v>7.17</v>
      </c>
      <c r="S2796">
        <v>1</v>
      </c>
      <c r="T2796">
        <v>5</v>
      </c>
      <c r="U2796" s="2">
        <v>2183.85</v>
      </c>
      <c r="V2796">
        <v>0</v>
      </c>
      <c r="W2796" t="s">
        <v>29</v>
      </c>
      <c r="X2796" t="str">
        <f>IF(Table2[[#This Row],[Qty available]]&gt;Table2[[#This Row],[Qty on hand]],"Check","OK")</f>
        <v>OK</v>
      </c>
    </row>
    <row r="2797" spans="1:24" x14ac:dyDescent="0.3">
      <c r="A2797" t="s">
        <v>293</v>
      </c>
      <c r="B2797" t="s">
        <v>294</v>
      </c>
      <c r="C2797" t="s">
        <v>57</v>
      </c>
      <c r="D2797" t="s">
        <v>58</v>
      </c>
      <c r="E2797" t="s">
        <v>66</v>
      </c>
      <c r="F2797" s="1" t="s">
        <v>40</v>
      </c>
      <c r="G2797" s="2">
        <v>305.61</v>
      </c>
      <c r="H2797">
        <v>305.61</v>
      </c>
      <c r="I2797">
        <v>302.992727</v>
      </c>
      <c r="J2797">
        <v>436.77</v>
      </c>
      <c r="K2797">
        <v>55</v>
      </c>
      <c r="L2797" s="2">
        <v>52</v>
      </c>
      <c r="M2797">
        <v>7</v>
      </c>
      <c r="N2797" s="2">
        <v>11</v>
      </c>
      <c r="O2797">
        <v>3332.92</v>
      </c>
      <c r="P2797">
        <v>1</v>
      </c>
      <c r="Q2797">
        <v>10</v>
      </c>
      <c r="R2797">
        <v>13.14</v>
      </c>
      <c r="S2797">
        <v>8</v>
      </c>
      <c r="T2797">
        <v>2</v>
      </c>
      <c r="U2797" s="2">
        <v>873.54</v>
      </c>
      <c r="V2797">
        <v>0</v>
      </c>
      <c r="W2797" t="s">
        <v>29</v>
      </c>
      <c r="X2797" t="str">
        <f>IF(Table2[[#This Row],[Qty available]]&gt;Table2[[#This Row],[Qty on hand]],"Check","OK")</f>
        <v>OK</v>
      </c>
    </row>
    <row r="2798" spans="1:24" x14ac:dyDescent="0.3">
      <c r="A2798" t="s">
        <v>293</v>
      </c>
      <c r="B2798" t="s">
        <v>294</v>
      </c>
      <c r="C2798" t="s">
        <v>57</v>
      </c>
      <c r="D2798" t="s">
        <v>58</v>
      </c>
      <c r="E2798" t="s">
        <v>66</v>
      </c>
      <c r="F2798" s="1" t="s">
        <v>41</v>
      </c>
      <c r="G2798" s="2">
        <v>302.55</v>
      </c>
      <c r="H2798">
        <v>302.55</v>
      </c>
      <c r="I2798">
        <v>302.99285700000001</v>
      </c>
      <c r="J2798">
        <v>436.77</v>
      </c>
      <c r="K2798">
        <v>55</v>
      </c>
      <c r="M2798">
        <v>0</v>
      </c>
      <c r="N2798" s="2">
        <v>7</v>
      </c>
      <c r="O2798">
        <v>2120.9499999999998</v>
      </c>
      <c r="P2798">
        <v>1</v>
      </c>
      <c r="Q2798">
        <v>6</v>
      </c>
      <c r="R2798">
        <v>8.36</v>
      </c>
      <c r="S2798">
        <v>20</v>
      </c>
      <c r="T2798">
        <v>4</v>
      </c>
      <c r="U2798" s="2">
        <v>1747.08</v>
      </c>
      <c r="V2798">
        <v>0</v>
      </c>
      <c r="W2798" t="s">
        <v>29</v>
      </c>
      <c r="X2798" t="str">
        <f>IF(Table2[[#This Row],[Qty available]]&gt;Table2[[#This Row],[Qty on hand]],"Check","OK")</f>
        <v>OK</v>
      </c>
    </row>
    <row r="2799" spans="1:24" x14ac:dyDescent="0.3">
      <c r="A2799" t="s">
        <v>293</v>
      </c>
      <c r="B2799" t="s">
        <v>294</v>
      </c>
      <c r="C2799" t="s">
        <v>57</v>
      </c>
      <c r="D2799" t="s">
        <v>58</v>
      </c>
      <c r="E2799" t="s">
        <v>66</v>
      </c>
      <c r="F2799" s="1" t="s">
        <v>42</v>
      </c>
      <c r="G2799" s="2">
        <v>297.85000000000002</v>
      </c>
      <c r="H2799">
        <v>297.85000000000002</v>
      </c>
      <c r="I2799">
        <v>302.99200000000002</v>
      </c>
      <c r="J2799">
        <v>436.77</v>
      </c>
      <c r="K2799">
        <v>55</v>
      </c>
      <c r="M2799">
        <v>0</v>
      </c>
      <c r="N2799" s="2">
        <v>5</v>
      </c>
      <c r="O2799">
        <v>1514.96</v>
      </c>
      <c r="P2799">
        <v>1</v>
      </c>
      <c r="Q2799">
        <v>4</v>
      </c>
      <c r="R2799">
        <v>8.2100000000000009</v>
      </c>
      <c r="S2799">
        <v>8</v>
      </c>
      <c r="T2799">
        <v>2</v>
      </c>
      <c r="U2799" s="2">
        <v>873.54</v>
      </c>
      <c r="V2799">
        <v>0</v>
      </c>
      <c r="W2799" t="s">
        <v>29</v>
      </c>
      <c r="X2799" t="str">
        <f>IF(Table2[[#This Row],[Qty available]]&gt;Table2[[#This Row],[Qty on hand]],"Check","OK")</f>
        <v>OK</v>
      </c>
    </row>
    <row r="2800" spans="1:24" x14ac:dyDescent="0.3">
      <c r="A2800" t="s">
        <v>293</v>
      </c>
      <c r="B2800" t="s">
        <v>294</v>
      </c>
      <c r="C2800" t="s">
        <v>57</v>
      </c>
      <c r="D2800" t="s">
        <v>58</v>
      </c>
      <c r="E2800" t="s">
        <v>66</v>
      </c>
      <c r="F2800" s="1" t="s">
        <v>43</v>
      </c>
      <c r="G2800" s="2">
        <v>308.92</v>
      </c>
      <c r="H2800">
        <v>308.92</v>
      </c>
      <c r="I2800">
        <v>306.64</v>
      </c>
      <c r="J2800">
        <v>436.77</v>
      </c>
      <c r="K2800">
        <v>55</v>
      </c>
      <c r="L2800" s="2">
        <v>49</v>
      </c>
      <c r="M2800">
        <v>8</v>
      </c>
      <c r="N2800" s="2">
        <v>10</v>
      </c>
      <c r="O2800">
        <v>3066.4</v>
      </c>
      <c r="P2800">
        <v>0</v>
      </c>
      <c r="Q2800">
        <v>10</v>
      </c>
      <c r="R2800">
        <v>14.44</v>
      </c>
      <c r="S2800">
        <v>8</v>
      </c>
      <c r="T2800">
        <v>3</v>
      </c>
      <c r="U2800" s="2">
        <v>1310.31</v>
      </c>
      <c r="V2800">
        <v>0</v>
      </c>
      <c r="W2800" t="s">
        <v>29</v>
      </c>
      <c r="X2800" t="str">
        <f>IF(Table2[[#This Row],[Qty available]]&gt;Table2[[#This Row],[Qty on hand]],"Check","OK")</f>
        <v>OK</v>
      </c>
    </row>
    <row r="2801" spans="1:24" x14ac:dyDescent="0.3">
      <c r="A2801" t="s">
        <v>293</v>
      </c>
      <c r="B2801" t="s">
        <v>294</v>
      </c>
      <c r="C2801" t="s">
        <v>57</v>
      </c>
      <c r="D2801" t="s">
        <v>58</v>
      </c>
      <c r="E2801" t="s">
        <v>66</v>
      </c>
      <c r="F2801" s="1" t="s">
        <v>44</v>
      </c>
      <c r="G2801" s="2">
        <v>306.68</v>
      </c>
      <c r="H2801">
        <v>306.68</v>
      </c>
      <c r="I2801">
        <v>306.65181799999999</v>
      </c>
      <c r="J2801">
        <v>436.77</v>
      </c>
      <c r="K2801">
        <v>55</v>
      </c>
      <c r="L2801" s="2">
        <v>51</v>
      </c>
      <c r="M2801">
        <v>4</v>
      </c>
      <c r="N2801" s="2">
        <v>11</v>
      </c>
      <c r="O2801">
        <v>3373.17</v>
      </c>
      <c r="P2801">
        <v>1</v>
      </c>
      <c r="Q2801">
        <v>10</v>
      </c>
      <c r="R2801">
        <v>18.07</v>
      </c>
      <c r="S2801">
        <v>9</v>
      </c>
      <c r="T2801">
        <v>3</v>
      </c>
      <c r="U2801" s="2">
        <v>1310.31</v>
      </c>
      <c r="V2801">
        <v>0</v>
      </c>
      <c r="W2801" t="s">
        <v>29</v>
      </c>
      <c r="X2801" t="str">
        <f>IF(Table2[[#This Row],[Qty available]]&gt;Table2[[#This Row],[Qty on hand]],"Check","OK")</f>
        <v>OK</v>
      </c>
    </row>
    <row r="2802" spans="1:24" x14ac:dyDescent="0.3">
      <c r="A2802" t="s">
        <v>293</v>
      </c>
      <c r="B2802" t="s">
        <v>294</v>
      </c>
      <c r="C2802" t="s">
        <v>57</v>
      </c>
      <c r="D2802" t="s">
        <v>58</v>
      </c>
      <c r="E2802" t="s">
        <v>66</v>
      </c>
      <c r="F2802" s="1" t="s">
        <v>45</v>
      </c>
      <c r="G2802" s="2">
        <v>318.48</v>
      </c>
      <c r="H2802">
        <v>318.48</v>
      </c>
      <c r="I2802">
        <v>309.18615399999999</v>
      </c>
      <c r="J2802">
        <v>436.77</v>
      </c>
      <c r="K2802">
        <v>55</v>
      </c>
      <c r="L2802" s="2">
        <v>55</v>
      </c>
      <c r="M2802">
        <v>3</v>
      </c>
      <c r="N2802" s="2">
        <v>13</v>
      </c>
      <c r="O2802">
        <v>4019.42</v>
      </c>
      <c r="P2802">
        <v>1</v>
      </c>
      <c r="Q2802">
        <v>12</v>
      </c>
      <c r="R2802">
        <v>24.41</v>
      </c>
      <c r="S2802">
        <v>9</v>
      </c>
      <c r="T2802">
        <v>1</v>
      </c>
      <c r="U2802" s="2">
        <v>436.77</v>
      </c>
      <c r="V2802">
        <v>0</v>
      </c>
      <c r="W2802" t="s">
        <v>29</v>
      </c>
      <c r="X2802" t="str">
        <f>IF(Table2[[#This Row],[Qty available]]&gt;Table2[[#This Row],[Qty on hand]],"Check","OK")</f>
        <v>OK</v>
      </c>
    </row>
    <row r="2803" spans="1:24" x14ac:dyDescent="0.3">
      <c r="A2803" t="s">
        <v>293</v>
      </c>
      <c r="B2803" t="s">
        <v>294</v>
      </c>
      <c r="C2803" t="s">
        <v>57</v>
      </c>
      <c r="D2803" t="s">
        <v>58</v>
      </c>
      <c r="E2803" t="s">
        <v>66</v>
      </c>
      <c r="F2803" s="1" t="s">
        <v>46</v>
      </c>
      <c r="G2803" s="2">
        <v>317.17</v>
      </c>
      <c r="H2803">
        <v>317.17</v>
      </c>
      <c r="I2803">
        <v>310.68307700000003</v>
      </c>
      <c r="J2803">
        <v>457.38</v>
      </c>
      <c r="K2803">
        <v>55</v>
      </c>
      <c r="L2803" s="2">
        <v>53</v>
      </c>
      <c r="M2803">
        <v>3</v>
      </c>
      <c r="N2803" s="2">
        <v>13</v>
      </c>
      <c r="O2803">
        <v>4038.88</v>
      </c>
      <c r="P2803">
        <v>1</v>
      </c>
      <c r="Q2803">
        <v>12</v>
      </c>
      <c r="R2803">
        <v>23.88</v>
      </c>
      <c r="S2803">
        <v>1</v>
      </c>
      <c r="T2803">
        <v>3</v>
      </c>
      <c r="U2803" s="2">
        <v>1372.14</v>
      </c>
      <c r="V2803">
        <v>0</v>
      </c>
      <c r="W2803" t="s">
        <v>29</v>
      </c>
      <c r="X2803" t="str">
        <f>IF(Table2[[#This Row],[Qty available]]&gt;Table2[[#This Row],[Qty on hand]],"Check","OK")</f>
        <v>OK</v>
      </c>
    </row>
    <row r="2804" spans="1:24" x14ac:dyDescent="0.3">
      <c r="A2804" t="s">
        <v>293</v>
      </c>
      <c r="B2804" t="s">
        <v>294</v>
      </c>
      <c r="C2804" t="s">
        <v>57</v>
      </c>
      <c r="D2804" t="s">
        <v>58</v>
      </c>
      <c r="E2804" t="s">
        <v>66</v>
      </c>
      <c r="F2804" s="1" t="s">
        <v>47</v>
      </c>
      <c r="G2804" s="2">
        <v>315.54000000000002</v>
      </c>
      <c r="H2804">
        <v>315.54000000000002</v>
      </c>
      <c r="I2804">
        <v>310.68299999999999</v>
      </c>
      <c r="J2804">
        <v>457.38</v>
      </c>
      <c r="K2804">
        <v>55</v>
      </c>
      <c r="M2804">
        <v>0</v>
      </c>
      <c r="N2804" s="2">
        <v>10</v>
      </c>
      <c r="O2804">
        <v>3106.83</v>
      </c>
      <c r="P2804">
        <v>0</v>
      </c>
      <c r="Q2804">
        <v>10</v>
      </c>
      <c r="R2804">
        <v>18.37</v>
      </c>
      <c r="S2804">
        <v>6</v>
      </c>
      <c r="T2804">
        <v>3</v>
      </c>
      <c r="U2804" s="2">
        <v>1372.14</v>
      </c>
      <c r="V2804">
        <v>0</v>
      </c>
      <c r="W2804" t="s">
        <v>29</v>
      </c>
      <c r="X2804" t="str">
        <f>IF(Table2[[#This Row],[Qty available]]&gt;Table2[[#This Row],[Qty on hand]],"Check","OK")</f>
        <v>OK</v>
      </c>
    </row>
    <row r="2805" spans="1:24" x14ac:dyDescent="0.3">
      <c r="A2805" t="s">
        <v>293</v>
      </c>
      <c r="B2805" t="s">
        <v>294</v>
      </c>
      <c r="C2805" t="s">
        <v>57</v>
      </c>
      <c r="D2805" t="s">
        <v>58</v>
      </c>
      <c r="E2805" t="s">
        <v>66</v>
      </c>
      <c r="F2805" s="1" t="s">
        <v>48</v>
      </c>
      <c r="G2805" s="2">
        <v>312.61</v>
      </c>
      <c r="H2805">
        <v>312.61</v>
      </c>
      <c r="I2805">
        <v>310.68285700000001</v>
      </c>
      <c r="J2805">
        <v>457.38</v>
      </c>
      <c r="K2805">
        <v>55</v>
      </c>
      <c r="M2805">
        <v>0</v>
      </c>
      <c r="N2805" s="2">
        <v>7</v>
      </c>
      <c r="O2805">
        <v>2174.7800000000002</v>
      </c>
      <c r="P2805">
        <v>1</v>
      </c>
      <c r="Q2805">
        <v>6</v>
      </c>
      <c r="R2805">
        <v>9.89</v>
      </c>
      <c r="S2805">
        <v>10</v>
      </c>
      <c r="T2805">
        <v>3</v>
      </c>
      <c r="U2805" s="2">
        <v>1372.14</v>
      </c>
      <c r="V2805">
        <v>0</v>
      </c>
      <c r="W2805" t="s">
        <v>29</v>
      </c>
      <c r="X2805" t="str">
        <f>IF(Table2[[#This Row],[Qty available]]&gt;Table2[[#This Row],[Qty on hand]],"Check","OK")</f>
        <v>OK</v>
      </c>
    </row>
    <row r="2806" spans="1:24" x14ac:dyDescent="0.3">
      <c r="A2806" t="s">
        <v>293</v>
      </c>
      <c r="B2806" t="s">
        <v>294</v>
      </c>
      <c r="C2806" t="s">
        <v>57</v>
      </c>
      <c r="D2806" t="s">
        <v>58</v>
      </c>
      <c r="E2806" t="s">
        <v>66</v>
      </c>
      <c r="F2806" s="1" t="s">
        <v>49</v>
      </c>
      <c r="G2806" s="2">
        <v>310.2</v>
      </c>
      <c r="H2806">
        <v>310.2</v>
      </c>
      <c r="I2806">
        <v>310.53857099999999</v>
      </c>
      <c r="J2806">
        <v>457.38</v>
      </c>
      <c r="K2806">
        <v>55</v>
      </c>
      <c r="L2806" s="2">
        <v>51</v>
      </c>
      <c r="M2806">
        <v>3</v>
      </c>
      <c r="N2806" s="2">
        <v>7</v>
      </c>
      <c r="O2806">
        <v>2173.77</v>
      </c>
      <c r="P2806">
        <v>0</v>
      </c>
      <c r="Q2806">
        <v>7</v>
      </c>
      <c r="R2806">
        <v>10.220000000000001</v>
      </c>
      <c r="S2806">
        <v>17</v>
      </c>
      <c r="T2806">
        <v>3</v>
      </c>
      <c r="U2806" s="2">
        <v>1372.14</v>
      </c>
      <c r="V2806">
        <v>0</v>
      </c>
      <c r="W2806" t="s">
        <v>29</v>
      </c>
      <c r="X2806" t="str">
        <f>IF(Table2[[#This Row],[Qty available]]&gt;Table2[[#This Row],[Qty on hand]],"Check","OK")</f>
        <v>OK</v>
      </c>
    </row>
    <row r="2807" spans="1:24" x14ac:dyDescent="0.3">
      <c r="A2807" t="s">
        <v>293</v>
      </c>
      <c r="B2807" t="s">
        <v>294</v>
      </c>
      <c r="C2807" t="s">
        <v>57</v>
      </c>
      <c r="D2807" t="s">
        <v>58</v>
      </c>
      <c r="E2807" t="s">
        <v>66</v>
      </c>
      <c r="F2807" s="1" t="s">
        <v>50</v>
      </c>
      <c r="G2807" s="2">
        <v>314.83999999999997</v>
      </c>
      <c r="H2807">
        <v>314.83999999999997</v>
      </c>
      <c r="I2807">
        <v>310.53750000000002</v>
      </c>
      <c r="J2807">
        <v>457.38</v>
      </c>
      <c r="K2807">
        <v>55</v>
      </c>
      <c r="M2807">
        <v>0</v>
      </c>
      <c r="N2807" s="2">
        <v>4</v>
      </c>
      <c r="O2807">
        <v>1242.1500000000001</v>
      </c>
      <c r="P2807">
        <v>0</v>
      </c>
      <c r="Q2807">
        <v>4</v>
      </c>
      <c r="R2807">
        <v>5.78</v>
      </c>
      <c r="S2807">
        <v>25</v>
      </c>
      <c r="T2807">
        <v>3</v>
      </c>
      <c r="U2807" s="2">
        <v>1372.14</v>
      </c>
      <c r="V2807">
        <v>0</v>
      </c>
      <c r="W2807" t="s">
        <v>29</v>
      </c>
      <c r="X2807" t="str">
        <f>IF(Table2[[#This Row],[Qty available]]&gt;Table2[[#This Row],[Qty on hand]],"Check","OK")</f>
        <v>OK</v>
      </c>
    </row>
    <row r="2808" spans="1:24" x14ac:dyDescent="0.3">
      <c r="A2808" t="s">
        <v>293</v>
      </c>
      <c r="B2808" t="s">
        <v>294</v>
      </c>
      <c r="C2808" t="s">
        <v>57</v>
      </c>
      <c r="D2808" t="s">
        <v>58</v>
      </c>
      <c r="E2808" t="s">
        <v>66</v>
      </c>
      <c r="F2808" s="1" t="s">
        <v>51</v>
      </c>
      <c r="G2808" s="2">
        <v>316.60000000000002</v>
      </c>
      <c r="H2808">
        <v>316.60000000000002</v>
      </c>
      <c r="I2808">
        <v>314.39499999999998</v>
      </c>
      <c r="J2808">
        <v>457.38</v>
      </c>
      <c r="K2808">
        <v>55</v>
      </c>
      <c r="L2808" s="2">
        <v>53</v>
      </c>
      <c r="M2808">
        <v>7</v>
      </c>
      <c r="N2808" s="2">
        <v>8</v>
      </c>
      <c r="O2808">
        <v>2515.16</v>
      </c>
      <c r="P2808">
        <v>0</v>
      </c>
      <c r="Q2808">
        <v>8</v>
      </c>
      <c r="R2808">
        <v>11.68</v>
      </c>
      <c r="S2808">
        <v>10</v>
      </c>
      <c r="T2808">
        <v>3</v>
      </c>
      <c r="U2808" s="2">
        <v>1372.14</v>
      </c>
      <c r="V2808">
        <v>0</v>
      </c>
      <c r="W2808" t="s">
        <v>29</v>
      </c>
      <c r="X2808" t="str">
        <f>IF(Table2[[#This Row],[Qty available]]&gt;Table2[[#This Row],[Qty on hand]],"Check","OK")</f>
        <v>OK</v>
      </c>
    </row>
    <row r="2809" spans="1:24" x14ac:dyDescent="0.3">
      <c r="A2809" t="s">
        <v>293</v>
      </c>
      <c r="B2809" t="s">
        <v>294</v>
      </c>
      <c r="C2809" t="s">
        <v>57</v>
      </c>
      <c r="D2809" t="s">
        <v>58</v>
      </c>
      <c r="E2809" t="s">
        <v>66</v>
      </c>
      <c r="F2809" s="1" t="s">
        <v>52</v>
      </c>
      <c r="G2809" s="2">
        <v>312.60000000000002</v>
      </c>
      <c r="H2809">
        <v>312.60000000000002</v>
      </c>
      <c r="I2809">
        <v>313.5575</v>
      </c>
      <c r="J2809">
        <v>457.38</v>
      </c>
      <c r="K2809">
        <v>55</v>
      </c>
      <c r="L2809" s="2">
        <v>52</v>
      </c>
      <c r="M2809">
        <v>7</v>
      </c>
      <c r="N2809" s="2">
        <v>12</v>
      </c>
      <c r="O2809">
        <v>3762.69</v>
      </c>
      <c r="P2809">
        <v>1</v>
      </c>
      <c r="Q2809">
        <v>11</v>
      </c>
      <c r="R2809">
        <v>17.52</v>
      </c>
      <c r="S2809">
        <v>17</v>
      </c>
      <c r="T2809">
        <v>3</v>
      </c>
      <c r="U2809" s="2">
        <v>1372.14</v>
      </c>
      <c r="V2809">
        <v>0</v>
      </c>
      <c r="W2809" t="s">
        <v>29</v>
      </c>
      <c r="X2809" t="str">
        <f>IF(Table2[[#This Row],[Qty available]]&gt;Table2[[#This Row],[Qty on hand]],"Check","OK")</f>
        <v>OK</v>
      </c>
    </row>
    <row r="2810" spans="1:24" x14ac:dyDescent="0.3">
      <c r="A2810" t="s">
        <v>295</v>
      </c>
      <c r="B2810" t="s">
        <v>296</v>
      </c>
      <c r="C2810" t="s">
        <v>77</v>
      </c>
      <c r="D2810" t="s">
        <v>78</v>
      </c>
      <c r="E2810" t="s">
        <v>66</v>
      </c>
      <c r="F2810" s="1" t="s">
        <v>28</v>
      </c>
      <c r="G2810" s="2">
        <v>3.33</v>
      </c>
      <c r="H2810">
        <v>3.33</v>
      </c>
      <c r="I2810">
        <v>3.3268200000000001</v>
      </c>
      <c r="J2810">
        <v>4.57</v>
      </c>
      <c r="K2810">
        <v>41</v>
      </c>
      <c r="L2810" s="2">
        <v>55</v>
      </c>
      <c r="M2810">
        <v>313</v>
      </c>
      <c r="N2810" s="2">
        <v>3786</v>
      </c>
      <c r="O2810">
        <v>12595.34</v>
      </c>
      <c r="P2810">
        <v>192</v>
      </c>
      <c r="Q2810">
        <v>3594</v>
      </c>
      <c r="R2810">
        <v>25.16</v>
      </c>
      <c r="S2810">
        <v>3</v>
      </c>
      <c r="T2810">
        <v>1190</v>
      </c>
      <c r="U2810" s="2">
        <v>5438.3</v>
      </c>
      <c r="V2810">
        <v>0</v>
      </c>
      <c r="W2810" t="s">
        <v>29</v>
      </c>
      <c r="X2810" t="str">
        <f>IF(Table2[[#This Row],[Qty available]]&gt;Table2[[#This Row],[Qty on hand]],"Check","OK")</f>
        <v>OK</v>
      </c>
    </row>
    <row r="2811" spans="1:24" x14ac:dyDescent="0.3">
      <c r="A2811" t="s">
        <v>295</v>
      </c>
      <c r="B2811" t="s">
        <v>296</v>
      </c>
      <c r="C2811" t="s">
        <v>77</v>
      </c>
      <c r="D2811" t="s">
        <v>78</v>
      </c>
      <c r="E2811" t="s">
        <v>66</v>
      </c>
      <c r="F2811" s="1" t="s">
        <v>30</v>
      </c>
      <c r="G2811" s="2">
        <v>3.27</v>
      </c>
      <c r="H2811">
        <v>3.27</v>
      </c>
      <c r="I2811">
        <v>3.3268209999999998</v>
      </c>
      <c r="J2811">
        <v>4.57</v>
      </c>
      <c r="K2811">
        <v>41</v>
      </c>
      <c r="M2811">
        <v>0</v>
      </c>
      <c r="N2811" s="2">
        <v>3259</v>
      </c>
      <c r="O2811">
        <v>10842.11</v>
      </c>
      <c r="P2811">
        <v>160</v>
      </c>
      <c r="Q2811">
        <v>3099</v>
      </c>
      <c r="R2811">
        <v>17.100000000000001</v>
      </c>
      <c r="S2811">
        <v>2</v>
      </c>
      <c r="T2811">
        <v>527</v>
      </c>
      <c r="U2811" s="2">
        <v>2408.39</v>
      </c>
      <c r="V2811">
        <v>0</v>
      </c>
      <c r="W2811" t="s">
        <v>29</v>
      </c>
      <c r="X2811" t="str">
        <f>IF(Table2[[#This Row],[Qty available]]&gt;Table2[[#This Row],[Qty on hand]],"Check","OK")</f>
        <v>OK</v>
      </c>
    </row>
    <row r="2812" spans="1:24" x14ac:dyDescent="0.3">
      <c r="A2812" t="s">
        <v>295</v>
      </c>
      <c r="B2812" t="s">
        <v>296</v>
      </c>
      <c r="C2812" t="s">
        <v>77</v>
      </c>
      <c r="D2812" t="s">
        <v>78</v>
      </c>
      <c r="E2812" t="s">
        <v>66</v>
      </c>
      <c r="F2812" s="1" t="s">
        <v>31</v>
      </c>
      <c r="G2812" s="2">
        <v>3.35</v>
      </c>
      <c r="H2812">
        <v>3.35</v>
      </c>
      <c r="I2812">
        <v>3.3268219999999999</v>
      </c>
      <c r="J2812">
        <v>4.57</v>
      </c>
      <c r="K2812">
        <v>41</v>
      </c>
      <c r="M2812">
        <v>0</v>
      </c>
      <c r="N2812" s="2">
        <v>2162</v>
      </c>
      <c r="O2812">
        <v>7192.59</v>
      </c>
      <c r="P2812">
        <v>64</v>
      </c>
      <c r="Q2812">
        <v>2098</v>
      </c>
      <c r="R2812">
        <v>9.99</v>
      </c>
      <c r="S2812">
        <v>0</v>
      </c>
      <c r="T2812">
        <v>1097</v>
      </c>
      <c r="U2812" s="2">
        <v>5013.29</v>
      </c>
      <c r="V2812">
        <v>0</v>
      </c>
      <c r="W2812" t="s">
        <v>29</v>
      </c>
      <c r="X2812" t="str">
        <f>IF(Table2[[#This Row],[Qty available]]&gt;Table2[[#This Row],[Qty on hand]],"Check","OK")</f>
        <v>OK</v>
      </c>
    </row>
    <row r="2813" spans="1:24" x14ac:dyDescent="0.3">
      <c r="A2813" t="s">
        <v>295</v>
      </c>
      <c r="B2813" t="s">
        <v>296</v>
      </c>
      <c r="C2813" t="s">
        <v>77</v>
      </c>
      <c r="D2813" t="s">
        <v>78</v>
      </c>
      <c r="E2813" t="s">
        <v>66</v>
      </c>
      <c r="F2813" s="1" t="s">
        <v>32</v>
      </c>
      <c r="G2813" s="2">
        <v>3.27</v>
      </c>
      <c r="H2813">
        <v>3.27</v>
      </c>
      <c r="I2813">
        <v>3.3025410000000002</v>
      </c>
      <c r="J2813">
        <v>4.57</v>
      </c>
      <c r="K2813">
        <v>41</v>
      </c>
      <c r="L2813" s="2">
        <v>38</v>
      </c>
      <c r="M2813">
        <v>1613</v>
      </c>
      <c r="N2813" s="2">
        <v>2892</v>
      </c>
      <c r="O2813">
        <v>9550.9500000000007</v>
      </c>
      <c r="P2813">
        <v>192</v>
      </c>
      <c r="Q2813">
        <v>2700</v>
      </c>
      <c r="R2813">
        <v>15.16</v>
      </c>
      <c r="S2813">
        <v>1</v>
      </c>
      <c r="T2813">
        <v>883</v>
      </c>
      <c r="U2813" s="2">
        <v>4035.31</v>
      </c>
      <c r="V2813">
        <v>0</v>
      </c>
      <c r="W2813" t="s">
        <v>29</v>
      </c>
      <c r="X2813" t="str">
        <f>IF(Table2[[#This Row],[Qty available]]&gt;Table2[[#This Row],[Qty on hand]],"Check","OK")</f>
        <v>OK</v>
      </c>
    </row>
    <row r="2814" spans="1:24" x14ac:dyDescent="0.3">
      <c r="A2814" t="s">
        <v>295</v>
      </c>
      <c r="B2814" t="s">
        <v>296</v>
      </c>
      <c r="C2814" t="s">
        <v>77</v>
      </c>
      <c r="D2814" t="s">
        <v>78</v>
      </c>
      <c r="E2814" t="s">
        <v>66</v>
      </c>
      <c r="F2814" s="1" t="s">
        <v>33</v>
      </c>
      <c r="G2814" s="2">
        <v>3.35</v>
      </c>
      <c r="H2814">
        <v>3.35</v>
      </c>
      <c r="I2814">
        <v>3.3149069999999998</v>
      </c>
      <c r="J2814">
        <v>4.57</v>
      </c>
      <c r="K2814">
        <v>41</v>
      </c>
      <c r="L2814" s="2">
        <v>37</v>
      </c>
      <c r="M2814">
        <v>1019</v>
      </c>
      <c r="N2814" s="2">
        <v>3318</v>
      </c>
      <c r="O2814">
        <v>10998.86</v>
      </c>
      <c r="P2814">
        <v>64</v>
      </c>
      <c r="Q2814">
        <v>3254</v>
      </c>
      <c r="R2814">
        <v>16.95</v>
      </c>
      <c r="S2814">
        <v>5</v>
      </c>
      <c r="T2814">
        <v>593</v>
      </c>
      <c r="U2814" s="2">
        <v>2710.01</v>
      </c>
      <c r="V2814">
        <v>0</v>
      </c>
      <c r="W2814" t="s">
        <v>29</v>
      </c>
      <c r="X2814" t="str">
        <f>IF(Table2[[#This Row],[Qty available]]&gt;Table2[[#This Row],[Qty on hand]],"Check","OK")</f>
        <v>OK</v>
      </c>
    </row>
    <row r="2815" spans="1:24" x14ac:dyDescent="0.3">
      <c r="A2815" t="s">
        <v>295</v>
      </c>
      <c r="B2815" t="s">
        <v>296</v>
      </c>
      <c r="C2815" t="s">
        <v>77</v>
      </c>
      <c r="D2815" t="s">
        <v>78</v>
      </c>
      <c r="E2815" t="s">
        <v>66</v>
      </c>
      <c r="F2815" s="1" t="s">
        <v>34</v>
      </c>
      <c r="G2815" s="2">
        <v>3.31</v>
      </c>
      <c r="H2815">
        <v>3.31</v>
      </c>
      <c r="I2815">
        <v>3.3149060000000001</v>
      </c>
      <c r="J2815">
        <v>4.74</v>
      </c>
      <c r="K2815">
        <v>41</v>
      </c>
      <c r="M2815">
        <v>0</v>
      </c>
      <c r="N2815" s="2">
        <v>2397</v>
      </c>
      <c r="O2815">
        <v>7945.83</v>
      </c>
      <c r="P2815">
        <v>128</v>
      </c>
      <c r="Q2815">
        <v>2269</v>
      </c>
      <c r="R2815">
        <v>12.86</v>
      </c>
      <c r="S2815">
        <v>0</v>
      </c>
      <c r="T2815">
        <v>921</v>
      </c>
      <c r="U2815" s="2">
        <v>4365.54</v>
      </c>
      <c r="V2815">
        <v>0</v>
      </c>
      <c r="W2815" t="s">
        <v>29</v>
      </c>
      <c r="X2815" t="str">
        <f>IF(Table2[[#This Row],[Qty available]]&gt;Table2[[#This Row],[Qty on hand]],"Check","OK")</f>
        <v>OK</v>
      </c>
    </row>
    <row r="2816" spans="1:24" x14ac:dyDescent="0.3">
      <c r="A2816" t="s">
        <v>295</v>
      </c>
      <c r="B2816" t="s">
        <v>296</v>
      </c>
      <c r="C2816" t="s">
        <v>77</v>
      </c>
      <c r="D2816" t="s">
        <v>78</v>
      </c>
      <c r="E2816" t="s">
        <v>66</v>
      </c>
      <c r="F2816" s="1" t="s">
        <v>35</v>
      </c>
      <c r="G2816" s="2">
        <v>3.44</v>
      </c>
      <c r="H2816">
        <v>3.44</v>
      </c>
      <c r="I2816">
        <v>3.3681459999999999</v>
      </c>
      <c r="J2816">
        <v>4.74</v>
      </c>
      <c r="K2816">
        <v>41</v>
      </c>
      <c r="L2816" s="2">
        <v>40</v>
      </c>
      <c r="M2816">
        <v>1776</v>
      </c>
      <c r="N2816" s="2">
        <v>3760</v>
      </c>
      <c r="O2816">
        <v>12664.23</v>
      </c>
      <c r="P2816">
        <v>160</v>
      </c>
      <c r="Q2816">
        <v>3600</v>
      </c>
      <c r="R2816">
        <v>25.09</v>
      </c>
      <c r="S2816">
        <v>0</v>
      </c>
      <c r="T2816">
        <v>413</v>
      </c>
      <c r="U2816" s="2">
        <v>1957.62</v>
      </c>
      <c r="V2816">
        <v>0</v>
      </c>
      <c r="W2816" t="s">
        <v>29</v>
      </c>
      <c r="X2816" t="str">
        <f>IF(Table2[[#This Row],[Qty available]]&gt;Table2[[#This Row],[Qty on hand]],"Check","OK")</f>
        <v>OK</v>
      </c>
    </row>
    <row r="2817" spans="1:24" x14ac:dyDescent="0.3">
      <c r="A2817" t="s">
        <v>295</v>
      </c>
      <c r="B2817" t="s">
        <v>296</v>
      </c>
      <c r="C2817" t="s">
        <v>77</v>
      </c>
      <c r="D2817" t="s">
        <v>78</v>
      </c>
      <c r="E2817" t="s">
        <v>66</v>
      </c>
      <c r="F2817" s="1" t="s">
        <v>36</v>
      </c>
      <c r="G2817" s="2">
        <v>3.47</v>
      </c>
      <c r="H2817">
        <v>3.47</v>
      </c>
      <c r="I2817">
        <v>3.3681450000000002</v>
      </c>
      <c r="J2817">
        <v>4.74</v>
      </c>
      <c r="K2817">
        <v>41</v>
      </c>
      <c r="M2817">
        <v>0</v>
      </c>
      <c r="N2817" s="2">
        <v>2437</v>
      </c>
      <c r="O2817">
        <v>8208.17</v>
      </c>
      <c r="P2817">
        <v>192</v>
      </c>
      <c r="Q2817">
        <v>2245</v>
      </c>
      <c r="R2817">
        <v>11.66</v>
      </c>
      <c r="S2817">
        <v>0</v>
      </c>
      <c r="T2817">
        <v>1323</v>
      </c>
      <c r="U2817" s="2">
        <v>6271.02</v>
      </c>
      <c r="V2817">
        <v>0</v>
      </c>
      <c r="W2817" t="s">
        <v>29</v>
      </c>
      <c r="X2817" t="str">
        <f>IF(Table2[[#This Row],[Qty available]]&gt;Table2[[#This Row],[Qty on hand]],"Check","OK")</f>
        <v>OK</v>
      </c>
    </row>
    <row r="2818" spans="1:24" x14ac:dyDescent="0.3">
      <c r="A2818" t="s">
        <v>295</v>
      </c>
      <c r="B2818" t="s">
        <v>296</v>
      </c>
      <c r="C2818" t="s">
        <v>77</v>
      </c>
      <c r="D2818" t="s">
        <v>78</v>
      </c>
      <c r="E2818" t="s">
        <v>66</v>
      </c>
      <c r="F2818" s="1" t="s">
        <v>37</v>
      </c>
      <c r="G2818" s="2">
        <v>3.5</v>
      </c>
      <c r="H2818">
        <v>3.5</v>
      </c>
      <c r="I2818">
        <v>3.4155289999999998</v>
      </c>
      <c r="J2818">
        <v>4.74</v>
      </c>
      <c r="K2818">
        <v>41</v>
      </c>
      <c r="L2818" s="2">
        <v>38</v>
      </c>
      <c r="M2818">
        <v>1367</v>
      </c>
      <c r="N2818" s="2">
        <v>3279</v>
      </c>
      <c r="O2818">
        <v>11199.52</v>
      </c>
      <c r="P2818">
        <v>128</v>
      </c>
      <c r="Q2818">
        <v>3151</v>
      </c>
      <c r="R2818">
        <v>19.059999999999999</v>
      </c>
      <c r="S2818">
        <v>0</v>
      </c>
      <c r="T2818">
        <v>525</v>
      </c>
      <c r="U2818" s="2">
        <v>2488.5</v>
      </c>
      <c r="V2818">
        <v>0</v>
      </c>
      <c r="W2818" t="s">
        <v>29</v>
      </c>
      <c r="X2818" t="str">
        <f>IF(Table2[[#This Row],[Qty available]]&gt;Table2[[#This Row],[Qty on hand]],"Check","OK")</f>
        <v>OK</v>
      </c>
    </row>
    <row r="2819" spans="1:24" x14ac:dyDescent="0.3">
      <c r="A2819" t="s">
        <v>295</v>
      </c>
      <c r="B2819" t="s">
        <v>296</v>
      </c>
      <c r="C2819" t="s">
        <v>77</v>
      </c>
      <c r="D2819" t="s">
        <v>78</v>
      </c>
      <c r="E2819" t="s">
        <v>66</v>
      </c>
      <c r="F2819" s="1" t="s">
        <v>38</v>
      </c>
      <c r="G2819" s="2">
        <v>3.47</v>
      </c>
      <c r="H2819">
        <v>3.47</v>
      </c>
      <c r="I2819">
        <v>3.424976</v>
      </c>
      <c r="J2819">
        <v>4.74</v>
      </c>
      <c r="K2819">
        <v>41</v>
      </c>
      <c r="L2819" s="2">
        <v>41</v>
      </c>
      <c r="M2819">
        <v>688</v>
      </c>
      <c r="N2819" s="2">
        <v>3346</v>
      </c>
      <c r="O2819">
        <v>11459.97</v>
      </c>
      <c r="P2819">
        <v>192</v>
      </c>
      <c r="Q2819">
        <v>3154</v>
      </c>
      <c r="R2819">
        <v>17.62</v>
      </c>
      <c r="S2819">
        <v>3</v>
      </c>
      <c r="T2819">
        <v>621</v>
      </c>
      <c r="U2819" s="2">
        <v>2943.54</v>
      </c>
      <c r="V2819">
        <v>0</v>
      </c>
      <c r="W2819" t="s">
        <v>29</v>
      </c>
      <c r="X2819" t="str">
        <f>IF(Table2[[#This Row],[Qty available]]&gt;Table2[[#This Row],[Qty on hand]],"Check","OK")</f>
        <v>OK</v>
      </c>
    </row>
    <row r="2820" spans="1:24" x14ac:dyDescent="0.3">
      <c r="A2820" t="s">
        <v>295</v>
      </c>
      <c r="B2820" t="s">
        <v>296</v>
      </c>
      <c r="C2820" t="s">
        <v>77</v>
      </c>
      <c r="D2820" t="s">
        <v>78</v>
      </c>
      <c r="E2820" t="s">
        <v>66</v>
      </c>
      <c r="F2820" s="1" t="s">
        <v>39</v>
      </c>
      <c r="G2820" s="2">
        <v>3.51</v>
      </c>
      <c r="H2820">
        <v>3.51</v>
      </c>
      <c r="I2820">
        <v>3.4249770000000002</v>
      </c>
      <c r="J2820">
        <v>4.74</v>
      </c>
      <c r="K2820">
        <v>41</v>
      </c>
      <c r="M2820">
        <v>0</v>
      </c>
      <c r="N2820" s="2">
        <v>2441</v>
      </c>
      <c r="O2820">
        <v>8360.3700000000008</v>
      </c>
      <c r="P2820">
        <v>257</v>
      </c>
      <c r="Q2820">
        <v>2184</v>
      </c>
      <c r="R2820">
        <v>15.64</v>
      </c>
      <c r="S2820">
        <v>2</v>
      </c>
      <c r="T2820">
        <v>905</v>
      </c>
      <c r="U2820" s="2">
        <v>4289.7</v>
      </c>
      <c r="V2820">
        <v>0</v>
      </c>
      <c r="W2820" t="s">
        <v>29</v>
      </c>
      <c r="X2820" t="str">
        <f>IF(Table2[[#This Row],[Qty available]]&gt;Table2[[#This Row],[Qty on hand]],"Check","OK")</f>
        <v>OK</v>
      </c>
    </row>
    <row r="2821" spans="1:24" x14ac:dyDescent="0.3">
      <c r="A2821" t="s">
        <v>295</v>
      </c>
      <c r="B2821" t="s">
        <v>296</v>
      </c>
      <c r="C2821" t="s">
        <v>77</v>
      </c>
      <c r="D2821" t="s">
        <v>78</v>
      </c>
      <c r="E2821" t="s">
        <v>66</v>
      </c>
      <c r="F2821" s="1" t="s">
        <v>40</v>
      </c>
      <c r="G2821" s="2">
        <v>3.54</v>
      </c>
      <c r="H2821">
        <v>3.54</v>
      </c>
      <c r="I2821">
        <v>3.4444689999999998</v>
      </c>
      <c r="J2821">
        <v>4.74</v>
      </c>
      <c r="K2821">
        <v>41</v>
      </c>
      <c r="L2821" s="2">
        <v>63</v>
      </c>
      <c r="M2821">
        <v>498</v>
      </c>
      <c r="N2821" s="2">
        <v>1998</v>
      </c>
      <c r="O2821">
        <v>6882.05</v>
      </c>
      <c r="P2821">
        <v>160</v>
      </c>
      <c r="Q2821">
        <v>1838</v>
      </c>
      <c r="R2821">
        <v>10.64</v>
      </c>
      <c r="S2821">
        <v>0</v>
      </c>
      <c r="T2821">
        <v>941</v>
      </c>
      <c r="U2821" s="2">
        <v>4460.34</v>
      </c>
      <c r="V2821">
        <v>0</v>
      </c>
      <c r="W2821" t="s">
        <v>29</v>
      </c>
      <c r="X2821" t="str">
        <f>IF(Table2[[#This Row],[Qty available]]&gt;Table2[[#This Row],[Qty on hand]],"Check","OK")</f>
        <v>OK</v>
      </c>
    </row>
    <row r="2822" spans="1:24" x14ac:dyDescent="0.3">
      <c r="A2822" t="s">
        <v>295</v>
      </c>
      <c r="B2822" t="s">
        <v>296</v>
      </c>
      <c r="C2822" t="s">
        <v>77</v>
      </c>
      <c r="D2822" t="s">
        <v>78</v>
      </c>
      <c r="E2822" t="s">
        <v>66</v>
      </c>
      <c r="F2822" s="1" t="s">
        <v>41</v>
      </c>
      <c r="G2822" s="2">
        <v>3.44</v>
      </c>
      <c r="H2822">
        <v>3.44</v>
      </c>
      <c r="I2822">
        <v>3.441926</v>
      </c>
      <c r="J2822">
        <v>4.74</v>
      </c>
      <c r="K2822">
        <v>41</v>
      </c>
      <c r="L2822" s="2">
        <v>40</v>
      </c>
      <c r="M2822">
        <v>2636</v>
      </c>
      <c r="N2822" s="2">
        <v>3437</v>
      </c>
      <c r="O2822">
        <v>11829.9</v>
      </c>
      <c r="P2822">
        <v>321</v>
      </c>
      <c r="Q2822">
        <v>3116</v>
      </c>
      <c r="R2822">
        <v>14.84</v>
      </c>
      <c r="S2822">
        <v>1</v>
      </c>
      <c r="T2822">
        <v>1197</v>
      </c>
      <c r="U2822" s="2">
        <v>5673.78</v>
      </c>
      <c r="V2822">
        <v>0</v>
      </c>
      <c r="W2822" t="s">
        <v>29</v>
      </c>
      <c r="X2822" t="str">
        <f>IF(Table2[[#This Row],[Qty available]]&gt;Table2[[#This Row],[Qty on hand]],"Check","OK")</f>
        <v>OK</v>
      </c>
    </row>
    <row r="2823" spans="1:24" x14ac:dyDescent="0.3">
      <c r="A2823" t="s">
        <v>295</v>
      </c>
      <c r="B2823" t="s">
        <v>296</v>
      </c>
      <c r="C2823" t="s">
        <v>77</v>
      </c>
      <c r="D2823" t="s">
        <v>78</v>
      </c>
      <c r="E2823" t="s">
        <v>66</v>
      </c>
      <c r="F2823" s="1" t="s">
        <v>42</v>
      </c>
      <c r="G2823" s="2">
        <v>3.44</v>
      </c>
      <c r="H2823">
        <v>3.44</v>
      </c>
      <c r="I2823">
        <v>3.4417879999999998</v>
      </c>
      <c r="J2823">
        <v>4.74</v>
      </c>
      <c r="K2823">
        <v>41</v>
      </c>
      <c r="L2823" s="2">
        <v>39</v>
      </c>
      <c r="M2823">
        <v>269</v>
      </c>
      <c r="N2823" s="2">
        <v>2758</v>
      </c>
      <c r="O2823">
        <v>9492.4500000000007</v>
      </c>
      <c r="P2823">
        <v>225</v>
      </c>
      <c r="Q2823">
        <v>2533</v>
      </c>
      <c r="R2823">
        <v>11.75</v>
      </c>
      <c r="S2823">
        <v>1</v>
      </c>
      <c r="T2823">
        <v>948</v>
      </c>
      <c r="U2823" s="2">
        <v>4493.5200000000004</v>
      </c>
      <c r="V2823">
        <v>0</v>
      </c>
      <c r="W2823" t="s">
        <v>29</v>
      </c>
      <c r="X2823" t="str">
        <f>IF(Table2[[#This Row],[Qty available]]&gt;Table2[[#This Row],[Qty on hand]],"Check","OK")</f>
        <v>OK</v>
      </c>
    </row>
    <row r="2824" spans="1:24" x14ac:dyDescent="0.3">
      <c r="A2824" t="s">
        <v>295</v>
      </c>
      <c r="B2824" t="s">
        <v>296</v>
      </c>
      <c r="C2824" t="s">
        <v>77</v>
      </c>
      <c r="D2824" t="s">
        <v>78</v>
      </c>
      <c r="E2824" t="s">
        <v>66</v>
      </c>
      <c r="F2824" s="1" t="s">
        <v>43</v>
      </c>
      <c r="G2824" s="2">
        <v>3.45</v>
      </c>
      <c r="H2824">
        <v>3.45</v>
      </c>
      <c r="I2824">
        <v>3.4417879999999998</v>
      </c>
      <c r="J2824">
        <v>4.74</v>
      </c>
      <c r="K2824">
        <v>41</v>
      </c>
      <c r="M2824">
        <v>0</v>
      </c>
      <c r="N2824" s="2">
        <v>2702</v>
      </c>
      <c r="O2824">
        <v>9299.7099999999991</v>
      </c>
      <c r="P2824">
        <v>257</v>
      </c>
      <c r="Q2824">
        <v>2445</v>
      </c>
      <c r="R2824">
        <v>15.96</v>
      </c>
      <c r="S2824">
        <v>4</v>
      </c>
      <c r="T2824">
        <v>56</v>
      </c>
      <c r="U2824" s="2">
        <v>265.44</v>
      </c>
      <c r="V2824">
        <v>0</v>
      </c>
      <c r="W2824" t="s">
        <v>29</v>
      </c>
      <c r="X2824" t="str">
        <f>IF(Table2[[#This Row],[Qty available]]&gt;Table2[[#This Row],[Qty on hand]],"Check","OK")</f>
        <v>OK</v>
      </c>
    </row>
    <row r="2825" spans="1:24" x14ac:dyDescent="0.3">
      <c r="A2825" t="s">
        <v>295</v>
      </c>
      <c r="B2825" t="s">
        <v>296</v>
      </c>
      <c r="C2825" t="s">
        <v>77</v>
      </c>
      <c r="D2825" t="s">
        <v>78</v>
      </c>
      <c r="E2825" t="s">
        <v>66</v>
      </c>
      <c r="F2825" s="1" t="s">
        <v>44</v>
      </c>
      <c r="G2825" s="2">
        <v>3.54</v>
      </c>
      <c r="H2825">
        <v>3.54</v>
      </c>
      <c r="I2825">
        <v>3.470424</v>
      </c>
      <c r="J2825">
        <v>4.74</v>
      </c>
      <c r="K2825">
        <v>41</v>
      </c>
      <c r="L2825" s="2">
        <v>65</v>
      </c>
      <c r="M2825">
        <v>1112</v>
      </c>
      <c r="N2825" s="2">
        <v>2832</v>
      </c>
      <c r="O2825">
        <v>9828.24</v>
      </c>
      <c r="P2825">
        <v>192</v>
      </c>
      <c r="Q2825">
        <v>2640</v>
      </c>
      <c r="R2825">
        <v>18.739999999999998</v>
      </c>
      <c r="S2825">
        <v>0</v>
      </c>
      <c r="T2825">
        <v>982</v>
      </c>
      <c r="U2825" s="2">
        <v>4654.68</v>
      </c>
      <c r="V2825">
        <v>0</v>
      </c>
      <c r="W2825" t="s">
        <v>29</v>
      </c>
      <c r="X2825" t="str">
        <f>IF(Table2[[#This Row],[Qty available]]&gt;Table2[[#This Row],[Qty on hand]],"Check","OK")</f>
        <v>OK</v>
      </c>
    </row>
    <row r="2826" spans="1:24" x14ac:dyDescent="0.3">
      <c r="A2826" t="s">
        <v>295</v>
      </c>
      <c r="B2826" t="s">
        <v>296</v>
      </c>
      <c r="C2826" t="s">
        <v>77</v>
      </c>
      <c r="D2826" t="s">
        <v>78</v>
      </c>
      <c r="E2826" t="s">
        <v>66</v>
      </c>
      <c r="F2826" s="1" t="s">
        <v>45</v>
      </c>
      <c r="G2826" s="2">
        <v>3.45</v>
      </c>
      <c r="H2826">
        <v>3.45</v>
      </c>
      <c r="I2826">
        <v>3.4676469999999999</v>
      </c>
      <c r="J2826">
        <v>4.74</v>
      </c>
      <c r="K2826">
        <v>41</v>
      </c>
      <c r="L2826" s="2">
        <v>39</v>
      </c>
      <c r="M2826">
        <v>446</v>
      </c>
      <c r="N2826" s="2">
        <v>1670</v>
      </c>
      <c r="O2826">
        <v>5790.97</v>
      </c>
      <c r="P2826">
        <v>257</v>
      </c>
      <c r="Q2826">
        <v>1413</v>
      </c>
      <c r="R2826">
        <v>8.3000000000000007</v>
      </c>
      <c r="S2826">
        <v>0</v>
      </c>
      <c r="T2826">
        <v>1608</v>
      </c>
      <c r="U2826" s="2">
        <v>7621.92</v>
      </c>
      <c r="V2826">
        <v>0</v>
      </c>
      <c r="W2826" t="s">
        <v>29</v>
      </c>
      <c r="X2826" t="str">
        <f>IF(Table2[[#This Row],[Qty available]]&gt;Table2[[#This Row],[Qty on hand]],"Check","OK")</f>
        <v>OK</v>
      </c>
    </row>
    <row r="2827" spans="1:24" x14ac:dyDescent="0.3">
      <c r="A2827" t="s">
        <v>295</v>
      </c>
      <c r="B2827" t="s">
        <v>296</v>
      </c>
      <c r="C2827" t="s">
        <v>77</v>
      </c>
      <c r="D2827" t="s">
        <v>78</v>
      </c>
      <c r="E2827" t="s">
        <v>66</v>
      </c>
      <c r="F2827" s="1" t="s">
        <v>46</v>
      </c>
      <c r="G2827" s="2">
        <v>3.44</v>
      </c>
      <c r="H2827">
        <v>3.44</v>
      </c>
      <c r="I2827">
        <v>3.45146</v>
      </c>
      <c r="J2827">
        <v>4.92</v>
      </c>
      <c r="K2827">
        <v>41</v>
      </c>
      <c r="L2827" s="2">
        <v>50</v>
      </c>
      <c r="M2827">
        <v>2359</v>
      </c>
      <c r="N2827" s="2">
        <v>2925</v>
      </c>
      <c r="O2827">
        <v>10095.52</v>
      </c>
      <c r="P2827">
        <v>128</v>
      </c>
      <c r="Q2827">
        <v>2797</v>
      </c>
      <c r="R2827">
        <v>10.18</v>
      </c>
      <c r="S2827">
        <v>1</v>
      </c>
      <c r="T2827">
        <v>1104</v>
      </c>
      <c r="U2827" s="2">
        <v>5431.68</v>
      </c>
      <c r="V2827">
        <v>0</v>
      </c>
      <c r="W2827" t="s">
        <v>29</v>
      </c>
      <c r="X2827" t="str">
        <f>IF(Table2[[#This Row],[Qty available]]&gt;Table2[[#This Row],[Qty on hand]],"Check","OK")</f>
        <v>OK</v>
      </c>
    </row>
    <row r="2828" spans="1:24" x14ac:dyDescent="0.3">
      <c r="A2828" t="s">
        <v>295</v>
      </c>
      <c r="B2828" t="s">
        <v>296</v>
      </c>
      <c r="C2828" t="s">
        <v>77</v>
      </c>
      <c r="D2828" t="s">
        <v>78</v>
      </c>
      <c r="E2828" t="s">
        <v>66</v>
      </c>
      <c r="F2828" s="1" t="s">
        <v>47</v>
      </c>
      <c r="G2828" s="2">
        <v>3.68</v>
      </c>
      <c r="H2828">
        <v>3.68</v>
      </c>
      <c r="I2828">
        <v>3.55152</v>
      </c>
      <c r="J2828">
        <v>4.92</v>
      </c>
      <c r="K2828">
        <v>41</v>
      </c>
      <c r="L2828" s="2">
        <v>51</v>
      </c>
      <c r="M2828">
        <v>2278</v>
      </c>
      <c r="N2828" s="2">
        <v>4618</v>
      </c>
      <c r="O2828">
        <v>16400.919999999998</v>
      </c>
      <c r="P2828">
        <v>257</v>
      </c>
      <c r="Q2828">
        <v>4361</v>
      </c>
      <c r="R2828">
        <v>18.010000000000002</v>
      </c>
      <c r="S2828">
        <v>1</v>
      </c>
      <c r="T2828">
        <v>585</v>
      </c>
      <c r="U2828" s="2">
        <v>2878.2</v>
      </c>
      <c r="V2828">
        <v>0</v>
      </c>
      <c r="W2828" t="s">
        <v>29</v>
      </c>
      <c r="X2828" t="str">
        <f>IF(Table2[[#This Row],[Qty available]]&gt;Table2[[#This Row],[Qty on hand]],"Check","OK")</f>
        <v>OK</v>
      </c>
    </row>
    <row r="2829" spans="1:24" x14ac:dyDescent="0.3">
      <c r="A2829" t="s">
        <v>295</v>
      </c>
      <c r="B2829" t="s">
        <v>296</v>
      </c>
      <c r="C2829" t="s">
        <v>77</v>
      </c>
      <c r="D2829" t="s">
        <v>78</v>
      </c>
      <c r="E2829" t="s">
        <v>66</v>
      </c>
      <c r="F2829" s="1" t="s">
        <v>48</v>
      </c>
      <c r="G2829" s="2">
        <v>3.73</v>
      </c>
      <c r="H2829">
        <v>3.73</v>
      </c>
      <c r="I2829">
        <v>3.55152</v>
      </c>
      <c r="J2829">
        <v>4.92</v>
      </c>
      <c r="K2829">
        <v>41</v>
      </c>
      <c r="M2829">
        <v>0</v>
      </c>
      <c r="N2829" s="2">
        <v>3546</v>
      </c>
      <c r="O2829">
        <v>12593.69</v>
      </c>
      <c r="P2829">
        <v>321</v>
      </c>
      <c r="Q2829">
        <v>3225</v>
      </c>
      <c r="R2829">
        <v>16.329999999999998</v>
      </c>
      <c r="S2829">
        <v>0</v>
      </c>
      <c r="T2829">
        <v>1072</v>
      </c>
      <c r="U2829" s="2">
        <v>5274.24</v>
      </c>
      <c r="V2829">
        <v>0</v>
      </c>
      <c r="W2829" t="s">
        <v>29</v>
      </c>
      <c r="X2829" t="str">
        <f>IF(Table2[[#This Row],[Qty available]]&gt;Table2[[#This Row],[Qty on hand]],"Check","OK")</f>
        <v>OK</v>
      </c>
    </row>
    <row r="2830" spans="1:24" x14ac:dyDescent="0.3">
      <c r="A2830" t="s">
        <v>295</v>
      </c>
      <c r="B2830" t="s">
        <v>296</v>
      </c>
      <c r="C2830" t="s">
        <v>77</v>
      </c>
      <c r="D2830" t="s">
        <v>78</v>
      </c>
      <c r="E2830" t="s">
        <v>66</v>
      </c>
      <c r="F2830" s="1" t="s">
        <v>49</v>
      </c>
      <c r="G2830" s="2">
        <v>3.71</v>
      </c>
      <c r="H2830">
        <v>3.71</v>
      </c>
      <c r="I2830">
        <v>3.5685889999999998</v>
      </c>
      <c r="J2830">
        <v>4.92</v>
      </c>
      <c r="K2830">
        <v>41</v>
      </c>
      <c r="L2830" s="2">
        <v>49</v>
      </c>
      <c r="M2830">
        <v>428</v>
      </c>
      <c r="N2830" s="2">
        <v>2793</v>
      </c>
      <c r="O2830">
        <v>9967.07</v>
      </c>
      <c r="P2830">
        <v>64</v>
      </c>
      <c r="Q2830">
        <v>2729</v>
      </c>
      <c r="R2830">
        <v>12.93</v>
      </c>
      <c r="S2830">
        <v>3</v>
      </c>
      <c r="T2830">
        <v>1181</v>
      </c>
      <c r="U2830" s="2">
        <v>5810.52</v>
      </c>
      <c r="V2830">
        <v>0</v>
      </c>
      <c r="W2830" t="s">
        <v>29</v>
      </c>
      <c r="X2830" t="str">
        <f>IF(Table2[[#This Row],[Qty available]]&gt;Table2[[#This Row],[Qty on hand]],"Check","OK")</f>
        <v>OK</v>
      </c>
    </row>
    <row r="2831" spans="1:24" x14ac:dyDescent="0.3">
      <c r="A2831" t="s">
        <v>295</v>
      </c>
      <c r="B2831" t="s">
        <v>296</v>
      </c>
      <c r="C2831" t="s">
        <v>77</v>
      </c>
      <c r="D2831" t="s">
        <v>78</v>
      </c>
      <c r="E2831" t="s">
        <v>66</v>
      </c>
      <c r="F2831" s="1" t="s">
        <v>50</v>
      </c>
      <c r="G2831" s="2">
        <v>3.67</v>
      </c>
      <c r="H2831">
        <v>3.67</v>
      </c>
      <c r="I2831">
        <v>3.596584</v>
      </c>
      <c r="J2831">
        <v>4.92</v>
      </c>
      <c r="K2831">
        <v>41</v>
      </c>
      <c r="L2831" s="2">
        <v>39</v>
      </c>
      <c r="M2831">
        <v>1065</v>
      </c>
      <c r="N2831" s="2">
        <v>2248</v>
      </c>
      <c r="O2831">
        <v>8085.12</v>
      </c>
      <c r="P2831">
        <v>257</v>
      </c>
      <c r="Q2831">
        <v>1991</v>
      </c>
      <c r="R2831">
        <v>7.57</v>
      </c>
      <c r="S2831">
        <v>1</v>
      </c>
      <c r="T2831">
        <v>1610</v>
      </c>
      <c r="U2831" s="2">
        <v>7921.2</v>
      </c>
      <c r="V2831">
        <v>0</v>
      </c>
      <c r="W2831" t="s">
        <v>29</v>
      </c>
      <c r="X2831" t="str">
        <f>IF(Table2[[#This Row],[Qty available]]&gt;Table2[[#This Row],[Qty on hand]],"Check","OK")</f>
        <v>OK</v>
      </c>
    </row>
    <row r="2832" spans="1:24" x14ac:dyDescent="0.3">
      <c r="A2832" t="s">
        <v>295</v>
      </c>
      <c r="B2832" t="s">
        <v>296</v>
      </c>
      <c r="C2832" t="s">
        <v>77</v>
      </c>
      <c r="D2832" t="s">
        <v>78</v>
      </c>
      <c r="E2832" t="s">
        <v>66</v>
      </c>
      <c r="F2832" s="1" t="s">
        <v>51</v>
      </c>
      <c r="G2832" s="2">
        <v>3.7</v>
      </c>
      <c r="H2832">
        <v>3.7</v>
      </c>
      <c r="I2832">
        <v>3.6397240000000002</v>
      </c>
      <c r="J2832">
        <v>4.92</v>
      </c>
      <c r="K2832">
        <v>41</v>
      </c>
      <c r="L2832" s="2">
        <v>38</v>
      </c>
      <c r="M2832">
        <v>1609</v>
      </c>
      <c r="N2832" s="2">
        <v>2392</v>
      </c>
      <c r="O2832">
        <v>8706.2199999999993</v>
      </c>
      <c r="P2832">
        <v>160</v>
      </c>
      <c r="Q2832">
        <v>2232</v>
      </c>
      <c r="R2832">
        <v>7.39</v>
      </c>
      <c r="S2832">
        <v>0</v>
      </c>
      <c r="T2832">
        <v>1465</v>
      </c>
      <c r="U2832" s="2">
        <v>7207.8</v>
      </c>
      <c r="V2832">
        <v>0</v>
      </c>
      <c r="W2832" t="s">
        <v>29</v>
      </c>
      <c r="X2832" t="str">
        <f>IF(Table2[[#This Row],[Qty available]]&gt;Table2[[#This Row],[Qty on hand]],"Check","OK")</f>
        <v>OK</v>
      </c>
    </row>
    <row r="2833" spans="1:24" x14ac:dyDescent="0.3">
      <c r="A2833" t="s">
        <v>295</v>
      </c>
      <c r="B2833" t="s">
        <v>296</v>
      </c>
      <c r="C2833" t="s">
        <v>77</v>
      </c>
      <c r="D2833" t="s">
        <v>78</v>
      </c>
      <c r="E2833" t="s">
        <v>66</v>
      </c>
      <c r="F2833" s="1" t="s">
        <v>52</v>
      </c>
      <c r="G2833" s="2">
        <v>3.71</v>
      </c>
      <c r="H2833">
        <v>3.71</v>
      </c>
      <c r="I2833">
        <v>3.6630959999999999</v>
      </c>
      <c r="J2833">
        <v>4.92</v>
      </c>
      <c r="K2833">
        <v>41</v>
      </c>
      <c r="L2833" s="2">
        <v>38</v>
      </c>
      <c r="M2833">
        <v>1192</v>
      </c>
      <c r="N2833" s="2">
        <v>2865</v>
      </c>
      <c r="O2833">
        <v>10494.77</v>
      </c>
      <c r="P2833">
        <v>64</v>
      </c>
      <c r="Q2833">
        <v>2801</v>
      </c>
      <c r="R2833">
        <v>9.92</v>
      </c>
      <c r="S2833">
        <v>0</v>
      </c>
      <c r="T2833">
        <v>719</v>
      </c>
      <c r="U2833" s="2">
        <v>3537.48</v>
      </c>
      <c r="V2833">
        <v>0</v>
      </c>
      <c r="W2833" t="s">
        <v>29</v>
      </c>
      <c r="X2833" t="str">
        <f>IF(Table2[[#This Row],[Qty available]]&gt;Table2[[#This Row],[Qty on hand]],"Check","OK")</f>
        <v>OK</v>
      </c>
    </row>
    <row r="2834" spans="1:24" x14ac:dyDescent="0.3">
      <c r="A2834" t="s">
        <v>297</v>
      </c>
      <c r="B2834" t="s">
        <v>298</v>
      </c>
      <c r="C2834" t="s">
        <v>25</v>
      </c>
      <c r="D2834" t="s">
        <v>26</v>
      </c>
      <c r="E2834" t="s">
        <v>27</v>
      </c>
      <c r="F2834" s="1" t="s">
        <v>28</v>
      </c>
      <c r="G2834" s="2">
        <v>35.1</v>
      </c>
      <c r="H2834">
        <v>35.1</v>
      </c>
      <c r="I2834">
        <v>35.556818</v>
      </c>
      <c r="J2834">
        <v>50.87</v>
      </c>
      <c r="K2834">
        <v>44</v>
      </c>
      <c r="M2834">
        <v>0</v>
      </c>
      <c r="N2834" s="2">
        <v>154</v>
      </c>
      <c r="O2834">
        <v>5475.75</v>
      </c>
      <c r="P2834">
        <v>24</v>
      </c>
      <c r="Q2834">
        <v>130</v>
      </c>
      <c r="R2834">
        <v>4.54</v>
      </c>
      <c r="S2834">
        <v>0</v>
      </c>
      <c r="T2834">
        <v>133</v>
      </c>
      <c r="U2834" s="2">
        <v>6765.71</v>
      </c>
      <c r="V2834">
        <v>0</v>
      </c>
      <c r="W2834" t="s">
        <v>29</v>
      </c>
      <c r="X2834" t="str">
        <f>IF(Table2[[#This Row],[Qty available]]&gt;Table2[[#This Row],[Qty on hand]],"Check","OK")</f>
        <v>OK</v>
      </c>
    </row>
    <row r="2835" spans="1:24" x14ac:dyDescent="0.3">
      <c r="A2835" t="s">
        <v>297</v>
      </c>
      <c r="B2835" t="s">
        <v>298</v>
      </c>
      <c r="C2835" t="s">
        <v>25</v>
      </c>
      <c r="D2835" t="s">
        <v>26</v>
      </c>
      <c r="E2835" t="s">
        <v>27</v>
      </c>
      <c r="F2835" s="1" t="s">
        <v>30</v>
      </c>
      <c r="G2835" s="2">
        <v>36.340000000000003</v>
      </c>
      <c r="H2835">
        <v>36.340000000000003</v>
      </c>
      <c r="I2835">
        <v>35.929752999999998</v>
      </c>
      <c r="J2835">
        <v>50.87</v>
      </c>
      <c r="K2835">
        <v>44</v>
      </c>
      <c r="L2835" s="2">
        <v>55</v>
      </c>
      <c r="M2835">
        <v>140</v>
      </c>
      <c r="N2835" s="2">
        <v>162</v>
      </c>
      <c r="O2835">
        <v>5820.62</v>
      </c>
      <c r="P2835">
        <v>12</v>
      </c>
      <c r="Q2835">
        <v>150</v>
      </c>
      <c r="R2835">
        <v>5.22</v>
      </c>
      <c r="S2835">
        <v>4</v>
      </c>
      <c r="T2835">
        <v>132</v>
      </c>
      <c r="U2835" s="2">
        <v>6714.84</v>
      </c>
      <c r="V2835">
        <v>0</v>
      </c>
      <c r="W2835" t="s">
        <v>29</v>
      </c>
      <c r="X2835" t="str">
        <f>IF(Table2[[#This Row],[Qty available]]&gt;Table2[[#This Row],[Qty on hand]],"Check","OK")</f>
        <v>OK</v>
      </c>
    </row>
    <row r="2836" spans="1:24" x14ac:dyDescent="0.3">
      <c r="A2836" t="s">
        <v>297</v>
      </c>
      <c r="B2836" t="s">
        <v>298</v>
      </c>
      <c r="C2836" t="s">
        <v>25</v>
      </c>
      <c r="D2836" t="s">
        <v>26</v>
      </c>
      <c r="E2836" t="s">
        <v>27</v>
      </c>
      <c r="F2836" s="1" t="s">
        <v>31</v>
      </c>
      <c r="G2836" s="2">
        <v>35.17</v>
      </c>
      <c r="H2836">
        <v>35.17</v>
      </c>
      <c r="I2836">
        <v>35.493893</v>
      </c>
      <c r="J2836">
        <v>50.87</v>
      </c>
      <c r="K2836">
        <v>44</v>
      </c>
      <c r="L2836" s="2">
        <v>39</v>
      </c>
      <c r="M2836">
        <v>218</v>
      </c>
      <c r="N2836" s="2">
        <v>262</v>
      </c>
      <c r="O2836">
        <v>9299.4</v>
      </c>
      <c r="P2836">
        <v>24</v>
      </c>
      <c r="Q2836">
        <v>238</v>
      </c>
      <c r="R2836">
        <v>8.89</v>
      </c>
      <c r="S2836">
        <v>3</v>
      </c>
      <c r="T2836">
        <v>118</v>
      </c>
      <c r="U2836" s="2">
        <v>6002.66</v>
      </c>
      <c r="V2836">
        <v>0</v>
      </c>
      <c r="W2836" t="s">
        <v>29</v>
      </c>
      <c r="X2836" t="str">
        <f>IF(Table2[[#This Row],[Qty available]]&gt;Table2[[#This Row],[Qty on hand]],"Check","OK")</f>
        <v>OK</v>
      </c>
    </row>
    <row r="2837" spans="1:24" x14ac:dyDescent="0.3">
      <c r="A2837" t="s">
        <v>297</v>
      </c>
      <c r="B2837" t="s">
        <v>298</v>
      </c>
      <c r="C2837" t="s">
        <v>25</v>
      </c>
      <c r="D2837" t="s">
        <v>26</v>
      </c>
      <c r="E2837" t="s">
        <v>27</v>
      </c>
      <c r="F2837" s="1" t="s">
        <v>32</v>
      </c>
      <c r="G2837" s="2">
        <v>35.619999999999997</v>
      </c>
      <c r="H2837">
        <v>35.619999999999997</v>
      </c>
      <c r="I2837">
        <v>35.508020999999999</v>
      </c>
      <c r="J2837">
        <v>50.87</v>
      </c>
      <c r="K2837">
        <v>44</v>
      </c>
      <c r="L2837" s="2">
        <v>38</v>
      </c>
      <c r="M2837">
        <v>33</v>
      </c>
      <c r="N2837" s="2">
        <v>192</v>
      </c>
      <c r="O2837">
        <v>6817.54</v>
      </c>
      <c r="P2837">
        <v>16</v>
      </c>
      <c r="Q2837">
        <v>176</v>
      </c>
      <c r="R2837">
        <v>7.15</v>
      </c>
      <c r="S2837">
        <v>0</v>
      </c>
      <c r="T2837">
        <v>103</v>
      </c>
      <c r="U2837" s="2">
        <v>5239.6099999999997</v>
      </c>
      <c r="V2837">
        <v>0</v>
      </c>
      <c r="W2837" t="s">
        <v>29</v>
      </c>
      <c r="X2837" t="str">
        <f>IF(Table2[[#This Row],[Qty available]]&gt;Table2[[#This Row],[Qty on hand]],"Check","OK")</f>
        <v>OK</v>
      </c>
    </row>
    <row r="2838" spans="1:24" x14ac:dyDescent="0.3">
      <c r="A2838" t="s">
        <v>297</v>
      </c>
      <c r="B2838" t="s">
        <v>298</v>
      </c>
      <c r="C2838" t="s">
        <v>25</v>
      </c>
      <c r="D2838" t="s">
        <v>26</v>
      </c>
      <c r="E2838" t="s">
        <v>27</v>
      </c>
      <c r="F2838" s="1" t="s">
        <v>33</v>
      </c>
      <c r="G2838" s="2">
        <v>35.08</v>
      </c>
      <c r="H2838">
        <v>35.08</v>
      </c>
      <c r="I2838">
        <v>35.295676999999998</v>
      </c>
      <c r="J2838">
        <v>50.87</v>
      </c>
      <c r="K2838">
        <v>44</v>
      </c>
      <c r="L2838" s="2">
        <v>50</v>
      </c>
      <c r="M2838">
        <v>189</v>
      </c>
      <c r="N2838" s="2">
        <v>192</v>
      </c>
      <c r="O2838">
        <v>6776.77</v>
      </c>
      <c r="P2838">
        <v>8</v>
      </c>
      <c r="Q2838">
        <v>184</v>
      </c>
      <c r="R2838">
        <v>6.15</v>
      </c>
      <c r="S2838">
        <v>4</v>
      </c>
      <c r="T2838">
        <v>189</v>
      </c>
      <c r="U2838" s="2">
        <v>9614.43</v>
      </c>
      <c r="V2838">
        <v>0</v>
      </c>
      <c r="W2838" t="s">
        <v>29</v>
      </c>
      <c r="X2838" t="str">
        <f>IF(Table2[[#This Row],[Qty available]]&gt;Table2[[#This Row],[Qty on hand]],"Check","OK")</f>
        <v>OK</v>
      </c>
    </row>
    <row r="2839" spans="1:24" x14ac:dyDescent="0.3">
      <c r="A2839" t="s">
        <v>297</v>
      </c>
      <c r="B2839" t="s">
        <v>298</v>
      </c>
      <c r="C2839" t="s">
        <v>25</v>
      </c>
      <c r="D2839" t="s">
        <v>26</v>
      </c>
      <c r="E2839" t="s">
        <v>27</v>
      </c>
      <c r="F2839" s="1" t="s">
        <v>34</v>
      </c>
      <c r="G2839" s="2">
        <v>36.159999999999997</v>
      </c>
      <c r="H2839">
        <v>36.159999999999997</v>
      </c>
      <c r="I2839">
        <v>35.321843999999999</v>
      </c>
      <c r="J2839">
        <v>52.49</v>
      </c>
      <c r="K2839">
        <v>44</v>
      </c>
      <c r="L2839" s="2">
        <v>42</v>
      </c>
      <c r="M2839">
        <v>6</v>
      </c>
      <c r="N2839" s="2">
        <v>141</v>
      </c>
      <c r="O2839">
        <v>4980.38</v>
      </c>
      <c r="P2839">
        <v>8</v>
      </c>
      <c r="Q2839">
        <v>133</v>
      </c>
      <c r="R2839">
        <v>5.19</v>
      </c>
      <c r="S2839">
        <v>2</v>
      </c>
      <c r="T2839">
        <v>57</v>
      </c>
      <c r="U2839" s="2">
        <v>2991.93</v>
      </c>
      <c r="V2839">
        <v>0</v>
      </c>
      <c r="W2839" t="s">
        <v>29</v>
      </c>
      <c r="X2839" t="str">
        <f>IF(Table2[[#This Row],[Qty available]]&gt;Table2[[#This Row],[Qty on hand]],"Check","OK")</f>
        <v>OK</v>
      </c>
    </row>
    <row r="2840" spans="1:24" x14ac:dyDescent="0.3">
      <c r="A2840" t="s">
        <v>297</v>
      </c>
      <c r="B2840" t="s">
        <v>298</v>
      </c>
      <c r="C2840" t="s">
        <v>25</v>
      </c>
      <c r="D2840" t="s">
        <v>26</v>
      </c>
      <c r="E2840" t="s">
        <v>27</v>
      </c>
      <c r="F2840" s="1" t="s">
        <v>35</v>
      </c>
      <c r="G2840" s="2">
        <v>35.909999999999997</v>
      </c>
      <c r="H2840">
        <v>35.909999999999997</v>
      </c>
      <c r="I2840">
        <v>35.673744999999997</v>
      </c>
      <c r="J2840">
        <v>52.49</v>
      </c>
      <c r="K2840">
        <v>44</v>
      </c>
      <c r="L2840" s="2">
        <v>42</v>
      </c>
      <c r="M2840">
        <v>210</v>
      </c>
      <c r="N2840" s="2">
        <v>235</v>
      </c>
      <c r="O2840">
        <v>8383.33</v>
      </c>
      <c r="P2840">
        <v>8</v>
      </c>
      <c r="Q2840">
        <v>227</v>
      </c>
      <c r="R2840">
        <v>8.35</v>
      </c>
      <c r="S2840">
        <v>2</v>
      </c>
      <c r="T2840">
        <v>116</v>
      </c>
      <c r="U2840" s="2">
        <v>6088.84</v>
      </c>
      <c r="V2840">
        <v>0</v>
      </c>
      <c r="W2840" t="s">
        <v>29</v>
      </c>
      <c r="X2840" t="str">
        <f>IF(Table2[[#This Row],[Qty available]]&gt;Table2[[#This Row],[Qty on hand]],"Check","OK")</f>
        <v>OK</v>
      </c>
    </row>
    <row r="2841" spans="1:24" x14ac:dyDescent="0.3">
      <c r="A2841" t="s">
        <v>297</v>
      </c>
      <c r="B2841" t="s">
        <v>298</v>
      </c>
      <c r="C2841" t="s">
        <v>25</v>
      </c>
      <c r="D2841" t="s">
        <v>26</v>
      </c>
      <c r="E2841" t="s">
        <v>27</v>
      </c>
      <c r="F2841" s="1" t="s">
        <v>36</v>
      </c>
      <c r="G2841" s="2">
        <v>36.619999999999997</v>
      </c>
      <c r="H2841">
        <v>36.619999999999997</v>
      </c>
      <c r="I2841">
        <v>35.673727</v>
      </c>
      <c r="J2841">
        <v>52.49</v>
      </c>
      <c r="K2841">
        <v>44</v>
      </c>
      <c r="M2841">
        <v>0</v>
      </c>
      <c r="N2841" s="2">
        <v>161</v>
      </c>
      <c r="O2841">
        <v>5743.47</v>
      </c>
      <c r="P2841">
        <v>28</v>
      </c>
      <c r="Q2841">
        <v>133</v>
      </c>
      <c r="R2841">
        <v>8.2899999999999991</v>
      </c>
      <c r="S2841">
        <v>0</v>
      </c>
      <c r="T2841">
        <v>74</v>
      </c>
      <c r="U2841" s="2">
        <v>3884.26</v>
      </c>
      <c r="V2841">
        <v>0</v>
      </c>
      <c r="W2841" t="s">
        <v>29</v>
      </c>
      <c r="X2841" t="str">
        <f>IF(Table2[[#This Row],[Qty available]]&gt;Table2[[#This Row],[Qty on hand]],"Check","OK")</f>
        <v>OK</v>
      </c>
    </row>
    <row r="2842" spans="1:24" x14ac:dyDescent="0.3">
      <c r="A2842" t="s">
        <v>297</v>
      </c>
      <c r="B2842" t="s">
        <v>298</v>
      </c>
      <c r="C2842" t="s">
        <v>25</v>
      </c>
      <c r="D2842" t="s">
        <v>26</v>
      </c>
      <c r="E2842" t="s">
        <v>27</v>
      </c>
      <c r="F2842" s="1" t="s">
        <v>37</v>
      </c>
      <c r="G2842" s="2">
        <v>36.68</v>
      </c>
      <c r="H2842">
        <v>36.68</v>
      </c>
      <c r="I2842">
        <v>36.254765999999996</v>
      </c>
      <c r="J2842">
        <v>52.49</v>
      </c>
      <c r="K2842">
        <v>44</v>
      </c>
      <c r="L2842" s="2">
        <v>41</v>
      </c>
      <c r="M2842">
        <v>220</v>
      </c>
      <c r="N2842" s="2">
        <v>235</v>
      </c>
      <c r="O2842">
        <v>8519.8700000000008</v>
      </c>
      <c r="P2842">
        <v>36</v>
      </c>
      <c r="Q2842">
        <v>199</v>
      </c>
      <c r="R2842">
        <v>9.19</v>
      </c>
      <c r="S2842">
        <v>1</v>
      </c>
      <c r="T2842">
        <v>146</v>
      </c>
      <c r="U2842" s="2">
        <v>7663.54</v>
      </c>
      <c r="V2842">
        <v>0</v>
      </c>
      <c r="W2842" t="s">
        <v>29</v>
      </c>
      <c r="X2842" t="str">
        <f>IF(Table2[[#This Row],[Qty available]]&gt;Table2[[#This Row],[Qty on hand]],"Check","OK")</f>
        <v>OK</v>
      </c>
    </row>
    <row r="2843" spans="1:24" x14ac:dyDescent="0.3">
      <c r="A2843" t="s">
        <v>297</v>
      </c>
      <c r="B2843" t="s">
        <v>298</v>
      </c>
      <c r="C2843" t="s">
        <v>25</v>
      </c>
      <c r="D2843" t="s">
        <v>26</v>
      </c>
      <c r="E2843" t="s">
        <v>27</v>
      </c>
      <c r="F2843" s="1" t="s">
        <v>38</v>
      </c>
      <c r="G2843" s="2">
        <v>37.369999999999997</v>
      </c>
      <c r="H2843">
        <v>37.369999999999997</v>
      </c>
      <c r="I2843">
        <v>36.596927000000001</v>
      </c>
      <c r="J2843">
        <v>52.49</v>
      </c>
      <c r="K2843">
        <v>44</v>
      </c>
      <c r="L2843" s="2">
        <v>43</v>
      </c>
      <c r="M2843">
        <v>104</v>
      </c>
      <c r="N2843" s="2">
        <v>192</v>
      </c>
      <c r="O2843">
        <v>7026.61</v>
      </c>
      <c r="P2843">
        <v>12</v>
      </c>
      <c r="Q2843">
        <v>180</v>
      </c>
      <c r="R2843">
        <v>6.8</v>
      </c>
      <c r="S2843">
        <v>0</v>
      </c>
      <c r="T2843">
        <v>147</v>
      </c>
      <c r="U2843" s="2">
        <v>7716.03</v>
      </c>
      <c r="V2843">
        <v>0</v>
      </c>
      <c r="W2843" t="s">
        <v>29</v>
      </c>
      <c r="X2843" t="str">
        <f>IF(Table2[[#This Row],[Qty available]]&gt;Table2[[#This Row],[Qty on hand]],"Check","OK")</f>
        <v>OK</v>
      </c>
    </row>
    <row r="2844" spans="1:24" x14ac:dyDescent="0.3">
      <c r="A2844" t="s">
        <v>297</v>
      </c>
      <c r="B2844" t="s">
        <v>298</v>
      </c>
      <c r="C2844" t="s">
        <v>25</v>
      </c>
      <c r="D2844" t="s">
        <v>26</v>
      </c>
      <c r="E2844" t="s">
        <v>27</v>
      </c>
      <c r="F2844" s="1" t="s">
        <v>39</v>
      </c>
      <c r="G2844" s="2">
        <v>36.18</v>
      </c>
      <c r="H2844">
        <v>36.18</v>
      </c>
      <c r="I2844">
        <v>36.355167999999999</v>
      </c>
      <c r="J2844">
        <v>52.49</v>
      </c>
      <c r="K2844">
        <v>44</v>
      </c>
      <c r="L2844" s="2">
        <v>42</v>
      </c>
      <c r="M2844">
        <v>265</v>
      </c>
      <c r="N2844" s="2">
        <v>327</v>
      </c>
      <c r="O2844">
        <v>11888.14</v>
      </c>
      <c r="P2844">
        <v>8</v>
      </c>
      <c r="Q2844">
        <v>319</v>
      </c>
      <c r="R2844">
        <v>10.16</v>
      </c>
      <c r="S2844">
        <v>1</v>
      </c>
      <c r="T2844">
        <v>130</v>
      </c>
      <c r="U2844" s="2">
        <v>6823.7</v>
      </c>
      <c r="V2844">
        <v>0</v>
      </c>
      <c r="W2844" t="s">
        <v>29</v>
      </c>
      <c r="X2844" t="str">
        <f>IF(Table2[[#This Row],[Qty available]]&gt;Table2[[#This Row],[Qty on hand]],"Check","OK")</f>
        <v>OK</v>
      </c>
    </row>
    <row r="2845" spans="1:24" x14ac:dyDescent="0.3">
      <c r="A2845" t="s">
        <v>297</v>
      </c>
      <c r="B2845" t="s">
        <v>298</v>
      </c>
      <c r="C2845" t="s">
        <v>25</v>
      </c>
      <c r="D2845" t="s">
        <v>26</v>
      </c>
      <c r="E2845" t="s">
        <v>27</v>
      </c>
      <c r="F2845" s="1" t="s">
        <v>40</v>
      </c>
      <c r="G2845" s="2">
        <v>36.43</v>
      </c>
      <c r="H2845">
        <v>36.43</v>
      </c>
      <c r="I2845">
        <v>36.369858000000001</v>
      </c>
      <c r="J2845">
        <v>52.49</v>
      </c>
      <c r="K2845">
        <v>44</v>
      </c>
      <c r="L2845" s="2">
        <v>38</v>
      </c>
      <c r="M2845">
        <v>80</v>
      </c>
      <c r="N2845" s="2">
        <v>211</v>
      </c>
      <c r="O2845">
        <v>7674.04</v>
      </c>
      <c r="P2845">
        <v>8</v>
      </c>
      <c r="Q2845">
        <v>203</v>
      </c>
      <c r="R2845">
        <v>5.86</v>
      </c>
      <c r="S2845">
        <v>1</v>
      </c>
      <c r="T2845">
        <v>196</v>
      </c>
      <c r="U2845" s="2">
        <v>10288.040000000001</v>
      </c>
      <c r="V2845">
        <v>0</v>
      </c>
      <c r="W2845" t="s">
        <v>29</v>
      </c>
      <c r="X2845" t="str">
        <f>IF(Table2[[#This Row],[Qty available]]&gt;Table2[[#This Row],[Qty on hand]],"Check","OK")</f>
        <v>OK</v>
      </c>
    </row>
    <row r="2846" spans="1:24" x14ac:dyDescent="0.3">
      <c r="A2846" t="s">
        <v>297</v>
      </c>
      <c r="B2846" t="s">
        <v>298</v>
      </c>
      <c r="C2846" t="s">
        <v>25</v>
      </c>
      <c r="D2846" t="s">
        <v>26</v>
      </c>
      <c r="E2846" t="s">
        <v>27</v>
      </c>
      <c r="F2846" s="1" t="s">
        <v>41</v>
      </c>
      <c r="G2846" s="2">
        <v>36.869999999999997</v>
      </c>
      <c r="H2846">
        <v>36.869999999999997</v>
      </c>
      <c r="I2846">
        <v>36.454500000000003</v>
      </c>
      <c r="J2846">
        <v>52.49</v>
      </c>
      <c r="K2846">
        <v>44</v>
      </c>
      <c r="L2846" s="2">
        <v>42</v>
      </c>
      <c r="M2846">
        <v>43</v>
      </c>
      <c r="N2846" s="2">
        <v>160</v>
      </c>
      <c r="O2846">
        <v>5832.72</v>
      </c>
      <c r="P2846">
        <v>12</v>
      </c>
      <c r="Q2846">
        <v>148</v>
      </c>
      <c r="R2846">
        <v>5.01</v>
      </c>
      <c r="S2846">
        <v>4</v>
      </c>
      <c r="T2846">
        <v>94</v>
      </c>
      <c r="U2846" s="2">
        <v>4934.0600000000004</v>
      </c>
      <c r="V2846">
        <v>0</v>
      </c>
      <c r="W2846" t="s">
        <v>29</v>
      </c>
      <c r="X2846" t="str">
        <f>IF(Table2[[#This Row],[Qty available]]&gt;Table2[[#This Row],[Qty on hand]],"Check","OK")</f>
        <v>OK</v>
      </c>
    </row>
    <row r="2847" spans="1:24" x14ac:dyDescent="0.3">
      <c r="A2847" t="s">
        <v>297</v>
      </c>
      <c r="B2847" t="s">
        <v>298</v>
      </c>
      <c r="C2847" t="s">
        <v>25</v>
      </c>
      <c r="D2847" t="s">
        <v>26</v>
      </c>
      <c r="E2847" t="s">
        <v>27</v>
      </c>
      <c r="F2847" s="1" t="s">
        <v>42</v>
      </c>
      <c r="G2847" s="2">
        <v>37.479999999999997</v>
      </c>
      <c r="H2847">
        <v>37.479999999999997</v>
      </c>
      <c r="I2847">
        <v>36.867784</v>
      </c>
      <c r="J2847">
        <v>52.49</v>
      </c>
      <c r="K2847">
        <v>44</v>
      </c>
      <c r="L2847" s="2">
        <v>38</v>
      </c>
      <c r="M2847">
        <v>108</v>
      </c>
      <c r="N2847" s="2">
        <v>176</v>
      </c>
      <c r="O2847">
        <v>6488.73</v>
      </c>
      <c r="P2847">
        <v>8</v>
      </c>
      <c r="Q2847">
        <v>168</v>
      </c>
      <c r="R2847">
        <v>6.06</v>
      </c>
      <c r="S2847">
        <v>1</v>
      </c>
      <c r="T2847">
        <v>92</v>
      </c>
      <c r="U2847" s="2">
        <v>4829.08</v>
      </c>
      <c r="V2847">
        <v>0</v>
      </c>
      <c r="W2847" t="s">
        <v>29</v>
      </c>
      <c r="X2847" t="str">
        <f>IF(Table2[[#This Row],[Qty available]]&gt;Table2[[#This Row],[Qty on hand]],"Check","OK")</f>
        <v>OK</v>
      </c>
    </row>
    <row r="2848" spans="1:24" x14ac:dyDescent="0.3">
      <c r="A2848" t="s">
        <v>297</v>
      </c>
      <c r="B2848" t="s">
        <v>298</v>
      </c>
      <c r="C2848" t="s">
        <v>25</v>
      </c>
      <c r="D2848" t="s">
        <v>26</v>
      </c>
      <c r="E2848" t="s">
        <v>27</v>
      </c>
      <c r="F2848" s="1" t="s">
        <v>43</v>
      </c>
      <c r="G2848" s="2">
        <v>36.26</v>
      </c>
      <c r="H2848">
        <v>36.26</v>
      </c>
      <c r="I2848">
        <v>36.591202000000003</v>
      </c>
      <c r="J2848">
        <v>52.49</v>
      </c>
      <c r="K2848">
        <v>44</v>
      </c>
      <c r="L2848" s="2">
        <v>39</v>
      </c>
      <c r="M2848">
        <v>147</v>
      </c>
      <c r="N2848" s="2">
        <v>183</v>
      </c>
      <c r="O2848">
        <v>6696.19</v>
      </c>
      <c r="P2848">
        <v>28</v>
      </c>
      <c r="Q2848">
        <v>155</v>
      </c>
      <c r="R2848">
        <v>7.3</v>
      </c>
      <c r="S2848">
        <v>1</v>
      </c>
      <c r="T2848">
        <v>140</v>
      </c>
      <c r="U2848" s="2">
        <v>7348.6</v>
      </c>
      <c r="V2848">
        <v>0</v>
      </c>
      <c r="W2848" t="s">
        <v>29</v>
      </c>
      <c r="X2848" t="str">
        <f>IF(Table2[[#This Row],[Qty available]]&gt;Table2[[#This Row],[Qty on hand]],"Check","OK")</f>
        <v>OK</v>
      </c>
    </row>
    <row r="2849" spans="1:24" x14ac:dyDescent="0.3">
      <c r="A2849" t="s">
        <v>297</v>
      </c>
      <c r="B2849" t="s">
        <v>298</v>
      </c>
      <c r="C2849" t="s">
        <v>25</v>
      </c>
      <c r="D2849" t="s">
        <v>26</v>
      </c>
      <c r="E2849" t="s">
        <v>27</v>
      </c>
      <c r="F2849" s="1" t="s">
        <v>44</v>
      </c>
      <c r="G2849" s="2">
        <v>36.19</v>
      </c>
      <c r="H2849">
        <v>36.19</v>
      </c>
      <c r="I2849">
        <v>36.342331999999999</v>
      </c>
      <c r="J2849">
        <v>52.49</v>
      </c>
      <c r="K2849">
        <v>44</v>
      </c>
      <c r="L2849" s="2">
        <v>43</v>
      </c>
      <c r="M2849">
        <v>299</v>
      </c>
      <c r="N2849" s="2">
        <v>313</v>
      </c>
      <c r="O2849">
        <v>11375.15</v>
      </c>
      <c r="P2849">
        <v>20</v>
      </c>
      <c r="Q2849">
        <v>293</v>
      </c>
      <c r="R2849">
        <v>10.26</v>
      </c>
      <c r="S2849">
        <v>0</v>
      </c>
      <c r="T2849">
        <v>169</v>
      </c>
      <c r="U2849" s="2">
        <v>8870.81</v>
      </c>
      <c r="V2849">
        <v>0</v>
      </c>
      <c r="W2849" t="s">
        <v>29</v>
      </c>
      <c r="X2849" t="str">
        <f>IF(Table2[[#This Row],[Qty available]]&gt;Table2[[#This Row],[Qty on hand]],"Check","OK")</f>
        <v>OK</v>
      </c>
    </row>
    <row r="2850" spans="1:24" x14ac:dyDescent="0.3">
      <c r="A2850" t="s">
        <v>297</v>
      </c>
      <c r="B2850" t="s">
        <v>298</v>
      </c>
      <c r="C2850" t="s">
        <v>25</v>
      </c>
      <c r="D2850" t="s">
        <v>26</v>
      </c>
      <c r="E2850" t="s">
        <v>27</v>
      </c>
      <c r="F2850" s="1" t="s">
        <v>45</v>
      </c>
      <c r="G2850" s="2">
        <v>36.67</v>
      </c>
      <c r="H2850">
        <v>36.67</v>
      </c>
      <c r="I2850">
        <v>36.342331000000001</v>
      </c>
      <c r="J2850">
        <v>52.49</v>
      </c>
      <c r="K2850">
        <v>44</v>
      </c>
      <c r="M2850">
        <v>0</v>
      </c>
      <c r="N2850" s="2">
        <v>236</v>
      </c>
      <c r="O2850">
        <v>8576.7900000000009</v>
      </c>
      <c r="P2850">
        <v>8</v>
      </c>
      <c r="Q2850">
        <v>228</v>
      </c>
      <c r="R2850">
        <v>8.0399999999999991</v>
      </c>
      <c r="S2850">
        <v>5</v>
      </c>
      <c r="T2850">
        <v>77</v>
      </c>
      <c r="U2850" s="2">
        <v>4041.73</v>
      </c>
      <c r="V2850">
        <v>0</v>
      </c>
      <c r="W2850" t="s">
        <v>29</v>
      </c>
      <c r="X2850" t="str">
        <f>IF(Table2[[#This Row],[Qty available]]&gt;Table2[[#This Row],[Qty on hand]],"Check","OK")</f>
        <v>OK</v>
      </c>
    </row>
    <row r="2851" spans="1:24" x14ac:dyDescent="0.3">
      <c r="A2851" t="s">
        <v>297</v>
      </c>
      <c r="B2851" t="s">
        <v>298</v>
      </c>
      <c r="C2851" t="s">
        <v>25</v>
      </c>
      <c r="D2851" t="s">
        <v>26</v>
      </c>
      <c r="E2851" t="s">
        <v>27</v>
      </c>
      <c r="F2851" s="1" t="s">
        <v>46</v>
      </c>
      <c r="G2851" s="2">
        <v>36.950000000000003</v>
      </c>
      <c r="H2851">
        <v>36.950000000000003</v>
      </c>
      <c r="I2851">
        <v>36.691141000000002</v>
      </c>
      <c r="J2851">
        <v>54.16</v>
      </c>
      <c r="K2851">
        <v>44</v>
      </c>
      <c r="L2851" s="2">
        <v>39</v>
      </c>
      <c r="M2851">
        <v>318</v>
      </c>
      <c r="N2851" s="2">
        <v>491</v>
      </c>
      <c r="O2851">
        <v>18015.349999999999</v>
      </c>
      <c r="P2851">
        <v>16</v>
      </c>
      <c r="Q2851">
        <v>475</v>
      </c>
      <c r="R2851">
        <v>20.43</v>
      </c>
      <c r="S2851">
        <v>10</v>
      </c>
      <c r="T2851">
        <v>63</v>
      </c>
      <c r="U2851" s="2">
        <v>3412.08</v>
      </c>
      <c r="V2851">
        <v>0</v>
      </c>
      <c r="W2851" t="s">
        <v>29</v>
      </c>
      <c r="X2851" t="str">
        <f>IF(Table2[[#This Row],[Qty available]]&gt;Table2[[#This Row],[Qty on hand]],"Check","OK")</f>
        <v>OK</v>
      </c>
    </row>
    <row r="2852" spans="1:24" x14ac:dyDescent="0.3">
      <c r="A2852" t="s">
        <v>297</v>
      </c>
      <c r="B2852" t="s">
        <v>298</v>
      </c>
      <c r="C2852" t="s">
        <v>25</v>
      </c>
      <c r="D2852" t="s">
        <v>26</v>
      </c>
      <c r="E2852" t="s">
        <v>27</v>
      </c>
      <c r="F2852" s="1" t="s">
        <v>47</v>
      </c>
      <c r="G2852" s="2">
        <v>37.15</v>
      </c>
      <c r="H2852">
        <v>37.15</v>
      </c>
      <c r="I2852">
        <v>36.691138000000002</v>
      </c>
      <c r="J2852">
        <v>54.16</v>
      </c>
      <c r="K2852">
        <v>44</v>
      </c>
      <c r="M2852">
        <v>0</v>
      </c>
      <c r="N2852" s="2">
        <v>378</v>
      </c>
      <c r="O2852">
        <v>13869.25</v>
      </c>
      <c r="P2852">
        <v>40</v>
      </c>
      <c r="Q2852">
        <v>338</v>
      </c>
      <c r="R2852">
        <v>19.21</v>
      </c>
      <c r="S2852">
        <v>1</v>
      </c>
      <c r="T2852">
        <v>113</v>
      </c>
      <c r="U2852" s="2">
        <v>6120.08</v>
      </c>
      <c r="V2852">
        <v>0</v>
      </c>
      <c r="W2852" t="s">
        <v>29</v>
      </c>
      <c r="X2852" t="str">
        <f>IF(Table2[[#This Row],[Qty available]]&gt;Table2[[#This Row],[Qty on hand]],"Check","OK")</f>
        <v>OK</v>
      </c>
    </row>
    <row r="2853" spans="1:24" x14ac:dyDescent="0.3">
      <c r="A2853" t="s">
        <v>297</v>
      </c>
      <c r="B2853" t="s">
        <v>298</v>
      </c>
      <c r="C2853" t="s">
        <v>25</v>
      </c>
      <c r="D2853" t="s">
        <v>26</v>
      </c>
      <c r="E2853" t="s">
        <v>27</v>
      </c>
      <c r="F2853" s="1" t="s">
        <v>48</v>
      </c>
      <c r="G2853" s="2">
        <v>38.17</v>
      </c>
      <c r="H2853">
        <v>38.17</v>
      </c>
      <c r="I2853">
        <v>36.691127000000002</v>
      </c>
      <c r="J2853">
        <v>54.16</v>
      </c>
      <c r="K2853">
        <v>44</v>
      </c>
      <c r="M2853">
        <v>0</v>
      </c>
      <c r="N2853" s="2">
        <v>284</v>
      </c>
      <c r="O2853">
        <v>10420.280000000001</v>
      </c>
      <c r="P2853">
        <v>28</v>
      </c>
      <c r="Q2853">
        <v>256</v>
      </c>
      <c r="R2853">
        <v>13.37</v>
      </c>
      <c r="S2853">
        <v>3</v>
      </c>
      <c r="T2853">
        <v>94</v>
      </c>
      <c r="U2853" s="2">
        <v>5091.04</v>
      </c>
      <c r="V2853">
        <v>0</v>
      </c>
      <c r="W2853" t="s">
        <v>29</v>
      </c>
      <c r="X2853" t="str">
        <f>IF(Table2[[#This Row],[Qty available]]&gt;Table2[[#This Row],[Qty on hand]],"Check","OK")</f>
        <v>OK</v>
      </c>
    </row>
    <row r="2854" spans="1:24" x14ac:dyDescent="0.3">
      <c r="A2854" t="s">
        <v>297</v>
      </c>
      <c r="B2854" t="s">
        <v>298</v>
      </c>
      <c r="C2854" t="s">
        <v>25</v>
      </c>
      <c r="D2854" t="s">
        <v>26</v>
      </c>
      <c r="E2854" t="s">
        <v>27</v>
      </c>
      <c r="F2854" s="1" t="s">
        <v>49</v>
      </c>
      <c r="G2854" s="2">
        <v>38.14</v>
      </c>
      <c r="H2854">
        <v>38.14</v>
      </c>
      <c r="I2854">
        <v>37.213256000000001</v>
      </c>
      <c r="J2854">
        <v>54.16</v>
      </c>
      <c r="K2854">
        <v>44</v>
      </c>
      <c r="L2854" s="2">
        <v>73</v>
      </c>
      <c r="M2854">
        <v>160</v>
      </c>
      <c r="N2854" s="2">
        <v>347</v>
      </c>
      <c r="O2854">
        <v>12913</v>
      </c>
      <c r="P2854">
        <v>20</v>
      </c>
      <c r="Q2854">
        <v>327</v>
      </c>
      <c r="R2854">
        <v>15</v>
      </c>
      <c r="S2854">
        <v>10</v>
      </c>
      <c r="T2854">
        <v>97</v>
      </c>
      <c r="U2854" s="2">
        <v>5253.52</v>
      </c>
      <c r="V2854">
        <v>0</v>
      </c>
      <c r="W2854" t="s">
        <v>29</v>
      </c>
      <c r="X2854" t="str">
        <f>IF(Table2[[#This Row],[Qty available]]&gt;Table2[[#This Row],[Qty on hand]],"Check","OK")</f>
        <v>OK</v>
      </c>
    </row>
    <row r="2855" spans="1:24" x14ac:dyDescent="0.3">
      <c r="A2855" t="s">
        <v>297</v>
      </c>
      <c r="B2855" t="s">
        <v>298</v>
      </c>
      <c r="C2855" t="s">
        <v>25</v>
      </c>
      <c r="D2855" t="s">
        <v>26</v>
      </c>
      <c r="E2855" t="s">
        <v>27</v>
      </c>
      <c r="F2855" s="1" t="s">
        <v>50</v>
      </c>
      <c r="G2855" s="2">
        <v>37.18</v>
      </c>
      <c r="H2855">
        <v>37.18</v>
      </c>
      <c r="I2855">
        <v>37.209814000000001</v>
      </c>
      <c r="J2855">
        <v>54.16</v>
      </c>
      <c r="K2855">
        <v>44</v>
      </c>
      <c r="L2855" s="2">
        <v>41</v>
      </c>
      <c r="M2855">
        <v>40</v>
      </c>
      <c r="N2855" s="2">
        <v>215</v>
      </c>
      <c r="O2855">
        <v>8000.11</v>
      </c>
      <c r="P2855">
        <v>40</v>
      </c>
      <c r="Q2855">
        <v>175</v>
      </c>
      <c r="R2855">
        <v>7.7</v>
      </c>
      <c r="S2855">
        <v>2</v>
      </c>
      <c r="T2855">
        <v>172</v>
      </c>
      <c r="U2855" s="2">
        <v>9315.52</v>
      </c>
      <c r="V2855">
        <v>0</v>
      </c>
      <c r="W2855" t="s">
        <v>29</v>
      </c>
      <c r="X2855" t="str">
        <f>IF(Table2[[#This Row],[Qty available]]&gt;Table2[[#This Row],[Qty on hand]],"Check","OK")</f>
        <v>OK</v>
      </c>
    </row>
    <row r="2856" spans="1:24" x14ac:dyDescent="0.3">
      <c r="A2856" t="s">
        <v>297</v>
      </c>
      <c r="B2856" t="s">
        <v>298</v>
      </c>
      <c r="C2856" t="s">
        <v>25</v>
      </c>
      <c r="D2856" t="s">
        <v>26</v>
      </c>
      <c r="E2856" t="s">
        <v>27</v>
      </c>
      <c r="F2856" s="1" t="s">
        <v>51</v>
      </c>
      <c r="G2856" s="2">
        <v>37.18</v>
      </c>
      <c r="H2856">
        <v>37.18</v>
      </c>
      <c r="I2856">
        <v>37.209831999999999</v>
      </c>
      <c r="J2856">
        <v>54.16</v>
      </c>
      <c r="K2856">
        <v>44</v>
      </c>
      <c r="M2856">
        <v>0</v>
      </c>
      <c r="N2856" s="2">
        <v>179</v>
      </c>
      <c r="O2856">
        <v>6660.56</v>
      </c>
      <c r="P2856">
        <v>32</v>
      </c>
      <c r="Q2856">
        <v>147</v>
      </c>
      <c r="R2856">
        <v>7.71</v>
      </c>
      <c r="S2856">
        <v>4</v>
      </c>
      <c r="T2856">
        <v>36</v>
      </c>
      <c r="U2856" s="2">
        <v>1949.76</v>
      </c>
      <c r="V2856">
        <v>0</v>
      </c>
      <c r="W2856" t="s">
        <v>29</v>
      </c>
      <c r="X2856" t="str">
        <f>IF(Table2[[#This Row],[Qty available]]&gt;Table2[[#This Row],[Qty on hand]],"Check","OK")</f>
        <v>OK</v>
      </c>
    </row>
    <row r="2857" spans="1:24" x14ac:dyDescent="0.3">
      <c r="A2857" t="s">
        <v>297</v>
      </c>
      <c r="B2857" t="s">
        <v>298</v>
      </c>
      <c r="C2857" t="s">
        <v>25</v>
      </c>
      <c r="D2857" t="s">
        <v>26</v>
      </c>
      <c r="E2857" t="s">
        <v>27</v>
      </c>
      <c r="F2857" s="1" t="s">
        <v>52</v>
      </c>
      <c r="G2857" s="2">
        <v>37.700000000000003</v>
      </c>
      <c r="H2857">
        <v>37.700000000000003</v>
      </c>
      <c r="I2857">
        <v>37.462851000000001</v>
      </c>
      <c r="J2857">
        <v>54.16</v>
      </c>
      <c r="K2857">
        <v>44</v>
      </c>
      <c r="L2857" s="2">
        <v>44</v>
      </c>
      <c r="M2857">
        <v>191</v>
      </c>
      <c r="N2857" s="2">
        <v>235</v>
      </c>
      <c r="O2857">
        <v>8803.77</v>
      </c>
      <c r="P2857">
        <v>40</v>
      </c>
      <c r="Q2857">
        <v>195</v>
      </c>
      <c r="R2857">
        <v>9</v>
      </c>
      <c r="S2857">
        <v>0</v>
      </c>
      <c r="T2857">
        <v>135</v>
      </c>
      <c r="U2857" s="2">
        <v>7311.6</v>
      </c>
      <c r="V2857">
        <v>0</v>
      </c>
      <c r="W2857" t="s">
        <v>29</v>
      </c>
      <c r="X2857" t="str">
        <f>IF(Table2[[#This Row],[Qty available]]&gt;Table2[[#This Row],[Qty on hand]],"Check","OK")</f>
        <v>OK</v>
      </c>
    </row>
    <row r="2858" spans="1:24" x14ac:dyDescent="0.3">
      <c r="A2858" t="s">
        <v>299</v>
      </c>
      <c r="B2858" t="s">
        <v>300</v>
      </c>
      <c r="C2858" t="s">
        <v>77</v>
      </c>
      <c r="D2858" t="s">
        <v>78</v>
      </c>
      <c r="E2858" t="s">
        <v>66</v>
      </c>
      <c r="F2858" s="1" t="s">
        <v>28</v>
      </c>
      <c r="G2858" s="2">
        <v>3.84</v>
      </c>
      <c r="H2858">
        <v>4.21</v>
      </c>
      <c r="I2858">
        <v>4.2611730000000003</v>
      </c>
      <c r="J2858">
        <v>5.8</v>
      </c>
      <c r="K2858">
        <v>34</v>
      </c>
      <c r="L2858" s="2">
        <v>32</v>
      </c>
      <c r="M2858">
        <v>461</v>
      </c>
      <c r="N2858" s="2">
        <v>554</v>
      </c>
      <c r="O2858">
        <v>2360.69</v>
      </c>
      <c r="P2858">
        <v>152</v>
      </c>
      <c r="Q2858">
        <v>402</v>
      </c>
      <c r="R2858">
        <v>3</v>
      </c>
      <c r="S2858">
        <v>0</v>
      </c>
      <c r="T2858">
        <v>1212</v>
      </c>
      <c r="U2858" s="2">
        <v>7029.6</v>
      </c>
      <c r="V2858">
        <v>0</v>
      </c>
      <c r="W2858" t="s">
        <v>29</v>
      </c>
      <c r="X2858" t="str">
        <f>IF(Table2[[#This Row],[Qty available]]&gt;Table2[[#This Row],[Qty on hand]],"Check","OK")</f>
        <v>OK</v>
      </c>
    </row>
    <row r="2859" spans="1:24" x14ac:dyDescent="0.3">
      <c r="A2859" t="s">
        <v>299</v>
      </c>
      <c r="B2859" t="s">
        <v>300</v>
      </c>
      <c r="C2859" t="s">
        <v>77</v>
      </c>
      <c r="D2859" t="s">
        <v>78</v>
      </c>
      <c r="E2859" t="s">
        <v>66</v>
      </c>
      <c r="F2859" s="1" t="s">
        <v>30</v>
      </c>
      <c r="G2859" s="2">
        <v>3.9</v>
      </c>
      <c r="H2859">
        <v>4.2699999999999996</v>
      </c>
      <c r="I2859">
        <v>4.2674630000000002</v>
      </c>
      <c r="J2859">
        <v>5.8</v>
      </c>
      <c r="K2859">
        <v>34</v>
      </c>
      <c r="L2859" s="2">
        <v>34</v>
      </c>
      <c r="M2859">
        <v>1372</v>
      </c>
      <c r="N2859" s="2">
        <v>1277</v>
      </c>
      <c r="O2859">
        <v>5449.55</v>
      </c>
      <c r="P2859">
        <v>43</v>
      </c>
      <c r="Q2859">
        <v>1234</v>
      </c>
      <c r="R2859">
        <v>6.71</v>
      </c>
      <c r="S2859">
        <v>3</v>
      </c>
      <c r="T2859">
        <v>649</v>
      </c>
      <c r="U2859" s="2">
        <v>3764.2</v>
      </c>
      <c r="V2859">
        <v>0</v>
      </c>
      <c r="W2859" t="s">
        <v>29</v>
      </c>
      <c r="X2859" t="str">
        <f>IF(Table2[[#This Row],[Qty available]]&gt;Table2[[#This Row],[Qty on hand]],"Check","OK")</f>
        <v>OK</v>
      </c>
    </row>
    <row r="2860" spans="1:24" x14ac:dyDescent="0.3">
      <c r="A2860" t="s">
        <v>299</v>
      </c>
      <c r="B2860" t="s">
        <v>300</v>
      </c>
      <c r="C2860" t="s">
        <v>77</v>
      </c>
      <c r="D2860" t="s">
        <v>78</v>
      </c>
      <c r="E2860" t="s">
        <v>66</v>
      </c>
      <c r="F2860" s="1" t="s">
        <v>31</v>
      </c>
      <c r="G2860" s="2">
        <v>3.85</v>
      </c>
      <c r="H2860">
        <v>4.22</v>
      </c>
      <c r="I2860">
        <v>4.2674539999999999</v>
      </c>
      <c r="J2860">
        <v>5.8</v>
      </c>
      <c r="K2860">
        <v>34</v>
      </c>
      <c r="M2860">
        <v>0</v>
      </c>
      <c r="N2860" s="2">
        <v>538</v>
      </c>
      <c r="O2860">
        <v>2295.89</v>
      </c>
      <c r="P2860">
        <v>108</v>
      </c>
      <c r="Q2860">
        <v>430</v>
      </c>
      <c r="R2860">
        <v>2.69</v>
      </c>
      <c r="S2860">
        <v>0</v>
      </c>
      <c r="T2860">
        <v>739</v>
      </c>
      <c r="U2860" s="2">
        <v>4286.2</v>
      </c>
      <c r="V2860">
        <v>0</v>
      </c>
      <c r="W2860" t="s">
        <v>29</v>
      </c>
      <c r="X2860" t="str">
        <f>IF(Table2[[#This Row],[Qty available]]&gt;Table2[[#This Row],[Qty on hand]],"Check","OK")</f>
        <v>OK</v>
      </c>
    </row>
    <row r="2861" spans="1:24" x14ac:dyDescent="0.3">
      <c r="A2861" t="s">
        <v>299</v>
      </c>
      <c r="B2861" t="s">
        <v>300</v>
      </c>
      <c r="C2861" t="s">
        <v>77</v>
      </c>
      <c r="D2861" t="s">
        <v>78</v>
      </c>
      <c r="E2861" t="s">
        <v>66</v>
      </c>
      <c r="F2861" s="1" t="s">
        <v>32</v>
      </c>
      <c r="G2861" s="2">
        <v>3.89</v>
      </c>
      <c r="H2861">
        <v>4.26</v>
      </c>
      <c r="I2861">
        <v>4.2619009999999999</v>
      </c>
      <c r="J2861">
        <v>5.8</v>
      </c>
      <c r="K2861">
        <v>34</v>
      </c>
      <c r="L2861" s="2">
        <v>32</v>
      </c>
      <c r="M2861">
        <v>1570</v>
      </c>
      <c r="N2861" s="2">
        <v>1347</v>
      </c>
      <c r="O2861">
        <v>5740.78</v>
      </c>
      <c r="P2861">
        <v>217</v>
      </c>
      <c r="Q2861">
        <v>1130</v>
      </c>
      <c r="R2861">
        <v>8.24</v>
      </c>
      <c r="S2861">
        <v>1</v>
      </c>
      <c r="T2861">
        <v>761</v>
      </c>
      <c r="U2861" s="2">
        <v>4413.8</v>
      </c>
      <c r="V2861">
        <v>0</v>
      </c>
      <c r="W2861" t="s">
        <v>29</v>
      </c>
      <c r="X2861" t="str">
        <f>IF(Table2[[#This Row],[Qty available]]&gt;Table2[[#This Row],[Qty on hand]],"Check","OK")</f>
        <v>OK</v>
      </c>
    </row>
    <row r="2862" spans="1:24" x14ac:dyDescent="0.3">
      <c r="A2862" t="s">
        <v>299</v>
      </c>
      <c r="B2862" t="s">
        <v>300</v>
      </c>
      <c r="C2862" t="s">
        <v>77</v>
      </c>
      <c r="D2862" t="s">
        <v>78</v>
      </c>
      <c r="E2862" t="s">
        <v>66</v>
      </c>
      <c r="F2862" s="1" t="s">
        <v>33</v>
      </c>
      <c r="G2862" s="2">
        <v>3.91</v>
      </c>
      <c r="H2862">
        <v>4.28</v>
      </c>
      <c r="I2862">
        <v>4.2619049999999996</v>
      </c>
      <c r="J2862">
        <v>5.8</v>
      </c>
      <c r="K2862">
        <v>34</v>
      </c>
      <c r="M2862">
        <v>0</v>
      </c>
      <c r="N2862" s="2">
        <v>336</v>
      </c>
      <c r="O2862">
        <v>1432</v>
      </c>
      <c r="P2862">
        <v>65</v>
      </c>
      <c r="Q2862">
        <v>271</v>
      </c>
      <c r="R2862">
        <v>1.76</v>
      </c>
      <c r="S2862">
        <v>0</v>
      </c>
      <c r="T2862">
        <v>1011</v>
      </c>
      <c r="U2862" s="2">
        <v>5863.8</v>
      </c>
      <c r="V2862">
        <v>0</v>
      </c>
      <c r="W2862" t="s">
        <v>29</v>
      </c>
      <c r="X2862" t="str">
        <f>IF(Table2[[#This Row],[Qty available]]&gt;Table2[[#This Row],[Qty on hand]],"Check","OK")</f>
        <v>OK</v>
      </c>
    </row>
    <row r="2863" spans="1:24" x14ac:dyDescent="0.3">
      <c r="A2863" t="s">
        <v>299</v>
      </c>
      <c r="B2863" t="s">
        <v>300</v>
      </c>
      <c r="C2863" t="s">
        <v>77</v>
      </c>
      <c r="D2863" t="s">
        <v>78</v>
      </c>
      <c r="E2863" t="s">
        <v>66</v>
      </c>
      <c r="F2863" s="1" t="s">
        <v>34</v>
      </c>
      <c r="G2863" s="2">
        <v>3.92</v>
      </c>
      <c r="H2863">
        <v>4.29</v>
      </c>
      <c r="I2863">
        <v>4.2839450000000001</v>
      </c>
      <c r="J2863">
        <v>6.14</v>
      </c>
      <c r="K2863">
        <v>34</v>
      </c>
      <c r="L2863" s="2">
        <v>33</v>
      </c>
      <c r="M2863">
        <v>1223</v>
      </c>
      <c r="N2863" s="2">
        <v>1014</v>
      </c>
      <c r="O2863">
        <v>4343.92</v>
      </c>
      <c r="P2863">
        <v>87</v>
      </c>
      <c r="Q2863">
        <v>927</v>
      </c>
      <c r="R2863">
        <v>5.63</v>
      </c>
      <c r="S2863">
        <v>0</v>
      </c>
      <c r="T2863">
        <v>545</v>
      </c>
      <c r="U2863" s="2">
        <v>3346.3</v>
      </c>
      <c r="V2863">
        <v>0</v>
      </c>
      <c r="W2863" t="s">
        <v>29</v>
      </c>
      <c r="X2863" t="str">
        <f>IF(Table2[[#This Row],[Qty available]]&gt;Table2[[#This Row],[Qty on hand]],"Check","OK")</f>
        <v>OK</v>
      </c>
    </row>
    <row r="2864" spans="1:24" x14ac:dyDescent="0.3">
      <c r="A2864" t="s">
        <v>299</v>
      </c>
      <c r="B2864" t="s">
        <v>300</v>
      </c>
      <c r="C2864" t="s">
        <v>77</v>
      </c>
      <c r="D2864" t="s">
        <v>78</v>
      </c>
      <c r="E2864" t="s">
        <v>66</v>
      </c>
      <c r="F2864" s="1" t="s">
        <v>35</v>
      </c>
      <c r="G2864" s="2">
        <v>4.0599999999999996</v>
      </c>
      <c r="H2864">
        <v>4.45</v>
      </c>
      <c r="I2864">
        <v>4.2967870000000001</v>
      </c>
      <c r="J2864">
        <v>6.14</v>
      </c>
      <c r="K2864">
        <v>34</v>
      </c>
      <c r="L2864" s="2">
        <v>50</v>
      </c>
      <c r="M2864">
        <v>85</v>
      </c>
      <c r="N2864" s="2">
        <v>778</v>
      </c>
      <c r="O2864">
        <v>3342.9</v>
      </c>
      <c r="P2864">
        <v>108</v>
      </c>
      <c r="Q2864">
        <v>670</v>
      </c>
      <c r="R2864">
        <v>5.33</v>
      </c>
      <c r="S2864">
        <v>1</v>
      </c>
      <c r="T2864">
        <v>321</v>
      </c>
      <c r="U2864" s="2">
        <v>1970.94</v>
      </c>
      <c r="V2864">
        <v>0</v>
      </c>
      <c r="W2864" t="s">
        <v>29</v>
      </c>
      <c r="X2864" t="str">
        <f>IF(Table2[[#This Row],[Qty available]]&gt;Table2[[#This Row],[Qty on hand]],"Check","OK")</f>
        <v>OK</v>
      </c>
    </row>
    <row r="2865" spans="1:24" x14ac:dyDescent="0.3">
      <c r="A2865" t="s">
        <v>299</v>
      </c>
      <c r="B2865" t="s">
        <v>300</v>
      </c>
      <c r="C2865" t="s">
        <v>77</v>
      </c>
      <c r="D2865" t="s">
        <v>78</v>
      </c>
      <c r="E2865" t="s">
        <v>66</v>
      </c>
      <c r="F2865" s="1" t="s">
        <v>36</v>
      </c>
      <c r="G2865" s="2">
        <v>4.08</v>
      </c>
      <c r="H2865">
        <v>4.47</v>
      </c>
      <c r="I2865">
        <v>4.398809</v>
      </c>
      <c r="J2865">
        <v>6.14</v>
      </c>
      <c r="K2865">
        <v>34</v>
      </c>
      <c r="L2865" s="2">
        <v>45</v>
      </c>
      <c r="M2865">
        <v>1115</v>
      </c>
      <c r="N2865" s="2">
        <v>1310</v>
      </c>
      <c r="O2865">
        <v>5762.44</v>
      </c>
      <c r="P2865">
        <v>152</v>
      </c>
      <c r="Q2865">
        <v>1158</v>
      </c>
      <c r="R2865">
        <v>11.49</v>
      </c>
      <c r="S2865">
        <v>1</v>
      </c>
      <c r="T2865">
        <v>583</v>
      </c>
      <c r="U2865" s="2">
        <v>3579.62</v>
      </c>
      <c r="V2865">
        <v>0</v>
      </c>
      <c r="W2865" t="s">
        <v>29</v>
      </c>
      <c r="X2865" t="str">
        <f>IF(Table2[[#This Row],[Qty available]]&gt;Table2[[#This Row],[Qty on hand]],"Check","OK")</f>
        <v>OK</v>
      </c>
    </row>
    <row r="2866" spans="1:24" x14ac:dyDescent="0.3">
      <c r="A2866" t="s">
        <v>299</v>
      </c>
      <c r="B2866" t="s">
        <v>300</v>
      </c>
      <c r="C2866" t="s">
        <v>77</v>
      </c>
      <c r="D2866" t="s">
        <v>78</v>
      </c>
      <c r="E2866" t="s">
        <v>66</v>
      </c>
      <c r="F2866" s="1" t="s">
        <v>37</v>
      </c>
      <c r="G2866" s="2">
        <v>4.18</v>
      </c>
      <c r="H2866">
        <v>4.58</v>
      </c>
      <c r="I2866">
        <v>4.478955</v>
      </c>
      <c r="J2866">
        <v>6.14</v>
      </c>
      <c r="K2866">
        <v>34</v>
      </c>
      <c r="L2866" s="2">
        <v>31</v>
      </c>
      <c r="M2866">
        <v>1039</v>
      </c>
      <c r="N2866" s="2">
        <v>1894</v>
      </c>
      <c r="O2866">
        <v>8483.14</v>
      </c>
      <c r="P2866">
        <v>217</v>
      </c>
      <c r="Q2866">
        <v>1677</v>
      </c>
      <c r="R2866">
        <v>18.32</v>
      </c>
      <c r="S2866">
        <v>3</v>
      </c>
      <c r="T2866">
        <v>455</v>
      </c>
      <c r="U2866" s="2">
        <v>2793.7</v>
      </c>
      <c r="V2866">
        <v>0</v>
      </c>
      <c r="W2866" t="s">
        <v>29</v>
      </c>
      <c r="X2866" t="str">
        <f>IF(Table2[[#This Row],[Qty available]]&gt;Table2[[#This Row],[Qty on hand]],"Check","OK")</f>
        <v>OK</v>
      </c>
    </row>
    <row r="2867" spans="1:24" x14ac:dyDescent="0.3">
      <c r="A2867" t="s">
        <v>299</v>
      </c>
      <c r="B2867" t="s">
        <v>300</v>
      </c>
      <c r="C2867" t="s">
        <v>77</v>
      </c>
      <c r="D2867" t="s">
        <v>78</v>
      </c>
      <c r="E2867" t="s">
        <v>66</v>
      </c>
      <c r="F2867" s="1" t="s">
        <v>38</v>
      </c>
      <c r="G2867" s="2">
        <v>4.0999999999999996</v>
      </c>
      <c r="H2867">
        <v>4.49</v>
      </c>
      <c r="I2867">
        <v>4.4811579999999998</v>
      </c>
      <c r="J2867">
        <v>6.14</v>
      </c>
      <c r="K2867">
        <v>34</v>
      </c>
      <c r="L2867" s="2">
        <v>30</v>
      </c>
      <c r="M2867">
        <v>472</v>
      </c>
      <c r="N2867" s="2">
        <v>1555</v>
      </c>
      <c r="O2867">
        <v>6968.2</v>
      </c>
      <c r="P2867">
        <v>130</v>
      </c>
      <c r="Q2867">
        <v>1425</v>
      </c>
      <c r="R2867">
        <v>10.93</v>
      </c>
      <c r="S2867">
        <v>0</v>
      </c>
      <c r="T2867">
        <v>811</v>
      </c>
      <c r="U2867" s="2">
        <v>4979.54</v>
      </c>
      <c r="V2867">
        <v>0</v>
      </c>
      <c r="W2867" t="s">
        <v>29</v>
      </c>
      <c r="X2867" t="str">
        <f>IF(Table2[[#This Row],[Qty available]]&gt;Table2[[#This Row],[Qty on hand]],"Check","OK")</f>
        <v>OK</v>
      </c>
    </row>
    <row r="2868" spans="1:24" x14ac:dyDescent="0.3">
      <c r="A2868" t="s">
        <v>299</v>
      </c>
      <c r="B2868" t="s">
        <v>300</v>
      </c>
      <c r="C2868" t="s">
        <v>77</v>
      </c>
      <c r="D2868" t="s">
        <v>78</v>
      </c>
      <c r="E2868" t="s">
        <v>66</v>
      </c>
      <c r="F2868" s="1" t="s">
        <v>39</v>
      </c>
      <c r="G2868" s="2">
        <v>4.18</v>
      </c>
      <c r="H2868">
        <v>4.58</v>
      </c>
      <c r="I2868">
        <v>4.4811610000000002</v>
      </c>
      <c r="J2868">
        <v>6.14</v>
      </c>
      <c r="K2868">
        <v>34</v>
      </c>
      <c r="M2868">
        <v>0</v>
      </c>
      <c r="N2868" s="2">
        <v>646</v>
      </c>
      <c r="O2868">
        <v>2894.83</v>
      </c>
      <c r="P2868">
        <v>87</v>
      </c>
      <c r="Q2868">
        <v>559</v>
      </c>
      <c r="R2868">
        <v>3.9</v>
      </c>
      <c r="S2868">
        <v>1</v>
      </c>
      <c r="T2868">
        <v>909</v>
      </c>
      <c r="U2868" s="2">
        <v>5581.26</v>
      </c>
      <c r="V2868">
        <v>0</v>
      </c>
      <c r="W2868" t="s">
        <v>29</v>
      </c>
      <c r="X2868" t="str">
        <f>IF(Table2[[#This Row],[Qty available]]&gt;Table2[[#This Row],[Qty on hand]],"Check","OK")</f>
        <v>OK</v>
      </c>
    </row>
    <row r="2869" spans="1:24" x14ac:dyDescent="0.3">
      <c r="A2869" t="s">
        <v>299</v>
      </c>
      <c r="B2869" t="s">
        <v>300</v>
      </c>
      <c r="C2869" t="s">
        <v>77</v>
      </c>
      <c r="D2869" t="s">
        <v>78</v>
      </c>
      <c r="E2869" t="s">
        <v>66</v>
      </c>
      <c r="F2869" s="1" t="s">
        <v>40</v>
      </c>
      <c r="G2869" s="2">
        <v>4.13</v>
      </c>
      <c r="H2869">
        <v>4.5199999999999996</v>
      </c>
      <c r="I2869">
        <v>4.5083359999999999</v>
      </c>
      <c r="J2869">
        <v>6.14</v>
      </c>
      <c r="K2869">
        <v>34</v>
      </c>
      <c r="L2869" s="2">
        <v>33</v>
      </c>
      <c r="M2869">
        <v>1505</v>
      </c>
      <c r="N2869" s="2">
        <v>2151</v>
      </c>
      <c r="O2869">
        <v>9697.43</v>
      </c>
      <c r="P2869">
        <v>87</v>
      </c>
      <c r="Q2869">
        <v>2064</v>
      </c>
      <c r="R2869">
        <v>16.440000000000001</v>
      </c>
      <c r="S2869">
        <v>32</v>
      </c>
      <c r="T2869">
        <v>0</v>
      </c>
      <c r="U2869" s="2">
        <v>0</v>
      </c>
      <c r="V2869">
        <v>0</v>
      </c>
      <c r="W2869" t="s">
        <v>29</v>
      </c>
      <c r="X2869" t="str">
        <f>IF(Table2[[#This Row],[Qty available]]&gt;Table2[[#This Row],[Qty on hand]],"Check","OK")</f>
        <v>OK</v>
      </c>
    </row>
    <row r="2870" spans="1:24" x14ac:dyDescent="0.3">
      <c r="A2870" t="s">
        <v>299</v>
      </c>
      <c r="B2870" t="s">
        <v>300</v>
      </c>
      <c r="C2870" t="s">
        <v>77</v>
      </c>
      <c r="D2870" t="s">
        <v>78</v>
      </c>
      <c r="E2870" t="s">
        <v>66</v>
      </c>
      <c r="F2870" s="1" t="s">
        <v>41</v>
      </c>
      <c r="G2870" s="2">
        <v>4.04</v>
      </c>
      <c r="H2870">
        <v>4.43</v>
      </c>
      <c r="I2870">
        <v>4.4968370000000002</v>
      </c>
      <c r="J2870">
        <v>6.14</v>
      </c>
      <c r="K2870">
        <v>34</v>
      </c>
      <c r="L2870" s="2">
        <v>30</v>
      </c>
      <c r="M2870">
        <v>370</v>
      </c>
      <c r="N2870" s="2">
        <v>2099</v>
      </c>
      <c r="O2870">
        <v>9438.86</v>
      </c>
      <c r="P2870">
        <v>87</v>
      </c>
      <c r="Q2870">
        <v>2012</v>
      </c>
      <c r="R2870">
        <v>20.73</v>
      </c>
      <c r="S2870">
        <v>3</v>
      </c>
      <c r="T2870">
        <v>422</v>
      </c>
      <c r="U2870" s="2">
        <v>2591.08</v>
      </c>
      <c r="V2870">
        <v>0</v>
      </c>
      <c r="W2870" t="s">
        <v>29</v>
      </c>
      <c r="X2870" t="str">
        <f>IF(Table2[[#This Row],[Qty available]]&gt;Table2[[#This Row],[Qty on hand]],"Check","OK")</f>
        <v>OK</v>
      </c>
    </row>
    <row r="2871" spans="1:24" x14ac:dyDescent="0.3">
      <c r="A2871" t="s">
        <v>299</v>
      </c>
      <c r="B2871" t="s">
        <v>300</v>
      </c>
      <c r="C2871" t="s">
        <v>77</v>
      </c>
      <c r="D2871" t="s">
        <v>78</v>
      </c>
      <c r="E2871" t="s">
        <v>66</v>
      </c>
      <c r="F2871" s="1" t="s">
        <v>42</v>
      </c>
      <c r="G2871" s="2">
        <v>4.07</v>
      </c>
      <c r="H2871">
        <v>4.46</v>
      </c>
      <c r="I2871">
        <v>4.4968329999999996</v>
      </c>
      <c r="J2871">
        <v>6.14</v>
      </c>
      <c r="K2871">
        <v>34</v>
      </c>
      <c r="M2871">
        <v>0</v>
      </c>
      <c r="N2871" s="2">
        <v>1203</v>
      </c>
      <c r="O2871">
        <v>5409.69</v>
      </c>
      <c r="P2871">
        <v>195</v>
      </c>
      <c r="Q2871">
        <v>1008</v>
      </c>
      <c r="R2871">
        <v>12</v>
      </c>
      <c r="S2871">
        <v>0</v>
      </c>
      <c r="T2871">
        <v>896</v>
      </c>
      <c r="U2871" s="2">
        <v>5501.44</v>
      </c>
      <c r="V2871">
        <v>0</v>
      </c>
      <c r="W2871" t="s">
        <v>29</v>
      </c>
      <c r="X2871" t="str">
        <f>IF(Table2[[#This Row],[Qty available]]&gt;Table2[[#This Row],[Qty on hand]],"Check","OK")</f>
        <v>OK</v>
      </c>
    </row>
    <row r="2872" spans="1:24" x14ac:dyDescent="0.3">
      <c r="A2872" t="s">
        <v>299</v>
      </c>
      <c r="B2872" t="s">
        <v>300</v>
      </c>
      <c r="C2872" t="s">
        <v>77</v>
      </c>
      <c r="D2872" t="s">
        <v>78</v>
      </c>
      <c r="E2872" t="s">
        <v>66</v>
      </c>
      <c r="F2872" s="1" t="s">
        <v>43</v>
      </c>
      <c r="G2872" s="2">
        <v>4.18</v>
      </c>
      <c r="H2872">
        <v>4.58</v>
      </c>
      <c r="I2872">
        <v>4.5222300000000004</v>
      </c>
      <c r="J2872">
        <v>6.14</v>
      </c>
      <c r="K2872">
        <v>34</v>
      </c>
      <c r="L2872" s="2">
        <v>33</v>
      </c>
      <c r="M2872">
        <v>529</v>
      </c>
      <c r="N2872" s="2">
        <v>1224</v>
      </c>
      <c r="O2872">
        <v>5535.21</v>
      </c>
      <c r="P2872">
        <v>130</v>
      </c>
      <c r="Q2872">
        <v>1094</v>
      </c>
      <c r="R2872">
        <v>8.7100000000000009</v>
      </c>
      <c r="S2872">
        <v>0</v>
      </c>
      <c r="T2872">
        <v>508</v>
      </c>
      <c r="U2872" s="2">
        <v>3119.12</v>
      </c>
      <c r="V2872">
        <v>0</v>
      </c>
      <c r="W2872" t="s">
        <v>29</v>
      </c>
      <c r="X2872" t="str">
        <f>IF(Table2[[#This Row],[Qty available]]&gt;Table2[[#This Row],[Qty on hand]],"Check","OK")</f>
        <v>OK</v>
      </c>
    </row>
    <row r="2873" spans="1:24" x14ac:dyDescent="0.3">
      <c r="A2873" t="s">
        <v>299</v>
      </c>
      <c r="B2873" t="s">
        <v>300</v>
      </c>
      <c r="C2873" t="s">
        <v>77</v>
      </c>
      <c r="D2873" t="s">
        <v>78</v>
      </c>
      <c r="E2873" t="s">
        <v>66</v>
      </c>
      <c r="F2873" s="1" t="s">
        <v>44</v>
      </c>
      <c r="G2873" s="2">
        <v>4.07</v>
      </c>
      <c r="H2873">
        <v>4.46</v>
      </c>
      <c r="I2873">
        <v>4.490297</v>
      </c>
      <c r="J2873">
        <v>6.14</v>
      </c>
      <c r="K2873">
        <v>34</v>
      </c>
      <c r="L2873" s="2">
        <v>33</v>
      </c>
      <c r="M2873">
        <v>1290</v>
      </c>
      <c r="N2873" s="2">
        <v>1685</v>
      </c>
      <c r="O2873">
        <v>7566.15</v>
      </c>
      <c r="P2873">
        <v>43</v>
      </c>
      <c r="Q2873">
        <v>1642</v>
      </c>
      <c r="R2873">
        <v>9.92</v>
      </c>
      <c r="S2873">
        <v>0</v>
      </c>
      <c r="T2873">
        <v>829</v>
      </c>
      <c r="U2873" s="2">
        <v>5090.0600000000004</v>
      </c>
      <c r="V2873">
        <v>0</v>
      </c>
      <c r="W2873" t="s">
        <v>29</v>
      </c>
      <c r="X2873" t="str">
        <f>IF(Table2[[#This Row],[Qty available]]&gt;Table2[[#This Row],[Qty on hand]],"Check","OK")</f>
        <v>OK</v>
      </c>
    </row>
    <row r="2874" spans="1:24" x14ac:dyDescent="0.3">
      <c r="A2874" t="s">
        <v>299</v>
      </c>
      <c r="B2874" t="s">
        <v>300</v>
      </c>
      <c r="C2874" t="s">
        <v>77</v>
      </c>
      <c r="D2874" t="s">
        <v>78</v>
      </c>
      <c r="E2874" t="s">
        <v>66</v>
      </c>
      <c r="F2874" s="1" t="s">
        <v>45</v>
      </c>
      <c r="G2874" s="2">
        <v>4.0999999999999996</v>
      </c>
      <c r="H2874">
        <v>4.49</v>
      </c>
      <c r="I2874">
        <v>4.4902959999999998</v>
      </c>
      <c r="J2874">
        <v>6.14</v>
      </c>
      <c r="K2874">
        <v>34</v>
      </c>
      <c r="M2874">
        <v>0</v>
      </c>
      <c r="N2874" s="2">
        <v>945</v>
      </c>
      <c r="O2874">
        <v>4243.33</v>
      </c>
      <c r="P2874">
        <v>43</v>
      </c>
      <c r="Q2874">
        <v>902</v>
      </c>
      <c r="R2874">
        <v>5.98</v>
      </c>
      <c r="S2874">
        <v>1</v>
      </c>
      <c r="T2874">
        <v>740</v>
      </c>
      <c r="U2874" s="2">
        <v>4543.6000000000004</v>
      </c>
      <c r="V2874">
        <v>0</v>
      </c>
      <c r="W2874" t="s">
        <v>29</v>
      </c>
      <c r="X2874" t="str">
        <f>IF(Table2[[#This Row],[Qty available]]&gt;Table2[[#This Row],[Qty on hand]],"Check","OK")</f>
        <v>OK</v>
      </c>
    </row>
    <row r="2875" spans="1:24" x14ac:dyDescent="0.3">
      <c r="A2875" t="s">
        <v>299</v>
      </c>
      <c r="B2875" t="s">
        <v>300</v>
      </c>
      <c r="C2875" t="s">
        <v>77</v>
      </c>
      <c r="D2875" t="s">
        <v>78</v>
      </c>
      <c r="E2875" t="s">
        <v>66</v>
      </c>
      <c r="F2875" s="1" t="s">
        <v>46</v>
      </c>
      <c r="G2875" s="2">
        <v>4.09</v>
      </c>
      <c r="H2875">
        <v>4.4800000000000004</v>
      </c>
      <c r="I2875">
        <v>4.4902839999999999</v>
      </c>
      <c r="J2875">
        <v>6.5</v>
      </c>
      <c r="K2875">
        <v>34</v>
      </c>
      <c r="M2875">
        <v>0</v>
      </c>
      <c r="N2875" s="2">
        <v>352</v>
      </c>
      <c r="O2875">
        <v>1580.58</v>
      </c>
      <c r="P2875">
        <v>87</v>
      </c>
      <c r="Q2875">
        <v>265</v>
      </c>
      <c r="R2875">
        <v>2.09</v>
      </c>
      <c r="S2875">
        <v>0</v>
      </c>
      <c r="T2875">
        <v>593</v>
      </c>
      <c r="U2875" s="2">
        <v>3854.5</v>
      </c>
      <c r="V2875">
        <v>0</v>
      </c>
      <c r="W2875" t="s">
        <v>29</v>
      </c>
      <c r="X2875" t="str">
        <f>IF(Table2[[#This Row],[Qty available]]&gt;Table2[[#This Row],[Qty on hand]],"Check","OK")</f>
        <v>OK</v>
      </c>
    </row>
    <row r="2876" spans="1:24" x14ac:dyDescent="0.3">
      <c r="A2876" t="s">
        <v>299</v>
      </c>
      <c r="B2876" t="s">
        <v>300</v>
      </c>
      <c r="C2876" t="s">
        <v>77</v>
      </c>
      <c r="D2876" t="s">
        <v>78</v>
      </c>
      <c r="E2876" t="s">
        <v>66</v>
      </c>
      <c r="F2876" s="1" t="s">
        <v>47</v>
      </c>
      <c r="G2876" s="2">
        <v>4.28</v>
      </c>
      <c r="H2876">
        <v>4.6900000000000004</v>
      </c>
      <c r="I2876">
        <v>4.6461940000000004</v>
      </c>
      <c r="J2876">
        <v>6.5</v>
      </c>
      <c r="K2876">
        <v>34</v>
      </c>
      <c r="L2876" s="2">
        <v>32</v>
      </c>
      <c r="M2876">
        <v>1253</v>
      </c>
      <c r="N2876" s="2">
        <v>783</v>
      </c>
      <c r="O2876">
        <v>3637.97</v>
      </c>
      <c r="P2876">
        <v>65</v>
      </c>
      <c r="Q2876">
        <v>718</v>
      </c>
      <c r="R2876">
        <v>4.67</v>
      </c>
      <c r="S2876">
        <v>3</v>
      </c>
      <c r="T2876">
        <v>822</v>
      </c>
      <c r="U2876" s="2">
        <v>5343</v>
      </c>
      <c r="V2876">
        <v>0</v>
      </c>
      <c r="W2876" t="s">
        <v>29</v>
      </c>
      <c r="X2876" t="str">
        <f>IF(Table2[[#This Row],[Qty available]]&gt;Table2[[#This Row],[Qty on hand]],"Check","OK")</f>
        <v>OK</v>
      </c>
    </row>
    <row r="2877" spans="1:24" x14ac:dyDescent="0.3">
      <c r="A2877" t="s">
        <v>299</v>
      </c>
      <c r="B2877" t="s">
        <v>300</v>
      </c>
      <c r="C2877" t="s">
        <v>77</v>
      </c>
      <c r="D2877" t="s">
        <v>78</v>
      </c>
      <c r="E2877" t="s">
        <v>66</v>
      </c>
      <c r="F2877" s="1" t="s">
        <v>48</v>
      </c>
      <c r="G2877" s="2">
        <v>4.29</v>
      </c>
      <c r="H2877">
        <v>4.7</v>
      </c>
      <c r="I2877">
        <v>4.6774339999999999</v>
      </c>
      <c r="J2877">
        <v>6.5</v>
      </c>
      <c r="K2877">
        <v>34</v>
      </c>
      <c r="L2877" s="2">
        <v>49</v>
      </c>
      <c r="M2877">
        <v>1084</v>
      </c>
      <c r="N2877" s="2">
        <v>678</v>
      </c>
      <c r="O2877">
        <v>3171.3</v>
      </c>
      <c r="P2877">
        <v>130</v>
      </c>
      <c r="Q2877">
        <v>548</v>
      </c>
      <c r="R2877">
        <v>3.31</v>
      </c>
      <c r="S2877">
        <v>0</v>
      </c>
      <c r="T2877">
        <v>1189</v>
      </c>
      <c r="U2877" s="2">
        <v>7728.5</v>
      </c>
      <c r="V2877">
        <v>0</v>
      </c>
      <c r="W2877" t="s">
        <v>29</v>
      </c>
      <c r="X2877" t="str">
        <f>IF(Table2[[#This Row],[Qty available]]&gt;Table2[[#This Row],[Qty on hand]],"Check","OK")</f>
        <v>OK</v>
      </c>
    </row>
    <row r="2878" spans="1:24" x14ac:dyDescent="0.3">
      <c r="A2878" t="s">
        <v>299</v>
      </c>
      <c r="B2878" t="s">
        <v>300</v>
      </c>
      <c r="C2878" t="s">
        <v>77</v>
      </c>
      <c r="D2878" t="s">
        <v>78</v>
      </c>
      <c r="E2878" t="s">
        <v>66</v>
      </c>
      <c r="F2878" s="1" t="s">
        <v>49</v>
      </c>
      <c r="G2878" s="2">
        <v>4.43</v>
      </c>
      <c r="H2878">
        <v>4.8499999999999996</v>
      </c>
      <c r="I2878">
        <v>4.6774279999999999</v>
      </c>
      <c r="J2878">
        <v>6.5</v>
      </c>
      <c r="K2878">
        <v>34</v>
      </c>
      <c r="M2878">
        <v>0</v>
      </c>
      <c r="N2878" s="2">
        <v>381</v>
      </c>
      <c r="O2878">
        <v>1782.1</v>
      </c>
      <c r="P2878">
        <v>195</v>
      </c>
      <c r="Q2878">
        <v>186</v>
      </c>
      <c r="R2878">
        <v>2.17</v>
      </c>
      <c r="S2878">
        <v>0</v>
      </c>
      <c r="T2878">
        <v>297</v>
      </c>
      <c r="U2878" s="2">
        <v>1930.5</v>
      </c>
      <c r="V2878">
        <v>0</v>
      </c>
      <c r="W2878" t="s">
        <v>29</v>
      </c>
      <c r="X2878" t="str">
        <f>IF(Table2[[#This Row],[Qty available]]&gt;Table2[[#This Row],[Qty on hand]],"Check","OK")</f>
        <v>OK</v>
      </c>
    </row>
    <row r="2879" spans="1:24" x14ac:dyDescent="0.3">
      <c r="A2879" t="s">
        <v>299</v>
      </c>
      <c r="B2879" t="s">
        <v>300</v>
      </c>
      <c r="C2879" t="s">
        <v>77</v>
      </c>
      <c r="D2879" t="s">
        <v>78</v>
      </c>
      <c r="E2879" t="s">
        <v>66</v>
      </c>
      <c r="F2879" s="1" t="s">
        <v>50</v>
      </c>
      <c r="G2879" s="2">
        <v>4.3499999999999996</v>
      </c>
      <c r="H2879">
        <v>4.76</v>
      </c>
      <c r="I2879">
        <v>4.7455619999999996</v>
      </c>
      <c r="J2879">
        <v>6.5</v>
      </c>
      <c r="K2879">
        <v>34</v>
      </c>
      <c r="L2879" s="2">
        <v>32</v>
      </c>
      <c r="M2879">
        <v>1798</v>
      </c>
      <c r="N2879" s="2">
        <v>1861</v>
      </c>
      <c r="O2879">
        <v>8831.49</v>
      </c>
      <c r="P2879">
        <v>108</v>
      </c>
      <c r="Q2879">
        <v>1753</v>
      </c>
      <c r="R2879">
        <v>13.41</v>
      </c>
      <c r="S2879">
        <v>4</v>
      </c>
      <c r="T2879">
        <v>318</v>
      </c>
      <c r="U2879" s="2">
        <v>2067</v>
      </c>
      <c r="V2879">
        <v>0</v>
      </c>
      <c r="W2879" t="s">
        <v>29</v>
      </c>
      <c r="X2879" t="str">
        <f>IF(Table2[[#This Row],[Qty available]]&gt;Table2[[#This Row],[Qty on hand]],"Check","OK")</f>
        <v>OK</v>
      </c>
    </row>
    <row r="2880" spans="1:24" x14ac:dyDescent="0.3">
      <c r="A2880" t="s">
        <v>299</v>
      </c>
      <c r="B2880" t="s">
        <v>300</v>
      </c>
      <c r="C2880" t="s">
        <v>77</v>
      </c>
      <c r="D2880" t="s">
        <v>78</v>
      </c>
      <c r="E2880" t="s">
        <v>66</v>
      </c>
      <c r="F2880" s="1" t="s">
        <v>51</v>
      </c>
      <c r="G2880" s="2">
        <v>4.2699999999999996</v>
      </c>
      <c r="H2880">
        <v>4.68</v>
      </c>
      <c r="I2880">
        <v>4.7308399999999997</v>
      </c>
      <c r="J2880">
        <v>6.5</v>
      </c>
      <c r="K2880">
        <v>34</v>
      </c>
      <c r="L2880" s="2">
        <v>42</v>
      </c>
      <c r="M2880">
        <v>539</v>
      </c>
      <c r="N2880" s="2">
        <v>1559</v>
      </c>
      <c r="O2880">
        <v>7375.38</v>
      </c>
      <c r="P2880">
        <v>152</v>
      </c>
      <c r="Q2880">
        <v>1407</v>
      </c>
      <c r="R2880">
        <v>14.07</v>
      </c>
      <c r="S2880">
        <v>0</v>
      </c>
      <c r="T2880">
        <v>841</v>
      </c>
      <c r="U2880" s="2">
        <v>5466.5</v>
      </c>
      <c r="V2880">
        <v>0</v>
      </c>
      <c r="W2880" t="s">
        <v>29</v>
      </c>
      <c r="X2880" t="str">
        <f>IF(Table2[[#This Row],[Qty available]]&gt;Table2[[#This Row],[Qty on hand]],"Check","OK")</f>
        <v>OK</v>
      </c>
    </row>
    <row r="2881" spans="1:24" x14ac:dyDescent="0.3">
      <c r="A2881" t="s">
        <v>299</v>
      </c>
      <c r="B2881" t="s">
        <v>300</v>
      </c>
      <c r="C2881" t="s">
        <v>77</v>
      </c>
      <c r="D2881" t="s">
        <v>78</v>
      </c>
      <c r="E2881" t="s">
        <v>66</v>
      </c>
      <c r="F2881" s="1" t="s">
        <v>52</v>
      </c>
      <c r="G2881" s="2">
        <v>4.41</v>
      </c>
      <c r="H2881">
        <v>4.83</v>
      </c>
      <c r="I2881">
        <v>4.7308440000000003</v>
      </c>
      <c r="J2881">
        <v>6.5</v>
      </c>
      <c r="K2881">
        <v>34</v>
      </c>
      <c r="M2881">
        <v>0</v>
      </c>
      <c r="N2881" s="2">
        <v>770</v>
      </c>
      <c r="O2881">
        <v>3642.75</v>
      </c>
      <c r="P2881">
        <v>152</v>
      </c>
      <c r="Q2881">
        <v>618</v>
      </c>
      <c r="R2881">
        <v>5.2</v>
      </c>
      <c r="S2881">
        <v>0</v>
      </c>
      <c r="T2881">
        <v>789</v>
      </c>
      <c r="U2881" s="2">
        <v>5128.5</v>
      </c>
      <c r="V2881">
        <v>0</v>
      </c>
      <c r="W2881" t="s">
        <v>29</v>
      </c>
      <c r="X2881" t="str">
        <f>IF(Table2[[#This Row],[Qty available]]&gt;Table2[[#This Row],[Qty on hand]],"Check","OK")</f>
        <v>OK</v>
      </c>
    </row>
    <row r="2882" spans="1:24" x14ac:dyDescent="0.3">
      <c r="A2882" t="s">
        <v>301</v>
      </c>
      <c r="B2882" t="s">
        <v>302</v>
      </c>
      <c r="C2882" t="s">
        <v>69</v>
      </c>
      <c r="D2882" t="s">
        <v>70</v>
      </c>
      <c r="E2882" t="s">
        <v>66</v>
      </c>
      <c r="F2882" s="1" t="s">
        <v>28</v>
      </c>
      <c r="G2882" s="2">
        <v>40.31</v>
      </c>
      <c r="H2882">
        <v>40.31</v>
      </c>
      <c r="I2882">
        <v>40.781227000000001</v>
      </c>
      <c r="J2882">
        <v>59.53</v>
      </c>
      <c r="K2882">
        <v>47</v>
      </c>
      <c r="L2882" s="2">
        <v>45</v>
      </c>
      <c r="M2882">
        <v>280</v>
      </c>
      <c r="N2882" s="2">
        <v>375</v>
      </c>
      <c r="O2882">
        <v>15292.96</v>
      </c>
      <c r="P2882">
        <v>35</v>
      </c>
      <c r="Q2882">
        <v>340</v>
      </c>
      <c r="R2882">
        <v>9.48</v>
      </c>
      <c r="S2882">
        <v>0</v>
      </c>
      <c r="T2882">
        <v>199</v>
      </c>
      <c r="U2882" s="2">
        <v>11846.47</v>
      </c>
      <c r="V2882">
        <v>0</v>
      </c>
      <c r="W2882" t="s">
        <v>29</v>
      </c>
      <c r="X2882" t="str">
        <f>IF(Table2[[#This Row],[Qty available]]&gt;Table2[[#This Row],[Qty on hand]],"Check","OK")</f>
        <v>OK</v>
      </c>
    </row>
    <row r="2883" spans="1:24" x14ac:dyDescent="0.3">
      <c r="A2883" t="s">
        <v>301</v>
      </c>
      <c r="B2883" t="s">
        <v>302</v>
      </c>
      <c r="C2883" t="s">
        <v>69</v>
      </c>
      <c r="D2883" t="s">
        <v>70</v>
      </c>
      <c r="E2883" t="s">
        <v>66</v>
      </c>
      <c r="F2883" s="1" t="s">
        <v>30</v>
      </c>
      <c r="G2883" s="2">
        <v>40.28</v>
      </c>
      <c r="H2883">
        <v>40.28</v>
      </c>
      <c r="I2883">
        <v>40.693989999999999</v>
      </c>
      <c r="J2883">
        <v>59.53</v>
      </c>
      <c r="K2883">
        <v>47</v>
      </c>
      <c r="L2883" s="2">
        <v>45</v>
      </c>
      <c r="M2883">
        <v>79</v>
      </c>
      <c r="N2883" s="2">
        <v>203</v>
      </c>
      <c r="O2883">
        <v>8260.8799999999992</v>
      </c>
      <c r="P2883">
        <v>15</v>
      </c>
      <c r="Q2883">
        <v>188</v>
      </c>
      <c r="R2883">
        <v>4.49</v>
      </c>
      <c r="S2883">
        <v>1</v>
      </c>
      <c r="T2883">
        <v>251</v>
      </c>
      <c r="U2883" s="2">
        <v>14942.03</v>
      </c>
      <c r="V2883">
        <v>0</v>
      </c>
      <c r="W2883" t="s">
        <v>29</v>
      </c>
      <c r="X2883" t="str">
        <f>IF(Table2[[#This Row],[Qty available]]&gt;Table2[[#This Row],[Qty on hand]],"Check","OK")</f>
        <v>OK</v>
      </c>
    </row>
    <row r="2884" spans="1:24" x14ac:dyDescent="0.3">
      <c r="A2884" t="s">
        <v>301</v>
      </c>
      <c r="B2884" t="s">
        <v>302</v>
      </c>
      <c r="C2884" t="s">
        <v>69</v>
      </c>
      <c r="D2884" t="s">
        <v>70</v>
      </c>
      <c r="E2884" t="s">
        <v>66</v>
      </c>
      <c r="F2884" s="1" t="s">
        <v>31</v>
      </c>
      <c r="G2884" s="2">
        <v>41.64</v>
      </c>
      <c r="H2884">
        <v>41.64</v>
      </c>
      <c r="I2884">
        <v>40.889859000000001</v>
      </c>
      <c r="J2884">
        <v>59.53</v>
      </c>
      <c r="K2884">
        <v>47</v>
      </c>
      <c r="L2884" s="2">
        <v>43</v>
      </c>
      <c r="M2884">
        <v>53</v>
      </c>
      <c r="N2884" s="2">
        <v>71</v>
      </c>
      <c r="O2884">
        <v>2903.18</v>
      </c>
      <c r="P2884">
        <v>25</v>
      </c>
      <c r="Q2884">
        <v>46</v>
      </c>
      <c r="R2884">
        <v>1.45</v>
      </c>
      <c r="S2884">
        <v>0</v>
      </c>
      <c r="T2884">
        <v>185</v>
      </c>
      <c r="U2884" s="2">
        <v>11013.05</v>
      </c>
      <c r="V2884">
        <v>0</v>
      </c>
      <c r="W2884" t="s">
        <v>29</v>
      </c>
      <c r="X2884" t="str">
        <f>IF(Table2[[#This Row],[Qty available]]&gt;Table2[[#This Row],[Qty on hand]],"Check","OK")</f>
        <v>OK</v>
      </c>
    </row>
    <row r="2885" spans="1:24" x14ac:dyDescent="0.3">
      <c r="A2885" t="s">
        <v>301</v>
      </c>
      <c r="B2885" t="s">
        <v>302</v>
      </c>
      <c r="C2885" t="s">
        <v>69</v>
      </c>
      <c r="D2885" t="s">
        <v>70</v>
      </c>
      <c r="E2885" t="s">
        <v>66</v>
      </c>
      <c r="F2885" s="1" t="s">
        <v>32</v>
      </c>
      <c r="G2885" s="2">
        <v>42.57</v>
      </c>
      <c r="H2885">
        <v>42.57</v>
      </c>
      <c r="I2885">
        <v>42.263356000000002</v>
      </c>
      <c r="J2885">
        <v>59.53</v>
      </c>
      <c r="K2885">
        <v>47</v>
      </c>
      <c r="L2885" s="2">
        <v>42</v>
      </c>
      <c r="M2885">
        <v>318</v>
      </c>
      <c r="N2885" s="2">
        <v>289</v>
      </c>
      <c r="O2885">
        <v>12214.11</v>
      </c>
      <c r="P2885">
        <v>45</v>
      </c>
      <c r="Q2885">
        <v>244</v>
      </c>
      <c r="R2885">
        <v>7.09</v>
      </c>
      <c r="S2885">
        <v>0</v>
      </c>
      <c r="T2885">
        <v>100</v>
      </c>
      <c r="U2885" s="2">
        <v>5953</v>
      </c>
      <c r="V2885">
        <v>0</v>
      </c>
      <c r="W2885" t="s">
        <v>29</v>
      </c>
      <c r="X2885" t="str">
        <f>IF(Table2[[#This Row],[Qty available]]&gt;Table2[[#This Row],[Qty on hand]],"Check","OK")</f>
        <v>OK</v>
      </c>
    </row>
    <row r="2886" spans="1:24" x14ac:dyDescent="0.3">
      <c r="A2886" t="s">
        <v>301</v>
      </c>
      <c r="B2886" t="s">
        <v>302</v>
      </c>
      <c r="C2886" t="s">
        <v>69</v>
      </c>
      <c r="D2886" t="s">
        <v>70</v>
      </c>
      <c r="E2886" t="s">
        <v>66</v>
      </c>
      <c r="F2886" s="1" t="s">
        <v>33</v>
      </c>
      <c r="G2886" s="2">
        <v>42.06</v>
      </c>
      <c r="H2886">
        <v>42.06</v>
      </c>
      <c r="I2886">
        <v>42.188882</v>
      </c>
      <c r="J2886">
        <v>59.53</v>
      </c>
      <c r="K2886">
        <v>47</v>
      </c>
      <c r="L2886" s="2">
        <v>44</v>
      </c>
      <c r="M2886">
        <v>167</v>
      </c>
      <c r="N2886" s="2">
        <v>304</v>
      </c>
      <c r="O2886">
        <v>12825.42</v>
      </c>
      <c r="P2886">
        <v>35</v>
      </c>
      <c r="Q2886">
        <v>269</v>
      </c>
      <c r="R2886">
        <v>9.14</v>
      </c>
      <c r="S2886">
        <v>6</v>
      </c>
      <c r="T2886">
        <v>152</v>
      </c>
      <c r="U2886" s="2">
        <v>9048.56</v>
      </c>
      <c r="V2886">
        <v>0</v>
      </c>
      <c r="W2886" t="s">
        <v>29</v>
      </c>
      <c r="X2886" t="str">
        <f>IF(Table2[[#This Row],[Qty available]]&gt;Table2[[#This Row],[Qty on hand]],"Check","OK")</f>
        <v>OK</v>
      </c>
    </row>
    <row r="2887" spans="1:24" x14ac:dyDescent="0.3">
      <c r="A2887" t="s">
        <v>301</v>
      </c>
      <c r="B2887" t="s">
        <v>302</v>
      </c>
      <c r="C2887" t="s">
        <v>69</v>
      </c>
      <c r="D2887" t="s">
        <v>70</v>
      </c>
      <c r="E2887" t="s">
        <v>66</v>
      </c>
      <c r="F2887" s="1" t="s">
        <v>34</v>
      </c>
      <c r="G2887" s="2">
        <v>41.41</v>
      </c>
      <c r="H2887">
        <v>41.41</v>
      </c>
      <c r="I2887">
        <v>42.188865999999997</v>
      </c>
      <c r="J2887">
        <v>62.46</v>
      </c>
      <c r="K2887">
        <v>47</v>
      </c>
      <c r="M2887">
        <v>0</v>
      </c>
      <c r="N2887" s="2">
        <v>238</v>
      </c>
      <c r="O2887">
        <v>10040.950000000001</v>
      </c>
      <c r="P2887">
        <v>15</v>
      </c>
      <c r="Q2887">
        <v>223</v>
      </c>
      <c r="R2887">
        <v>9.6199999999999992</v>
      </c>
      <c r="S2887">
        <v>0</v>
      </c>
      <c r="T2887">
        <v>66</v>
      </c>
      <c r="U2887" s="2">
        <v>4122.3599999999997</v>
      </c>
      <c r="V2887">
        <v>0</v>
      </c>
      <c r="W2887" t="s">
        <v>29</v>
      </c>
      <c r="X2887" t="str">
        <f>IF(Table2[[#This Row],[Qty available]]&gt;Table2[[#This Row],[Qty on hand]],"Check","OK")</f>
        <v>OK</v>
      </c>
    </row>
    <row r="2888" spans="1:24" x14ac:dyDescent="0.3">
      <c r="A2888" t="s">
        <v>301</v>
      </c>
      <c r="B2888" t="s">
        <v>302</v>
      </c>
      <c r="C2888" t="s">
        <v>69</v>
      </c>
      <c r="D2888" t="s">
        <v>70</v>
      </c>
      <c r="E2888" t="s">
        <v>66</v>
      </c>
      <c r="F2888" s="1" t="s">
        <v>35</v>
      </c>
      <c r="G2888" s="2">
        <v>41.34</v>
      </c>
      <c r="H2888">
        <v>41.34</v>
      </c>
      <c r="I2888">
        <v>41.658152999999999</v>
      </c>
      <c r="J2888">
        <v>62.46</v>
      </c>
      <c r="K2888">
        <v>47</v>
      </c>
      <c r="L2888" s="2">
        <v>65</v>
      </c>
      <c r="M2888">
        <v>397</v>
      </c>
      <c r="N2888" s="2">
        <v>563</v>
      </c>
      <c r="O2888">
        <v>23453.54</v>
      </c>
      <c r="P2888">
        <v>15</v>
      </c>
      <c r="Q2888">
        <v>548</v>
      </c>
      <c r="R2888">
        <v>24.96</v>
      </c>
      <c r="S2888">
        <v>4</v>
      </c>
      <c r="T2888">
        <v>72</v>
      </c>
      <c r="U2888" s="2">
        <v>4497.12</v>
      </c>
      <c r="V2888">
        <v>0</v>
      </c>
      <c r="W2888" t="s">
        <v>29</v>
      </c>
      <c r="X2888" t="str">
        <f>IF(Table2[[#This Row],[Qty available]]&gt;Table2[[#This Row],[Qty on hand]],"Check","OK")</f>
        <v>OK</v>
      </c>
    </row>
    <row r="2889" spans="1:24" x14ac:dyDescent="0.3">
      <c r="A2889" t="s">
        <v>301</v>
      </c>
      <c r="B2889" t="s">
        <v>302</v>
      </c>
      <c r="C2889" t="s">
        <v>69</v>
      </c>
      <c r="D2889" t="s">
        <v>70</v>
      </c>
      <c r="E2889" t="s">
        <v>66</v>
      </c>
      <c r="F2889" s="1" t="s">
        <v>36</v>
      </c>
      <c r="G2889" s="2">
        <v>42.06</v>
      </c>
      <c r="H2889">
        <v>42.06</v>
      </c>
      <c r="I2889">
        <v>41.658155999999998</v>
      </c>
      <c r="J2889">
        <v>62.46</v>
      </c>
      <c r="K2889">
        <v>47</v>
      </c>
      <c r="M2889">
        <v>0</v>
      </c>
      <c r="N2889" s="2">
        <v>553</v>
      </c>
      <c r="O2889">
        <v>23036.959999999999</v>
      </c>
      <c r="P2889">
        <v>15</v>
      </c>
      <c r="Q2889">
        <v>538</v>
      </c>
      <c r="R2889">
        <v>47.51</v>
      </c>
      <c r="S2889">
        <v>5</v>
      </c>
      <c r="T2889">
        <v>10</v>
      </c>
      <c r="U2889" s="2">
        <v>624.6</v>
      </c>
      <c r="V2889">
        <v>0</v>
      </c>
      <c r="W2889" t="s">
        <v>29</v>
      </c>
      <c r="X2889" t="str">
        <f>IF(Table2[[#This Row],[Qty available]]&gt;Table2[[#This Row],[Qty on hand]],"Check","OK")</f>
        <v>OK</v>
      </c>
    </row>
    <row r="2890" spans="1:24" x14ac:dyDescent="0.3">
      <c r="A2890" t="s">
        <v>301</v>
      </c>
      <c r="B2890" t="s">
        <v>302</v>
      </c>
      <c r="C2890" t="s">
        <v>69</v>
      </c>
      <c r="D2890" t="s">
        <v>70</v>
      </c>
      <c r="E2890" t="s">
        <v>66</v>
      </c>
      <c r="F2890" s="1" t="s">
        <v>37</v>
      </c>
      <c r="G2890" s="2">
        <v>42.83</v>
      </c>
      <c r="H2890">
        <v>42.83</v>
      </c>
      <c r="I2890">
        <v>41.718465999999999</v>
      </c>
      <c r="J2890">
        <v>62.46</v>
      </c>
      <c r="K2890">
        <v>47</v>
      </c>
      <c r="L2890" s="2">
        <v>41</v>
      </c>
      <c r="M2890">
        <v>30</v>
      </c>
      <c r="N2890" s="2">
        <v>313</v>
      </c>
      <c r="O2890">
        <v>13057.88</v>
      </c>
      <c r="P2890">
        <v>30</v>
      </c>
      <c r="Q2890">
        <v>283</v>
      </c>
      <c r="R2890">
        <v>11.69</v>
      </c>
      <c r="S2890">
        <v>1</v>
      </c>
      <c r="T2890">
        <v>270</v>
      </c>
      <c r="U2890" s="2">
        <v>16864.2</v>
      </c>
      <c r="V2890">
        <v>0</v>
      </c>
      <c r="W2890" t="s">
        <v>29</v>
      </c>
      <c r="X2890" t="str">
        <f>IF(Table2[[#This Row],[Qty available]]&gt;Table2[[#This Row],[Qty on hand]],"Check","OK")</f>
        <v>OK</v>
      </c>
    </row>
    <row r="2891" spans="1:24" x14ac:dyDescent="0.3">
      <c r="A2891" t="s">
        <v>301</v>
      </c>
      <c r="B2891" t="s">
        <v>302</v>
      </c>
      <c r="C2891" t="s">
        <v>69</v>
      </c>
      <c r="D2891" t="s">
        <v>70</v>
      </c>
      <c r="E2891" t="s">
        <v>66</v>
      </c>
      <c r="F2891" s="1" t="s">
        <v>38</v>
      </c>
      <c r="G2891" s="2">
        <v>42.19</v>
      </c>
      <c r="H2891">
        <v>42.19</v>
      </c>
      <c r="I2891">
        <v>41.826479999999997</v>
      </c>
      <c r="J2891">
        <v>62.46</v>
      </c>
      <c r="K2891">
        <v>47</v>
      </c>
      <c r="L2891" s="2">
        <v>46</v>
      </c>
      <c r="M2891">
        <v>93</v>
      </c>
      <c r="N2891" s="2">
        <v>304</v>
      </c>
      <c r="O2891">
        <v>12715.25</v>
      </c>
      <c r="P2891">
        <v>20</v>
      </c>
      <c r="Q2891">
        <v>284</v>
      </c>
      <c r="R2891">
        <v>10.35</v>
      </c>
      <c r="S2891">
        <v>1</v>
      </c>
      <c r="T2891">
        <v>102</v>
      </c>
      <c r="U2891" s="2">
        <v>6370.92</v>
      </c>
      <c r="V2891">
        <v>0</v>
      </c>
      <c r="W2891" t="s">
        <v>29</v>
      </c>
      <c r="X2891" t="str">
        <f>IF(Table2[[#This Row],[Qty available]]&gt;Table2[[#This Row],[Qty on hand]],"Check","OK")</f>
        <v>OK</v>
      </c>
    </row>
    <row r="2892" spans="1:24" x14ac:dyDescent="0.3">
      <c r="A2892" t="s">
        <v>301</v>
      </c>
      <c r="B2892" t="s">
        <v>302</v>
      </c>
      <c r="C2892" t="s">
        <v>69</v>
      </c>
      <c r="D2892" t="s">
        <v>70</v>
      </c>
      <c r="E2892" t="s">
        <v>66</v>
      </c>
      <c r="F2892" s="1" t="s">
        <v>39</v>
      </c>
      <c r="G2892" s="2">
        <v>42.41</v>
      </c>
      <c r="H2892">
        <v>42.41</v>
      </c>
      <c r="I2892">
        <v>41.826478999999999</v>
      </c>
      <c r="J2892">
        <v>62.46</v>
      </c>
      <c r="K2892">
        <v>47</v>
      </c>
      <c r="M2892">
        <v>0</v>
      </c>
      <c r="N2892" s="2">
        <v>71</v>
      </c>
      <c r="O2892">
        <v>2969.68</v>
      </c>
      <c r="P2892">
        <v>40</v>
      </c>
      <c r="Q2892">
        <v>31</v>
      </c>
      <c r="R2892">
        <v>1.54</v>
      </c>
      <c r="S2892">
        <v>0</v>
      </c>
      <c r="T2892">
        <v>233</v>
      </c>
      <c r="U2892" s="2">
        <v>14553.18</v>
      </c>
      <c r="V2892">
        <v>0</v>
      </c>
      <c r="W2892" t="s">
        <v>29</v>
      </c>
      <c r="X2892" t="str">
        <f>IF(Table2[[#This Row],[Qty available]]&gt;Table2[[#This Row],[Qty on hand]],"Check","OK")</f>
        <v>OK</v>
      </c>
    </row>
    <row r="2893" spans="1:24" x14ac:dyDescent="0.3">
      <c r="A2893" t="s">
        <v>301</v>
      </c>
      <c r="B2893" t="s">
        <v>302</v>
      </c>
      <c r="C2893" t="s">
        <v>69</v>
      </c>
      <c r="D2893" t="s">
        <v>70</v>
      </c>
      <c r="E2893" t="s">
        <v>66</v>
      </c>
      <c r="F2893" s="1" t="s">
        <v>40</v>
      </c>
      <c r="G2893" s="2">
        <v>42.83</v>
      </c>
      <c r="H2893">
        <v>42.83</v>
      </c>
      <c r="I2893">
        <v>42.68</v>
      </c>
      <c r="J2893">
        <v>62.46</v>
      </c>
      <c r="K2893">
        <v>47</v>
      </c>
      <c r="L2893" s="2">
        <v>76</v>
      </c>
      <c r="M2893">
        <v>404</v>
      </c>
      <c r="N2893" s="2">
        <v>456</v>
      </c>
      <c r="O2893">
        <v>19462.080000000002</v>
      </c>
      <c r="P2893">
        <v>35</v>
      </c>
      <c r="Q2893">
        <v>421</v>
      </c>
      <c r="R2893">
        <v>16.93</v>
      </c>
      <c r="S2893">
        <v>6</v>
      </c>
      <c r="T2893">
        <v>19</v>
      </c>
      <c r="U2893" s="2">
        <v>1186.74</v>
      </c>
      <c r="V2893">
        <v>0</v>
      </c>
      <c r="W2893" t="s">
        <v>29</v>
      </c>
      <c r="X2893" t="str">
        <f>IF(Table2[[#This Row],[Qty available]]&gt;Table2[[#This Row],[Qty on hand]],"Check","OK")</f>
        <v>OK</v>
      </c>
    </row>
    <row r="2894" spans="1:24" x14ac:dyDescent="0.3">
      <c r="A2894" t="s">
        <v>301</v>
      </c>
      <c r="B2894" t="s">
        <v>302</v>
      </c>
      <c r="C2894" t="s">
        <v>69</v>
      </c>
      <c r="D2894" t="s">
        <v>70</v>
      </c>
      <c r="E2894" t="s">
        <v>66</v>
      </c>
      <c r="F2894" s="1" t="s">
        <v>41</v>
      </c>
      <c r="G2894" s="2">
        <v>41.2</v>
      </c>
      <c r="H2894">
        <v>41.2</v>
      </c>
      <c r="I2894">
        <v>42.68</v>
      </c>
      <c r="J2894">
        <v>62.46</v>
      </c>
      <c r="K2894">
        <v>47</v>
      </c>
      <c r="M2894">
        <v>0</v>
      </c>
      <c r="N2894" s="2">
        <v>363</v>
      </c>
      <c r="O2894">
        <v>15492.84</v>
      </c>
      <c r="P2894">
        <v>10</v>
      </c>
      <c r="Q2894">
        <v>353</v>
      </c>
      <c r="R2894">
        <v>13.83</v>
      </c>
      <c r="S2894">
        <v>1</v>
      </c>
      <c r="T2894">
        <v>93</v>
      </c>
      <c r="U2894" s="2">
        <v>5808.78</v>
      </c>
      <c r="V2894">
        <v>0</v>
      </c>
      <c r="W2894" t="s">
        <v>29</v>
      </c>
      <c r="X2894" t="str">
        <f>IF(Table2[[#This Row],[Qty available]]&gt;Table2[[#This Row],[Qty on hand]],"Check","OK")</f>
        <v>OK</v>
      </c>
    </row>
    <row r="2895" spans="1:24" x14ac:dyDescent="0.3">
      <c r="A2895" t="s">
        <v>301</v>
      </c>
      <c r="B2895" t="s">
        <v>302</v>
      </c>
      <c r="C2895" t="s">
        <v>69</v>
      </c>
      <c r="D2895" t="s">
        <v>70</v>
      </c>
      <c r="E2895" t="s">
        <v>66</v>
      </c>
      <c r="F2895" s="1" t="s">
        <v>42</v>
      </c>
      <c r="G2895" s="2">
        <v>42.15</v>
      </c>
      <c r="H2895">
        <v>42.15</v>
      </c>
      <c r="I2895">
        <v>42.433757</v>
      </c>
      <c r="J2895">
        <v>62.46</v>
      </c>
      <c r="K2895">
        <v>47</v>
      </c>
      <c r="L2895" s="2">
        <v>41</v>
      </c>
      <c r="M2895">
        <v>315</v>
      </c>
      <c r="N2895" s="2">
        <v>527</v>
      </c>
      <c r="O2895">
        <v>22362.59</v>
      </c>
      <c r="P2895">
        <v>45</v>
      </c>
      <c r="Q2895">
        <v>482</v>
      </c>
      <c r="R2895">
        <v>26.34</v>
      </c>
      <c r="S2895">
        <v>0</v>
      </c>
      <c r="T2895">
        <v>151</v>
      </c>
      <c r="U2895" s="2">
        <v>9431.4599999999991</v>
      </c>
      <c r="V2895">
        <v>0</v>
      </c>
      <c r="W2895" t="s">
        <v>29</v>
      </c>
      <c r="X2895" t="str">
        <f>IF(Table2[[#This Row],[Qty available]]&gt;Table2[[#This Row],[Qty on hand]],"Check","OK")</f>
        <v>OK</v>
      </c>
    </row>
    <row r="2896" spans="1:24" x14ac:dyDescent="0.3">
      <c r="A2896" t="s">
        <v>301</v>
      </c>
      <c r="B2896" t="s">
        <v>302</v>
      </c>
      <c r="C2896" t="s">
        <v>69</v>
      </c>
      <c r="D2896" t="s">
        <v>70</v>
      </c>
      <c r="E2896" t="s">
        <v>66</v>
      </c>
      <c r="F2896" s="1" t="s">
        <v>43</v>
      </c>
      <c r="G2896" s="2">
        <v>42.27</v>
      </c>
      <c r="H2896">
        <v>42.27</v>
      </c>
      <c r="I2896">
        <v>42.390537999999999</v>
      </c>
      <c r="J2896">
        <v>62.46</v>
      </c>
      <c r="K2896">
        <v>47</v>
      </c>
      <c r="L2896" s="2">
        <v>40</v>
      </c>
      <c r="M2896">
        <v>189</v>
      </c>
      <c r="N2896" s="2">
        <v>465</v>
      </c>
      <c r="O2896">
        <v>19711.599999999999</v>
      </c>
      <c r="P2896">
        <v>20</v>
      </c>
      <c r="Q2896">
        <v>445</v>
      </c>
      <c r="R2896">
        <v>12.21</v>
      </c>
      <c r="S2896">
        <v>1</v>
      </c>
      <c r="T2896">
        <v>251</v>
      </c>
      <c r="U2896" s="2">
        <v>15677.46</v>
      </c>
      <c r="V2896">
        <v>0</v>
      </c>
      <c r="W2896" t="s">
        <v>29</v>
      </c>
      <c r="X2896" t="str">
        <f>IF(Table2[[#This Row],[Qty available]]&gt;Table2[[#This Row],[Qty on hand]],"Check","OK")</f>
        <v>OK</v>
      </c>
    </row>
    <row r="2897" spans="1:24" x14ac:dyDescent="0.3">
      <c r="A2897" t="s">
        <v>301</v>
      </c>
      <c r="B2897" t="s">
        <v>302</v>
      </c>
      <c r="C2897" t="s">
        <v>69</v>
      </c>
      <c r="D2897" t="s">
        <v>70</v>
      </c>
      <c r="E2897" t="s">
        <v>66</v>
      </c>
      <c r="F2897" s="1" t="s">
        <v>44</v>
      </c>
      <c r="G2897" s="2">
        <v>42.34</v>
      </c>
      <c r="H2897">
        <v>42.34</v>
      </c>
      <c r="I2897">
        <v>42.381455000000003</v>
      </c>
      <c r="J2897">
        <v>62.46</v>
      </c>
      <c r="K2897">
        <v>47</v>
      </c>
      <c r="L2897" s="2">
        <v>41</v>
      </c>
      <c r="M2897">
        <v>102</v>
      </c>
      <c r="N2897" s="2">
        <v>385</v>
      </c>
      <c r="O2897">
        <v>16316.86</v>
      </c>
      <c r="P2897">
        <v>20</v>
      </c>
      <c r="Q2897">
        <v>365</v>
      </c>
      <c r="R2897">
        <v>8.66</v>
      </c>
      <c r="S2897">
        <v>2</v>
      </c>
      <c r="T2897">
        <v>182</v>
      </c>
      <c r="U2897" s="2">
        <v>11367.72</v>
      </c>
      <c r="V2897">
        <v>0</v>
      </c>
      <c r="W2897" t="s">
        <v>29</v>
      </c>
      <c r="X2897" t="str">
        <f>IF(Table2[[#This Row],[Qty available]]&gt;Table2[[#This Row],[Qty on hand]],"Check","OK")</f>
        <v>OK</v>
      </c>
    </row>
    <row r="2898" spans="1:24" x14ac:dyDescent="0.3">
      <c r="A2898" t="s">
        <v>301</v>
      </c>
      <c r="B2898" t="s">
        <v>302</v>
      </c>
      <c r="C2898" t="s">
        <v>69</v>
      </c>
      <c r="D2898" t="s">
        <v>70</v>
      </c>
      <c r="E2898" t="s">
        <v>66</v>
      </c>
      <c r="F2898" s="1" t="s">
        <v>45</v>
      </c>
      <c r="G2898" s="2">
        <v>42.44</v>
      </c>
      <c r="H2898">
        <v>42.44</v>
      </c>
      <c r="I2898">
        <v>42.381458000000002</v>
      </c>
      <c r="J2898">
        <v>62.46</v>
      </c>
      <c r="K2898">
        <v>47</v>
      </c>
      <c r="M2898">
        <v>0</v>
      </c>
      <c r="N2898" s="2">
        <v>192</v>
      </c>
      <c r="O2898">
        <v>8137.24</v>
      </c>
      <c r="P2898">
        <v>10</v>
      </c>
      <c r="Q2898">
        <v>182</v>
      </c>
      <c r="R2898">
        <v>4.03</v>
      </c>
      <c r="S2898">
        <v>0</v>
      </c>
      <c r="T2898">
        <v>193</v>
      </c>
      <c r="U2898" s="2">
        <v>12054.78</v>
      </c>
      <c r="V2898">
        <v>0</v>
      </c>
      <c r="W2898" t="s">
        <v>29</v>
      </c>
      <c r="X2898" t="str">
        <f>IF(Table2[[#This Row],[Qty available]]&gt;Table2[[#This Row],[Qty on hand]],"Check","OK")</f>
        <v>OK</v>
      </c>
    </row>
    <row r="2899" spans="1:24" x14ac:dyDescent="0.3">
      <c r="A2899" t="s">
        <v>301</v>
      </c>
      <c r="B2899" t="s">
        <v>302</v>
      </c>
      <c r="C2899" t="s">
        <v>69</v>
      </c>
      <c r="D2899" t="s">
        <v>70</v>
      </c>
      <c r="E2899" t="s">
        <v>66</v>
      </c>
      <c r="F2899" s="1" t="s">
        <v>46</v>
      </c>
      <c r="G2899" s="2">
        <v>43.94</v>
      </c>
      <c r="H2899">
        <v>43.94</v>
      </c>
      <c r="I2899">
        <v>42.875</v>
      </c>
      <c r="J2899">
        <v>65.53</v>
      </c>
      <c r="K2899">
        <v>47</v>
      </c>
      <c r="L2899" s="2">
        <v>84</v>
      </c>
      <c r="M2899">
        <v>89</v>
      </c>
      <c r="N2899" s="2">
        <v>52</v>
      </c>
      <c r="O2899">
        <v>2229.5</v>
      </c>
      <c r="P2899">
        <v>25</v>
      </c>
      <c r="Q2899">
        <v>27</v>
      </c>
      <c r="R2899">
        <v>1.1100000000000001</v>
      </c>
      <c r="S2899">
        <v>0</v>
      </c>
      <c r="T2899">
        <v>229</v>
      </c>
      <c r="U2899" s="2">
        <v>15006.37</v>
      </c>
      <c r="V2899">
        <v>0</v>
      </c>
      <c r="W2899" t="s">
        <v>29</v>
      </c>
      <c r="X2899" t="str">
        <f>IF(Table2[[#This Row],[Qty available]]&gt;Table2[[#This Row],[Qty on hand]],"Check","OK")</f>
        <v>OK</v>
      </c>
    </row>
    <row r="2900" spans="1:24" x14ac:dyDescent="0.3">
      <c r="A2900" t="s">
        <v>301</v>
      </c>
      <c r="B2900" t="s">
        <v>302</v>
      </c>
      <c r="C2900" t="s">
        <v>69</v>
      </c>
      <c r="D2900" t="s">
        <v>70</v>
      </c>
      <c r="E2900" t="s">
        <v>66</v>
      </c>
      <c r="F2900" s="1" t="s">
        <v>47</v>
      </c>
      <c r="G2900" s="2">
        <v>43.77</v>
      </c>
      <c r="H2900">
        <v>43.77</v>
      </c>
      <c r="I2900">
        <v>42.875</v>
      </c>
      <c r="J2900">
        <v>65.53</v>
      </c>
      <c r="K2900">
        <v>47</v>
      </c>
      <c r="M2900">
        <v>0</v>
      </c>
      <c r="N2900" s="2">
        <v>0</v>
      </c>
      <c r="O2900">
        <v>0</v>
      </c>
      <c r="P2900">
        <v>0</v>
      </c>
      <c r="Q2900">
        <v>0</v>
      </c>
      <c r="R2900">
        <v>0</v>
      </c>
      <c r="S2900">
        <v>8</v>
      </c>
      <c r="T2900">
        <v>52</v>
      </c>
      <c r="U2900" s="2">
        <v>3407.56</v>
      </c>
      <c r="V2900">
        <v>130</v>
      </c>
      <c r="W2900" t="s">
        <v>59</v>
      </c>
      <c r="X2900" t="str">
        <f>IF(Table2[[#This Row],[Qty available]]&gt;Table2[[#This Row],[Qty on hand]],"Check","OK")</f>
        <v>OK</v>
      </c>
    </row>
    <row r="2901" spans="1:24" x14ac:dyDescent="0.3">
      <c r="A2901" t="s">
        <v>301</v>
      </c>
      <c r="B2901" t="s">
        <v>302</v>
      </c>
      <c r="C2901" t="s">
        <v>69</v>
      </c>
      <c r="D2901" t="s">
        <v>70</v>
      </c>
      <c r="E2901" t="s">
        <v>66</v>
      </c>
      <c r="F2901" s="1" t="s">
        <v>48</v>
      </c>
      <c r="G2901" s="2">
        <v>43.85</v>
      </c>
      <c r="H2901">
        <v>43.85</v>
      </c>
      <c r="I2901">
        <v>43.85</v>
      </c>
      <c r="J2901">
        <v>65.53</v>
      </c>
      <c r="K2901">
        <v>47</v>
      </c>
      <c r="L2901" s="2">
        <v>46</v>
      </c>
      <c r="M2901">
        <v>536</v>
      </c>
      <c r="N2901" s="2">
        <v>440</v>
      </c>
      <c r="O2901">
        <v>19294</v>
      </c>
      <c r="P2901">
        <v>20</v>
      </c>
      <c r="Q2901">
        <v>420</v>
      </c>
      <c r="R2901">
        <v>14.84</v>
      </c>
      <c r="S2901">
        <v>0</v>
      </c>
      <c r="T2901">
        <v>96</v>
      </c>
      <c r="U2901" s="2">
        <v>6290.88</v>
      </c>
      <c r="V2901">
        <v>0</v>
      </c>
      <c r="W2901" t="s">
        <v>29</v>
      </c>
      <c r="X2901" t="str">
        <f>IF(Table2[[#This Row],[Qty available]]&gt;Table2[[#This Row],[Qty on hand]],"Check","OK")</f>
        <v>OK</v>
      </c>
    </row>
    <row r="2902" spans="1:24" x14ac:dyDescent="0.3">
      <c r="A2902" t="s">
        <v>301</v>
      </c>
      <c r="B2902" t="s">
        <v>302</v>
      </c>
      <c r="C2902" t="s">
        <v>69</v>
      </c>
      <c r="D2902" t="s">
        <v>70</v>
      </c>
      <c r="E2902" t="s">
        <v>66</v>
      </c>
      <c r="F2902" s="1" t="s">
        <v>49</v>
      </c>
      <c r="G2902" s="2">
        <v>43.24</v>
      </c>
      <c r="H2902">
        <v>43.24</v>
      </c>
      <c r="I2902">
        <v>43.727105999999999</v>
      </c>
      <c r="J2902">
        <v>65.53</v>
      </c>
      <c r="K2902">
        <v>47</v>
      </c>
      <c r="L2902" s="2">
        <v>61</v>
      </c>
      <c r="M2902">
        <v>111</v>
      </c>
      <c r="N2902" s="2">
        <v>432</v>
      </c>
      <c r="O2902">
        <v>18890.11</v>
      </c>
      <c r="P2902">
        <v>35</v>
      </c>
      <c r="Q2902">
        <v>397</v>
      </c>
      <c r="R2902">
        <v>21.26</v>
      </c>
      <c r="S2902">
        <v>2</v>
      </c>
      <c r="T2902">
        <v>119</v>
      </c>
      <c r="U2902" s="2">
        <v>7798.07</v>
      </c>
      <c r="V2902">
        <v>0</v>
      </c>
      <c r="W2902" t="s">
        <v>29</v>
      </c>
      <c r="X2902" t="str">
        <f>IF(Table2[[#This Row],[Qty available]]&gt;Table2[[#This Row],[Qty on hand]],"Check","OK")</f>
        <v>OK</v>
      </c>
    </row>
    <row r="2903" spans="1:24" x14ac:dyDescent="0.3">
      <c r="A2903" t="s">
        <v>301</v>
      </c>
      <c r="B2903" t="s">
        <v>302</v>
      </c>
      <c r="C2903" t="s">
        <v>69</v>
      </c>
      <c r="D2903" t="s">
        <v>70</v>
      </c>
      <c r="E2903" t="s">
        <v>66</v>
      </c>
      <c r="F2903" s="1" t="s">
        <v>50</v>
      </c>
      <c r="G2903" s="2">
        <v>43.8</v>
      </c>
      <c r="H2903">
        <v>43.8</v>
      </c>
      <c r="I2903">
        <v>43.727114999999998</v>
      </c>
      <c r="J2903">
        <v>65.53</v>
      </c>
      <c r="K2903">
        <v>47</v>
      </c>
      <c r="M2903">
        <v>0</v>
      </c>
      <c r="N2903" s="2">
        <v>156</v>
      </c>
      <c r="O2903">
        <v>6821.43</v>
      </c>
      <c r="P2903">
        <v>35</v>
      </c>
      <c r="Q2903">
        <v>121</v>
      </c>
      <c r="R2903">
        <v>4.13</v>
      </c>
      <c r="S2903">
        <v>1</v>
      </c>
      <c r="T2903">
        <v>276</v>
      </c>
      <c r="U2903" s="2">
        <v>18086.28</v>
      </c>
      <c r="V2903">
        <v>0</v>
      </c>
      <c r="W2903" t="s">
        <v>29</v>
      </c>
      <c r="X2903" t="str">
        <f>IF(Table2[[#This Row],[Qty available]]&gt;Table2[[#This Row],[Qty on hand]],"Check","OK")</f>
        <v>OK</v>
      </c>
    </row>
    <row r="2904" spans="1:24" x14ac:dyDescent="0.3">
      <c r="A2904" t="s">
        <v>301</v>
      </c>
      <c r="B2904" t="s">
        <v>302</v>
      </c>
      <c r="C2904" t="s">
        <v>69</v>
      </c>
      <c r="D2904" t="s">
        <v>70</v>
      </c>
      <c r="E2904" t="s">
        <v>66</v>
      </c>
      <c r="F2904" s="1" t="s">
        <v>51</v>
      </c>
      <c r="G2904" s="2">
        <v>43.53</v>
      </c>
      <c r="H2904">
        <v>43.53</v>
      </c>
      <c r="I2904">
        <v>43.600543999999999</v>
      </c>
      <c r="J2904">
        <v>65.53</v>
      </c>
      <c r="K2904">
        <v>47</v>
      </c>
      <c r="L2904" s="2">
        <v>46</v>
      </c>
      <c r="M2904">
        <v>280</v>
      </c>
      <c r="N2904" s="2">
        <v>294</v>
      </c>
      <c r="O2904">
        <v>12818.56</v>
      </c>
      <c r="P2904">
        <v>30</v>
      </c>
      <c r="Q2904">
        <v>264</v>
      </c>
      <c r="R2904">
        <v>7.2</v>
      </c>
      <c r="S2904">
        <v>2</v>
      </c>
      <c r="T2904">
        <v>142</v>
      </c>
      <c r="U2904" s="2">
        <v>9305.26</v>
      </c>
      <c r="V2904">
        <v>0</v>
      </c>
      <c r="W2904" t="s">
        <v>29</v>
      </c>
      <c r="X2904" t="str">
        <f>IF(Table2[[#This Row],[Qty available]]&gt;Table2[[#This Row],[Qty on hand]],"Check","OK")</f>
        <v>OK</v>
      </c>
    </row>
    <row r="2905" spans="1:24" x14ac:dyDescent="0.3">
      <c r="A2905" t="s">
        <v>301</v>
      </c>
      <c r="B2905" t="s">
        <v>302</v>
      </c>
      <c r="C2905" t="s">
        <v>69</v>
      </c>
      <c r="D2905" t="s">
        <v>70</v>
      </c>
      <c r="E2905" t="s">
        <v>66</v>
      </c>
      <c r="F2905" s="1" t="s">
        <v>52</v>
      </c>
      <c r="G2905" s="2">
        <v>42.34</v>
      </c>
      <c r="H2905">
        <v>42.34</v>
      </c>
      <c r="I2905">
        <v>43.261893999999998</v>
      </c>
      <c r="J2905">
        <v>65.53</v>
      </c>
      <c r="K2905">
        <v>47</v>
      </c>
      <c r="L2905" s="2">
        <v>44</v>
      </c>
      <c r="M2905">
        <v>108</v>
      </c>
      <c r="N2905" s="2">
        <v>227</v>
      </c>
      <c r="O2905">
        <v>9820.4500000000007</v>
      </c>
      <c r="P2905">
        <v>35</v>
      </c>
      <c r="Q2905">
        <v>192</v>
      </c>
      <c r="R2905">
        <v>5.03</v>
      </c>
      <c r="S2905">
        <v>2</v>
      </c>
      <c r="T2905">
        <v>175</v>
      </c>
      <c r="U2905" s="2">
        <v>11467.75</v>
      </c>
      <c r="V2905">
        <v>0</v>
      </c>
      <c r="W2905" t="s">
        <v>29</v>
      </c>
      <c r="X2905" t="str">
        <f>IF(Table2[[#This Row],[Qty available]]&gt;Table2[[#This Row],[Qty on hand]],"Check","OK")</f>
        <v>OK</v>
      </c>
    </row>
    <row r="2906" spans="1:24" x14ac:dyDescent="0.3">
      <c r="A2906" t="s">
        <v>303</v>
      </c>
      <c r="B2906" t="s">
        <v>304</v>
      </c>
      <c r="C2906" t="s">
        <v>25</v>
      </c>
      <c r="D2906" t="s">
        <v>26</v>
      </c>
      <c r="E2906" t="s">
        <v>66</v>
      </c>
      <c r="F2906" s="1" t="s">
        <v>28</v>
      </c>
      <c r="G2906" s="2">
        <v>38.630000000000003</v>
      </c>
      <c r="H2906">
        <v>40.99</v>
      </c>
      <c r="I2906">
        <v>40.319707999999999</v>
      </c>
      <c r="J2906">
        <v>54.54</v>
      </c>
      <c r="K2906">
        <v>47</v>
      </c>
      <c r="L2906" s="2">
        <v>43</v>
      </c>
      <c r="M2906">
        <v>274</v>
      </c>
      <c r="N2906" s="2">
        <v>1164</v>
      </c>
      <c r="O2906">
        <v>46932.14</v>
      </c>
      <c r="P2906">
        <v>68</v>
      </c>
      <c r="Q2906">
        <v>1096</v>
      </c>
      <c r="R2906">
        <v>19.32</v>
      </c>
      <c r="S2906">
        <v>0</v>
      </c>
      <c r="T2906">
        <v>292</v>
      </c>
      <c r="U2906" s="2">
        <v>15925.68</v>
      </c>
      <c r="V2906">
        <v>0</v>
      </c>
      <c r="W2906" t="s">
        <v>29</v>
      </c>
      <c r="X2906" t="str">
        <f>IF(Table2[[#This Row],[Qty available]]&gt;Table2[[#This Row],[Qty on hand]],"Check","OK")</f>
        <v>OK</v>
      </c>
    </row>
    <row r="2907" spans="1:24" x14ac:dyDescent="0.3">
      <c r="A2907" t="s">
        <v>303</v>
      </c>
      <c r="B2907" t="s">
        <v>304</v>
      </c>
      <c r="C2907" t="s">
        <v>25</v>
      </c>
      <c r="D2907" t="s">
        <v>26</v>
      </c>
      <c r="E2907" t="s">
        <v>66</v>
      </c>
      <c r="F2907" s="1" t="s">
        <v>30</v>
      </c>
      <c r="G2907" s="2">
        <v>38.590000000000003</v>
      </c>
      <c r="H2907">
        <v>40.950000000000003</v>
      </c>
      <c r="I2907">
        <v>40.366340000000001</v>
      </c>
      <c r="J2907">
        <v>54.54</v>
      </c>
      <c r="K2907">
        <v>47</v>
      </c>
      <c r="L2907" s="2">
        <v>42</v>
      </c>
      <c r="M2907">
        <v>93</v>
      </c>
      <c r="N2907" s="2">
        <v>1060</v>
      </c>
      <c r="O2907">
        <v>42788.32</v>
      </c>
      <c r="P2907">
        <v>17</v>
      </c>
      <c r="Q2907">
        <v>1043</v>
      </c>
      <c r="R2907">
        <v>20.67</v>
      </c>
      <c r="S2907">
        <v>3</v>
      </c>
      <c r="T2907">
        <v>197</v>
      </c>
      <c r="U2907" s="2">
        <v>10744.38</v>
      </c>
      <c r="V2907">
        <v>0</v>
      </c>
      <c r="W2907" t="s">
        <v>29</v>
      </c>
      <c r="X2907" t="str">
        <f>IF(Table2[[#This Row],[Qty available]]&gt;Table2[[#This Row],[Qty on hand]],"Check","OK")</f>
        <v>OK</v>
      </c>
    </row>
    <row r="2908" spans="1:24" x14ac:dyDescent="0.3">
      <c r="A2908" t="s">
        <v>303</v>
      </c>
      <c r="B2908" t="s">
        <v>304</v>
      </c>
      <c r="C2908" t="s">
        <v>25</v>
      </c>
      <c r="D2908" t="s">
        <v>26</v>
      </c>
      <c r="E2908" t="s">
        <v>66</v>
      </c>
      <c r="F2908" s="1" t="s">
        <v>31</v>
      </c>
      <c r="G2908" s="2">
        <v>37.86</v>
      </c>
      <c r="H2908">
        <v>40.18</v>
      </c>
      <c r="I2908">
        <v>40.366334999999999</v>
      </c>
      <c r="J2908">
        <v>54.54</v>
      </c>
      <c r="K2908">
        <v>47</v>
      </c>
      <c r="M2908">
        <v>0</v>
      </c>
      <c r="N2908" s="2">
        <v>813</v>
      </c>
      <c r="O2908">
        <v>32817.83</v>
      </c>
      <c r="P2908">
        <v>68</v>
      </c>
      <c r="Q2908">
        <v>745</v>
      </c>
      <c r="R2908">
        <v>14.36</v>
      </c>
      <c r="S2908">
        <v>1</v>
      </c>
      <c r="T2908">
        <v>247</v>
      </c>
      <c r="U2908" s="2">
        <v>13471.38</v>
      </c>
      <c r="V2908">
        <v>0</v>
      </c>
      <c r="W2908" t="s">
        <v>29</v>
      </c>
      <c r="X2908" t="str">
        <f>IF(Table2[[#This Row],[Qty available]]&gt;Table2[[#This Row],[Qty on hand]],"Check","OK")</f>
        <v>OK</v>
      </c>
    </row>
    <row r="2909" spans="1:24" x14ac:dyDescent="0.3">
      <c r="A2909" t="s">
        <v>303</v>
      </c>
      <c r="B2909" t="s">
        <v>304</v>
      </c>
      <c r="C2909" t="s">
        <v>25</v>
      </c>
      <c r="D2909" t="s">
        <v>26</v>
      </c>
      <c r="E2909" t="s">
        <v>66</v>
      </c>
      <c r="F2909" s="1" t="s">
        <v>32</v>
      </c>
      <c r="G2909" s="2">
        <v>39.049999999999997</v>
      </c>
      <c r="H2909">
        <v>41.44</v>
      </c>
      <c r="I2909">
        <v>40.604692999999997</v>
      </c>
      <c r="J2909">
        <v>54.54</v>
      </c>
      <c r="K2909">
        <v>47</v>
      </c>
      <c r="L2909" s="2">
        <v>67</v>
      </c>
      <c r="M2909">
        <v>232</v>
      </c>
      <c r="N2909" s="2">
        <v>846</v>
      </c>
      <c r="O2909">
        <v>34351.57</v>
      </c>
      <c r="P2909">
        <v>42</v>
      </c>
      <c r="Q2909">
        <v>804</v>
      </c>
      <c r="R2909">
        <v>17.29</v>
      </c>
      <c r="S2909">
        <v>5</v>
      </c>
      <c r="T2909">
        <v>199</v>
      </c>
      <c r="U2909" s="2">
        <v>10853.46</v>
      </c>
      <c r="V2909">
        <v>0</v>
      </c>
      <c r="W2909" t="s">
        <v>29</v>
      </c>
      <c r="X2909" t="str">
        <f>IF(Table2[[#This Row],[Qty available]]&gt;Table2[[#This Row],[Qty on hand]],"Check","OK")</f>
        <v>OK</v>
      </c>
    </row>
    <row r="2910" spans="1:24" x14ac:dyDescent="0.3">
      <c r="A2910" t="s">
        <v>303</v>
      </c>
      <c r="B2910" t="s">
        <v>304</v>
      </c>
      <c r="C2910" t="s">
        <v>25</v>
      </c>
      <c r="D2910" t="s">
        <v>26</v>
      </c>
      <c r="E2910" t="s">
        <v>66</v>
      </c>
      <c r="F2910" s="1" t="s">
        <v>33</v>
      </c>
      <c r="G2910" s="2">
        <v>38.33</v>
      </c>
      <c r="H2910">
        <v>40.68</v>
      </c>
      <c r="I2910">
        <v>40.604695</v>
      </c>
      <c r="J2910">
        <v>54.54</v>
      </c>
      <c r="K2910">
        <v>47</v>
      </c>
      <c r="M2910">
        <v>0</v>
      </c>
      <c r="N2910" s="2">
        <v>573</v>
      </c>
      <c r="O2910">
        <v>23266.49</v>
      </c>
      <c r="P2910">
        <v>34</v>
      </c>
      <c r="Q2910">
        <v>539</v>
      </c>
      <c r="R2910">
        <v>10.47</v>
      </c>
      <c r="S2910">
        <v>3</v>
      </c>
      <c r="T2910">
        <v>273</v>
      </c>
      <c r="U2910" s="2">
        <v>14889.42</v>
      </c>
      <c r="V2910">
        <v>0</v>
      </c>
      <c r="W2910" t="s">
        <v>29</v>
      </c>
      <c r="X2910" t="str">
        <f>IF(Table2[[#This Row],[Qty available]]&gt;Table2[[#This Row],[Qty on hand]],"Check","OK")</f>
        <v>OK</v>
      </c>
    </row>
    <row r="2911" spans="1:24" x14ac:dyDescent="0.3">
      <c r="A2911" t="s">
        <v>303</v>
      </c>
      <c r="B2911" t="s">
        <v>304</v>
      </c>
      <c r="C2911" t="s">
        <v>25</v>
      </c>
      <c r="D2911" t="s">
        <v>26</v>
      </c>
      <c r="E2911" t="s">
        <v>66</v>
      </c>
      <c r="F2911" s="1" t="s">
        <v>34</v>
      </c>
      <c r="G2911" s="2">
        <v>38.93</v>
      </c>
      <c r="H2911">
        <v>41.31</v>
      </c>
      <c r="I2911">
        <v>40.963993000000002</v>
      </c>
      <c r="J2911">
        <v>55.97</v>
      </c>
      <c r="K2911">
        <v>47</v>
      </c>
      <c r="L2911" s="2">
        <v>42</v>
      </c>
      <c r="M2911">
        <v>595</v>
      </c>
      <c r="N2911" s="2">
        <v>899</v>
      </c>
      <c r="O2911">
        <v>36826.629999999997</v>
      </c>
      <c r="P2911">
        <v>34</v>
      </c>
      <c r="Q2911">
        <v>865</v>
      </c>
      <c r="R2911">
        <v>15.6</v>
      </c>
      <c r="S2911">
        <v>0</v>
      </c>
      <c r="T2911">
        <v>269</v>
      </c>
      <c r="U2911" s="2">
        <v>15055.93</v>
      </c>
      <c r="V2911">
        <v>0</v>
      </c>
      <c r="W2911" t="s">
        <v>29</v>
      </c>
      <c r="X2911" t="str">
        <f>IF(Table2[[#This Row],[Qty available]]&gt;Table2[[#This Row],[Qty on hand]],"Check","OK")</f>
        <v>OK</v>
      </c>
    </row>
    <row r="2912" spans="1:24" x14ac:dyDescent="0.3">
      <c r="A2912" t="s">
        <v>303</v>
      </c>
      <c r="B2912" t="s">
        <v>304</v>
      </c>
      <c r="C2912" t="s">
        <v>25</v>
      </c>
      <c r="D2912" t="s">
        <v>26</v>
      </c>
      <c r="E2912" t="s">
        <v>66</v>
      </c>
      <c r="F2912" s="1" t="s">
        <v>35</v>
      </c>
      <c r="G2912" s="2">
        <v>39.01</v>
      </c>
      <c r="H2912">
        <v>41.4</v>
      </c>
      <c r="I2912">
        <v>41.054653999999999</v>
      </c>
      <c r="J2912">
        <v>55.97</v>
      </c>
      <c r="K2912">
        <v>47</v>
      </c>
      <c r="L2912" s="2">
        <v>57</v>
      </c>
      <c r="M2912">
        <v>236</v>
      </c>
      <c r="N2912" s="2">
        <v>1012</v>
      </c>
      <c r="O2912">
        <v>41547.31</v>
      </c>
      <c r="P2912">
        <v>42</v>
      </c>
      <c r="Q2912">
        <v>970</v>
      </c>
      <c r="R2912">
        <v>19.57</v>
      </c>
      <c r="S2912">
        <v>2</v>
      </c>
      <c r="T2912">
        <v>123</v>
      </c>
      <c r="U2912" s="2">
        <v>6884.31</v>
      </c>
      <c r="V2912">
        <v>0</v>
      </c>
      <c r="W2912" t="s">
        <v>29</v>
      </c>
      <c r="X2912" t="str">
        <f>IF(Table2[[#This Row],[Qty available]]&gt;Table2[[#This Row],[Qty on hand]],"Check","OK")</f>
        <v>OK</v>
      </c>
    </row>
    <row r="2913" spans="1:24" x14ac:dyDescent="0.3">
      <c r="A2913" t="s">
        <v>303</v>
      </c>
      <c r="B2913" t="s">
        <v>304</v>
      </c>
      <c r="C2913" t="s">
        <v>25</v>
      </c>
      <c r="D2913" t="s">
        <v>26</v>
      </c>
      <c r="E2913" t="s">
        <v>66</v>
      </c>
      <c r="F2913" s="1" t="s">
        <v>36</v>
      </c>
      <c r="G2913" s="2">
        <v>39.82</v>
      </c>
      <c r="H2913">
        <v>42.26</v>
      </c>
      <c r="I2913">
        <v>41.406390000000002</v>
      </c>
      <c r="J2913">
        <v>55.97</v>
      </c>
      <c r="K2913">
        <v>47</v>
      </c>
      <c r="L2913" s="2">
        <v>42</v>
      </c>
      <c r="M2913">
        <v>417</v>
      </c>
      <c r="N2913" s="2">
        <v>1180</v>
      </c>
      <c r="O2913">
        <v>48859.54</v>
      </c>
      <c r="P2913">
        <v>25</v>
      </c>
      <c r="Q2913">
        <v>1155</v>
      </c>
      <c r="R2913">
        <v>23.41</v>
      </c>
      <c r="S2913">
        <v>0</v>
      </c>
      <c r="T2913">
        <v>249</v>
      </c>
      <c r="U2913" s="2">
        <v>13936.53</v>
      </c>
      <c r="V2913">
        <v>0</v>
      </c>
      <c r="W2913" t="s">
        <v>29</v>
      </c>
      <c r="X2913" t="str">
        <f>IF(Table2[[#This Row],[Qty available]]&gt;Table2[[#This Row],[Qty on hand]],"Check","OK")</f>
        <v>OK</v>
      </c>
    </row>
    <row r="2914" spans="1:24" x14ac:dyDescent="0.3">
      <c r="A2914" t="s">
        <v>303</v>
      </c>
      <c r="B2914" t="s">
        <v>304</v>
      </c>
      <c r="C2914" t="s">
        <v>25</v>
      </c>
      <c r="D2914" t="s">
        <v>26</v>
      </c>
      <c r="E2914" t="s">
        <v>66</v>
      </c>
      <c r="F2914" s="1" t="s">
        <v>37</v>
      </c>
      <c r="G2914" s="2">
        <v>39.01</v>
      </c>
      <c r="H2914">
        <v>41.4</v>
      </c>
      <c r="I2914">
        <v>41.404747999999998</v>
      </c>
      <c r="J2914">
        <v>55.97</v>
      </c>
      <c r="K2914">
        <v>47</v>
      </c>
      <c r="L2914" s="2">
        <v>58</v>
      </c>
      <c r="M2914">
        <v>407</v>
      </c>
      <c r="N2914" s="2">
        <v>1327</v>
      </c>
      <c r="O2914">
        <v>54944.1</v>
      </c>
      <c r="P2914">
        <v>51</v>
      </c>
      <c r="Q2914">
        <v>1276</v>
      </c>
      <c r="R2914">
        <v>27.6</v>
      </c>
      <c r="S2914">
        <v>0</v>
      </c>
      <c r="T2914">
        <v>260</v>
      </c>
      <c r="U2914" s="2">
        <v>14552.2</v>
      </c>
      <c r="V2914">
        <v>0</v>
      </c>
      <c r="W2914" t="s">
        <v>29</v>
      </c>
      <c r="X2914" t="str">
        <f>IF(Table2[[#This Row],[Qty available]]&gt;Table2[[#This Row],[Qty on hand]],"Check","OK")</f>
        <v>OK</v>
      </c>
    </row>
    <row r="2915" spans="1:24" x14ac:dyDescent="0.3">
      <c r="A2915" t="s">
        <v>303</v>
      </c>
      <c r="B2915" t="s">
        <v>304</v>
      </c>
      <c r="C2915" t="s">
        <v>25</v>
      </c>
      <c r="D2915" t="s">
        <v>26</v>
      </c>
      <c r="E2915" t="s">
        <v>66</v>
      </c>
      <c r="F2915" s="1" t="s">
        <v>38</v>
      </c>
      <c r="G2915" s="2">
        <v>39.28</v>
      </c>
      <c r="H2915">
        <v>41.68</v>
      </c>
      <c r="I2915">
        <v>41.404746000000003</v>
      </c>
      <c r="J2915">
        <v>55.97</v>
      </c>
      <c r="K2915">
        <v>47</v>
      </c>
      <c r="M2915">
        <v>0</v>
      </c>
      <c r="N2915" s="2">
        <v>986</v>
      </c>
      <c r="O2915">
        <v>40825.08</v>
      </c>
      <c r="P2915">
        <v>42</v>
      </c>
      <c r="Q2915">
        <v>944</v>
      </c>
      <c r="R2915">
        <v>15.08</v>
      </c>
      <c r="S2915">
        <v>2</v>
      </c>
      <c r="T2915">
        <v>341</v>
      </c>
      <c r="U2915" s="2">
        <v>19085.77</v>
      </c>
      <c r="V2915">
        <v>0</v>
      </c>
      <c r="W2915" t="s">
        <v>29</v>
      </c>
      <c r="X2915" t="str">
        <f>IF(Table2[[#This Row],[Qty available]]&gt;Table2[[#This Row],[Qty on hand]],"Check","OK")</f>
        <v>OK</v>
      </c>
    </row>
    <row r="2916" spans="1:24" x14ac:dyDescent="0.3">
      <c r="A2916" t="s">
        <v>303</v>
      </c>
      <c r="B2916" t="s">
        <v>304</v>
      </c>
      <c r="C2916" t="s">
        <v>25</v>
      </c>
      <c r="D2916" t="s">
        <v>26</v>
      </c>
      <c r="E2916" t="s">
        <v>66</v>
      </c>
      <c r="F2916" s="1" t="s">
        <v>39</v>
      </c>
      <c r="G2916" s="2">
        <v>39.15</v>
      </c>
      <c r="H2916">
        <v>41.55</v>
      </c>
      <c r="I2916">
        <v>41.438282999999998</v>
      </c>
      <c r="J2916">
        <v>55.97</v>
      </c>
      <c r="K2916">
        <v>47</v>
      </c>
      <c r="L2916" s="2">
        <v>42</v>
      </c>
      <c r="M2916">
        <v>296</v>
      </c>
      <c r="N2916" s="2">
        <v>1200</v>
      </c>
      <c r="O2916">
        <v>49725.94</v>
      </c>
      <c r="P2916">
        <v>25</v>
      </c>
      <c r="Q2916">
        <v>1175</v>
      </c>
      <c r="R2916">
        <v>23.09</v>
      </c>
      <c r="S2916">
        <v>0</v>
      </c>
      <c r="T2916">
        <v>82</v>
      </c>
      <c r="U2916" s="2">
        <v>4589.54</v>
      </c>
      <c r="V2916">
        <v>0</v>
      </c>
      <c r="W2916" t="s">
        <v>29</v>
      </c>
      <c r="X2916" t="str">
        <f>IF(Table2[[#This Row],[Qty available]]&gt;Table2[[#This Row],[Qty on hand]],"Check","OK")</f>
        <v>OK</v>
      </c>
    </row>
    <row r="2917" spans="1:24" x14ac:dyDescent="0.3">
      <c r="A2917" t="s">
        <v>303</v>
      </c>
      <c r="B2917" t="s">
        <v>304</v>
      </c>
      <c r="C2917" t="s">
        <v>25</v>
      </c>
      <c r="D2917" t="s">
        <v>26</v>
      </c>
      <c r="E2917" t="s">
        <v>66</v>
      </c>
      <c r="F2917" s="1" t="s">
        <v>40</v>
      </c>
      <c r="G2917" s="2">
        <v>39.159999999999997</v>
      </c>
      <c r="H2917">
        <v>41.56</v>
      </c>
      <c r="I2917">
        <v>41.458362000000001</v>
      </c>
      <c r="J2917">
        <v>55.97</v>
      </c>
      <c r="K2917">
        <v>47</v>
      </c>
      <c r="L2917" s="2">
        <v>45</v>
      </c>
      <c r="M2917">
        <v>237</v>
      </c>
      <c r="N2917" s="2">
        <v>1105</v>
      </c>
      <c r="O2917">
        <v>45811.49</v>
      </c>
      <c r="P2917">
        <v>34</v>
      </c>
      <c r="Q2917">
        <v>1071</v>
      </c>
      <c r="R2917">
        <v>19.239999999999998</v>
      </c>
      <c r="S2917">
        <v>0</v>
      </c>
      <c r="T2917">
        <v>332</v>
      </c>
      <c r="U2917" s="2">
        <v>18582.04</v>
      </c>
      <c r="V2917">
        <v>0</v>
      </c>
      <c r="W2917" t="s">
        <v>29</v>
      </c>
      <c r="X2917" t="str">
        <f>IF(Table2[[#This Row],[Qty available]]&gt;Table2[[#This Row],[Qty on hand]],"Check","OK")</f>
        <v>OK</v>
      </c>
    </row>
    <row r="2918" spans="1:24" x14ac:dyDescent="0.3">
      <c r="A2918" t="s">
        <v>303</v>
      </c>
      <c r="B2918" t="s">
        <v>304</v>
      </c>
      <c r="C2918" t="s">
        <v>25</v>
      </c>
      <c r="D2918" t="s">
        <v>26</v>
      </c>
      <c r="E2918" t="s">
        <v>66</v>
      </c>
      <c r="F2918" s="1" t="s">
        <v>41</v>
      </c>
      <c r="G2918" s="2">
        <v>39.520000000000003</v>
      </c>
      <c r="H2918">
        <v>41.94</v>
      </c>
      <c r="I2918">
        <v>41.458356999999999</v>
      </c>
      <c r="J2918">
        <v>55.97</v>
      </c>
      <c r="K2918">
        <v>47</v>
      </c>
      <c r="M2918">
        <v>0</v>
      </c>
      <c r="N2918" s="2">
        <v>706</v>
      </c>
      <c r="O2918">
        <v>29269.599999999999</v>
      </c>
      <c r="P2918">
        <v>51</v>
      </c>
      <c r="Q2918">
        <v>655</v>
      </c>
      <c r="R2918">
        <v>11.41</v>
      </c>
      <c r="S2918">
        <v>3</v>
      </c>
      <c r="T2918">
        <v>399</v>
      </c>
      <c r="U2918" s="2">
        <v>22332.03</v>
      </c>
      <c r="V2918">
        <v>0</v>
      </c>
      <c r="W2918" t="s">
        <v>29</v>
      </c>
      <c r="X2918" t="str">
        <f>IF(Table2[[#This Row],[Qty available]]&gt;Table2[[#This Row],[Qty on hand]],"Check","OK")</f>
        <v>OK</v>
      </c>
    </row>
    <row r="2919" spans="1:24" x14ac:dyDescent="0.3">
      <c r="A2919" t="s">
        <v>303</v>
      </c>
      <c r="B2919" t="s">
        <v>304</v>
      </c>
      <c r="C2919" t="s">
        <v>25</v>
      </c>
      <c r="D2919" t="s">
        <v>26</v>
      </c>
      <c r="E2919" t="s">
        <v>66</v>
      </c>
      <c r="F2919" s="1" t="s">
        <v>42</v>
      </c>
      <c r="G2919" s="2">
        <v>39.200000000000003</v>
      </c>
      <c r="H2919">
        <v>41.6</v>
      </c>
      <c r="I2919">
        <v>41.458351</v>
      </c>
      <c r="J2919">
        <v>55.97</v>
      </c>
      <c r="K2919">
        <v>47</v>
      </c>
      <c r="M2919">
        <v>0</v>
      </c>
      <c r="N2919" s="2">
        <v>467</v>
      </c>
      <c r="O2919">
        <v>19361.05</v>
      </c>
      <c r="P2919">
        <v>76</v>
      </c>
      <c r="Q2919">
        <v>391</v>
      </c>
      <c r="R2919">
        <v>6.33</v>
      </c>
      <c r="S2919">
        <v>1</v>
      </c>
      <c r="T2919">
        <v>239</v>
      </c>
      <c r="U2919" s="2">
        <v>13376.83</v>
      </c>
      <c r="V2919">
        <v>0</v>
      </c>
      <c r="W2919" t="s">
        <v>29</v>
      </c>
      <c r="X2919" t="str">
        <f>IF(Table2[[#This Row],[Qty available]]&gt;Table2[[#This Row],[Qty on hand]],"Check","OK")</f>
        <v>OK</v>
      </c>
    </row>
    <row r="2920" spans="1:24" x14ac:dyDescent="0.3">
      <c r="A2920" t="s">
        <v>303</v>
      </c>
      <c r="B2920" t="s">
        <v>304</v>
      </c>
      <c r="C2920" t="s">
        <v>25</v>
      </c>
      <c r="D2920" t="s">
        <v>26</v>
      </c>
      <c r="E2920" t="s">
        <v>66</v>
      </c>
      <c r="F2920" s="1" t="s">
        <v>43</v>
      </c>
      <c r="G2920" s="2">
        <v>39.090000000000003</v>
      </c>
      <c r="H2920">
        <v>41.48</v>
      </c>
      <c r="I2920">
        <v>41.472729999999999</v>
      </c>
      <c r="J2920">
        <v>55.97</v>
      </c>
      <c r="K2920">
        <v>47</v>
      </c>
      <c r="L2920" s="2">
        <v>44</v>
      </c>
      <c r="M2920">
        <v>924</v>
      </c>
      <c r="N2920" s="2">
        <v>956</v>
      </c>
      <c r="O2920">
        <v>39647.93</v>
      </c>
      <c r="P2920">
        <v>17</v>
      </c>
      <c r="Q2920">
        <v>939</v>
      </c>
      <c r="R2920">
        <v>11.58</v>
      </c>
      <c r="S2920">
        <v>0</v>
      </c>
      <c r="T2920">
        <v>435</v>
      </c>
      <c r="U2920" s="2">
        <v>24346.95</v>
      </c>
      <c r="V2920">
        <v>0</v>
      </c>
      <c r="W2920" t="s">
        <v>29</v>
      </c>
      <c r="X2920" t="str">
        <f>IF(Table2[[#This Row],[Qty available]]&gt;Table2[[#This Row],[Qty on hand]],"Check","OK")</f>
        <v>OK</v>
      </c>
    </row>
    <row r="2921" spans="1:24" x14ac:dyDescent="0.3">
      <c r="A2921" t="s">
        <v>303</v>
      </c>
      <c r="B2921" t="s">
        <v>304</v>
      </c>
      <c r="C2921" t="s">
        <v>25</v>
      </c>
      <c r="D2921" t="s">
        <v>26</v>
      </c>
      <c r="E2921" t="s">
        <v>66</v>
      </c>
      <c r="F2921" s="1" t="s">
        <v>44</v>
      </c>
      <c r="G2921" s="2">
        <v>40.299999999999997</v>
      </c>
      <c r="H2921">
        <v>42.77</v>
      </c>
      <c r="I2921">
        <v>41.953547999999998</v>
      </c>
      <c r="J2921">
        <v>55.97</v>
      </c>
      <c r="K2921">
        <v>47</v>
      </c>
      <c r="L2921" s="2">
        <v>45</v>
      </c>
      <c r="M2921">
        <v>563</v>
      </c>
      <c r="N2921" s="2">
        <v>1167</v>
      </c>
      <c r="O2921">
        <v>48959.79</v>
      </c>
      <c r="P2921">
        <v>25</v>
      </c>
      <c r="Q2921">
        <v>1142</v>
      </c>
      <c r="R2921">
        <v>14.95</v>
      </c>
      <c r="S2921">
        <v>0</v>
      </c>
      <c r="T2921">
        <v>352</v>
      </c>
      <c r="U2921" s="2">
        <v>19701.439999999999</v>
      </c>
      <c r="V2921">
        <v>0</v>
      </c>
      <c r="W2921" t="s">
        <v>29</v>
      </c>
      <c r="X2921" t="str">
        <f>IF(Table2[[#This Row],[Qty available]]&gt;Table2[[#This Row],[Qty on hand]],"Check","OK")</f>
        <v>OK</v>
      </c>
    </row>
    <row r="2922" spans="1:24" x14ac:dyDescent="0.3">
      <c r="A2922" t="s">
        <v>303</v>
      </c>
      <c r="B2922" t="s">
        <v>304</v>
      </c>
      <c r="C2922" t="s">
        <v>25</v>
      </c>
      <c r="D2922" t="s">
        <v>26</v>
      </c>
      <c r="E2922" t="s">
        <v>66</v>
      </c>
      <c r="F2922" s="1" t="s">
        <v>45</v>
      </c>
      <c r="G2922" s="2">
        <v>39.46</v>
      </c>
      <c r="H2922">
        <v>41.88</v>
      </c>
      <c r="I2922">
        <v>41.953552999999999</v>
      </c>
      <c r="J2922">
        <v>55.97</v>
      </c>
      <c r="K2922">
        <v>47</v>
      </c>
      <c r="M2922">
        <v>0</v>
      </c>
      <c r="N2922" s="2">
        <v>729</v>
      </c>
      <c r="O2922">
        <v>30584.14</v>
      </c>
      <c r="P2922">
        <v>34</v>
      </c>
      <c r="Q2922">
        <v>695</v>
      </c>
      <c r="R2922">
        <v>7.82</v>
      </c>
      <c r="S2922">
        <v>0</v>
      </c>
      <c r="T2922">
        <v>438</v>
      </c>
      <c r="U2922" s="2">
        <v>24514.86</v>
      </c>
      <c r="V2922">
        <v>0</v>
      </c>
      <c r="W2922" t="s">
        <v>29</v>
      </c>
      <c r="X2922" t="str">
        <f>IF(Table2[[#This Row],[Qty available]]&gt;Table2[[#This Row],[Qty on hand]],"Check","OK")</f>
        <v>OK</v>
      </c>
    </row>
    <row r="2923" spans="1:24" x14ac:dyDescent="0.3">
      <c r="A2923" t="s">
        <v>303</v>
      </c>
      <c r="B2923" t="s">
        <v>304</v>
      </c>
      <c r="C2923" t="s">
        <v>25</v>
      </c>
      <c r="D2923" t="s">
        <v>26</v>
      </c>
      <c r="E2923" t="s">
        <v>66</v>
      </c>
      <c r="F2923" s="1" t="s">
        <v>46</v>
      </c>
      <c r="G2923" s="2">
        <v>39.18</v>
      </c>
      <c r="H2923">
        <v>41.58</v>
      </c>
      <c r="I2923">
        <v>41.786302999999997</v>
      </c>
      <c r="J2923">
        <v>57.44</v>
      </c>
      <c r="K2923">
        <v>47</v>
      </c>
      <c r="L2923" s="2">
        <v>42</v>
      </c>
      <c r="M2923">
        <v>591</v>
      </c>
      <c r="N2923" s="2">
        <v>1117</v>
      </c>
      <c r="O2923">
        <v>46675.3</v>
      </c>
      <c r="P2923">
        <v>59</v>
      </c>
      <c r="Q2923">
        <v>1058</v>
      </c>
      <c r="R2923">
        <v>14.46</v>
      </c>
      <c r="S2923">
        <v>1</v>
      </c>
      <c r="T2923">
        <v>203</v>
      </c>
      <c r="U2923" s="2">
        <v>11660.32</v>
      </c>
      <c r="V2923">
        <v>0</v>
      </c>
      <c r="W2923" t="s">
        <v>29</v>
      </c>
      <c r="X2923" t="str">
        <f>IF(Table2[[#This Row],[Qty available]]&gt;Table2[[#This Row],[Qty on hand]],"Check","OK")</f>
        <v>OK</v>
      </c>
    </row>
    <row r="2924" spans="1:24" x14ac:dyDescent="0.3">
      <c r="A2924" t="s">
        <v>303</v>
      </c>
      <c r="B2924" t="s">
        <v>304</v>
      </c>
      <c r="C2924" t="s">
        <v>25</v>
      </c>
      <c r="D2924" t="s">
        <v>26</v>
      </c>
      <c r="E2924" t="s">
        <v>66</v>
      </c>
      <c r="F2924" s="1" t="s">
        <v>47</v>
      </c>
      <c r="G2924" s="2">
        <v>39.119999999999997</v>
      </c>
      <c r="H2924">
        <v>41.51</v>
      </c>
      <c r="I2924">
        <v>41.786307000000001</v>
      </c>
      <c r="J2924">
        <v>57.44</v>
      </c>
      <c r="K2924">
        <v>47</v>
      </c>
      <c r="M2924">
        <v>0</v>
      </c>
      <c r="N2924" s="2">
        <v>1010</v>
      </c>
      <c r="O2924">
        <v>42204.17</v>
      </c>
      <c r="P2924">
        <v>42</v>
      </c>
      <c r="Q2924">
        <v>968</v>
      </c>
      <c r="R2924">
        <v>17.36</v>
      </c>
      <c r="S2924">
        <v>0</v>
      </c>
      <c r="T2924">
        <v>107</v>
      </c>
      <c r="U2924" s="2">
        <v>6146.08</v>
      </c>
      <c r="V2924">
        <v>0</v>
      </c>
      <c r="W2924" t="s">
        <v>29</v>
      </c>
      <c r="X2924" t="str">
        <f>IF(Table2[[#This Row],[Qty available]]&gt;Table2[[#This Row],[Qty on hand]],"Check","OK")</f>
        <v>OK</v>
      </c>
    </row>
    <row r="2925" spans="1:24" x14ac:dyDescent="0.3">
      <c r="A2925" t="s">
        <v>303</v>
      </c>
      <c r="B2925" t="s">
        <v>304</v>
      </c>
      <c r="C2925" t="s">
        <v>25</v>
      </c>
      <c r="D2925" t="s">
        <v>26</v>
      </c>
      <c r="E2925" t="s">
        <v>66</v>
      </c>
      <c r="F2925" s="1" t="s">
        <v>48</v>
      </c>
      <c r="G2925" s="2">
        <v>40.58</v>
      </c>
      <c r="H2925">
        <v>43.06</v>
      </c>
      <c r="I2925">
        <v>41.786310999999998</v>
      </c>
      <c r="J2925">
        <v>57.44</v>
      </c>
      <c r="K2925">
        <v>47</v>
      </c>
      <c r="M2925">
        <v>0</v>
      </c>
      <c r="N2925" s="2">
        <v>816</v>
      </c>
      <c r="O2925">
        <v>34097.629999999997</v>
      </c>
      <c r="P2925">
        <v>17</v>
      </c>
      <c r="Q2925">
        <v>799</v>
      </c>
      <c r="R2925">
        <v>20.59</v>
      </c>
      <c r="S2925">
        <v>0</v>
      </c>
      <c r="T2925">
        <v>194</v>
      </c>
      <c r="U2925" s="2">
        <v>11143.36</v>
      </c>
      <c r="V2925">
        <v>0</v>
      </c>
      <c r="W2925" t="s">
        <v>29</v>
      </c>
      <c r="X2925" t="str">
        <f>IF(Table2[[#This Row],[Qty available]]&gt;Table2[[#This Row],[Qty on hand]],"Check","OK")</f>
        <v>OK</v>
      </c>
    </row>
    <row r="2926" spans="1:24" x14ac:dyDescent="0.3">
      <c r="A2926" t="s">
        <v>303</v>
      </c>
      <c r="B2926" t="s">
        <v>304</v>
      </c>
      <c r="C2926" t="s">
        <v>25</v>
      </c>
      <c r="D2926" t="s">
        <v>26</v>
      </c>
      <c r="E2926" t="s">
        <v>66</v>
      </c>
      <c r="F2926" s="1" t="s">
        <v>49</v>
      </c>
      <c r="G2926" s="2">
        <v>40.83</v>
      </c>
      <c r="H2926">
        <v>43.33</v>
      </c>
      <c r="I2926">
        <v>42.434089999999998</v>
      </c>
      <c r="J2926">
        <v>57.44</v>
      </c>
      <c r="K2926">
        <v>47</v>
      </c>
      <c r="L2926" s="2">
        <v>42</v>
      </c>
      <c r="M2926">
        <v>590</v>
      </c>
      <c r="N2926" s="2">
        <v>1017</v>
      </c>
      <c r="O2926">
        <v>43155.47</v>
      </c>
      <c r="P2926">
        <v>25</v>
      </c>
      <c r="Q2926">
        <v>992</v>
      </c>
      <c r="R2926">
        <v>19.37</v>
      </c>
      <c r="S2926">
        <v>1</v>
      </c>
      <c r="T2926">
        <v>389</v>
      </c>
      <c r="U2926" s="2">
        <v>22344.16</v>
      </c>
      <c r="V2926">
        <v>0</v>
      </c>
      <c r="W2926" t="s">
        <v>29</v>
      </c>
      <c r="X2926" t="str">
        <f>IF(Table2[[#This Row],[Qty available]]&gt;Table2[[#This Row],[Qty on hand]],"Check","OK")</f>
        <v>OK</v>
      </c>
    </row>
    <row r="2927" spans="1:24" x14ac:dyDescent="0.3">
      <c r="A2927" t="s">
        <v>303</v>
      </c>
      <c r="B2927" t="s">
        <v>304</v>
      </c>
      <c r="C2927" t="s">
        <v>25</v>
      </c>
      <c r="D2927" t="s">
        <v>26</v>
      </c>
      <c r="E2927" t="s">
        <v>66</v>
      </c>
      <c r="F2927" s="1" t="s">
        <v>50</v>
      </c>
      <c r="G2927" s="2">
        <v>41.55</v>
      </c>
      <c r="H2927">
        <v>44.09</v>
      </c>
      <c r="I2927">
        <v>42.434097000000001</v>
      </c>
      <c r="J2927">
        <v>57.44</v>
      </c>
      <c r="K2927">
        <v>47</v>
      </c>
      <c r="M2927">
        <v>0</v>
      </c>
      <c r="N2927" s="2">
        <v>742</v>
      </c>
      <c r="O2927">
        <v>31486.1</v>
      </c>
      <c r="P2927">
        <v>25</v>
      </c>
      <c r="Q2927">
        <v>717</v>
      </c>
      <c r="R2927">
        <v>11.24</v>
      </c>
      <c r="S2927">
        <v>4</v>
      </c>
      <c r="T2927">
        <v>275</v>
      </c>
      <c r="U2927" s="2">
        <v>15796</v>
      </c>
      <c r="V2927">
        <v>0</v>
      </c>
      <c r="W2927" t="s">
        <v>29</v>
      </c>
      <c r="X2927" t="str">
        <f>IF(Table2[[#This Row],[Qty available]]&gt;Table2[[#This Row],[Qty on hand]],"Check","OK")</f>
        <v>OK</v>
      </c>
    </row>
    <row r="2928" spans="1:24" x14ac:dyDescent="0.3">
      <c r="A2928" t="s">
        <v>303</v>
      </c>
      <c r="B2928" t="s">
        <v>304</v>
      </c>
      <c r="C2928" t="s">
        <v>25</v>
      </c>
      <c r="D2928" t="s">
        <v>26</v>
      </c>
      <c r="E2928" t="s">
        <v>66</v>
      </c>
      <c r="F2928" s="1" t="s">
        <v>51</v>
      </c>
      <c r="G2928" s="2">
        <v>40.54</v>
      </c>
      <c r="H2928">
        <v>43.02</v>
      </c>
      <c r="I2928">
        <v>42.690899999999999</v>
      </c>
      <c r="J2928">
        <v>57.44</v>
      </c>
      <c r="K2928">
        <v>47</v>
      </c>
      <c r="L2928" s="2">
        <v>46</v>
      </c>
      <c r="M2928">
        <v>579</v>
      </c>
      <c r="N2928" s="2">
        <v>1178</v>
      </c>
      <c r="O2928">
        <v>50289.88</v>
      </c>
      <c r="P2928">
        <v>68</v>
      </c>
      <c r="Q2928">
        <v>1110</v>
      </c>
      <c r="R2928">
        <v>19.18</v>
      </c>
      <c r="S2928">
        <v>2</v>
      </c>
      <c r="T2928">
        <v>143</v>
      </c>
      <c r="U2928" s="2">
        <v>8213.92</v>
      </c>
      <c r="V2928">
        <v>0</v>
      </c>
      <c r="W2928" t="s">
        <v>29</v>
      </c>
      <c r="X2928" t="str">
        <f>IF(Table2[[#This Row],[Qty available]]&gt;Table2[[#This Row],[Qty on hand]],"Check","OK")</f>
        <v>OK</v>
      </c>
    </row>
    <row r="2929" spans="1:24" x14ac:dyDescent="0.3">
      <c r="A2929" t="s">
        <v>303</v>
      </c>
      <c r="B2929" t="s">
        <v>304</v>
      </c>
      <c r="C2929" t="s">
        <v>25</v>
      </c>
      <c r="D2929" t="s">
        <v>26</v>
      </c>
      <c r="E2929" t="s">
        <v>66</v>
      </c>
      <c r="F2929" s="1" t="s">
        <v>52</v>
      </c>
      <c r="G2929" s="2">
        <v>40.9</v>
      </c>
      <c r="H2929">
        <v>43.4</v>
      </c>
      <c r="I2929">
        <v>42.852969000000002</v>
      </c>
      <c r="J2929">
        <v>57.44</v>
      </c>
      <c r="K2929">
        <v>47</v>
      </c>
      <c r="L2929" s="2">
        <v>43</v>
      </c>
      <c r="M2929">
        <v>349</v>
      </c>
      <c r="N2929" s="2">
        <v>1273</v>
      </c>
      <c r="O2929">
        <v>54551.83</v>
      </c>
      <c r="P2929">
        <v>68</v>
      </c>
      <c r="Q2929">
        <v>1205</v>
      </c>
      <c r="R2929">
        <v>24.9</v>
      </c>
      <c r="S2929">
        <v>0</v>
      </c>
      <c r="T2929">
        <v>254</v>
      </c>
      <c r="U2929" s="2">
        <v>14589.76</v>
      </c>
      <c r="V2929">
        <v>0</v>
      </c>
      <c r="W2929" t="s">
        <v>29</v>
      </c>
      <c r="X2929" t="str">
        <f>IF(Table2[[#This Row],[Qty available]]&gt;Table2[[#This Row],[Qty on hand]],"Check","OK")</f>
        <v>OK</v>
      </c>
    </row>
    <row r="2930" spans="1:24" x14ac:dyDescent="0.3">
      <c r="A2930" t="s">
        <v>305</v>
      </c>
      <c r="B2930" t="s">
        <v>306</v>
      </c>
      <c r="C2930" t="s">
        <v>77</v>
      </c>
      <c r="D2930" t="s">
        <v>78</v>
      </c>
      <c r="E2930" t="s">
        <v>27</v>
      </c>
      <c r="F2930" s="1" t="s">
        <v>28</v>
      </c>
      <c r="G2930" s="2">
        <v>1.95</v>
      </c>
      <c r="H2930">
        <v>2.12</v>
      </c>
      <c r="I2930">
        <v>2.0869599999999999</v>
      </c>
      <c r="J2930">
        <v>3</v>
      </c>
      <c r="K2930">
        <v>28</v>
      </c>
      <c r="M2930">
        <v>0</v>
      </c>
      <c r="N2930" s="2">
        <v>773</v>
      </c>
      <c r="O2930">
        <v>1613.22</v>
      </c>
      <c r="P2930">
        <v>70</v>
      </c>
      <c r="Q2930">
        <v>703</v>
      </c>
      <c r="R2930">
        <v>17.37</v>
      </c>
      <c r="S2930">
        <v>1</v>
      </c>
      <c r="T2930">
        <v>161</v>
      </c>
      <c r="U2930" s="2">
        <v>483</v>
      </c>
      <c r="V2930">
        <v>0</v>
      </c>
      <c r="W2930" t="s">
        <v>29</v>
      </c>
      <c r="X2930" t="str">
        <f>IF(Table2[[#This Row],[Qty available]]&gt;Table2[[#This Row],[Qty on hand]],"Check","OK")</f>
        <v>OK</v>
      </c>
    </row>
    <row r="2931" spans="1:24" x14ac:dyDescent="0.3">
      <c r="A2931" t="s">
        <v>305</v>
      </c>
      <c r="B2931" t="s">
        <v>306</v>
      </c>
      <c r="C2931" t="s">
        <v>77</v>
      </c>
      <c r="D2931" t="s">
        <v>78</v>
      </c>
      <c r="E2931" t="s">
        <v>27</v>
      </c>
      <c r="F2931" s="1" t="s">
        <v>30</v>
      </c>
      <c r="G2931" s="2">
        <v>1.89</v>
      </c>
      <c r="H2931">
        <v>2.06</v>
      </c>
      <c r="I2931">
        <v>2.0869529999999998</v>
      </c>
      <c r="J2931">
        <v>3</v>
      </c>
      <c r="K2931">
        <v>28</v>
      </c>
      <c r="M2931">
        <v>0</v>
      </c>
      <c r="N2931" s="2">
        <v>653</v>
      </c>
      <c r="O2931">
        <v>1362.78</v>
      </c>
      <c r="P2931">
        <v>35</v>
      </c>
      <c r="Q2931">
        <v>618</v>
      </c>
      <c r="R2931">
        <v>16.7</v>
      </c>
      <c r="S2931">
        <v>3</v>
      </c>
      <c r="T2931">
        <v>120</v>
      </c>
      <c r="U2931" s="2">
        <v>360</v>
      </c>
      <c r="V2931">
        <v>0</v>
      </c>
      <c r="W2931" t="s">
        <v>29</v>
      </c>
      <c r="X2931" t="str">
        <f>IF(Table2[[#This Row],[Qty available]]&gt;Table2[[#This Row],[Qty on hand]],"Check","OK")</f>
        <v>OK</v>
      </c>
    </row>
    <row r="2932" spans="1:24" x14ac:dyDescent="0.3">
      <c r="A2932" t="s">
        <v>305</v>
      </c>
      <c r="B2932" t="s">
        <v>306</v>
      </c>
      <c r="C2932" t="s">
        <v>77</v>
      </c>
      <c r="D2932" t="s">
        <v>78</v>
      </c>
      <c r="E2932" t="s">
        <v>27</v>
      </c>
      <c r="F2932" s="1" t="s">
        <v>31</v>
      </c>
      <c r="G2932" s="2">
        <v>1.91</v>
      </c>
      <c r="H2932">
        <v>2.08</v>
      </c>
      <c r="I2932">
        <v>2.0838589999999999</v>
      </c>
      <c r="J2932">
        <v>3</v>
      </c>
      <c r="K2932">
        <v>28</v>
      </c>
      <c r="L2932" s="2">
        <v>38</v>
      </c>
      <c r="M2932">
        <v>523</v>
      </c>
      <c r="N2932" s="2">
        <v>868</v>
      </c>
      <c r="O2932">
        <v>1808.79</v>
      </c>
      <c r="P2932">
        <v>79</v>
      </c>
      <c r="Q2932">
        <v>789</v>
      </c>
      <c r="R2932">
        <v>19.16</v>
      </c>
      <c r="S2932">
        <v>0</v>
      </c>
      <c r="T2932">
        <v>308</v>
      </c>
      <c r="U2932" s="2">
        <v>924</v>
      </c>
      <c r="V2932">
        <v>0</v>
      </c>
      <c r="W2932" t="s">
        <v>29</v>
      </c>
      <c r="X2932" t="str">
        <f>IF(Table2[[#This Row],[Qty available]]&gt;Table2[[#This Row],[Qty on hand]],"Check","OK")</f>
        <v>OK</v>
      </c>
    </row>
    <row r="2933" spans="1:24" x14ac:dyDescent="0.3">
      <c r="A2933" t="s">
        <v>305</v>
      </c>
      <c r="B2933" t="s">
        <v>306</v>
      </c>
      <c r="C2933" t="s">
        <v>77</v>
      </c>
      <c r="D2933" t="s">
        <v>78</v>
      </c>
      <c r="E2933" t="s">
        <v>27</v>
      </c>
      <c r="F2933" s="1" t="s">
        <v>32</v>
      </c>
      <c r="G2933" s="2">
        <v>1.93</v>
      </c>
      <c r="H2933">
        <v>2.1</v>
      </c>
      <c r="I2933">
        <v>2.087634</v>
      </c>
      <c r="J2933">
        <v>3</v>
      </c>
      <c r="K2933">
        <v>28</v>
      </c>
      <c r="L2933" s="2">
        <v>24</v>
      </c>
      <c r="M2933">
        <v>265</v>
      </c>
      <c r="N2933" s="2">
        <v>841</v>
      </c>
      <c r="O2933">
        <v>1755.7</v>
      </c>
      <c r="P2933">
        <v>26</v>
      </c>
      <c r="Q2933">
        <v>815</v>
      </c>
      <c r="R2933">
        <v>15.35</v>
      </c>
      <c r="S2933">
        <v>1</v>
      </c>
      <c r="T2933">
        <v>292</v>
      </c>
      <c r="U2933" s="2">
        <v>876</v>
      </c>
      <c r="V2933">
        <v>0</v>
      </c>
      <c r="W2933" t="s">
        <v>29</v>
      </c>
      <c r="X2933" t="str">
        <f>IF(Table2[[#This Row],[Qty available]]&gt;Table2[[#This Row],[Qty on hand]],"Check","OK")</f>
        <v>OK</v>
      </c>
    </row>
    <row r="2934" spans="1:24" x14ac:dyDescent="0.3">
      <c r="A2934" t="s">
        <v>305</v>
      </c>
      <c r="B2934" t="s">
        <v>306</v>
      </c>
      <c r="C2934" t="s">
        <v>77</v>
      </c>
      <c r="D2934" t="s">
        <v>78</v>
      </c>
      <c r="E2934" t="s">
        <v>27</v>
      </c>
      <c r="F2934" s="1" t="s">
        <v>33</v>
      </c>
      <c r="G2934" s="2">
        <v>1.92</v>
      </c>
      <c r="H2934">
        <v>2.09</v>
      </c>
      <c r="I2934">
        <v>2.0876410000000001</v>
      </c>
      <c r="J2934">
        <v>3</v>
      </c>
      <c r="K2934">
        <v>28</v>
      </c>
      <c r="M2934">
        <v>0</v>
      </c>
      <c r="N2934" s="2">
        <v>585</v>
      </c>
      <c r="O2934">
        <v>1221.27</v>
      </c>
      <c r="P2934">
        <v>61</v>
      </c>
      <c r="Q2934">
        <v>524</v>
      </c>
      <c r="R2934">
        <v>8.98</v>
      </c>
      <c r="S2934">
        <v>0</v>
      </c>
      <c r="T2934">
        <v>256</v>
      </c>
      <c r="U2934" s="2">
        <v>768</v>
      </c>
      <c r="V2934">
        <v>0</v>
      </c>
      <c r="W2934" t="s">
        <v>29</v>
      </c>
      <c r="X2934" t="str">
        <f>IF(Table2[[#This Row],[Qty available]]&gt;Table2[[#This Row],[Qty on hand]],"Check","OK")</f>
        <v>OK</v>
      </c>
    </row>
    <row r="2935" spans="1:24" x14ac:dyDescent="0.3">
      <c r="A2935" t="s">
        <v>305</v>
      </c>
      <c r="B2935" t="s">
        <v>306</v>
      </c>
      <c r="C2935" t="s">
        <v>77</v>
      </c>
      <c r="D2935" t="s">
        <v>78</v>
      </c>
      <c r="E2935" t="s">
        <v>27</v>
      </c>
      <c r="F2935" s="1" t="s">
        <v>34</v>
      </c>
      <c r="G2935" s="2">
        <v>1.92</v>
      </c>
      <c r="H2935">
        <v>2.09</v>
      </c>
      <c r="I2935">
        <v>2.0882200000000002</v>
      </c>
      <c r="J2935">
        <v>3.1</v>
      </c>
      <c r="K2935">
        <v>28</v>
      </c>
      <c r="L2935" s="2">
        <v>46</v>
      </c>
      <c r="M2935">
        <v>192</v>
      </c>
      <c r="N2935" s="2">
        <v>573</v>
      </c>
      <c r="O2935">
        <v>1196.55</v>
      </c>
      <c r="P2935">
        <v>88</v>
      </c>
      <c r="Q2935">
        <v>485</v>
      </c>
      <c r="R2935">
        <v>9.8000000000000007</v>
      </c>
      <c r="S2935">
        <v>4</v>
      </c>
      <c r="T2935">
        <v>204</v>
      </c>
      <c r="U2935" s="2">
        <v>632.4</v>
      </c>
      <c r="V2935">
        <v>0</v>
      </c>
      <c r="W2935" t="s">
        <v>29</v>
      </c>
      <c r="X2935" t="str">
        <f>IF(Table2[[#This Row],[Qty available]]&gt;Table2[[#This Row],[Qty on hand]],"Check","OK")</f>
        <v>OK</v>
      </c>
    </row>
    <row r="2936" spans="1:24" x14ac:dyDescent="0.3">
      <c r="A2936" t="s">
        <v>305</v>
      </c>
      <c r="B2936" t="s">
        <v>306</v>
      </c>
      <c r="C2936" t="s">
        <v>77</v>
      </c>
      <c r="D2936" t="s">
        <v>78</v>
      </c>
      <c r="E2936" t="s">
        <v>27</v>
      </c>
      <c r="F2936" s="1" t="s">
        <v>35</v>
      </c>
      <c r="G2936" s="2">
        <v>1.98</v>
      </c>
      <c r="H2936">
        <v>2.16</v>
      </c>
      <c r="I2936">
        <v>2.0964260000000001</v>
      </c>
      <c r="J2936">
        <v>3.1</v>
      </c>
      <c r="K2936">
        <v>28</v>
      </c>
      <c r="L2936" s="2">
        <v>24</v>
      </c>
      <c r="M2936">
        <v>74</v>
      </c>
      <c r="N2936" s="2">
        <v>484</v>
      </c>
      <c r="O2936">
        <v>1014.67</v>
      </c>
      <c r="P2936">
        <v>70</v>
      </c>
      <c r="Q2936">
        <v>414</v>
      </c>
      <c r="R2936">
        <v>9.99</v>
      </c>
      <c r="S2936">
        <v>1</v>
      </c>
      <c r="T2936">
        <v>163</v>
      </c>
      <c r="U2936" s="2">
        <v>505.3</v>
      </c>
      <c r="V2936">
        <v>0</v>
      </c>
      <c r="W2936" t="s">
        <v>29</v>
      </c>
      <c r="X2936" t="str">
        <f>IF(Table2[[#This Row],[Qty available]]&gt;Table2[[#This Row],[Qty on hand]],"Check","OK")</f>
        <v>OK</v>
      </c>
    </row>
    <row r="2937" spans="1:24" x14ac:dyDescent="0.3">
      <c r="A2937" t="s">
        <v>305</v>
      </c>
      <c r="B2937" t="s">
        <v>306</v>
      </c>
      <c r="C2937" t="s">
        <v>77</v>
      </c>
      <c r="D2937" t="s">
        <v>78</v>
      </c>
      <c r="E2937" t="s">
        <v>27</v>
      </c>
      <c r="F2937" s="1" t="s">
        <v>36</v>
      </c>
      <c r="G2937" s="2">
        <v>2.0099999999999998</v>
      </c>
      <c r="H2937">
        <v>2.19</v>
      </c>
      <c r="I2937">
        <v>2.1425230000000002</v>
      </c>
      <c r="J2937">
        <v>3.1</v>
      </c>
      <c r="K2937">
        <v>28</v>
      </c>
      <c r="L2937" s="2">
        <v>26</v>
      </c>
      <c r="M2937">
        <v>470</v>
      </c>
      <c r="N2937" s="2">
        <v>642</v>
      </c>
      <c r="O2937">
        <v>1375.5</v>
      </c>
      <c r="P2937">
        <v>53</v>
      </c>
      <c r="Q2937">
        <v>589</v>
      </c>
      <c r="R2937">
        <v>12.02</v>
      </c>
      <c r="S2937">
        <v>2</v>
      </c>
      <c r="T2937">
        <v>312</v>
      </c>
      <c r="U2937" s="2">
        <v>967.2</v>
      </c>
      <c r="V2937">
        <v>0</v>
      </c>
      <c r="W2937" t="s">
        <v>29</v>
      </c>
      <c r="X2937" t="str">
        <f>IF(Table2[[#This Row],[Qty available]]&gt;Table2[[#This Row],[Qty on hand]],"Check","OK")</f>
        <v>OK</v>
      </c>
    </row>
    <row r="2938" spans="1:24" x14ac:dyDescent="0.3">
      <c r="A2938" t="s">
        <v>305</v>
      </c>
      <c r="B2938" t="s">
        <v>306</v>
      </c>
      <c r="C2938" t="s">
        <v>77</v>
      </c>
      <c r="D2938" t="s">
        <v>78</v>
      </c>
      <c r="E2938" t="s">
        <v>27</v>
      </c>
      <c r="F2938" s="1" t="s">
        <v>37</v>
      </c>
      <c r="G2938" s="2">
        <v>2.0299999999999998</v>
      </c>
      <c r="H2938">
        <v>2.21</v>
      </c>
      <c r="I2938">
        <v>2.169054</v>
      </c>
      <c r="J2938">
        <v>3.1</v>
      </c>
      <c r="K2938">
        <v>28</v>
      </c>
      <c r="L2938" s="2">
        <v>28</v>
      </c>
      <c r="M2938">
        <v>416</v>
      </c>
      <c r="N2938" s="2">
        <v>782</v>
      </c>
      <c r="O2938">
        <v>1696.2</v>
      </c>
      <c r="P2938">
        <v>70</v>
      </c>
      <c r="Q2938">
        <v>712</v>
      </c>
      <c r="R2938">
        <v>13.69</v>
      </c>
      <c r="S2938">
        <v>2</v>
      </c>
      <c r="T2938">
        <v>276</v>
      </c>
      <c r="U2938" s="2">
        <v>855.6</v>
      </c>
      <c r="V2938">
        <v>0</v>
      </c>
      <c r="W2938" t="s">
        <v>29</v>
      </c>
      <c r="X2938" t="str">
        <f>IF(Table2[[#This Row],[Qty available]]&gt;Table2[[#This Row],[Qty on hand]],"Check","OK")</f>
        <v>OK</v>
      </c>
    </row>
    <row r="2939" spans="1:24" x14ac:dyDescent="0.3">
      <c r="A2939" t="s">
        <v>305</v>
      </c>
      <c r="B2939" t="s">
        <v>306</v>
      </c>
      <c r="C2939" t="s">
        <v>77</v>
      </c>
      <c r="D2939" t="s">
        <v>78</v>
      </c>
      <c r="E2939" t="s">
        <v>27</v>
      </c>
      <c r="F2939" s="1" t="s">
        <v>38</v>
      </c>
      <c r="G2939" s="2">
        <v>2.04</v>
      </c>
      <c r="H2939">
        <v>2.2200000000000002</v>
      </c>
      <c r="I2939">
        <v>2.1784539999999999</v>
      </c>
      <c r="J2939">
        <v>3.1</v>
      </c>
      <c r="K2939">
        <v>28</v>
      </c>
      <c r="L2939" s="2">
        <v>26</v>
      </c>
      <c r="M2939">
        <v>177</v>
      </c>
      <c r="N2939" s="2">
        <v>731</v>
      </c>
      <c r="O2939">
        <v>1592.45</v>
      </c>
      <c r="P2939">
        <v>61</v>
      </c>
      <c r="Q2939">
        <v>670</v>
      </c>
      <c r="R2939">
        <v>11.65</v>
      </c>
      <c r="S2939">
        <v>1</v>
      </c>
      <c r="T2939">
        <v>228</v>
      </c>
      <c r="U2939" s="2">
        <v>706.8</v>
      </c>
      <c r="V2939">
        <v>0</v>
      </c>
      <c r="W2939" t="s">
        <v>29</v>
      </c>
      <c r="X2939" t="str">
        <f>IF(Table2[[#This Row],[Qty available]]&gt;Table2[[#This Row],[Qty on hand]],"Check","OK")</f>
        <v>OK</v>
      </c>
    </row>
    <row r="2940" spans="1:24" x14ac:dyDescent="0.3">
      <c r="A2940" t="s">
        <v>305</v>
      </c>
      <c r="B2940" t="s">
        <v>306</v>
      </c>
      <c r="C2940" t="s">
        <v>77</v>
      </c>
      <c r="D2940" t="s">
        <v>78</v>
      </c>
      <c r="E2940" t="s">
        <v>27</v>
      </c>
      <c r="F2940" s="1" t="s">
        <v>39</v>
      </c>
      <c r="G2940" s="2">
        <v>2.0499999999999998</v>
      </c>
      <c r="H2940">
        <v>2.23</v>
      </c>
      <c r="I2940">
        <v>2.1907519999999998</v>
      </c>
      <c r="J2940">
        <v>3.1</v>
      </c>
      <c r="K2940">
        <v>28</v>
      </c>
      <c r="L2940" s="2">
        <v>26</v>
      </c>
      <c r="M2940">
        <v>229</v>
      </c>
      <c r="N2940" s="2">
        <v>625</v>
      </c>
      <c r="O2940">
        <v>1369.22</v>
      </c>
      <c r="P2940">
        <v>26</v>
      </c>
      <c r="Q2940">
        <v>599</v>
      </c>
      <c r="R2940">
        <v>9.7899999999999991</v>
      </c>
      <c r="S2940">
        <v>0</v>
      </c>
      <c r="T2940">
        <v>335</v>
      </c>
      <c r="U2940" s="2">
        <v>1038.5</v>
      </c>
      <c r="V2940">
        <v>0</v>
      </c>
      <c r="W2940" t="s">
        <v>29</v>
      </c>
      <c r="X2940" t="str">
        <f>IF(Table2[[#This Row],[Qty available]]&gt;Table2[[#This Row],[Qty on hand]],"Check","OK")</f>
        <v>OK</v>
      </c>
    </row>
    <row r="2941" spans="1:24" x14ac:dyDescent="0.3">
      <c r="A2941" t="s">
        <v>305</v>
      </c>
      <c r="B2941" t="s">
        <v>306</v>
      </c>
      <c r="C2941" t="s">
        <v>77</v>
      </c>
      <c r="D2941" t="s">
        <v>78</v>
      </c>
      <c r="E2941" t="s">
        <v>27</v>
      </c>
      <c r="F2941" s="1" t="s">
        <v>40</v>
      </c>
      <c r="G2941" s="2">
        <v>1.99</v>
      </c>
      <c r="H2941">
        <v>2.17</v>
      </c>
      <c r="I2941">
        <v>2.180771</v>
      </c>
      <c r="J2941">
        <v>3.1</v>
      </c>
      <c r="K2941">
        <v>28</v>
      </c>
      <c r="L2941" s="2">
        <v>25</v>
      </c>
      <c r="M2941">
        <v>579</v>
      </c>
      <c r="N2941" s="2">
        <v>882</v>
      </c>
      <c r="O2941">
        <v>1923.44</v>
      </c>
      <c r="P2941">
        <v>79</v>
      </c>
      <c r="Q2941">
        <v>803</v>
      </c>
      <c r="R2941">
        <v>13.1</v>
      </c>
      <c r="S2941">
        <v>0</v>
      </c>
      <c r="T2941">
        <v>322</v>
      </c>
      <c r="U2941" s="2">
        <v>998.2</v>
      </c>
      <c r="V2941">
        <v>0</v>
      </c>
      <c r="W2941" t="s">
        <v>29</v>
      </c>
      <c r="X2941" t="str">
        <f>IF(Table2[[#This Row],[Qty available]]&gt;Table2[[#This Row],[Qty on hand]],"Check","OK")</f>
        <v>OK</v>
      </c>
    </row>
    <row r="2942" spans="1:24" x14ac:dyDescent="0.3">
      <c r="A2942" t="s">
        <v>305</v>
      </c>
      <c r="B2942" t="s">
        <v>306</v>
      </c>
      <c r="C2942" t="s">
        <v>77</v>
      </c>
      <c r="D2942" t="s">
        <v>78</v>
      </c>
      <c r="E2942" t="s">
        <v>27</v>
      </c>
      <c r="F2942" s="1" t="s">
        <v>41</v>
      </c>
      <c r="G2942" s="2">
        <v>1.98</v>
      </c>
      <c r="H2942">
        <v>2.16</v>
      </c>
      <c r="I2942">
        <v>2.1807639999999999</v>
      </c>
      <c r="J2942">
        <v>3.1</v>
      </c>
      <c r="K2942">
        <v>28</v>
      </c>
      <c r="M2942">
        <v>0</v>
      </c>
      <c r="N2942" s="2">
        <v>589</v>
      </c>
      <c r="O2942">
        <v>1284.47</v>
      </c>
      <c r="P2942">
        <v>53</v>
      </c>
      <c r="Q2942">
        <v>536</v>
      </c>
      <c r="R2942">
        <v>8.15</v>
      </c>
      <c r="S2942">
        <v>0</v>
      </c>
      <c r="T2942">
        <v>293</v>
      </c>
      <c r="U2942" s="2">
        <v>908.3</v>
      </c>
      <c r="V2942">
        <v>0</v>
      </c>
      <c r="W2942" t="s">
        <v>29</v>
      </c>
      <c r="X2942" t="str">
        <f>IF(Table2[[#This Row],[Qty available]]&gt;Table2[[#This Row],[Qty on hand]],"Check","OK")</f>
        <v>OK</v>
      </c>
    </row>
    <row r="2943" spans="1:24" x14ac:dyDescent="0.3">
      <c r="A2943" t="s">
        <v>305</v>
      </c>
      <c r="B2943" t="s">
        <v>306</v>
      </c>
      <c r="C2943" t="s">
        <v>77</v>
      </c>
      <c r="D2943" t="s">
        <v>78</v>
      </c>
      <c r="E2943" t="s">
        <v>27</v>
      </c>
      <c r="F2943" s="1" t="s">
        <v>42</v>
      </c>
      <c r="G2943" s="2">
        <v>2.0499999999999998</v>
      </c>
      <c r="H2943">
        <v>2.23</v>
      </c>
      <c r="I2943">
        <v>2.1807530000000002</v>
      </c>
      <c r="J2943">
        <v>3.1</v>
      </c>
      <c r="K2943">
        <v>28</v>
      </c>
      <c r="M2943">
        <v>0</v>
      </c>
      <c r="N2943" s="2">
        <v>425</v>
      </c>
      <c r="O2943">
        <v>926.82</v>
      </c>
      <c r="P2943">
        <v>88</v>
      </c>
      <c r="Q2943">
        <v>337</v>
      </c>
      <c r="R2943">
        <v>7.17</v>
      </c>
      <c r="S2943">
        <v>0</v>
      </c>
      <c r="T2943">
        <v>164</v>
      </c>
      <c r="U2943" s="2">
        <v>508.4</v>
      </c>
      <c r="V2943">
        <v>0</v>
      </c>
      <c r="W2943" t="s">
        <v>29</v>
      </c>
      <c r="X2943" t="str">
        <f>IF(Table2[[#This Row],[Qty available]]&gt;Table2[[#This Row],[Qty on hand]],"Check","OK")</f>
        <v>OK</v>
      </c>
    </row>
    <row r="2944" spans="1:24" x14ac:dyDescent="0.3">
      <c r="A2944" t="s">
        <v>305</v>
      </c>
      <c r="B2944" t="s">
        <v>306</v>
      </c>
      <c r="C2944" t="s">
        <v>77</v>
      </c>
      <c r="D2944" t="s">
        <v>78</v>
      </c>
      <c r="E2944" t="s">
        <v>27</v>
      </c>
      <c r="F2944" s="1" t="s">
        <v>43</v>
      </c>
      <c r="G2944" s="2">
        <v>1.98</v>
      </c>
      <c r="H2944">
        <v>2.16</v>
      </c>
      <c r="I2944">
        <v>2.1746150000000002</v>
      </c>
      <c r="J2944">
        <v>3.1</v>
      </c>
      <c r="K2944">
        <v>28</v>
      </c>
      <c r="L2944" s="2">
        <v>39</v>
      </c>
      <c r="M2944">
        <v>178</v>
      </c>
      <c r="N2944" s="2">
        <v>208</v>
      </c>
      <c r="O2944">
        <v>452.32</v>
      </c>
      <c r="P2944">
        <v>79</v>
      </c>
      <c r="Q2944">
        <v>129</v>
      </c>
      <c r="R2944">
        <v>3.17</v>
      </c>
      <c r="S2944">
        <v>1</v>
      </c>
      <c r="T2944">
        <v>395</v>
      </c>
      <c r="U2944" s="2">
        <v>1224.5</v>
      </c>
      <c r="V2944">
        <v>0</v>
      </c>
      <c r="W2944" t="s">
        <v>29</v>
      </c>
      <c r="X2944" t="str">
        <f>IF(Table2[[#This Row],[Qty available]]&gt;Table2[[#This Row],[Qty on hand]],"Check","OK")</f>
        <v>OK</v>
      </c>
    </row>
    <row r="2945" spans="1:24" x14ac:dyDescent="0.3">
      <c r="A2945" t="s">
        <v>305</v>
      </c>
      <c r="B2945" t="s">
        <v>306</v>
      </c>
      <c r="C2945" t="s">
        <v>77</v>
      </c>
      <c r="D2945" t="s">
        <v>78</v>
      </c>
      <c r="E2945" t="s">
        <v>27</v>
      </c>
      <c r="F2945" s="1" t="s">
        <v>44</v>
      </c>
      <c r="G2945" s="2">
        <v>2.0499999999999998</v>
      </c>
      <c r="H2945">
        <v>2.23</v>
      </c>
      <c r="I2945">
        <v>2.2189709999999998</v>
      </c>
      <c r="J2945">
        <v>3.1</v>
      </c>
      <c r="K2945">
        <v>28</v>
      </c>
      <c r="L2945" s="2">
        <v>28</v>
      </c>
      <c r="M2945">
        <v>837</v>
      </c>
      <c r="N2945" s="2">
        <v>865</v>
      </c>
      <c r="O2945">
        <v>1919.41</v>
      </c>
      <c r="P2945">
        <v>70</v>
      </c>
      <c r="Q2945">
        <v>795</v>
      </c>
      <c r="R2945">
        <v>15.38</v>
      </c>
      <c r="S2945">
        <v>0</v>
      </c>
      <c r="T2945">
        <v>180</v>
      </c>
      <c r="U2945" s="2">
        <v>558</v>
      </c>
      <c r="V2945">
        <v>0</v>
      </c>
      <c r="W2945" t="s">
        <v>29</v>
      </c>
      <c r="X2945" t="str">
        <f>IF(Table2[[#This Row],[Qty available]]&gt;Table2[[#This Row],[Qty on hand]],"Check","OK")</f>
        <v>OK</v>
      </c>
    </row>
    <row r="2946" spans="1:24" x14ac:dyDescent="0.3">
      <c r="A2946" t="s">
        <v>305</v>
      </c>
      <c r="B2946" t="s">
        <v>306</v>
      </c>
      <c r="C2946" t="s">
        <v>77</v>
      </c>
      <c r="D2946" t="s">
        <v>78</v>
      </c>
      <c r="E2946" t="s">
        <v>27</v>
      </c>
      <c r="F2946" s="1" t="s">
        <v>45</v>
      </c>
      <c r="G2946" s="2">
        <v>2.0099999999999998</v>
      </c>
      <c r="H2946">
        <v>2.19</v>
      </c>
      <c r="I2946">
        <v>2.2143489999999999</v>
      </c>
      <c r="J2946">
        <v>3.1</v>
      </c>
      <c r="K2946">
        <v>28</v>
      </c>
      <c r="L2946" s="2">
        <v>25</v>
      </c>
      <c r="M2946">
        <v>164</v>
      </c>
      <c r="N2946" s="2">
        <v>784</v>
      </c>
      <c r="O2946">
        <v>1736.05</v>
      </c>
      <c r="P2946">
        <v>88</v>
      </c>
      <c r="Q2946">
        <v>696</v>
      </c>
      <c r="R2946">
        <v>12.57</v>
      </c>
      <c r="S2946">
        <v>2</v>
      </c>
      <c r="T2946">
        <v>245</v>
      </c>
      <c r="U2946" s="2">
        <v>759.5</v>
      </c>
      <c r="V2946">
        <v>0</v>
      </c>
      <c r="W2946" t="s">
        <v>29</v>
      </c>
      <c r="X2946" t="str">
        <f>IF(Table2[[#This Row],[Qty available]]&gt;Table2[[#This Row],[Qty on hand]],"Check","OK")</f>
        <v>OK</v>
      </c>
    </row>
    <row r="2947" spans="1:24" x14ac:dyDescent="0.3">
      <c r="A2947" t="s">
        <v>305</v>
      </c>
      <c r="B2947" t="s">
        <v>306</v>
      </c>
      <c r="C2947" t="s">
        <v>77</v>
      </c>
      <c r="D2947" t="s">
        <v>78</v>
      </c>
      <c r="E2947" t="s">
        <v>27</v>
      </c>
      <c r="F2947" s="1" t="s">
        <v>46</v>
      </c>
      <c r="G2947" s="2">
        <v>2.06</v>
      </c>
      <c r="H2947">
        <v>2.2400000000000002</v>
      </c>
      <c r="I2947">
        <v>2.2143570000000001</v>
      </c>
      <c r="J2947">
        <v>3.2</v>
      </c>
      <c r="K2947">
        <v>28</v>
      </c>
      <c r="M2947">
        <v>0</v>
      </c>
      <c r="N2947" s="2">
        <v>544</v>
      </c>
      <c r="O2947">
        <v>1204.6099999999999</v>
      </c>
      <c r="P2947">
        <v>88</v>
      </c>
      <c r="Q2947">
        <v>456</v>
      </c>
      <c r="R2947">
        <v>10.52</v>
      </c>
      <c r="S2947">
        <v>0</v>
      </c>
      <c r="T2947">
        <v>240</v>
      </c>
      <c r="U2947" s="2">
        <v>768</v>
      </c>
      <c r="V2947">
        <v>0</v>
      </c>
      <c r="W2947" t="s">
        <v>29</v>
      </c>
      <c r="X2947" t="str">
        <f>IF(Table2[[#This Row],[Qty available]]&gt;Table2[[#This Row],[Qty on hand]],"Check","OK")</f>
        <v>OK</v>
      </c>
    </row>
    <row r="2948" spans="1:24" x14ac:dyDescent="0.3">
      <c r="A2948" t="s">
        <v>305</v>
      </c>
      <c r="B2948" t="s">
        <v>306</v>
      </c>
      <c r="C2948" t="s">
        <v>77</v>
      </c>
      <c r="D2948" t="s">
        <v>78</v>
      </c>
      <c r="E2948" t="s">
        <v>27</v>
      </c>
      <c r="F2948" s="1" t="s">
        <v>47</v>
      </c>
      <c r="G2948" s="2">
        <v>2.1</v>
      </c>
      <c r="H2948">
        <v>2.29</v>
      </c>
      <c r="I2948">
        <v>2.2345359999999999</v>
      </c>
      <c r="J2948">
        <v>3.2</v>
      </c>
      <c r="K2948">
        <v>28</v>
      </c>
      <c r="L2948" s="2">
        <v>26</v>
      </c>
      <c r="M2948">
        <v>198</v>
      </c>
      <c r="N2948" s="2">
        <v>399</v>
      </c>
      <c r="O2948">
        <v>891.58</v>
      </c>
      <c r="P2948">
        <v>53</v>
      </c>
      <c r="Q2948">
        <v>346</v>
      </c>
      <c r="R2948">
        <v>6.2</v>
      </c>
      <c r="S2948">
        <v>3</v>
      </c>
      <c r="T2948">
        <v>343</v>
      </c>
      <c r="U2948" s="2">
        <v>1097.5999999999999</v>
      </c>
      <c r="V2948">
        <v>0</v>
      </c>
      <c r="W2948" t="s">
        <v>29</v>
      </c>
      <c r="X2948" t="str">
        <f>IF(Table2[[#This Row],[Qty available]]&gt;Table2[[#This Row],[Qty on hand]],"Check","OK")</f>
        <v>OK</v>
      </c>
    </row>
    <row r="2949" spans="1:24" x14ac:dyDescent="0.3">
      <c r="A2949" t="s">
        <v>305</v>
      </c>
      <c r="B2949" t="s">
        <v>306</v>
      </c>
      <c r="C2949" t="s">
        <v>77</v>
      </c>
      <c r="D2949" t="s">
        <v>78</v>
      </c>
      <c r="E2949" t="s">
        <v>27</v>
      </c>
      <c r="F2949" s="1" t="s">
        <v>48</v>
      </c>
      <c r="G2949" s="2">
        <v>2.15</v>
      </c>
      <c r="H2949">
        <v>2.34</v>
      </c>
      <c r="I2949">
        <v>2.3081680000000002</v>
      </c>
      <c r="J2949">
        <v>3.2</v>
      </c>
      <c r="K2949">
        <v>28</v>
      </c>
      <c r="L2949" s="2">
        <v>27</v>
      </c>
      <c r="M2949">
        <v>923</v>
      </c>
      <c r="N2949" s="2">
        <v>1228</v>
      </c>
      <c r="O2949">
        <v>2834.43</v>
      </c>
      <c r="P2949">
        <v>70</v>
      </c>
      <c r="Q2949">
        <v>1158</v>
      </c>
      <c r="R2949">
        <v>23.06</v>
      </c>
      <c r="S2949">
        <v>4</v>
      </c>
      <c r="T2949">
        <v>94</v>
      </c>
      <c r="U2949" s="2">
        <v>300.8</v>
      </c>
      <c r="V2949">
        <v>0</v>
      </c>
      <c r="W2949" t="s">
        <v>29</v>
      </c>
      <c r="X2949" t="str">
        <f>IF(Table2[[#This Row],[Qty available]]&gt;Table2[[#This Row],[Qty on hand]],"Check","OK")</f>
        <v>OK</v>
      </c>
    </row>
    <row r="2950" spans="1:24" x14ac:dyDescent="0.3">
      <c r="A2950" t="s">
        <v>305</v>
      </c>
      <c r="B2950" t="s">
        <v>306</v>
      </c>
      <c r="C2950" t="s">
        <v>77</v>
      </c>
      <c r="D2950" t="s">
        <v>78</v>
      </c>
      <c r="E2950" t="s">
        <v>27</v>
      </c>
      <c r="F2950" s="1" t="s">
        <v>49</v>
      </c>
      <c r="G2950" s="2">
        <v>2.11</v>
      </c>
      <c r="H2950">
        <v>2.2999999999999998</v>
      </c>
      <c r="I2950">
        <v>2.3081649999999998</v>
      </c>
      <c r="J2950">
        <v>3.2</v>
      </c>
      <c r="K2950">
        <v>28</v>
      </c>
      <c r="M2950">
        <v>0</v>
      </c>
      <c r="N2950" s="2">
        <v>943</v>
      </c>
      <c r="O2950">
        <v>2176.6</v>
      </c>
      <c r="P2950">
        <v>79</v>
      </c>
      <c r="Q2950">
        <v>864</v>
      </c>
      <c r="R2950">
        <v>17.170000000000002</v>
      </c>
      <c r="S2950">
        <v>0</v>
      </c>
      <c r="T2950">
        <v>285</v>
      </c>
      <c r="U2950" s="2">
        <v>912</v>
      </c>
      <c r="V2950">
        <v>0</v>
      </c>
      <c r="W2950" t="s">
        <v>29</v>
      </c>
      <c r="X2950" t="str">
        <f>IF(Table2[[#This Row],[Qty available]]&gt;Table2[[#This Row],[Qty on hand]],"Check","OK")</f>
        <v>OK</v>
      </c>
    </row>
    <row r="2951" spans="1:24" x14ac:dyDescent="0.3">
      <c r="A2951" t="s">
        <v>305</v>
      </c>
      <c r="B2951" t="s">
        <v>306</v>
      </c>
      <c r="C2951" t="s">
        <v>77</v>
      </c>
      <c r="D2951" t="s">
        <v>78</v>
      </c>
      <c r="E2951" t="s">
        <v>27</v>
      </c>
      <c r="F2951" s="1" t="s">
        <v>50</v>
      </c>
      <c r="G2951" s="2">
        <v>2.13</v>
      </c>
      <c r="H2951">
        <v>2.3199999999999998</v>
      </c>
      <c r="I2951">
        <v>2.30816</v>
      </c>
      <c r="J2951">
        <v>3.2</v>
      </c>
      <c r="K2951">
        <v>28</v>
      </c>
      <c r="M2951">
        <v>0</v>
      </c>
      <c r="N2951" s="2">
        <v>549</v>
      </c>
      <c r="O2951">
        <v>1267.18</v>
      </c>
      <c r="P2951">
        <v>26</v>
      </c>
      <c r="Q2951">
        <v>523</v>
      </c>
      <c r="R2951">
        <v>9.23</v>
      </c>
      <c r="S2951">
        <v>1</v>
      </c>
      <c r="T2951">
        <v>394</v>
      </c>
      <c r="U2951" s="2">
        <v>1260.8</v>
      </c>
      <c r="V2951">
        <v>0</v>
      </c>
      <c r="W2951" t="s">
        <v>29</v>
      </c>
      <c r="X2951" t="str">
        <f>IF(Table2[[#This Row],[Qty available]]&gt;Table2[[#This Row],[Qty on hand]],"Check","OK")</f>
        <v>OK</v>
      </c>
    </row>
    <row r="2952" spans="1:24" x14ac:dyDescent="0.3">
      <c r="A2952" t="s">
        <v>305</v>
      </c>
      <c r="B2952" t="s">
        <v>306</v>
      </c>
      <c r="C2952" t="s">
        <v>77</v>
      </c>
      <c r="D2952" t="s">
        <v>78</v>
      </c>
      <c r="E2952" t="s">
        <v>27</v>
      </c>
      <c r="F2952" s="1" t="s">
        <v>51</v>
      </c>
      <c r="G2952" s="2">
        <v>2.12</v>
      </c>
      <c r="H2952">
        <v>2.31</v>
      </c>
      <c r="I2952">
        <v>2.3090039999999998</v>
      </c>
      <c r="J2952">
        <v>3.2</v>
      </c>
      <c r="K2952">
        <v>28</v>
      </c>
      <c r="L2952" s="2">
        <v>28</v>
      </c>
      <c r="M2952">
        <v>468</v>
      </c>
      <c r="N2952" s="2">
        <v>673</v>
      </c>
      <c r="O2952">
        <v>1553.96</v>
      </c>
      <c r="P2952">
        <v>18</v>
      </c>
      <c r="Q2952">
        <v>655</v>
      </c>
      <c r="R2952">
        <v>8.65</v>
      </c>
      <c r="S2952">
        <v>0</v>
      </c>
      <c r="T2952">
        <v>344</v>
      </c>
      <c r="U2952" s="2">
        <v>1100.8</v>
      </c>
      <c r="V2952">
        <v>0</v>
      </c>
      <c r="W2952" t="s">
        <v>29</v>
      </c>
      <c r="X2952" t="str">
        <f>IF(Table2[[#This Row],[Qty available]]&gt;Table2[[#This Row],[Qty on hand]],"Check","OK")</f>
        <v>OK</v>
      </c>
    </row>
    <row r="2953" spans="1:24" x14ac:dyDescent="0.3">
      <c r="A2953" t="s">
        <v>305</v>
      </c>
      <c r="B2953" t="s">
        <v>306</v>
      </c>
      <c r="C2953" t="s">
        <v>77</v>
      </c>
      <c r="D2953" t="s">
        <v>78</v>
      </c>
      <c r="E2953" t="s">
        <v>27</v>
      </c>
      <c r="F2953" s="1" t="s">
        <v>52</v>
      </c>
      <c r="G2953" s="2">
        <v>2.17</v>
      </c>
      <c r="H2953">
        <v>2.36</v>
      </c>
      <c r="I2953">
        <v>2.3317299999999999</v>
      </c>
      <c r="J2953">
        <v>3.2</v>
      </c>
      <c r="K2953">
        <v>28</v>
      </c>
      <c r="L2953" s="2">
        <v>27</v>
      </c>
      <c r="M2953">
        <v>541</v>
      </c>
      <c r="N2953" s="2">
        <v>1098</v>
      </c>
      <c r="O2953">
        <v>2560.2399999999998</v>
      </c>
      <c r="P2953">
        <v>35</v>
      </c>
      <c r="Q2953">
        <v>1063</v>
      </c>
      <c r="R2953">
        <v>16.899999999999999</v>
      </c>
      <c r="S2953">
        <v>0</v>
      </c>
      <c r="T2953">
        <v>116</v>
      </c>
      <c r="U2953" s="2">
        <v>371.2</v>
      </c>
      <c r="V2953">
        <v>0</v>
      </c>
      <c r="W2953" t="s">
        <v>29</v>
      </c>
      <c r="X2953" t="str">
        <f>IF(Table2[[#This Row],[Qty available]]&gt;Table2[[#This Row],[Qty on hand]],"Check","OK")</f>
        <v>OK</v>
      </c>
    </row>
    <row r="2954" spans="1:24" x14ac:dyDescent="0.3">
      <c r="A2954" t="s">
        <v>307</v>
      </c>
      <c r="B2954" t="s">
        <v>308</v>
      </c>
      <c r="C2954" t="s">
        <v>25</v>
      </c>
      <c r="D2954" t="s">
        <v>26</v>
      </c>
      <c r="E2954" t="s">
        <v>66</v>
      </c>
      <c r="F2954" s="1" t="s">
        <v>28</v>
      </c>
      <c r="G2954" s="2">
        <v>51.67</v>
      </c>
      <c r="H2954">
        <v>51.67</v>
      </c>
      <c r="I2954">
        <v>52.34</v>
      </c>
      <c r="J2954">
        <v>70.290000000000006</v>
      </c>
      <c r="K2954">
        <v>41</v>
      </c>
      <c r="M2954">
        <v>0</v>
      </c>
      <c r="N2954" s="2">
        <v>138</v>
      </c>
      <c r="O2954">
        <v>7222.92</v>
      </c>
      <c r="P2954">
        <v>38</v>
      </c>
      <c r="Q2954">
        <v>100</v>
      </c>
      <c r="R2954">
        <v>3.24</v>
      </c>
      <c r="S2954">
        <v>0</v>
      </c>
      <c r="T2954">
        <v>194</v>
      </c>
      <c r="U2954" s="2">
        <v>13636.26</v>
      </c>
      <c r="V2954">
        <v>0</v>
      </c>
      <c r="W2954" t="s">
        <v>29</v>
      </c>
      <c r="X2954" t="str">
        <f>IF(Table2[[#This Row],[Qty available]]&gt;Table2[[#This Row],[Qty on hand]],"Check","OK")</f>
        <v>OK</v>
      </c>
    </row>
    <row r="2955" spans="1:24" x14ac:dyDescent="0.3">
      <c r="A2955" t="s">
        <v>307</v>
      </c>
      <c r="B2955" t="s">
        <v>308</v>
      </c>
      <c r="C2955" t="s">
        <v>25</v>
      </c>
      <c r="D2955" t="s">
        <v>26</v>
      </c>
      <c r="E2955" t="s">
        <v>66</v>
      </c>
      <c r="F2955" s="1" t="s">
        <v>30</v>
      </c>
      <c r="G2955" s="2">
        <v>52.95</v>
      </c>
      <c r="H2955">
        <v>52.95</v>
      </c>
      <c r="I2955">
        <v>52.780267000000002</v>
      </c>
      <c r="J2955">
        <v>70.290000000000006</v>
      </c>
      <c r="K2955">
        <v>41</v>
      </c>
      <c r="L2955" s="2">
        <v>65</v>
      </c>
      <c r="M2955">
        <v>358</v>
      </c>
      <c r="N2955" s="2">
        <v>300</v>
      </c>
      <c r="O2955">
        <v>15834.08</v>
      </c>
      <c r="P2955">
        <v>51</v>
      </c>
      <c r="Q2955">
        <v>249</v>
      </c>
      <c r="R2955">
        <v>6.74</v>
      </c>
      <c r="S2955">
        <v>0</v>
      </c>
      <c r="T2955">
        <v>196</v>
      </c>
      <c r="U2955" s="2">
        <v>13776.84</v>
      </c>
      <c r="V2955">
        <v>0</v>
      </c>
      <c r="W2955" t="s">
        <v>29</v>
      </c>
      <c r="X2955" t="str">
        <f>IF(Table2[[#This Row],[Qty available]]&gt;Table2[[#This Row],[Qty on hand]],"Check","OK")</f>
        <v>OK</v>
      </c>
    </row>
    <row r="2956" spans="1:24" x14ac:dyDescent="0.3">
      <c r="A2956" t="s">
        <v>307</v>
      </c>
      <c r="B2956" t="s">
        <v>308</v>
      </c>
      <c r="C2956" t="s">
        <v>25</v>
      </c>
      <c r="D2956" t="s">
        <v>26</v>
      </c>
      <c r="E2956" t="s">
        <v>66</v>
      </c>
      <c r="F2956" s="1" t="s">
        <v>31</v>
      </c>
      <c r="G2956" s="2">
        <v>52.54</v>
      </c>
      <c r="H2956">
        <v>52.54</v>
      </c>
      <c r="I2956">
        <v>52.727206000000002</v>
      </c>
      <c r="J2956">
        <v>70.290000000000006</v>
      </c>
      <c r="K2956">
        <v>41</v>
      </c>
      <c r="L2956" s="2">
        <v>41</v>
      </c>
      <c r="M2956">
        <v>85</v>
      </c>
      <c r="N2956" s="2">
        <v>315</v>
      </c>
      <c r="O2956">
        <v>16609.07</v>
      </c>
      <c r="P2956">
        <v>51</v>
      </c>
      <c r="Q2956">
        <v>264</v>
      </c>
      <c r="R2956">
        <v>8.9</v>
      </c>
      <c r="S2956">
        <v>12</v>
      </c>
      <c r="T2956">
        <v>70</v>
      </c>
      <c r="U2956" s="2">
        <v>4920.3</v>
      </c>
      <c r="V2956">
        <v>0</v>
      </c>
      <c r="W2956" t="s">
        <v>29</v>
      </c>
      <c r="X2956" t="str">
        <f>IF(Table2[[#This Row],[Qty available]]&gt;Table2[[#This Row],[Qty on hand]],"Check","OK")</f>
        <v>OK</v>
      </c>
    </row>
    <row r="2957" spans="1:24" x14ac:dyDescent="0.3">
      <c r="A2957" t="s">
        <v>307</v>
      </c>
      <c r="B2957" t="s">
        <v>308</v>
      </c>
      <c r="C2957" t="s">
        <v>25</v>
      </c>
      <c r="D2957" t="s">
        <v>26</v>
      </c>
      <c r="E2957" t="s">
        <v>66</v>
      </c>
      <c r="F2957" s="1" t="s">
        <v>32</v>
      </c>
      <c r="G2957" s="2">
        <v>51.66</v>
      </c>
      <c r="H2957">
        <v>51.66</v>
      </c>
      <c r="I2957">
        <v>52.154372000000002</v>
      </c>
      <c r="J2957">
        <v>70.290000000000006</v>
      </c>
      <c r="K2957">
        <v>41</v>
      </c>
      <c r="L2957" s="2">
        <v>57</v>
      </c>
      <c r="M2957">
        <v>365</v>
      </c>
      <c r="N2957" s="2">
        <v>597</v>
      </c>
      <c r="O2957">
        <v>31136.16</v>
      </c>
      <c r="P2957">
        <v>57</v>
      </c>
      <c r="Q2957">
        <v>540</v>
      </c>
      <c r="R2957">
        <v>22.48</v>
      </c>
      <c r="S2957">
        <v>5</v>
      </c>
      <c r="T2957">
        <v>83</v>
      </c>
      <c r="U2957" s="2">
        <v>5834.07</v>
      </c>
      <c r="V2957">
        <v>0</v>
      </c>
      <c r="W2957" t="s">
        <v>29</v>
      </c>
      <c r="X2957" t="str">
        <f>IF(Table2[[#This Row],[Qty available]]&gt;Table2[[#This Row],[Qty on hand]],"Check","OK")</f>
        <v>OK</v>
      </c>
    </row>
    <row r="2958" spans="1:24" x14ac:dyDescent="0.3">
      <c r="A2958" t="s">
        <v>307</v>
      </c>
      <c r="B2958" t="s">
        <v>308</v>
      </c>
      <c r="C2958" t="s">
        <v>25</v>
      </c>
      <c r="D2958" t="s">
        <v>26</v>
      </c>
      <c r="E2958" t="s">
        <v>66</v>
      </c>
      <c r="F2958" s="1" t="s">
        <v>33</v>
      </c>
      <c r="G2958" s="2">
        <v>51.99</v>
      </c>
      <c r="H2958">
        <v>51.99</v>
      </c>
      <c r="I2958">
        <v>52.154386000000002</v>
      </c>
      <c r="J2958">
        <v>70.290000000000006</v>
      </c>
      <c r="K2958">
        <v>41</v>
      </c>
      <c r="M2958">
        <v>0</v>
      </c>
      <c r="N2958" s="2">
        <v>342</v>
      </c>
      <c r="O2958">
        <v>17836.8</v>
      </c>
      <c r="P2958">
        <v>57</v>
      </c>
      <c r="Q2958">
        <v>285</v>
      </c>
      <c r="R2958">
        <v>11.02</v>
      </c>
      <c r="S2958">
        <v>0</v>
      </c>
      <c r="T2958">
        <v>255</v>
      </c>
      <c r="U2958" s="2">
        <v>17923.95</v>
      </c>
      <c r="V2958">
        <v>0</v>
      </c>
      <c r="W2958" t="s">
        <v>29</v>
      </c>
      <c r="X2958" t="str">
        <f>IF(Table2[[#This Row],[Qty available]]&gt;Table2[[#This Row],[Qty on hand]],"Check","OK")</f>
        <v>OK</v>
      </c>
    </row>
    <row r="2959" spans="1:24" x14ac:dyDescent="0.3">
      <c r="A2959" t="s">
        <v>307</v>
      </c>
      <c r="B2959" t="s">
        <v>308</v>
      </c>
      <c r="C2959" t="s">
        <v>25</v>
      </c>
      <c r="D2959" t="s">
        <v>26</v>
      </c>
      <c r="E2959" t="s">
        <v>66</v>
      </c>
      <c r="F2959" s="1" t="s">
        <v>34</v>
      </c>
      <c r="G2959" s="2">
        <v>52.41</v>
      </c>
      <c r="H2959">
        <v>52.41</v>
      </c>
      <c r="I2959">
        <v>52.154443999999998</v>
      </c>
      <c r="J2959">
        <v>74.180000000000007</v>
      </c>
      <c r="K2959">
        <v>41</v>
      </c>
      <c r="M2959">
        <v>0</v>
      </c>
      <c r="N2959" s="2">
        <v>36</v>
      </c>
      <c r="O2959">
        <v>1877.56</v>
      </c>
      <c r="P2959">
        <v>36</v>
      </c>
      <c r="Q2959">
        <v>0</v>
      </c>
      <c r="R2959">
        <v>0.72</v>
      </c>
      <c r="S2959">
        <v>1</v>
      </c>
      <c r="T2959">
        <v>306</v>
      </c>
      <c r="U2959" s="2">
        <v>22699.08</v>
      </c>
      <c r="V2959">
        <v>0</v>
      </c>
      <c r="W2959" t="s">
        <v>29</v>
      </c>
      <c r="X2959" t="str">
        <f>IF(Table2[[#This Row],[Qty available]]&gt;Table2[[#This Row],[Qty on hand]],"Check","OK")</f>
        <v>OK</v>
      </c>
    </row>
    <row r="2960" spans="1:24" x14ac:dyDescent="0.3">
      <c r="A2960" t="s">
        <v>307</v>
      </c>
      <c r="B2960" t="s">
        <v>308</v>
      </c>
      <c r="C2960" t="s">
        <v>25</v>
      </c>
      <c r="D2960" t="s">
        <v>26</v>
      </c>
      <c r="E2960" t="s">
        <v>66</v>
      </c>
      <c r="F2960" s="1" t="s">
        <v>35</v>
      </c>
      <c r="G2960" s="2">
        <v>52.25</v>
      </c>
      <c r="H2960">
        <v>52.25</v>
      </c>
      <c r="I2960">
        <v>52.243046999999997</v>
      </c>
      <c r="J2960">
        <v>74.180000000000007</v>
      </c>
      <c r="K2960">
        <v>41</v>
      </c>
      <c r="L2960" s="2">
        <v>40</v>
      </c>
      <c r="M2960">
        <v>459</v>
      </c>
      <c r="N2960" s="2">
        <v>338</v>
      </c>
      <c r="O2960">
        <v>17658.150000000001</v>
      </c>
      <c r="P2960">
        <v>19</v>
      </c>
      <c r="Q2960">
        <v>319</v>
      </c>
      <c r="R2960">
        <v>6.05</v>
      </c>
      <c r="S2960">
        <v>1</v>
      </c>
      <c r="T2960">
        <v>157</v>
      </c>
      <c r="U2960" s="2">
        <v>11646.26</v>
      </c>
      <c r="V2960">
        <v>0</v>
      </c>
      <c r="W2960" t="s">
        <v>29</v>
      </c>
      <c r="X2960" t="str">
        <f>IF(Table2[[#This Row],[Qty available]]&gt;Table2[[#This Row],[Qty on hand]],"Check","OK")</f>
        <v>OK</v>
      </c>
    </row>
    <row r="2961" spans="1:24" x14ac:dyDescent="0.3">
      <c r="A2961" t="s">
        <v>307</v>
      </c>
      <c r="B2961" t="s">
        <v>308</v>
      </c>
      <c r="C2961" t="s">
        <v>25</v>
      </c>
      <c r="D2961" t="s">
        <v>26</v>
      </c>
      <c r="E2961" t="s">
        <v>66</v>
      </c>
      <c r="F2961" s="1" t="s">
        <v>36</v>
      </c>
      <c r="G2961" s="2">
        <v>54.33</v>
      </c>
      <c r="H2961">
        <v>54.33</v>
      </c>
      <c r="I2961">
        <v>53.288077000000001</v>
      </c>
      <c r="J2961">
        <v>74.180000000000007</v>
      </c>
      <c r="K2961">
        <v>41</v>
      </c>
      <c r="L2961" s="2">
        <v>35</v>
      </c>
      <c r="M2961">
        <v>339</v>
      </c>
      <c r="N2961" s="2">
        <v>416</v>
      </c>
      <c r="O2961">
        <v>22167.84</v>
      </c>
      <c r="P2961">
        <v>44</v>
      </c>
      <c r="Q2961">
        <v>372</v>
      </c>
      <c r="R2961">
        <v>7.31</v>
      </c>
      <c r="S2961">
        <v>2</v>
      </c>
      <c r="T2961">
        <v>261</v>
      </c>
      <c r="U2961" s="2">
        <v>19360.98</v>
      </c>
      <c r="V2961">
        <v>0</v>
      </c>
      <c r="W2961" t="s">
        <v>29</v>
      </c>
      <c r="X2961" t="str">
        <f>IF(Table2[[#This Row],[Qty available]]&gt;Table2[[#This Row],[Qty on hand]],"Check","OK")</f>
        <v>OK</v>
      </c>
    </row>
    <row r="2962" spans="1:24" x14ac:dyDescent="0.3">
      <c r="A2962" t="s">
        <v>307</v>
      </c>
      <c r="B2962" t="s">
        <v>308</v>
      </c>
      <c r="C2962" t="s">
        <v>25</v>
      </c>
      <c r="D2962" t="s">
        <v>26</v>
      </c>
      <c r="E2962" t="s">
        <v>66</v>
      </c>
      <c r="F2962" s="1" t="s">
        <v>37</v>
      </c>
      <c r="G2962" s="2">
        <v>53.36</v>
      </c>
      <c r="H2962">
        <v>53.36</v>
      </c>
      <c r="I2962">
        <v>53.312514</v>
      </c>
      <c r="J2962">
        <v>74.180000000000007</v>
      </c>
      <c r="K2962">
        <v>41</v>
      </c>
      <c r="L2962" s="2">
        <v>40</v>
      </c>
      <c r="M2962">
        <v>214</v>
      </c>
      <c r="N2962" s="2">
        <v>366</v>
      </c>
      <c r="O2962">
        <v>19512.38</v>
      </c>
      <c r="P2962">
        <v>38</v>
      </c>
      <c r="Q2962">
        <v>328</v>
      </c>
      <c r="R2962">
        <v>7.05</v>
      </c>
      <c r="S2962">
        <v>0</v>
      </c>
      <c r="T2962">
        <v>264</v>
      </c>
      <c r="U2962" s="2">
        <v>19583.52</v>
      </c>
      <c r="V2962">
        <v>0</v>
      </c>
      <c r="W2962" t="s">
        <v>29</v>
      </c>
      <c r="X2962" t="str">
        <f>IF(Table2[[#This Row],[Qty available]]&gt;Table2[[#This Row],[Qty on hand]],"Check","OK")</f>
        <v>OK</v>
      </c>
    </row>
    <row r="2963" spans="1:24" x14ac:dyDescent="0.3">
      <c r="A2963" t="s">
        <v>307</v>
      </c>
      <c r="B2963" t="s">
        <v>308</v>
      </c>
      <c r="C2963" t="s">
        <v>25</v>
      </c>
      <c r="D2963" t="s">
        <v>26</v>
      </c>
      <c r="E2963" t="s">
        <v>66</v>
      </c>
      <c r="F2963" s="1" t="s">
        <v>38</v>
      </c>
      <c r="G2963" s="2">
        <v>54.5</v>
      </c>
      <c r="H2963">
        <v>54.5</v>
      </c>
      <c r="I2963">
        <v>53.455241999999998</v>
      </c>
      <c r="J2963">
        <v>74.180000000000007</v>
      </c>
      <c r="K2963">
        <v>41</v>
      </c>
      <c r="L2963" s="2">
        <v>39</v>
      </c>
      <c r="M2963">
        <v>50</v>
      </c>
      <c r="N2963" s="2">
        <v>330</v>
      </c>
      <c r="O2963">
        <v>17640.23</v>
      </c>
      <c r="P2963">
        <v>64</v>
      </c>
      <c r="Q2963">
        <v>266</v>
      </c>
      <c r="R2963">
        <v>7.02</v>
      </c>
      <c r="S2963">
        <v>0</v>
      </c>
      <c r="T2963">
        <v>86</v>
      </c>
      <c r="U2963" s="2">
        <v>6379.48</v>
      </c>
      <c r="V2963">
        <v>0</v>
      </c>
      <c r="W2963" t="s">
        <v>29</v>
      </c>
      <c r="X2963" t="str">
        <f>IF(Table2[[#This Row],[Qty available]]&gt;Table2[[#This Row],[Qty on hand]],"Check","OK")</f>
        <v>OK</v>
      </c>
    </row>
    <row r="2964" spans="1:24" x14ac:dyDescent="0.3">
      <c r="A2964" t="s">
        <v>307</v>
      </c>
      <c r="B2964" t="s">
        <v>308</v>
      </c>
      <c r="C2964" t="s">
        <v>25</v>
      </c>
      <c r="D2964" t="s">
        <v>26</v>
      </c>
      <c r="E2964" t="s">
        <v>66</v>
      </c>
      <c r="F2964" s="1" t="s">
        <v>39</v>
      </c>
      <c r="G2964" s="2">
        <v>53.01</v>
      </c>
      <c r="H2964">
        <v>53.01</v>
      </c>
      <c r="I2964">
        <v>53.277154000000003</v>
      </c>
      <c r="J2964">
        <v>74.180000000000007</v>
      </c>
      <c r="K2964">
        <v>41</v>
      </c>
      <c r="L2964" s="2">
        <v>37</v>
      </c>
      <c r="M2964">
        <v>220</v>
      </c>
      <c r="N2964" s="2">
        <v>253</v>
      </c>
      <c r="O2964">
        <v>13479.12</v>
      </c>
      <c r="P2964">
        <v>32</v>
      </c>
      <c r="Q2964">
        <v>221</v>
      </c>
      <c r="R2964">
        <v>5.14</v>
      </c>
      <c r="S2964">
        <v>0</v>
      </c>
      <c r="T2964">
        <v>297</v>
      </c>
      <c r="U2964" s="2">
        <v>22031.46</v>
      </c>
      <c r="V2964">
        <v>0</v>
      </c>
      <c r="W2964" t="s">
        <v>29</v>
      </c>
      <c r="X2964" t="str">
        <f>IF(Table2[[#This Row],[Qty available]]&gt;Table2[[#This Row],[Qty on hand]],"Check","OK")</f>
        <v>OK</v>
      </c>
    </row>
    <row r="2965" spans="1:24" x14ac:dyDescent="0.3">
      <c r="A2965" t="s">
        <v>307</v>
      </c>
      <c r="B2965" t="s">
        <v>308</v>
      </c>
      <c r="C2965" t="s">
        <v>25</v>
      </c>
      <c r="D2965" t="s">
        <v>26</v>
      </c>
      <c r="E2965" t="s">
        <v>66</v>
      </c>
      <c r="F2965" s="1" t="s">
        <v>40</v>
      </c>
      <c r="G2965" s="2">
        <v>53.45</v>
      </c>
      <c r="H2965">
        <v>53.45</v>
      </c>
      <c r="I2965">
        <v>53.363064000000001</v>
      </c>
      <c r="J2965">
        <v>74.180000000000007</v>
      </c>
      <c r="K2965">
        <v>41</v>
      </c>
      <c r="L2965" s="2">
        <v>37</v>
      </c>
      <c r="M2965">
        <v>250</v>
      </c>
      <c r="N2965" s="2">
        <v>346</v>
      </c>
      <c r="O2965">
        <v>18463.62</v>
      </c>
      <c r="P2965">
        <v>44</v>
      </c>
      <c r="Q2965">
        <v>302</v>
      </c>
      <c r="R2965">
        <v>8.42</v>
      </c>
      <c r="S2965">
        <v>1</v>
      </c>
      <c r="T2965">
        <v>157</v>
      </c>
      <c r="U2965" s="2">
        <v>11646.26</v>
      </c>
      <c r="V2965">
        <v>0</v>
      </c>
      <c r="W2965" t="s">
        <v>29</v>
      </c>
      <c r="X2965" t="str">
        <f>IF(Table2[[#This Row],[Qty available]]&gt;Table2[[#This Row],[Qty on hand]],"Check","OK")</f>
        <v>OK</v>
      </c>
    </row>
    <row r="2966" spans="1:24" x14ac:dyDescent="0.3">
      <c r="A2966" t="s">
        <v>307</v>
      </c>
      <c r="B2966" t="s">
        <v>308</v>
      </c>
      <c r="C2966" t="s">
        <v>25</v>
      </c>
      <c r="D2966" t="s">
        <v>26</v>
      </c>
      <c r="E2966" t="s">
        <v>66</v>
      </c>
      <c r="F2966" s="1" t="s">
        <v>41</v>
      </c>
      <c r="G2966" s="2">
        <v>52.54</v>
      </c>
      <c r="H2966">
        <v>52.54</v>
      </c>
      <c r="I2966">
        <v>53.066408000000003</v>
      </c>
      <c r="J2966">
        <v>74.180000000000007</v>
      </c>
      <c r="K2966">
        <v>41</v>
      </c>
      <c r="L2966" s="2">
        <v>37</v>
      </c>
      <c r="M2966">
        <v>195</v>
      </c>
      <c r="N2966" s="2">
        <v>284</v>
      </c>
      <c r="O2966">
        <v>15070.86</v>
      </c>
      <c r="P2966">
        <v>51</v>
      </c>
      <c r="Q2966">
        <v>233</v>
      </c>
      <c r="R2966">
        <v>5.25</v>
      </c>
      <c r="S2966">
        <v>0</v>
      </c>
      <c r="T2966">
        <v>257</v>
      </c>
      <c r="U2966" s="2">
        <v>19064.259999999998</v>
      </c>
      <c r="V2966">
        <v>0</v>
      </c>
      <c r="W2966" t="s">
        <v>29</v>
      </c>
      <c r="X2966" t="str">
        <f>IF(Table2[[#This Row],[Qty available]]&gt;Table2[[#This Row],[Qty on hand]],"Check","OK")</f>
        <v>OK</v>
      </c>
    </row>
    <row r="2967" spans="1:24" x14ac:dyDescent="0.3">
      <c r="A2967" t="s">
        <v>307</v>
      </c>
      <c r="B2967" t="s">
        <v>308</v>
      </c>
      <c r="C2967" t="s">
        <v>25</v>
      </c>
      <c r="D2967" t="s">
        <v>26</v>
      </c>
      <c r="E2967" t="s">
        <v>66</v>
      </c>
      <c r="F2967" s="1" t="s">
        <v>42</v>
      </c>
      <c r="G2967" s="2">
        <v>52.77</v>
      </c>
      <c r="H2967">
        <v>52.77</v>
      </c>
      <c r="I2967">
        <v>52.995676000000003</v>
      </c>
      <c r="J2967">
        <v>74.180000000000007</v>
      </c>
      <c r="K2967">
        <v>41</v>
      </c>
      <c r="L2967" s="2">
        <v>58</v>
      </c>
      <c r="M2967">
        <v>89</v>
      </c>
      <c r="N2967" s="2">
        <v>185</v>
      </c>
      <c r="O2967">
        <v>9804.2000000000007</v>
      </c>
      <c r="P2967">
        <v>38</v>
      </c>
      <c r="Q2967">
        <v>147</v>
      </c>
      <c r="R2967">
        <v>4.04</v>
      </c>
      <c r="S2967">
        <v>2</v>
      </c>
      <c r="T2967">
        <v>188</v>
      </c>
      <c r="U2967" s="2">
        <v>13945.84</v>
      </c>
      <c r="V2967">
        <v>0</v>
      </c>
      <c r="W2967" t="s">
        <v>29</v>
      </c>
      <c r="X2967" t="str">
        <f>IF(Table2[[#This Row],[Qty available]]&gt;Table2[[#This Row],[Qty on hand]],"Check","OK")</f>
        <v>OK</v>
      </c>
    </row>
    <row r="2968" spans="1:24" x14ac:dyDescent="0.3">
      <c r="A2968" t="s">
        <v>307</v>
      </c>
      <c r="B2968" t="s">
        <v>308</v>
      </c>
      <c r="C2968" t="s">
        <v>25</v>
      </c>
      <c r="D2968" t="s">
        <v>26</v>
      </c>
      <c r="E2968" t="s">
        <v>66</v>
      </c>
      <c r="F2968" s="1" t="s">
        <v>43</v>
      </c>
      <c r="G2968" s="2">
        <v>53.61</v>
      </c>
      <c r="H2968">
        <v>53.61</v>
      </c>
      <c r="I2968">
        <v>53.347538</v>
      </c>
      <c r="J2968">
        <v>74.180000000000007</v>
      </c>
      <c r="K2968">
        <v>41</v>
      </c>
      <c r="L2968" s="2">
        <v>36</v>
      </c>
      <c r="M2968">
        <v>248</v>
      </c>
      <c r="N2968" s="2">
        <v>260</v>
      </c>
      <c r="O2968">
        <v>13870.36</v>
      </c>
      <c r="P2968">
        <v>64</v>
      </c>
      <c r="Q2968">
        <v>196</v>
      </c>
      <c r="R2968">
        <v>5.47</v>
      </c>
      <c r="S2968">
        <v>0</v>
      </c>
      <c r="T2968">
        <v>173</v>
      </c>
      <c r="U2968" s="2">
        <v>12833.14</v>
      </c>
      <c r="V2968">
        <v>0</v>
      </c>
      <c r="W2968" t="s">
        <v>29</v>
      </c>
      <c r="X2968" t="str">
        <f>IF(Table2[[#This Row],[Qty available]]&gt;Table2[[#This Row],[Qty on hand]],"Check","OK")</f>
        <v>OK</v>
      </c>
    </row>
    <row r="2969" spans="1:24" x14ac:dyDescent="0.3">
      <c r="A2969" t="s">
        <v>307</v>
      </c>
      <c r="B2969" t="s">
        <v>308</v>
      </c>
      <c r="C2969" t="s">
        <v>25</v>
      </c>
      <c r="D2969" t="s">
        <v>26</v>
      </c>
      <c r="E2969" t="s">
        <v>66</v>
      </c>
      <c r="F2969" s="1" t="s">
        <v>44</v>
      </c>
      <c r="G2969" s="2">
        <v>52.63</v>
      </c>
      <c r="H2969">
        <v>52.63</v>
      </c>
      <c r="I2969">
        <v>52.887326999999999</v>
      </c>
      <c r="J2969">
        <v>74.180000000000007</v>
      </c>
      <c r="K2969">
        <v>41</v>
      </c>
      <c r="L2969" s="2">
        <v>40</v>
      </c>
      <c r="M2969">
        <v>465</v>
      </c>
      <c r="N2969" s="2">
        <v>505</v>
      </c>
      <c r="O2969">
        <v>26708.1</v>
      </c>
      <c r="P2969">
        <v>32</v>
      </c>
      <c r="Q2969">
        <v>473</v>
      </c>
      <c r="R2969">
        <v>11.42</v>
      </c>
      <c r="S2969">
        <v>1</v>
      </c>
      <c r="T2969">
        <v>220</v>
      </c>
      <c r="U2969" s="2">
        <v>16319.6</v>
      </c>
      <c r="V2969">
        <v>0</v>
      </c>
      <c r="W2969" t="s">
        <v>29</v>
      </c>
      <c r="X2969" t="str">
        <f>IF(Table2[[#This Row],[Qty available]]&gt;Table2[[#This Row],[Qty on hand]],"Check","OK")</f>
        <v>OK</v>
      </c>
    </row>
    <row r="2970" spans="1:24" x14ac:dyDescent="0.3">
      <c r="A2970" t="s">
        <v>307</v>
      </c>
      <c r="B2970" t="s">
        <v>308</v>
      </c>
      <c r="C2970" t="s">
        <v>25</v>
      </c>
      <c r="D2970" t="s">
        <v>26</v>
      </c>
      <c r="E2970" t="s">
        <v>66</v>
      </c>
      <c r="F2970" s="1" t="s">
        <v>45</v>
      </c>
      <c r="G2970" s="2">
        <v>53.19</v>
      </c>
      <c r="H2970">
        <v>53.19</v>
      </c>
      <c r="I2970">
        <v>52.980040000000002</v>
      </c>
      <c r="J2970">
        <v>74.180000000000007</v>
      </c>
      <c r="K2970">
        <v>41</v>
      </c>
      <c r="L2970" s="2">
        <v>40</v>
      </c>
      <c r="M2970">
        <v>223</v>
      </c>
      <c r="N2970" s="2">
        <v>505</v>
      </c>
      <c r="O2970">
        <v>26754.92</v>
      </c>
      <c r="P2970">
        <v>51</v>
      </c>
      <c r="Q2970">
        <v>454</v>
      </c>
      <c r="R2970">
        <v>10.77</v>
      </c>
      <c r="S2970">
        <v>1</v>
      </c>
      <c r="T2970">
        <v>223</v>
      </c>
      <c r="U2970" s="2">
        <v>16542.14</v>
      </c>
      <c r="V2970">
        <v>0</v>
      </c>
      <c r="W2970" t="s">
        <v>29</v>
      </c>
      <c r="X2970" t="str">
        <f>IF(Table2[[#This Row],[Qty available]]&gt;Table2[[#This Row],[Qty on hand]],"Check","OK")</f>
        <v>OK</v>
      </c>
    </row>
    <row r="2971" spans="1:24" x14ac:dyDescent="0.3">
      <c r="A2971" t="s">
        <v>307</v>
      </c>
      <c r="B2971" t="s">
        <v>308</v>
      </c>
      <c r="C2971" t="s">
        <v>25</v>
      </c>
      <c r="D2971" t="s">
        <v>26</v>
      </c>
      <c r="E2971" t="s">
        <v>66</v>
      </c>
      <c r="F2971" s="1" t="s">
        <v>46</v>
      </c>
      <c r="G2971" s="2">
        <v>53.24</v>
      </c>
      <c r="H2971">
        <v>53.24</v>
      </c>
      <c r="I2971">
        <v>52.980027999999997</v>
      </c>
      <c r="J2971">
        <v>78.28</v>
      </c>
      <c r="K2971">
        <v>41</v>
      </c>
      <c r="M2971">
        <v>0</v>
      </c>
      <c r="N2971" s="2">
        <v>352</v>
      </c>
      <c r="O2971">
        <v>18648.97</v>
      </c>
      <c r="P2971">
        <v>19</v>
      </c>
      <c r="Q2971">
        <v>333</v>
      </c>
      <c r="R2971">
        <v>7.59</v>
      </c>
      <c r="S2971">
        <v>2</v>
      </c>
      <c r="T2971">
        <v>153</v>
      </c>
      <c r="U2971" s="2">
        <v>11976.84</v>
      </c>
      <c r="V2971">
        <v>0</v>
      </c>
      <c r="W2971" t="s">
        <v>29</v>
      </c>
      <c r="X2971" t="str">
        <f>IF(Table2[[#This Row],[Qty available]]&gt;Table2[[#This Row],[Qty on hand]],"Check","OK")</f>
        <v>OK</v>
      </c>
    </row>
    <row r="2972" spans="1:24" x14ac:dyDescent="0.3">
      <c r="A2972" t="s">
        <v>307</v>
      </c>
      <c r="B2972" t="s">
        <v>308</v>
      </c>
      <c r="C2972" t="s">
        <v>25</v>
      </c>
      <c r="D2972" t="s">
        <v>26</v>
      </c>
      <c r="E2972" t="s">
        <v>66</v>
      </c>
      <c r="F2972" s="1" t="s">
        <v>47</v>
      </c>
      <c r="G2972" s="2">
        <v>53.02</v>
      </c>
      <c r="H2972">
        <v>53.02</v>
      </c>
      <c r="I2972">
        <v>52.99888</v>
      </c>
      <c r="J2972">
        <v>78.28</v>
      </c>
      <c r="K2972">
        <v>41</v>
      </c>
      <c r="L2972" s="2">
        <v>39</v>
      </c>
      <c r="M2972">
        <v>314</v>
      </c>
      <c r="N2972" s="2">
        <v>652</v>
      </c>
      <c r="O2972">
        <v>34555.269999999997</v>
      </c>
      <c r="P2972">
        <v>44</v>
      </c>
      <c r="Q2972">
        <v>608</v>
      </c>
      <c r="R2972">
        <v>21.49</v>
      </c>
      <c r="S2972">
        <v>8</v>
      </c>
      <c r="T2972">
        <v>14</v>
      </c>
      <c r="U2972" s="2">
        <v>1095.92</v>
      </c>
      <c r="V2972">
        <v>0</v>
      </c>
      <c r="W2972" t="s">
        <v>29</v>
      </c>
      <c r="X2972" t="str">
        <f>IF(Table2[[#This Row],[Qty available]]&gt;Table2[[#This Row],[Qty on hand]],"Check","OK")</f>
        <v>OK</v>
      </c>
    </row>
    <row r="2973" spans="1:24" x14ac:dyDescent="0.3">
      <c r="A2973" t="s">
        <v>307</v>
      </c>
      <c r="B2973" t="s">
        <v>308</v>
      </c>
      <c r="C2973" t="s">
        <v>25</v>
      </c>
      <c r="D2973" t="s">
        <v>26</v>
      </c>
      <c r="E2973" t="s">
        <v>66</v>
      </c>
      <c r="F2973" s="1" t="s">
        <v>48</v>
      </c>
      <c r="G2973" s="2">
        <v>55.71</v>
      </c>
      <c r="H2973">
        <v>55.71</v>
      </c>
      <c r="I2973">
        <v>53.209781999999997</v>
      </c>
      <c r="J2973">
        <v>78.28</v>
      </c>
      <c r="K2973">
        <v>41</v>
      </c>
      <c r="L2973" s="2">
        <v>39</v>
      </c>
      <c r="M2973">
        <v>55</v>
      </c>
      <c r="N2973" s="2">
        <v>595</v>
      </c>
      <c r="O2973">
        <v>31659.82</v>
      </c>
      <c r="P2973">
        <v>25</v>
      </c>
      <c r="Q2973">
        <v>570</v>
      </c>
      <c r="R2973">
        <v>27.11</v>
      </c>
      <c r="S2973">
        <v>0</v>
      </c>
      <c r="T2973">
        <v>112</v>
      </c>
      <c r="U2973" s="2">
        <v>8767.36</v>
      </c>
      <c r="V2973">
        <v>0</v>
      </c>
      <c r="W2973" t="s">
        <v>29</v>
      </c>
      <c r="X2973" t="str">
        <f>IF(Table2[[#This Row],[Qty available]]&gt;Table2[[#This Row],[Qty on hand]],"Check","OK")</f>
        <v>OK</v>
      </c>
    </row>
    <row r="2974" spans="1:24" x14ac:dyDescent="0.3">
      <c r="A2974" t="s">
        <v>307</v>
      </c>
      <c r="B2974" t="s">
        <v>308</v>
      </c>
      <c r="C2974" t="s">
        <v>25</v>
      </c>
      <c r="D2974" t="s">
        <v>26</v>
      </c>
      <c r="E2974" t="s">
        <v>66</v>
      </c>
      <c r="F2974" s="1" t="s">
        <v>49</v>
      </c>
      <c r="G2974" s="2">
        <v>54.38</v>
      </c>
      <c r="H2974">
        <v>54.38</v>
      </c>
      <c r="I2974">
        <v>53.209772999999998</v>
      </c>
      <c r="J2974">
        <v>78.28</v>
      </c>
      <c r="K2974">
        <v>41</v>
      </c>
      <c r="M2974">
        <v>0</v>
      </c>
      <c r="N2974" s="2">
        <v>484</v>
      </c>
      <c r="O2974">
        <v>25753.53</v>
      </c>
      <c r="P2974">
        <v>38</v>
      </c>
      <c r="Q2974">
        <v>446</v>
      </c>
      <c r="R2974">
        <v>26.84</v>
      </c>
      <c r="S2974">
        <v>1</v>
      </c>
      <c r="T2974">
        <v>111</v>
      </c>
      <c r="U2974" s="2">
        <v>8689.08</v>
      </c>
      <c r="V2974">
        <v>0</v>
      </c>
      <c r="W2974" t="s">
        <v>29</v>
      </c>
      <c r="X2974" t="str">
        <f>IF(Table2[[#This Row],[Qty available]]&gt;Table2[[#This Row],[Qty on hand]],"Check","OK")</f>
        <v>OK</v>
      </c>
    </row>
    <row r="2975" spans="1:24" x14ac:dyDescent="0.3">
      <c r="A2975" t="s">
        <v>307</v>
      </c>
      <c r="B2975" t="s">
        <v>308</v>
      </c>
      <c r="C2975" t="s">
        <v>25</v>
      </c>
      <c r="D2975" t="s">
        <v>26</v>
      </c>
      <c r="E2975" t="s">
        <v>66</v>
      </c>
      <c r="F2975" s="1" t="s">
        <v>50</v>
      </c>
      <c r="G2975" s="2">
        <v>54.4</v>
      </c>
      <c r="H2975">
        <v>54.4</v>
      </c>
      <c r="I2975">
        <v>53.362026</v>
      </c>
      <c r="J2975">
        <v>78.28</v>
      </c>
      <c r="K2975">
        <v>41</v>
      </c>
      <c r="L2975" s="2">
        <v>38</v>
      </c>
      <c r="M2975">
        <v>71</v>
      </c>
      <c r="N2975" s="2">
        <v>469</v>
      </c>
      <c r="O2975">
        <v>25026.79</v>
      </c>
      <c r="P2975">
        <v>64</v>
      </c>
      <c r="Q2975">
        <v>405</v>
      </c>
      <c r="R2975">
        <v>19.73</v>
      </c>
      <c r="S2975">
        <v>0</v>
      </c>
      <c r="T2975">
        <v>86</v>
      </c>
      <c r="U2975" s="2">
        <v>6732.08</v>
      </c>
      <c r="V2975">
        <v>0</v>
      </c>
      <c r="W2975" t="s">
        <v>29</v>
      </c>
      <c r="X2975" t="str">
        <f>IF(Table2[[#This Row],[Qty available]]&gt;Table2[[#This Row],[Qty on hand]],"Check","OK")</f>
        <v>OK</v>
      </c>
    </row>
    <row r="2976" spans="1:24" x14ac:dyDescent="0.3">
      <c r="A2976" t="s">
        <v>307</v>
      </c>
      <c r="B2976" t="s">
        <v>308</v>
      </c>
      <c r="C2976" t="s">
        <v>25</v>
      </c>
      <c r="D2976" t="s">
        <v>26</v>
      </c>
      <c r="E2976" t="s">
        <v>66</v>
      </c>
      <c r="F2976" s="1" t="s">
        <v>51</v>
      </c>
      <c r="G2976" s="2">
        <v>56.19</v>
      </c>
      <c r="H2976">
        <v>56.19</v>
      </c>
      <c r="I2976">
        <v>54.284357999999997</v>
      </c>
      <c r="J2976">
        <v>78.28</v>
      </c>
      <c r="K2976">
        <v>41</v>
      </c>
      <c r="L2976" s="2">
        <v>40</v>
      </c>
      <c r="M2976">
        <v>227</v>
      </c>
      <c r="N2976" s="2">
        <v>475</v>
      </c>
      <c r="O2976">
        <v>25785.07</v>
      </c>
      <c r="P2976">
        <v>13</v>
      </c>
      <c r="Q2976">
        <v>462</v>
      </c>
      <c r="R2976">
        <v>14.94</v>
      </c>
      <c r="S2976">
        <v>3</v>
      </c>
      <c r="T2976">
        <v>221</v>
      </c>
      <c r="U2976" s="2">
        <v>17299.88</v>
      </c>
      <c r="V2976">
        <v>0</v>
      </c>
      <c r="W2976" t="s">
        <v>29</v>
      </c>
      <c r="X2976" t="str">
        <f>IF(Table2[[#This Row],[Qty available]]&gt;Table2[[#This Row],[Qty on hand]],"Check","OK")</f>
        <v>OK</v>
      </c>
    </row>
    <row r="2977" spans="1:24" x14ac:dyDescent="0.3">
      <c r="A2977" t="s">
        <v>307</v>
      </c>
      <c r="B2977" t="s">
        <v>308</v>
      </c>
      <c r="C2977" t="s">
        <v>25</v>
      </c>
      <c r="D2977" t="s">
        <v>26</v>
      </c>
      <c r="E2977" t="s">
        <v>66</v>
      </c>
      <c r="F2977" s="1" t="s">
        <v>52</v>
      </c>
      <c r="G2977" s="2">
        <v>55.26</v>
      </c>
      <c r="H2977">
        <v>55.26</v>
      </c>
      <c r="I2977">
        <v>54.517325999999997</v>
      </c>
      <c r="J2977">
        <v>78.28</v>
      </c>
      <c r="K2977">
        <v>41</v>
      </c>
      <c r="L2977" s="2">
        <v>40</v>
      </c>
      <c r="M2977">
        <v>149</v>
      </c>
      <c r="N2977" s="2">
        <v>430</v>
      </c>
      <c r="O2977">
        <v>23442.45</v>
      </c>
      <c r="P2977">
        <v>38</v>
      </c>
      <c r="Q2977">
        <v>392</v>
      </c>
      <c r="R2977">
        <v>11.28</v>
      </c>
      <c r="S2977">
        <v>0</v>
      </c>
      <c r="T2977">
        <v>194</v>
      </c>
      <c r="U2977" s="2">
        <v>15186.32</v>
      </c>
      <c r="V2977">
        <v>0</v>
      </c>
      <c r="W2977" t="s">
        <v>29</v>
      </c>
      <c r="X2977" t="str">
        <f>IF(Table2[[#This Row],[Qty available]]&gt;Table2[[#This Row],[Qty on hand]],"Check","OK")</f>
        <v>OK</v>
      </c>
    </row>
    <row r="2978" spans="1:24" x14ac:dyDescent="0.3">
      <c r="A2978" t="s">
        <v>309</v>
      </c>
      <c r="B2978" t="s">
        <v>310</v>
      </c>
      <c r="C2978" t="s">
        <v>25</v>
      </c>
      <c r="D2978" t="s">
        <v>26</v>
      </c>
      <c r="E2978" t="s">
        <v>66</v>
      </c>
      <c r="F2978" s="1" t="s">
        <v>28</v>
      </c>
      <c r="G2978" s="2">
        <v>5.23</v>
      </c>
      <c r="H2978">
        <v>5.23</v>
      </c>
      <c r="I2978">
        <v>5.23</v>
      </c>
      <c r="J2978">
        <v>7.12</v>
      </c>
      <c r="K2978">
        <v>45</v>
      </c>
      <c r="L2978" s="2">
        <v>44</v>
      </c>
      <c r="M2978">
        <v>904</v>
      </c>
      <c r="N2978" s="2">
        <v>622</v>
      </c>
      <c r="O2978">
        <v>3253.06</v>
      </c>
      <c r="P2978">
        <v>112</v>
      </c>
      <c r="Q2978">
        <v>510</v>
      </c>
      <c r="R2978">
        <v>7.53</v>
      </c>
      <c r="S2978">
        <v>1</v>
      </c>
      <c r="T2978">
        <v>282</v>
      </c>
      <c r="U2978" s="2">
        <v>2007.84</v>
      </c>
      <c r="V2978">
        <v>0</v>
      </c>
      <c r="W2978" t="s">
        <v>29</v>
      </c>
      <c r="X2978" t="str">
        <f>IF(Table2[[#This Row],[Qty available]]&gt;Table2[[#This Row],[Qty on hand]],"Check","OK")</f>
        <v>OK</v>
      </c>
    </row>
    <row r="2979" spans="1:24" x14ac:dyDescent="0.3">
      <c r="A2979" t="s">
        <v>309</v>
      </c>
      <c r="B2979" t="s">
        <v>310</v>
      </c>
      <c r="C2979" t="s">
        <v>25</v>
      </c>
      <c r="D2979" t="s">
        <v>26</v>
      </c>
      <c r="E2979" t="s">
        <v>66</v>
      </c>
      <c r="F2979" s="1" t="s">
        <v>30</v>
      </c>
      <c r="G2979" s="2">
        <v>5.21</v>
      </c>
      <c r="H2979">
        <v>5.21</v>
      </c>
      <c r="I2979">
        <v>5.2224709999999996</v>
      </c>
      <c r="J2979">
        <v>7.12</v>
      </c>
      <c r="K2979">
        <v>45</v>
      </c>
      <c r="L2979" s="2">
        <v>41</v>
      </c>
      <c r="M2979">
        <v>376</v>
      </c>
      <c r="N2979" s="2">
        <v>696</v>
      </c>
      <c r="O2979">
        <v>3634.84</v>
      </c>
      <c r="P2979">
        <v>56</v>
      </c>
      <c r="Q2979">
        <v>640</v>
      </c>
      <c r="R2979">
        <v>11.59</v>
      </c>
      <c r="S2979">
        <v>0</v>
      </c>
      <c r="T2979">
        <v>302</v>
      </c>
      <c r="U2979" s="2">
        <v>2150.2399999999998</v>
      </c>
      <c r="V2979">
        <v>0</v>
      </c>
      <c r="W2979" t="s">
        <v>29</v>
      </c>
      <c r="X2979" t="str">
        <f>IF(Table2[[#This Row],[Qty available]]&gt;Table2[[#This Row],[Qty on hand]],"Check","OK")</f>
        <v>OK</v>
      </c>
    </row>
    <row r="2980" spans="1:24" x14ac:dyDescent="0.3">
      <c r="A2980" t="s">
        <v>309</v>
      </c>
      <c r="B2980" t="s">
        <v>310</v>
      </c>
      <c r="C2980" t="s">
        <v>25</v>
      </c>
      <c r="D2980" t="s">
        <v>26</v>
      </c>
      <c r="E2980" t="s">
        <v>66</v>
      </c>
      <c r="F2980" s="1" t="s">
        <v>31</v>
      </c>
      <c r="G2980" s="2">
        <v>5.37</v>
      </c>
      <c r="H2980">
        <v>5.37</v>
      </c>
      <c r="I2980">
        <v>5.222467</v>
      </c>
      <c r="J2980">
        <v>7.12</v>
      </c>
      <c r="K2980">
        <v>45</v>
      </c>
      <c r="M2980">
        <v>0</v>
      </c>
      <c r="N2980" s="2">
        <v>377</v>
      </c>
      <c r="O2980">
        <v>1968.87</v>
      </c>
      <c r="P2980">
        <v>45</v>
      </c>
      <c r="Q2980">
        <v>332</v>
      </c>
      <c r="R2980">
        <v>5.43</v>
      </c>
      <c r="S2980">
        <v>2</v>
      </c>
      <c r="T2980">
        <v>319</v>
      </c>
      <c r="U2980" s="2">
        <v>2271.2800000000002</v>
      </c>
      <c r="V2980">
        <v>0</v>
      </c>
      <c r="W2980" t="s">
        <v>29</v>
      </c>
      <c r="X2980" t="str">
        <f>IF(Table2[[#This Row],[Qty available]]&gt;Table2[[#This Row],[Qty on hand]],"Check","OK")</f>
        <v>OK</v>
      </c>
    </row>
    <row r="2981" spans="1:24" x14ac:dyDescent="0.3">
      <c r="A2981" t="s">
        <v>309</v>
      </c>
      <c r="B2981" t="s">
        <v>310</v>
      </c>
      <c r="C2981" t="s">
        <v>25</v>
      </c>
      <c r="D2981" t="s">
        <v>26</v>
      </c>
      <c r="E2981" t="s">
        <v>66</v>
      </c>
      <c r="F2981" s="1" t="s">
        <v>32</v>
      </c>
      <c r="G2981" s="2">
        <v>5.31</v>
      </c>
      <c r="H2981">
        <v>5.31</v>
      </c>
      <c r="I2981">
        <v>5.2778999999999998</v>
      </c>
      <c r="J2981">
        <v>7.12</v>
      </c>
      <c r="K2981">
        <v>45</v>
      </c>
      <c r="L2981" s="2">
        <v>41</v>
      </c>
      <c r="M2981">
        <v>651</v>
      </c>
      <c r="N2981" s="2">
        <v>643</v>
      </c>
      <c r="O2981">
        <v>3393.69</v>
      </c>
      <c r="P2981">
        <v>45</v>
      </c>
      <c r="Q2981">
        <v>598</v>
      </c>
      <c r="R2981">
        <v>8.4</v>
      </c>
      <c r="S2981">
        <v>1</v>
      </c>
      <c r="T2981">
        <v>385</v>
      </c>
      <c r="U2981" s="2">
        <v>2741.2</v>
      </c>
      <c r="V2981">
        <v>0</v>
      </c>
      <c r="W2981" t="s">
        <v>29</v>
      </c>
      <c r="X2981" t="str">
        <f>IF(Table2[[#This Row],[Qty available]]&gt;Table2[[#This Row],[Qty on hand]],"Check","OK")</f>
        <v>OK</v>
      </c>
    </row>
    <row r="2982" spans="1:24" x14ac:dyDescent="0.3">
      <c r="A2982" t="s">
        <v>309</v>
      </c>
      <c r="B2982" t="s">
        <v>310</v>
      </c>
      <c r="C2982" t="s">
        <v>25</v>
      </c>
      <c r="D2982" t="s">
        <v>26</v>
      </c>
      <c r="E2982" t="s">
        <v>66</v>
      </c>
      <c r="F2982" s="1" t="s">
        <v>33</v>
      </c>
      <c r="G2982" s="2">
        <v>5.36</v>
      </c>
      <c r="H2982">
        <v>5.36</v>
      </c>
      <c r="I2982">
        <v>5.2778890000000001</v>
      </c>
      <c r="J2982">
        <v>7.12</v>
      </c>
      <c r="K2982">
        <v>45</v>
      </c>
      <c r="M2982">
        <v>0</v>
      </c>
      <c r="N2982" s="2">
        <v>379</v>
      </c>
      <c r="O2982">
        <v>2000.32</v>
      </c>
      <c r="P2982">
        <v>112</v>
      </c>
      <c r="Q2982">
        <v>267</v>
      </c>
      <c r="R2982">
        <v>5.15</v>
      </c>
      <c r="S2982">
        <v>5</v>
      </c>
      <c r="T2982">
        <v>264</v>
      </c>
      <c r="U2982" s="2">
        <v>1879.68</v>
      </c>
      <c r="V2982">
        <v>0</v>
      </c>
      <c r="W2982" t="s">
        <v>29</v>
      </c>
      <c r="X2982" t="str">
        <f>IF(Table2[[#This Row],[Qty available]]&gt;Table2[[#This Row],[Qty on hand]],"Check","OK")</f>
        <v>OK</v>
      </c>
    </row>
    <row r="2983" spans="1:24" x14ac:dyDescent="0.3">
      <c r="A2983" t="s">
        <v>309</v>
      </c>
      <c r="B2983" t="s">
        <v>310</v>
      </c>
      <c r="C2983" t="s">
        <v>25</v>
      </c>
      <c r="D2983" t="s">
        <v>26</v>
      </c>
      <c r="E2983" t="s">
        <v>66</v>
      </c>
      <c r="F2983" s="1" t="s">
        <v>34</v>
      </c>
      <c r="G2983" s="2">
        <v>5.29</v>
      </c>
      <c r="H2983">
        <v>5.29</v>
      </c>
      <c r="I2983">
        <v>5.2819250000000002</v>
      </c>
      <c r="J2983">
        <v>7.51</v>
      </c>
      <c r="K2983">
        <v>45</v>
      </c>
      <c r="L2983" s="2">
        <v>69</v>
      </c>
      <c r="M2983">
        <v>191</v>
      </c>
      <c r="N2983" s="2">
        <v>187</v>
      </c>
      <c r="O2983">
        <v>987.72</v>
      </c>
      <c r="P2983">
        <v>45</v>
      </c>
      <c r="Q2983">
        <v>142</v>
      </c>
      <c r="R2983">
        <v>2.33</v>
      </c>
      <c r="S2983">
        <v>0</v>
      </c>
      <c r="T2983">
        <v>383</v>
      </c>
      <c r="U2983" s="2">
        <v>2876.33</v>
      </c>
      <c r="V2983">
        <v>0</v>
      </c>
      <c r="W2983" t="s">
        <v>29</v>
      </c>
      <c r="X2983" t="str">
        <f>IF(Table2[[#This Row],[Qty available]]&gt;Table2[[#This Row],[Qty on hand]],"Check","OK")</f>
        <v>OK</v>
      </c>
    </row>
    <row r="2984" spans="1:24" x14ac:dyDescent="0.3">
      <c r="A2984" t="s">
        <v>309</v>
      </c>
      <c r="B2984" t="s">
        <v>310</v>
      </c>
      <c r="C2984" t="s">
        <v>25</v>
      </c>
      <c r="D2984" t="s">
        <v>26</v>
      </c>
      <c r="E2984" t="s">
        <v>66</v>
      </c>
      <c r="F2984" s="1" t="s">
        <v>35</v>
      </c>
      <c r="G2984" s="2">
        <v>5.22</v>
      </c>
      <c r="H2984">
        <v>5.22</v>
      </c>
      <c r="I2984">
        <v>5.232138</v>
      </c>
      <c r="J2984">
        <v>7.51</v>
      </c>
      <c r="K2984">
        <v>45</v>
      </c>
      <c r="L2984" s="2">
        <v>42</v>
      </c>
      <c r="M2984">
        <v>767</v>
      </c>
      <c r="N2984" s="2">
        <v>926</v>
      </c>
      <c r="O2984">
        <v>4844.96</v>
      </c>
      <c r="P2984">
        <v>22</v>
      </c>
      <c r="Q2984">
        <v>904</v>
      </c>
      <c r="R2984">
        <v>17.64</v>
      </c>
      <c r="S2984">
        <v>3</v>
      </c>
      <c r="T2984">
        <v>28</v>
      </c>
      <c r="U2984" s="2">
        <v>210.28</v>
      </c>
      <c r="V2984">
        <v>0</v>
      </c>
      <c r="W2984" t="s">
        <v>29</v>
      </c>
      <c r="X2984" t="str">
        <f>IF(Table2[[#This Row],[Qty available]]&gt;Table2[[#This Row],[Qty on hand]],"Check","OK")</f>
        <v>OK</v>
      </c>
    </row>
    <row r="2985" spans="1:24" x14ac:dyDescent="0.3">
      <c r="A2985" t="s">
        <v>309</v>
      </c>
      <c r="B2985" t="s">
        <v>310</v>
      </c>
      <c r="C2985" t="s">
        <v>25</v>
      </c>
      <c r="D2985" t="s">
        <v>26</v>
      </c>
      <c r="E2985" t="s">
        <v>66</v>
      </c>
      <c r="F2985" s="1" t="s">
        <v>36</v>
      </c>
      <c r="G2985" s="2">
        <v>5.38</v>
      </c>
      <c r="H2985">
        <v>5.38</v>
      </c>
      <c r="I2985">
        <v>5.2966639999999998</v>
      </c>
      <c r="J2985">
        <v>7.51</v>
      </c>
      <c r="K2985">
        <v>45</v>
      </c>
      <c r="L2985" s="2">
        <v>42</v>
      </c>
      <c r="M2985">
        <v>717</v>
      </c>
      <c r="N2985" s="2">
        <v>1256</v>
      </c>
      <c r="O2985">
        <v>6652.61</v>
      </c>
      <c r="P2985">
        <v>90</v>
      </c>
      <c r="Q2985">
        <v>1166</v>
      </c>
      <c r="R2985">
        <v>20.010000000000002</v>
      </c>
      <c r="S2985">
        <v>1</v>
      </c>
      <c r="T2985">
        <v>387</v>
      </c>
      <c r="U2985" s="2">
        <v>2906.37</v>
      </c>
      <c r="V2985">
        <v>0</v>
      </c>
      <c r="W2985" t="s">
        <v>29</v>
      </c>
      <c r="X2985" t="str">
        <f>IF(Table2[[#This Row],[Qty available]]&gt;Table2[[#This Row],[Qty on hand]],"Check","OK")</f>
        <v>OK</v>
      </c>
    </row>
    <row r="2986" spans="1:24" x14ac:dyDescent="0.3">
      <c r="A2986" t="s">
        <v>309</v>
      </c>
      <c r="B2986" t="s">
        <v>310</v>
      </c>
      <c r="C2986" t="s">
        <v>25</v>
      </c>
      <c r="D2986" t="s">
        <v>26</v>
      </c>
      <c r="E2986" t="s">
        <v>66</v>
      </c>
      <c r="F2986" s="1" t="s">
        <v>37</v>
      </c>
      <c r="G2986" s="2">
        <v>5.44</v>
      </c>
      <c r="H2986">
        <v>5.44</v>
      </c>
      <c r="I2986">
        <v>5.2966629999999997</v>
      </c>
      <c r="J2986">
        <v>7.51</v>
      </c>
      <c r="K2986">
        <v>45</v>
      </c>
      <c r="M2986">
        <v>0</v>
      </c>
      <c r="N2986" s="2">
        <v>965</v>
      </c>
      <c r="O2986">
        <v>5111.28</v>
      </c>
      <c r="P2986">
        <v>45</v>
      </c>
      <c r="Q2986">
        <v>920</v>
      </c>
      <c r="R2986">
        <v>17.96</v>
      </c>
      <c r="S2986">
        <v>0</v>
      </c>
      <c r="T2986">
        <v>291</v>
      </c>
      <c r="U2986" s="2">
        <v>2185.41</v>
      </c>
      <c r="V2986">
        <v>0</v>
      </c>
      <c r="W2986" t="s">
        <v>29</v>
      </c>
      <c r="X2986" t="str">
        <f>IF(Table2[[#This Row],[Qty available]]&gt;Table2[[#This Row],[Qty on hand]],"Check","OK")</f>
        <v>OK</v>
      </c>
    </row>
    <row r="2987" spans="1:24" x14ac:dyDescent="0.3">
      <c r="A2987" t="s">
        <v>309</v>
      </c>
      <c r="B2987" t="s">
        <v>310</v>
      </c>
      <c r="C2987" t="s">
        <v>25</v>
      </c>
      <c r="D2987" t="s">
        <v>26</v>
      </c>
      <c r="E2987" t="s">
        <v>66</v>
      </c>
      <c r="F2987" s="1" t="s">
        <v>38</v>
      </c>
      <c r="G2987" s="2">
        <v>5.54</v>
      </c>
      <c r="H2987">
        <v>5.54</v>
      </c>
      <c r="I2987">
        <v>5.3524450000000003</v>
      </c>
      <c r="J2987">
        <v>7.51</v>
      </c>
      <c r="K2987">
        <v>45</v>
      </c>
      <c r="L2987" s="2">
        <v>41</v>
      </c>
      <c r="M2987">
        <v>287</v>
      </c>
      <c r="N2987" s="2">
        <v>1129</v>
      </c>
      <c r="O2987">
        <v>6042.91</v>
      </c>
      <c r="P2987">
        <v>34</v>
      </c>
      <c r="Q2987">
        <v>1095</v>
      </c>
      <c r="R2987">
        <v>18.32</v>
      </c>
      <c r="S2987">
        <v>5</v>
      </c>
      <c r="T2987">
        <v>123</v>
      </c>
      <c r="U2987" s="2">
        <v>923.73</v>
      </c>
      <c r="V2987">
        <v>0</v>
      </c>
      <c r="W2987" t="s">
        <v>29</v>
      </c>
      <c r="X2987" t="str">
        <f>IF(Table2[[#This Row],[Qty available]]&gt;Table2[[#This Row],[Qty on hand]],"Check","OK")</f>
        <v>OK</v>
      </c>
    </row>
    <row r="2988" spans="1:24" x14ac:dyDescent="0.3">
      <c r="A2988" t="s">
        <v>309</v>
      </c>
      <c r="B2988" t="s">
        <v>310</v>
      </c>
      <c r="C2988" t="s">
        <v>25</v>
      </c>
      <c r="D2988" t="s">
        <v>26</v>
      </c>
      <c r="E2988" t="s">
        <v>66</v>
      </c>
      <c r="F2988" s="1" t="s">
        <v>39</v>
      </c>
      <c r="G2988" s="2">
        <v>5.37</v>
      </c>
      <c r="H2988">
        <v>5.37</v>
      </c>
      <c r="I2988">
        <v>5.3570859999999998</v>
      </c>
      <c r="J2988">
        <v>7.51</v>
      </c>
      <c r="K2988">
        <v>45</v>
      </c>
      <c r="L2988" s="2">
        <v>41</v>
      </c>
      <c r="M2988">
        <v>406</v>
      </c>
      <c r="N2988" s="2">
        <v>978</v>
      </c>
      <c r="O2988">
        <v>5239.2299999999996</v>
      </c>
      <c r="P2988">
        <v>112</v>
      </c>
      <c r="Q2988">
        <v>866</v>
      </c>
      <c r="R2988">
        <v>13.24</v>
      </c>
      <c r="S2988">
        <v>0</v>
      </c>
      <c r="T2988">
        <v>557</v>
      </c>
      <c r="U2988" s="2">
        <v>4183.07</v>
      </c>
      <c r="V2988">
        <v>0</v>
      </c>
      <c r="W2988" t="s">
        <v>29</v>
      </c>
      <c r="X2988" t="str">
        <f>IF(Table2[[#This Row],[Qty available]]&gt;Table2[[#This Row],[Qty on hand]],"Check","OK")</f>
        <v>OK</v>
      </c>
    </row>
    <row r="2989" spans="1:24" x14ac:dyDescent="0.3">
      <c r="A2989" t="s">
        <v>309</v>
      </c>
      <c r="B2989" t="s">
        <v>310</v>
      </c>
      <c r="C2989" t="s">
        <v>25</v>
      </c>
      <c r="D2989" t="s">
        <v>26</v>
      </c>
      <c r="E2989" t="s">
        <v>66</v>
      </c>
      <c r="F2989" s="1" t="s">
        <v>40</v>
      </c>
      <c r="G2989" s="2">
        <v>5.54</v>
      </c>
      <c r="H2989">
        <v>5.54</v>
      </c>
      <c r="I2989">
        <v>5.3570820000000001</v>
      </c>
      <c r="J2989">
        <v>7.51</v>
      </c>
      <c r="K2989">
        <v>45</v>
      </c>
      <c r="M2989">
        <v>0</v>
      </c>
      <c r="N2989" s="2">
        <v>723</v>
      </c>
      <c r="O2989">
        <v>3873.17</v>
      </c>
      <c r="P2989">
        <v>22</v>
      </c>
      <c r="Q2989">
        <v>701</v>
      </c>
      <c r="R2989">
        <v>10.16</v>
      </c>
      <c r="S2989">
        <v>3</v>
      </c>
      <c r="T2989">
        <v>255</v>
      </c>
      <c r="U2989" s="2">
        <v>1915.05</v>
      </c>
      <c r="V2989">
        <v>0</v>
      </c>
      <c r="W2989" t="s">
        <v>29</v>
      </c>
      <c r="X2989" t="str">
        <f>IF(Table2[[#This Row],[Qty available]]&gt;Table2[[#This Row],[Qty on hand]],"Check","OK")</f>
        <v>OK</v>
      </c>
    </row>
    <row r="2990" spans="1:24" x14ac:dyDescent="0.3">
      <c r="A2990" t="s">
        <v>309</v>
      </c>
      <c r="B2990" t="s">
        <v>310</v>
      </c>
      <c r="C2990" t="s">
        <v>25</v>
      </c>
      <c r="D2990" t="s">
        <v>26</v>
      </c>
      <c r="E2990" t="s">
        <v>66</v>
      </c>
      <c r="F2990" s="1" t="s">
        <v>41</v>
      </c>
      <c r="G2990" s="2">
        <v>5.39</v>
      </c>
      <c r="H2990">
        <v>5.39</v>
      </c>
      <c r="I2990">
        <v>5.3570779999999996</v>
      </c>
      <c r="J2990">
        <v>7.51</v>
      </c>
      <c r="K2990">
        <v>45</v>
      </c>
      <c r="M2990">
        <v>0</v>
      </c>
      <c r="N2990" s="2">
        <v>373</v>
      </c>
      <c r="O2990">
        <v>1998.19</v>
      </c>
      <c r="P2990">
        <v>22</v>
      </c>
      <c r="Q2990">
        <v>351</v>
      </c>
      <c r="R2990">
        <v>4.22</v>
      </c>
      <c r="S2990">
        <v>0</v>
      </c>
      <c r="T2990">
        <v>350</v>
      </c>
      <c r="U2990" s="2">
        <v>2628.5</v>
      </c>
      <c r="V2990">
        <v>0</v>
      </c>
      <c r="W2990" t="s">
        <v>29</v>
      </c>
      <c r="X2990" t="str">
        <f>IF(Table2[[#This Row],[Qty available]]&gt;Table2[[#This Row],[Qty on hand]],"Check","OK")</f>
        <v>OK</v>
      </c>
    </row>
    <row r="2991" spans="1:24" x14ac:dyDescent="0.3">
      <c r="A2991" t="s">
        <v>309</v>
      </c>
      <c r="B2991" t="s">
        <v>310</v>
      </c>
      <c r="C2991" t="s">
        <v>25</v>
      </c>
      <c r="D2991" t="s">
        <v>26</v>
      </c>
      <c r="E2991" t="s">
        <v>66</v>
      </c>
      <c r="F2991" s="1" t="s">
        <v>42</v>
      </c>
      <c r="G2991" s="2">
        <v>5.55</v>
      </c>
      <c r="H2991">
        <v>5.55</v>
      </c>
      <c r="I2991">
        <v>5.4054919999999997</v>
      </c>
      <c r="J2991">
        <v>7.51</v>
      </c>
      <c r="K2991">
        <v>45</v>
      </c>
      <c r="L2991" s="2">
        <v>66</v>
      </c>
      <c r="M2991">
        <v>125</v>
      </c>
      <c r="N2991" s="2">
        <v>264</v>
      </c>
      <c r="O2991">
        <v>1427.05</v>
      </c>
      <c r="P2991">
        <v>101</v>
      </c>
      <c r="Q2991">
        <v>163</v>
      </c>
      <c r="R2991">
        <v>4.1399999999999997</v>
      </c>
      <c r="S2991">
        <v>0</v>
      </c>
      <c r="T2991">
        <v>234</v>
      </c>
      <c r="U2991" s="2">
        <v>1757.34</v>
      </c>
      <c r="V2991">
        <v>0</v>
      </c>
      <c r="W2991" t="s">
        <v>29</v>
      </c>
      <c r="X2991" t="str">
        <f>IF(Table2[[#This Row],[Qty available]]&gt;Table2[[#This Row],[Qty on hand]],"Check","OK")</f>
        <v>OK</v>
      </c>
    </row>
    <row r="2992" spans="1:24" x14ac:dyDescent="0.3">
      <c r="A2992" t="s">
        <v>309</v>
      </c>
      <c r="B2992" t="s">
        <v>310</v>
      </c>
      <c r="C2992" t="s">
        <v>25</v>
      </c>
      <c r="D2992" t="s">
        <v>26</v>
      </c>
      <c r="E2992" t="s">
        <v>66</v>
      </c>
      <c r="F2992" s="1" t="s">
        <v>43</v>
      </c>
      <c r="G2992" s="2">
        <v>5.51</v>
      </c>
      <c r="H2992">
        <v>5.51</v>
      </c>
      <c r="I2992">
        <v>5.483466</v>
      </c>
      <c r="J2992">
        <v>7.51</v>
      </c>
      <c r="K2992">
        <v>45</v>
      </c>
      <c r="L2992" s="2">
        <v>42</v>
      </c>
      <c r="M2992">
        <v>776</v>
      </c>
      <c r="N2992" s="2">
        <v>828</v>
      </c>
      <c r="O2992">
        <v>4540.3100000000004</v>
      </c>
      <c r="P2992">
        <v>78</v>
      </c>
      <c r="Q2992">
        <v>750</v>
      </c>
      <c r="R2992">
        <v>13.52</v>
      </c>
      <c r="S2992">
        <v>2</v>
      </c>
      <c r="T2992">
        <v>212</v>
      </c>
      <c r="U2992" s="2">
        <v>1592.12</v>
      </c>
      <c r="V2992">
        <v>0</v>
      </c>
      <c r="W2992" t="s">
        <v>29</v>
      </c>
      <c r="X2992" t="str">
        <f>IF(Table2[[#This Row],[Qty available]]&gt;Table2[[#This Row],[Qty on hand]],"Check","OK")</f>
        <v>OK</v>
      </c>
    </row>
    <row r="2993" spans="1:24" x14ac:dyDescent="0.3">
      <c r="A2993" t="s">
        <v>309</v>
      </c>
      <c r="B2993" t="s">
        <v>310</v>
      </c>
      <c r="C2993" t="s">
        <v>25</v>
      </c>
      <c r="D2993" t="s">
        <v>26</v>
      </c>
      <c r="E2993" t="s">
        <v>66</v>
      </c>
      <c r="F2993" s="1" t="s">
        <v>44</v>
      </c>
      <c r="G2993" s="2">
        <v>5.49</v>
      </c>
      <c r="H2993">
        <v>5.49</v>
      </c>
      <c r="I2993">
        <v>5.4853759999999996</v>
      </c>
      <c r="J2993">
        <v>7.51</v>
      </c>
      <c r="K2993">
        <v>45</v>
      </c>
      <c r="L2993" s="2">
        <v>40</v>
      </c>
      <c r="M2993">
        <v>341</v>
      </c>
      <c r="N2993" s="2">
        <v>850</v>
      </c>
      <c r="O2993">
        <v>4662.57</v>
      </c>
      <c r="P2993">
        <v>34</v>
      </c>
      <c r="Q2993">
        <v>816</v>
      </c>
      <c r="R2993">
        <v>14.6</v>
      </c>
      <c r="S2993">
        <v>0</v>
      </c>
      <c r="T2993">
        <v>319</v>
      </c>
      <c r="U2993" s="2">
        <v>2395.69</v>
      </c>
      <c r="V2993">
        <v>0</v>
      </c>
      <c r="W2993" t="s">
        <v>29</v>
      </c>
      <c r="X2993" t="str">
        <f>IF(Table2[[#This Row],[Qty available]]&gt;Table2[[#This Row],[Qty on hand]],"Check","OK")</f>
        <v>OK</v>
      </c>
    </row>
    <row r="2994" spans="1:24" x14ac:dyDescent="0.3">
      <c r="A2994" t="s">
        <v>309</v>
      </c>
      <c r="B2994" t="s">
        <v>310</v>
      </c>
      <c r="C2994" t="s">
        <v>25</v>
      </c>
      <c r="D2994" t="s">
        <v>26</v>
      </c>
      <c r="E2994" t="s">
        <v>66</v>
      </c>
      <c r="F2994" s="1" t="s">
        <v>45</v>
      </c>
      <c r="G2994" s="2">
        <v>5.48</v>
      </c>
      <c r="H2994">
        <v>5.48</v>
      </c>
      <c r="I2994">
        <v>5.4850500000000002</v>
      </c>
      <c r="J2994">
        <v>7.51</v>
      </c>
      <c r="K2994">
        <v>45</v>
      </c>
      <c r="L2994" s="2">
        <v>38</v>
      </c>
      <c r="M2994">
        <v>55</v>
      </c>
      <c r="N2994" s="2">
        <v>905</v>
      </c>
      <c r="O2994">
        <v>4963.97</v>
      </c>
      <c r="P2994">
        <v>78</v>
      </c>
      <c r="Q2994">
        <v>827</v>
      </c>
      <c r="R2994">
        <v>22.4</v>
      </c>
      <c r="S2994">
        <v>31</v>
      </c>
      <c r="T2994">
        <v>0</v>
      </c>
      <c r="U2994" s="2">
        <v>0</v>
      </c>
      <c r="V2994">
        <v>0</v>
      </c>
      <c r="W2994" t="s">
        <v>29</v>
      </c>
      <c r="X2994" t="str">
        <f>IF(Table2[[#This Row],[Qty available]]&gt;Table2[[#This Row],[Qty on hand]],"Check","OK")</f>
        <v>OK</v>
      </c>
    </row>
    <row r="2995" spans="1:24" x14ac:dyDescent="0.3">
      <c r="A2995" t="s">
        <v>309</v>
      </c>
      <c r="B2995" t="s">
        <v>310</v>
      </c>
      <c r="C2995" t="s">
        <v>25</v>
      </c>
      <c r="D2995" t="s">
        <v>26</v>
      </c>
      <c r="E2995" t="s">
        <v>66</v>
      </c>
      <c r="F2995" s="1" t="s">
        <v>46</v>
      </c>
      <c r="G2995" s="2">
        <v>5.45</v>
      </c>
      <c r="H2995">
        <v>5.45</v>
      </c>
      <c r="I2995">
        <v>5.4850500000000002</v>
      </c>
      <c r="J2995">
        <v>7.92</v>
      </c>
      <c r="K2995">
        <v>45</v>
      </c>
      <c r="M2995">
        <v>0</v>
      </c>
      <c r="N2995" s="2">
        <v>905</v>
      </c>
      <c r="O2995">
        <v>4963.97</v>
      </c>
      <c r="P2995">
        <v>45</v>
      </c>
      <c r="Q2995">
        <v>860</v>
      </c>
      <c r="R2995">
        <v>36.479999999999997</v>
      </c>
      <c r="S2995">
        <v>59</v>
      </c>
      <c r="T2995">
        <v>0</v>
      </c>
      <c r="U2995" s="2">
        <v>0</v>
      </c>
      <c r="V2995">
        <v>0</v>
      </c>
      <c r="W2995" t="s">
        <v>29</v>
      </c>
      <c r="X2995" t="str">
        <f>IF(Table2[[#This Row],[Qty available]]&gt;Table2[[#This Row],[Qty on hand]],"Check","OK")</f>
        <v>OK</v>
      </c>
    </row>
    <row r="2996" spans="1:24" x14ac:dyDescent="0.3">
      <c r="A2996" t="s">
        <v>309</v>
      </c>
      <c r="B2996" t="s">
        <v>310</v>
      </c>
      <c r="C2996" t="s">
        <v>25</v>
      </c>
      <c r="D2996" t="s">
        <v>26</v>
      </c>
      <c r="E2996" t="s">
        <v>66</v>
      </c>
      <c r="F2996" s="1" t="s">
        <v>47</v>
      </c>
      <c r="G2996" s="2">
        <v>5.41</v>
      </c>
      <c r="H2996">
        <v>5.41</v>
      </c>
      <c r="I2996">
        <v>5.4597949999999997</v>
      </c>
      <c r="J2996">
        <v>7.92</v>
      </c>
      <c r="K2996">
        <v>45</v>
      </c>
      <c r="L2996" s="2">
        <v>69</v>
      </c>
      <c r="M2996">
        <v>459</v>
      </c>
      <c r="N2996" s="2">
        <v>1364</v>
      </c>
      <c r="O2996">
        <v>7447.16</v>
      </c>
      <c r="P2996">
        <v>101</v>
      </c>
      <c r="Q2996">
        <v>1263</v>
      </c>
      <c r="S2996">
        <v>90</v>
      </c>
      <c r="T2996">
        <v>0</v>
      </c>
      <c r="U2996" s="2">
        <v>0</v>
      </c>
      <c r="V2996">
        <v>0</v>
      </c>
      <c r="W2996" t="s">
        <v>29</v>
      </c>
      <c r="X2996" t="str">
        <f>IF(Table2[[#This Row],[Qty available]]&gt;Table2[[#This Row],[Qty on hand]],"Check","OK")</f>
        <v>OK</v>
      </c>
    </row>
    <row r="2997" spans="1:24" x14ac:dyDescent="0.3">
      <c r="A2997" t="s">
        <v>309</v>
      </c>
      <c r="B2997" t="s">
        <v>310</v>
      </c>
      <c r="C2997" t="s">
        <v>25</v>
      </c>
      <c r="D2997" t="s">
        <v>26</v>
      </c>
      <c r="E2997" t="s">
        <v>66</v>
      </c>
      <c r="F2997" s="1" t="s">
        <v>48</v>
      </c>
      <c r="G2997" s="2">
        <v>5.64</v>
      </c>
      <c r="H2997">
        <v>5.64</v>
      </c>
      <c r="I2997">
        <v>5.4597949999999997</v>
      </c>
      <c r="J2997">
        <v>7.92</v>
      </c>
      <c r="K2997">
        <v>45</v>
      </c>
      <c r="M2997">
        <v>0</v>
      </c>
      <c r="N2997" s="2">
        <v>1364</v>
      </c>
      <c r="O2997">
        <v>7447.16</v>
      </c>
      <c r="P2997">
        <v>45</v>
      </c>
      <c r="Q2997">
        <v>1319</v>
      </c>
      <c r="S2997">
        <v>120</v>
      </c>
      <c r="T2997">
        <v>0</v>
      </c>
      <c r="U2997" s="2">
        <v>0</v>
      </c>
      <c r="V2997">
        <v>0</v>
      </c>
      <c r="W2997" t="s">
        <v>29</v>
      </c>
      <c r="X2997" t="str">
        <f>IF(Table2[[#This Row],[Qty available]]&gt;Table2[[#This Row],[Qty on hand]],"Check","OK")</f>
        <v>OK</v>
      </c>
    </row>
    <row r="2998" spans="1:24" x14ac:dyDescent="0.3">
      <c r="A2998" t="s">
        <v>309</v>
      </c>
      <c r="B2998" t="s">
        <v>310</v>
      </c>
      <c r="C2998" t="s">
        <v>25</v>
      </c>
      <c r="D2998" t="s">
        <v>26</v>
      </c>
      <c r="E2998" t="s">
        <v>66</v>
      </c>
      <c r="F2998" s="1" t="s">
        <v>49</v>
      </c>
      <c r="G2998" s="2">
        <v>5.57</v>
      </c>
      <c r="H2998">
        <v>5.57</v>
      </c>
      <c r="I2998">
        <v>5.4597949999999997</v>
      </c>
      <c r="J2998">
        <v>7.92</v>
      </c>
      <c r="K2998">
        <v>45</v>
      </c>
      <c r="M2998">
        <v>0</v>
      </c>
      <c r="N2998" s="2">
        <v>1364</v>
      </c>
      <c r="O2998">
        <v>7447.16</v>
      </c>
      <c r="P2998">
        <v>56</v>
      </c>
      <c r="Q2998">
        <v>1308</v>
      </c>
      <c r="S2998">
        <v>151</v>
      </c>
      <c r="T2998">
        <v>0</v>
      </c>
      <c r="U2998" s="2">
        <v>0</v>
      </c>
      <c r="V2998">
        <v>0</v>
      </c>
      <c r="W2998" t="s">
        <v>29</v>
      </c>
      <c r="X2998" t="str">
        <f>IF(Table2[[#This Row],[Qty available]]&gt;Table2[[#This Row],[Qty on hand]],"Check","OK")</f>
        <v>OK</v>
      </c>
    </row>
    <row r="2999" spans="1:24" x14ac:dyDescent="0.3">
      <c r="A2999" t="s">
        <v>309</v>
      </c>
      <c r="B2999" t="s">
        <v>310</v>
      </c>
      <c r="C2999" t="s">
        <v>25</v>
      </c>
      <c r="D2999" t="s">
        <v>26</v>
      </c>
      <c r="E2999" t="s">
        <v>66</v>
      </c>
      <c r="F2999" s="1" t="s">
        <v>50</v>
      </c>
      <c r="G2999" s="2">
        <v>5.53</v>
      </c>
      <c r="H2999">
        <v>5.53</v>
      </c>
      <c r="I2999">
        <v>5.4753740000000004</v>
      </c>
      <c r="J2999">
        <v>7.92</v>
      </c>
      <c r="K2999">
        <v>45</v>
      </c>
      <c r="L2999" s="2">
        <v>53</v>
      </c>
      <c r="M2999">
        <v>389</v>
      </c>
      <c r="N2999" s="2">
        <v>1753</v>
      </c>
      <c r="O2999">
        <v>9598.33</v>
      </c>
      <c r="P2999">
        <v>56</v>
      </c>
      <c r="Q2999">
        <v>1697</v>
      </c>
      <c r="S2999">
        <v>181</v>
      </c>
      <c r="T2999">
        <v>0</v>
      </c>
      <c r="U2999" s="2">
        <v>0</v>
      </c>
      <c r="V2999">
        <v>0</v>
      </c>
      <c r="W2999" t="s">
        <v>29</v>
      </c>
      <c r="X2999" t="str">
        <f>IF(Table2[[#This Row],[Qty available]]&gt;Table2[[#This Row],[Qty on hand]],"Check","OK")</f>
        <v>OK</v>
      </c>
    </row>
    <row r="3000" spans="1:24" x14ac:dyDescent="0.3">
      <c r="A3000" t="s">
        <v>309</v>
      </c>
      <c r="B3000" t="s">
        <v>310</v>
      </c>
      <c r="C3000" t="s">
        <v>25</v>
      </c>
      <c r="D3000" t="s">
        <v>26</v>
      </c>
      <c r="E3000" t="s">
        <v>66</v>
      </c>
      <c r="F3000" s="1" t="s">
        <v>51</v>
      </c>
      <c r="G3000" s="2">
        <v>5.67</v>
      </c>
      <c r="H3000">
        <v>5.67</v>
      </c>
      <c r="I3000">
        <v>5.4753740000000004</v>
      </c>
      <c r="J3000">
        <v>7.92</v>
      </c>
      <c r="K3000">
        <v>45</v>
      </c>
      <c r="M3000">
        <v>0</v>
      </c>
      <c r="N3000" s="2">
        <v>1753</v>
      </c>
      <c r="O3000">
        <v>9598.33</v>
      </c>
      <c r="P3000">
        <v>112</v>
      </c>
      <c r="Q3000">
        <v>1641</v>
      </c>
      <c r="S3000">
        <v>212</v>
      </c>
      <c r="T3000">
        <v>0</v>
      </c>
      <c r="U3000" s="2">
        <v>0</v>
      </c>
      <c r="V3000">
        <v>0</v>
      </c>
      <c r="W3000" t="s">
        <v>29</v>
      </c>
      <c r="X3000" t="str">
        <f>IF(Table2[[#This Row],[Qty available]]&gt;Table2[[#This Row],[Qty on hand]],"Check","OK")</f>
        <v>OK</v>
      </c>
    </row>
    <row r="3001" spans="1:24" x14ac:dyDescent="0.3">
      <c r="A3001" t="s">
        <v>309</v>
      </c>
      <c r="B3001" t="s">
        <v>310</v>
      </c>
      <c r="C3001" t="s">
        <v>25</v>
      </c>
      <c r="D3001" t="s">
        <v>26</v>
      </c>
      <c r="E3001" t="s">
        <v>66</v>
      </c>
      <c r="F3001" s="1" t="s">
        <v>52</v>
      </c>
      <c r="G3001" s="2">
        <v>5.6</v>
      </c>
      <c r="H3001">
        <v>5.6</v>
      </c>
      <c r="I3001">
        <v>5.4753740000000004</v>
      </c>
      <c r="J3001">
        <v>7.92</v>
      </c>
      <c r="K3001">
        <v>45</v>
      </c>
      <c r="M3001">
        <v>0</v>
      </c>
      <c r="N3001" s="2">
        <v>1753</v>
      </c>
      <c r="O3001">
        <v>9598.33</v>
      </c>
      <c r="P3001">
        <v>78</v>
      </c>
      <c r="Q3001">
        <v>1675</v>
      </c>
      <c r="S3001">
        <v>243</v>
      </c>
      <c r="T3001">
        <v>0</v>
      </c>
      <c r="U3001" s="2">
        <v>0</v>
      </c>
      <c r="V3001">
        <v>0</v>
      </c>
      <c r="W3001" t="s">
        <v>29</v>
      </c>
      <c r="X3001" t="str">
        <f>IF(Table2[[#This Row],[Qty available]]&gt;Table2[[#This Row],[Qty on hand]],"Check","OK")</f>
        <v>OK</v>
      </c>
    </row>
    <row r="3002" spans="1:24" x14ac:dyDescent="0.3">
      <c r="A3002" t="s">
        <v>311</v>
      </c>
      <c r="B3002" t="s">
        <v>312</v>
      </c>
      <c r="C3002" t="s">
        <v>69</v>
      </c>
      <c r="D3002" t="s">
        <v>70</v>
      </c>
      <c r="E3002" t="s">
        <v>66</v>
      </c>
      <c r="F3002" s="1" t="s">
        <v>28</v>
      </c>
      <c r="G3002" s="2">
        <v>2.99</v>
      </c>
      <c r="H3002">
        <v>3.27</v>
      </c>
      <c r="I3002">
        <v>3.3122229999999999</v>
      </c>
      <c r="J3002">
        <v>4.5</v>
      </c>
      <c r="K3002">
        <v>42</v>
      </c>
      <c r="M3002">
        <v>0</v>
      </c>
      <c r="N3002" s="2">
        <v>1453</v>
      </c>
      <c r="O3002">
        <v>4812.66</v>
      </c>
      <c r="P3002">
        <v>118</v>
      </c>
      <c r="Q3002">
        <v>1335</v>
      </c>
      <c r="R3002">
        <v>10.17</v>
      </c>
      <c r="S3002">
        <v>0</v>
      </c>
      <c r="T3002">
        <v>758</v>
      </c>
      <c r="U3002" s="2">
        <v>3411</v>
      </c>
      <c r="V3002">
        <v>0</v>
      </c>
      <c r="W3002" t="s">
        <v>29</v>
      </c>
      <c r="X3002" t="str">
        <f>IF(Table2[[#This Row],[Qty available]]&gt;Table2[[#This Row],[Qty on hand]],"Check","OK")</f>
        <v>OK</v>
      </c>
    </row>
    <row r="3003" spans="1:24" x14ac:dyDescent="0.3">
      <c r="A3003" t="s">
        <v>311</v>
      </c>
      <c r="B3003" t="s">
        <v>312</v>
      </c>
      <c r="C3003" t="s">
        <v>69</v>
      </c>
      <c r="D3003" t="s">
        <v>70</v>
      </c>
      <c r="E3003" t="s">
        <v>66</v>
      </c>
      <c r="F3003" s="1" t="s">
        <v>30</v>
      </c>
      <c r="G3003" s="2">
        <v>3.06</v>
      </c>
      <c r="H3003">
        <v>3.34</v>
      </c>
      <c r="I3003">
        <v>3.3230439999999999</v>
      </c>
      <c r="J3003">
        <v>4.5</v>
      </c>
      <c r="K3003">
        <v>42</v>
      </c>
      <c r="L3003" s="2">
        <v>42</v>
      </c>
      <c r="M3003">
        <v>927</v>
      </c>
      <c r="N3003" s="2">
        <v>2221</v>
      </c>
      <c r="O3003">
        <v>7380.48</v>
      </c>
      <c r="P3003">
        <v>47</v>
      </c>
      <c r="Q3003">
        <v>2174</v>
      </c>
      <c r="R3003">
        <v>21.75</v>
      </c>
      <c r="S3003">
        <v>2</v>
      </c>
      <c r="T3003">
        <v>159</v>
      </c>
      <c r="U3003" s="2">
        <v>715.5</v>
      </c>
      <c r="V3003">
        <v>0</v>
      </c>
      <c r="W3003" t="s">
        <v>29</v>
      </c>
      <c r="X3003" t="str">
        <f>IF(Table2[[#This Row],[Qty available]]&gt;Table2[[#This Row],[Qty on hand]],"Check","OK")</f>
        <v>OK</v>
      </c>
    </row>
    <row r="3004" spans="1:24" x14ac:dyDescent="0.3">
      <c r="A3004" t="s">
        <v>311</v>
      </c>
      <c r="B3004" t="s">
        <v>312</v>
      </c>
      <c r="C3004" t="s">
        <v>69</v>
      </c>
      <c r="D3004" t="s">
        <v>70</v>
      </c>
      <c r="E3004" t="s">
        <v>66</v>
      </c>
      <c r="F3004" s="1" t="s">
        <v>31</v>
      </c>
      <c r="G3004" s="2">
        <v>3.05</v>
      </c>
      <c r="H3004">
        <v>3.33</v>
      </c>
      <c r="I3004">
        <v>3.3234180000000002</v>
      </c>
      <c r="J3004">
        <v>4.5</v>
      </c>
      <c r="K3004">
        <v>42</v>
      </c>
      <c r="L3004" s="2">
        <v>36</v>
      </c>
      <c r="M3004">
        <v>126</v>
      </c>
      <c r="N3004" s="2">
        <v>1299</v>
      </c>
      <c r="O3004">
        <v>4317.12</v>
      </c>
      <c r="P3004">
        <v>189</v>
      </c>
      <c r="Q3004">
        <v>1110</v>
      </c>
      <c r="R3004">
        <v>8.59</v>
      </c>
      <c r="S3004">
        <v>0</v>
      </c>
      <c r="T3004">
        <v>1048</v>
      </c>
      <c r="U3004" s="2">
        <v>4716</v>
      </c>
      <c r="V3004">
        <v>0</v>
      </c>
      <c r="W3004" t="s">
        <v>29</v>
      </c>
      <c r="X3004" t="str">
        <f>IF(Table2[[#This Row],[Qty available]]&gt;Table2[[#This Row],[Qty on hand]],"Check","OK")</f>
        <v>OK</v>
      </c>
    </row>
    <row r="3005" spans="1:24" x14ac:dyDescent="0.3">
      <c r="A3005" t="s">
        <v>311</v>
      </c>
      <c r="B3005" t="s">
        <v>312</v>
      </c>
      <c r="C3005" t="s">
        <v>69</v>
      </c>
      <c r="D3005" t="s">
        <v>70</v>
      </c>
      <c r="E3005" t="s">
        <v>66</v>
      </c>
      <c r="F3005" s="1" t="s">
        <v>32</v>
      </c>
      <c r="G3005" s="2">
        <v>3.1</v>
      </c>
      <c r="H3005">
        <v>3.39</v>
      </c>
      <c r="I3005">
        <v>3.3233950000000001</v>
      </c>
      <c r="J3005">
        <v>4.5</v>
      </c>
      <c r="K3005">
        <v>42</v>
      </c>
      <c r="M3005">
        <v>0</v>
      </c>
      <c r="N3005" s="2">
        <v>162</v>
      </c>
      <c r="O3005">
        <v>538.39</v>
      </c>
      <c r="P3005">
        <v>162</v>
      </c>
      <c r="Q3005">
        <v>0</v>
      </c>
      <c r="R3005">
        <v>0.91</v>
      </c>
      <c r="S3005">
        <v>0</v>
      </c>
      <c r="T3005">
        <v>1137</v>
      </c>
      <c r="U3005" s="2">
        <v>5116.5</v>
      </c>
      <c r="V3005">
        <v>0</v>
      </c>
      <c r="W3005" t="s">
        <v>29</v>
      </c>
      <c r="X3005" t="str">
        <f>IF(Table2[[#This Row],[Qty available]]&gt;Table2[[#This Row],[Qty on hand]],"Check","OK")</f>
        <v>OK</v>
      </c>
    </row>
    <row r="3006" spans="1:24" x14ac:dyDescent="0.3">
      <c r="A3006" t="s">
        <v>311</v>
      </c>
      <c r="B3006" t="s">
        <v>312</v>
      </c>
      <c r="C3006" t="s">
        <v>69</v>
      </c>
      <c r="D3006" t="s">
        <v>70</v>
      </c>
      <c r="E3006" t="s">
        <v>66</v>
      </c>
      <c r="F3006" s="1" t="s">
        <v>33</v>
      </c>
      <c r="G3006" s="2">
        <v>3.11</v>
      </c>
      <c r="H3006">
        <v>3.4</v>
      </c>
      <c r="I3006">
        <v>3.392862</v>
      </c>
      <c r="J3006">
        <v>4.5</v>
      </c>
      <c r="K3006">
        <v>42</v>
      </c>
      <c r="L3006" s="2">
        <v>37</v>
      </c>
      <c r="M3006">
        <v>1578</v>
      </c>
      <c r="N3006" s="2">
        <v>849</v>
      </c>
      <c r="O3006">
        <v>2880.54</v>
      </c>
      <c r="P3006">
        <v>71</v>
      </c>
      <c r="Q3006">
        <v>778</v>
      </c>
      <c r="R3006">
        <v>3.63</v>
      </c>
      <c r="S3006">
        <v>0</v>
      </c>
      <c r="T3006">
        <v>891</v>
      </c>
      <c r="U3006" s="2">
        <v>4009.5</v>
      </c>
      <c r="V3006">
        <v>0</v>
      </c>
      <c r="W3006" t="s">
        <v>29</v>
      </c>
      <c r="X3006" t="str">
        <f>IF(Table2[[#This Row],[Qty available]]&gt;Table2[[#This Row],[Qty on hand]],"Check","OK")</f>
        <v>OK</v>
      </c>
    </row>
    <row r="3007" spans="1:24" x14ac:dyDescent="0.3">
      <c r="A3007" t="s">
        <v>311</v>
      </c>
      <c r="B3007" t="s">
        <v>312</v>
      </c>
      <c r="C3007" t="s">
        <v>69</v>
      </c>
      <c r="D3007" t="s">
        <v>70</v>
      </c>
      <c r="E3007" t="s">
        <v>66</v>
      </c>
      <c r="F3007" s="1" t="s">
        <v>34</v>
      </c>
      <c r="G3007" s="2">
        <v>3.18</v>
      </c>
      <c r="H3007">
        <v>3.47</v>
      </c>
      <c r="I3007">
        <v>3.4377680000000002</v>
      </c>
      <c r="J3007">
        <v>4.6500000000000004</v>
      </c>
      <c r="K3007">
        <v>42</v>
      </c>
      <c r="L3007" s="2">
        <v>42</v>
      </c>
      <c r="M3007">
        <v>1183</v>
      </c>
      <c r="N3007" s="2">
        <v>1156</v>
      </c>
      <c r="O3007">
        <v>3974.06</v>
      </c>
      <c r="P3007">
        <v>71</v>
      </c>
      <c r="Q3007">
        <v>1085</v>
      </c>
      <c r="R3007">
        <v>5.12</v>
      </c>
      <c r="S3007">
        <v>0</v>
      </c>
      <c r="T3007">
        <v>876</v>
      </c>
      <c r="U3007" s="2">
        <v>4073.4</v>
      </c>
      <c r="V3007">
        <v>0</v>
      </c>
      <c r="W3007" t="s">
        <v>29</v>
      </c>
      <c r="X3007" t="str">
        <f>IF(Table2[[#This Row],[Qty available]]&gt;Table2[[#This Row],[Qty on hand]],"Check","OK")</f>
        <v>OK</v>
      </c>
    </row>
    <row r="3008" spans="1:24" x14ac:dyDescent="0.3">
      <c r="A3008" t="s">
        <v>311</v>
      </c>
      <c r="B3008" t="s">
        <v>312</v>
      </c>
      <c r="C3008" t="s">
        <v>69</v>
      </c>
      <c r="D3008" t="s">
        <v>70</v>
      </c>
      <c r="E3008" t="s">
        <v>66</v>
      </c>
      <c r="F3008" s="1" t="s">
        <v>35</v>
      </c>
      <c r="G3008" s="2">
        <v>3.15</v>
      </c>
      <c r="H3008">
        <v>3.44</v>
      </c>
      <c r="I3008">
        <v>3.4385059999999998</v>
      </c>
      <c r="J3008">
        <v>4.6500000000000004</v>
      </c>
      <c r="K3008">
        <v>42</v>
      </c>
      <c r="L3008" s="2">
        <v>41</v>
      </c>
      <c r="M3008">
        <v>562</v>
      </c>
      <c r="N3008" s="2">
        <v>482</v>
      </c>
      <c r="O3008">
        <v>1657.36</v>
      </c>
      <c r="P3008">
        <v>142</v>
      </c>
      <c r="Q3008">
        <v>340</v>
      </c>
      <c r="R3008">
        <v>2.06</v>
      </c>
      <c r="S3008">
        <v>1</v>
      </c>
      <c r="T3008">
        <v>1236</v>
      </c>
      <c r="U3008" s="2">
        <v>5747.4</v>
      </c>
      <c r="V3008">
        <v>0</v>
      </c>
      <c r="W3008" t="s">
        <v>29</v>
      </c>
      <c r="X3008" t="str">
        <f>IF(Table2[[#This Row],[Qty available]]&gt;Table2[[#This Row],[Qty on hand]],"Check","OK")</f>
        <v>OK</v>
      </c>
    </row>
    <row r="3009" spans="1:24" x14ac:dyDescent="0.3">
      <c r="A3009" t="s">
        <v>311</v>
      </c>
      <c r="B3009" t="s">
        <v>312</v>
      </c>
      <c r="C3009" t="s">
        <v>69</v>
      </c>
      <c r="D3009" t="s">
        <v>70</v>
      </c>
      <c r="E3009" t="s">
        <v>66</v>
      </c>
      <c r="F3009" s="1" t="s">
        <v>36</v>
      </c>
      <c r="G3009" s="2">
        <v>3.14</v>
      </c>
      <c r="H3009">
        <v>3.43</v>
      </c>
      <c r="I3009">
        <v>3.4320659999999998</v>
      </c>
      <c r="J3009">
        <v>4.6500000000000004</v>
      </c>
      <c r="K3009">
        <v>42</v>
      </c>
      <c r="L3009" s="2">
        <v>41</v>
      </c>
      <c r="M3009">
        <v>1502</v>
      </c>
      <c r="N3009" s="2">
        <v>1418</v>
      </c>
      <c r="O3009">
        <v>4866.67</v>
      </c>
      <c r="P3009">
        <v>142</v>
      </c>
      <c r="Q3009">
        <v>1276</v>
      </c>
      <c r="R3009">
        <v>6.73</v>
      </c>
      <c r="S3009">
        <v>2</v>
      </c>
      <c r="T3009">
        <v>566</v>
      </c>
      <c r="U3009" s="2">
        <v>2631.9</v>
      </c>
      <c r="V3009">
        <v>0</v>
      </c>
      <c r="W3009" t="s">
        <v>29</v>
      </c>
      <c r="X3009" t="str">
        <f>IF(Table2[[#This Row],[Qty available]]&gt;Table2[[#This Row],[Qty on hand]],"Check","OK")</f>
        <v>OK</v>
      </c>
    </row>
    <row r="3010" spans="1:24" x14ac:dyDescent="0.3">
      <c r="A3010" t="s">
        <v>311</v>
      </c>
      <c r="B3010" t="s">
        <v>312</v>
      </c>
      <c r="C3010" t="s">
        <v>69</v>
      </c>
      <c r="D3010" t="s">
        <v>70</v>
      </c>
      <c r="E3010" t="s">
        <v>66</v>
      </c>
      <c r="F3010" s="1" t="s">
        <v>37</v>
      </c>
      <c r="G3010" s="2">
        <v>3.14</v>
      </c>
      <c r="H3010">
        <v>3.43</v>
      </c>
      <c r="I3010">
        <v>3.4311419999999999</v>
      </c>
      <c r="J3010">
        <v>4.6500000000000004</v>
      </c>
      <c r="K3010">
        <v>42</v>
      </c>
      <c r="L3010" s="2">
        <v>38</v>
      </c>
      <c r="M3010">
        <v>1154</v>
      </c>
      <c r="N3010" s="2">
        <v>1392</v>
      </c>
      <c r="O3010">
        <v>4776.1499999999996</v>
      </c>
      <c r="P3010">
        <v>236</v>
      </c>
      <c r="Q3010">
        <v>1156</v>
      </c>
      <c r="R3010">
        <v>6.14</v>
      </c>
      <c r="S3010">
        <v>0</v>
      </c>
      <c r="T3010">
        <v>1180</v>
      </c>
      <c r="U3010" s="2">
        <v>5487</v>
      </c>
      <c r="V3010">
        <v>0</v>
      </c>
      <c r="W3010" t="s">
        <v>29</v>
      </c>
      <c r="X3010" t="str">
        <f>IF(Table2[[#This Row],[Qty available]]&gt;Table2[[#This Row],[Qty on hand]],"Check","OK")</f>
        <v>OK</v>
      </c>
    </row>
    <row r="3011" spans="1:24" x14ac:dyDescent="0.3">
      <c r="A3011" t="s">
        <v>311</v>
      </c>
      <c r="B3011" t="s">
        <v>312</v>
      </c>
      <c r="C3011" t="s">
        <v>69</v>
      </c>
      <c r="D3011" t="s">
        <v>70</v>
      </c>
      <c r="E3011" t="s">
        <v>66</v>
      </c>
      <c r="F3011" s="1" t="s">
        <v>38</v>
      </c>
      <c r="G3011" s="2">
        <v>3.14</v>
      </c>
      <c r="H3011">
        <v>3.43</v>
      </c>
      <c r="I3011">
        <v>3.4308580000000002</v>
      </c>
      <c r="J3011">
        <v>4.6500000000000004</v>
      </c>
      <c r="K3011">
        <v>42</v>
      </c>
      <c r="L3011" s="2">
        <v>39</v>
      </c>
      <c r="M3011">
        <v>452</v>
      </c>
      <c r="N3011" s="2">
        <v>1072</v>
      </c>
      <c r="O3011">
        <v>3677.88</v>
      </c>
      <c r="P3011">
        <v>212</v>
      </c>
      <c r="Q3011">
        <v>860</v>
      </c>
      <c r="R3011">
        <v>5.53</v>
      </c>
      <c r="S3011">
        <v>0</v>
      </c>
      <c r="T3011">
        <v>772</v>
      </c>
      <c r="U3011" s="2">
        <v>3589.8</v>
      </c>
      <c r="V3011">
        <v>0</v>
      </c>
      <c r="W3011" t="s">
        <v>29</v>
      </c>
      <c r="X3011" t="str">
        <f>IF(Table2[[#This Row],[Qty available]]&gt;Table2[[#This Row],[Qty on hand]],"Check","OK")</f>
        <v>OK</v>
      </c>
    </row>
    <row r="3012" spans="1:24" x14ac:dyDescent="0.3">
      <c r="A3012" t="s">
        <v>311</v>
      </c>
      <c r="B3012" t="s">
        <v>312</v>
      </c>
      <c r="C3012" t="s">
        <v>69</v>
      </c>
      <c r="D3012" t="s">
        <v>70</v>
      </c>
      <c r="E3012" t="s">
        <v>66</v>
      </c>
      <c r="F3012" s="1" t="s">
        <v>39</v>
      </c>
      <c r="G3012" s="2">
        <v>3.18</v>
      </c>
      <c r="H3012">
        <v>3.47</v>
      </c>
      <c r="I3012">
        <v>3.455031</v>
      </c>
      <c r="J3012">
        <v>4.6500000000000004</v>
      </c>
      <c r="K3012">
        <v>42</v>
      </c>
      <c r="L3012" s="2">
        <v>59</v>
      </c>
      <c r="M3012">
        <v>1731</v>
      </c>
      <c r="N3012" s="2">
        <v>1948</v>
      </c>
      <c r="O3012">
        <v>6730.4</v>
      </c>
      <c r="P3012">
        <v>236</v>
      </c>
      <c r="Q3012">
        <v>1712</v>
      </c>
      <c r="R3012">
        <v>9.1199999999999992</v>
      </c>
      <c r="S3012">
        <v>0</v>
      </c>
      <c r="T3012">
        <v>855</v>
      </c>
      <c r="U3012" s="2">
        <v>3975.75</v>
      </c>
      <c r="V3012">
        <v>0</v>
      </c>
      <c r="W3012" t="s">
        <v>29</v>
      </c>
      <c r="X3012" t="str">
        <f>IF(Table2[[#This Row],[Qty available]]&gt;Table2[[#This Row],[Qty on hand]],"Check","OK")</f>
        <v>OK</v>
      </c>
    </row>
    <row r="3013" spans="1:24" x14ac:dyDescent="0.3">
      <c r="A3013" t="s">
        <v>311</v>
      </c>
      <c r="B3013" t="s">
        <v>312</v>
      </c>
      <c r="C3013" t="s">
        <v>69</v>
      </c>
      <c r="D3013" t="s">
        <v>70</v>
      </c>
      <c r="E3013" t="s">
        <v>66</v>
      </c>
      <c r="F3013" s="1" t="s">
        <v>40</v>
      </c>
      <c r="G3013" s="2">
        <v>3.16</v>
      </c>
      <c r="H3013">
        <v>3.45</v>
      </c>
      <c r="I3013">
        <v>3.4550329999999998</v>
      </c>
      <c r="J3013">
        <v>4.6500000000000004</v>
      </c>
      <c r="K3013">
        <v>42</v>
      </c>
      <c r="M3013">
        <v>0</v>
      </c>
      <c r="N3013" s="2">
        <v>1198</v>
      </c>
      <c r="O3013">
        <v>4139.13</v>
      </c>
      <c r="P3013">
        <v>142</v>
      </c>
      <c r="Q3013">
        <v>1056</v>
      </c>
      <c r="R3013">
        <v>6.62</v>
      </c>
      <c r="S3013">
        <v>0</v>
      </c>
      <c r="T3013">
        <v>750</v>
      </c>
      <c r="U3013" s="2">
        <v>3487.5</v>
      </c>
      <c r="V3013">
        <v>0</v>
      </c>
      <c r="W3013" t="s">
        <v>29</v>
      </c>
      <c r="X3013" t="str">
        <f>IF(Table2[[#This Row],[Qty available]]&gt;Table2[[#This Row],[Qty on hand]],"Check","OK")</f>
        <v>OK</v>
      </c>
    </row>
    <row r="3014" spans="1:24" x14ac:dyDescent="0.3">
      <c r="A3014" t="s">
        <v>311</v>
      </c>
      <c r="B3014" t="s">
        <v>312</v>
      </c>
      <c r="C3014" t="s">
        <v>69</v>
      </c>
      <c r="D3014" t="s">
        <v>70</v>
      </c>
      <c r="E3014" t="s">
        <v>66</v>
      </c>
      <c r="F3014" s="1" t="s">
        <v>41</v>
      </c>
      <c r="G3014" s="2">
        <v>3.06</v>
      </c>
      <c r="H3014">
        <v>3.34</v>
      </c>
      <c r="I3014">
        <v>3.3943219999999998</v>
      </c>
      <c r="J3014">
        <v>4.6500000000000004</v>
      </c>
      <c r="K3014">
        <v>42</v>
      </c>
      <c r="L3014" s="2">
        <v>37</v>
      </c>
      <c r="M3014">
        <v>1339</v>
      </c>
      <c r="N3014" s="2">
        <v>1918</v>
      </c>
      <c r="O3014">
        <v>6510.31</v>
      </c>
      <c r="P3014">
        <v>189</v>
      </c>
      <c r="Q3014">
        <v>1729</v>
      </c>
      <c r="R3014">
        <v>11.33</v>
      </c>
      <c r="S3014">
        <v>3</v>
      </c>
      <c r="T3014">
        <v>619</v>
      </c>
      <c r="U3014" s="2">
        <v>2878.35</v>
      </c>
      <c r="V3014">
        <v>0</v>
      </c>
      <c r="W3014" t="s">
        <v>29</v>
      </c>
      <c r="X3014" t="str">
        <f>IF(Table2[[#This Row],[Qty available]]&gt;Table2[[#This Row],[Qty on hand]],"Check","OK")</f>
        <v>OK</v>
      </c>
    </row>
    <row r="3015" spans="1:24" x14ac:dyDescent="0.3">
      <c r="A3015" t="s">
        <v>311</v>
      </c>
      <c r="B3015" t="s">
        <v>312</v>
      </c>
      <c r="C3015" t="s">
        <v>69</v>
      </c>
      <c r="D3015" t="s">
        <v>70</v>
      </c>
      <c r="E3015" t="s">
        <v>66</v>
      </c>
      <c r="F3015" s="1" t="s">
        <v>42</v>
      </c>
      <c r="G3015" s="2">
        <v>3.18</v>
      </c>
      <c r="H3015">
        <v>3.47</v>
      </c>
      <c r="I3015">
        <v>3.4129450000000001</v>
      </c>
      <c r="J3015">
        <v>4.6500000000000004</v>
      </c>
      <c r="K3015">
        <v>42</v>
      </c>
      <c r="L3015" s="2">
        <v>37</v>
      </c>
      <c r="M3015">
        <v>626</v>
      </c>
      <c r="N3015" s="2">
        <v>1647</v>
      </c>
      <c r="O3015">
        <v>5621.12</v>
      </c>
      <c r="P3015">
        <v>71</v>
      </c>
      <c r="Q3015">
        <v>1576</v>
      </c>
      <c r="R3015">
        <v>9.5500000000000007</v>
      </c>
      <c r="S3015">
        <v>1</v>
      </c>
      <c r="T3015">
        <v>897</v>
      </c>
      <c r="U3015" s="2">
        <v>4171.05</v>
      </c>
      <c r="V3015">
        <v>0</v>
      </c>
      <c r="W3015" t="s">
        <v>29</v>
      </c>
      <c r="X3015" t="str">
        <f>IF(Table2[[#This Row],[Qty available]]&gt;Table2[[#This Row],[Qty on hand]],"Check","OK")</f>
        <v>OK</v>
      </c>
    </row>
    <row r="3016" spans="1:24" x14ac:dyDescent="0.3">
      <c r="A3016" t="s">
        <v>311</v>
      </c>
      <c r="B3016" t="s">
        <v>312</v>
      </c>
      <c r="C3016" t="s">
        <v>69</v>
      </c>
      <c r="D3016" t="s">
        <v>70</v>
      </c>
      <c r="E3016" t="s">
        <v>66</v>
      </c>
      <c r="F3016" s="1" t="s">
        <v>43</v>
      </c>
      <c r="G3016" s="2">
        <v>3.15</v>
      </c>
      <c r="H3016">
        <v>3.44</v>
      </c>
      <c r="I3016">
        <v>3.422221</v>
      </c>
      <c r="J3016">
        <v>4.6500000000000004</v>
      </c>
      <c r="K3016">
        <v>42</v>
      </c>
      <c r="L3016" s="2">
        <v>47</v>
      </c>
      <c r="M3016">
        <v>859</v>
      </c>
      <c r="N3016" s="2">
        <v>2112</v>
      </c>
      <c r="O3016">
        <v>7227.73</v>
      </c>
      <c r="P3016">
        <v>142</v>
      </c>
      <c r="Q3016">
        <v>1970</v>
      </c>
      <c r="R3016">
        <v>14.37</v>
      </c>
      <c r="S3016">
        <v>0</v>
      </c>
      <c r="T3016">
        <v>394</v>
      </c>
      <c r="U3016" s="2">
        <v>1832.1</v>
      </c>
      <c r="V3016">
        <v>0</v>
      </c>
      <c r="W3016" t="s">
        <v>29</v>
      </c>
      <c r="X3016" t="str">
        <f>IF(Table2[[#This Row],[Qty available]]&gt;Table2[[#This Row],[Qty on hand]],"Check","OK")</f>
        <v>OK</v>
      </c>
    </row>
    <row r="3017" spans="1:24" x14ac:dyDescent="0.3">
      <c r="A3017" t="s">
        <v>311</v>
      </c>
      <c r="B3017" t="s">
        <v>312</v>
      </c>
      <c r="C3017" t="s">
        <v>69</v>
      </c>
      <c r="D3017" t="s">
        <v>70</v>
      </c>
      <c r="E3017" t="s">
        <v>66</v>
      </c>
      <c r="F3017" s="1" t="s">
        <v>44</v>
      </c>
      <c r="G3017" s="2">
        <v>3.22</v>
      </c>
      <c r="H3017">
        <v>3.52</v>
      </c>
      <c r="I3017">
        <v>3.4272269999999998</v>
      </c>
      <c r="J3017">
        <v>4.6500000000000004</v>
      </c>
      <c r="K3017">
        <v>42</v>
      </c>
      <c r="L3017" s="2">
        <v>40</v>
      </c>
      <c r="M3017">
        <v>114</v>
      </c>
      <c r="N3017" s="2">
        <v>1125</v>
      </c>
      <c r="O3017">
        <v>3855.63</v>
      </c>
      <c r="P3017">
        <v>94</v>
      </c>
      <c r="Q3017">
        <v>1031</v>
      </c>
      <c r="R3017">
        <v>6.18</v>
      </c>
      <c r="S3017">
        <v>0</v>
      </c>
      <c r="T3017">
        <v>1101</v>
      </c>
      <c r="U3017" s="2">
        <v>5119.6499999999996</v>
      </c>
      <c r="V3017">
        <v>0</v>
      </c>
      <c r="W3017" t="s">
        <v>29</v>
      </c>
      <c r="X3017" t="str">
        <f>IF(Table2[[#This Row],[Qty available]]&gt;Table2[[#This Row],[Qty on hand]],"Check","OK")</f>
        <v>OK</v>
      </c>
    </row>
    <row r="3018" spans="1:24" x14ac:dyDescent="0.3">
      <c r="A3018" t="s">
        <v>311</v>
      </c>
      <c r="B3018" t="s">
        <v>312</v>
      </c>
      <c r="C3018" t="s">
        <v>69</v>
      </c>
      <c r="D3018" t="s">
        <v>70</v>
      </c>
      <c r="E3018" t="s">
        <v>66</v>
      </c>
      <c r="F3018" s="1" t="s">
        <v>45</v>
      </c>
      <c r="G3018" s="2">
        <v>3.23</v>
      </c>
      <c r="H3018">
        <v>3.53</v>
      </c>
      <c r="I3018">
        <v>3.4843570000000001</v>
      </c>
      <c r="J3018">
        <v>4.6500000000000004</v>
      </c>
      <c r="K3018">
        <v>42</v>
      </c>
      <c r="L3018" s="2">
        <v>41</v>
      </c>
      <c r="M3018">
        <v>1408</v>
      </c>
      <c r="N3018" s="2">
        <v>1533</v>
      </c>
      <c r="O3018">
        <v>5341.52</v>
      </c>
      <c r="P3018">
        <v>142</v>
      </c>
      <c r="Q3018">
        <v>1391</v>
      </c>
      <c r="R3018">
        <v>8.08</v>
      </c>
      <c r="S3018">
        <v>0</v>
      </c>
      <c r="T3018">
        <v>1000</v>
      </c>
      <c r="U3018" s="2">
        <v>4650</v>
      </c>
      <c r="V3018">
        <v>0</v>
      </c>
      <c r="W3018" t="s">
        <v>29</v>
      </c>
      <c r="X3018" t="str">
        <f>IF(Table2[[#This Row],[Qty available]]&gt;Table2[[#This Row],[Qty on hand]],"Check","OK")</f>
        <v>OK</v>
      </c>
    </row>
    <row r="3019" spans="1:24" x14ac:dyDescent="0.3">
      <c r="A3019" t="s">
        <v>311</v>
      </c>
      <c r="B3019" t="s">
        <v>312</v>
      </c>
      <c r="C3019" t="s">
        <v>69</v>
      </c>
      <c r="D3019" t="s">
        <v>70</v>
      </c>
      <c r="E3019" t="s">
        <v>66</v>
      </c>
      <c r="F3019" s="1" t="s">
        <v>46</v>
      </c>
      <c r="G3019" s="2">
        <v>3.21</v>
      </c>
      <c r="H3019">
        <v>3.51</v>
      </c>
      <c r="I3019">
        <v>3.4919570000000002</v>
      </c>
      <c r="J3019">
        <v>4.8099999999999996</v>
      </c>
      <c r="K3019">
        <v>42</v>
      </c>
      <c r="L3019" s="2">
        <v>36</v>
      </c>
      <c r="M3019">
        <v>646</v>
      </c>
      <c r="N3019" s="2">
        <v>1354</v>
      </c>
      <c r="O3019">
        <v>4728.1099999999997</v>
      </c>
      <c r="P3019">
        <v>189</v>
      </c>
      <c r="Q3019">
        <v>1165</v>
      </c>
      <c r="R3019">
        <v>5.95</v>
      </c>
      <c r="S3019">
        <v>0</v>
      </c>
      <c r="T3019">
        <v>825</v>
      </c>
      <c r="U3019" s="2">
        <v>3968.25</v>
      </c>
      <c r="V3019">
        <v>0</v>
      </c>
      <c r="W3019" t="s">
        <v>29</v>
      </c>
      <c r="X3019" t="str">
        <f>IF(Table2[[#This Row],[Qty available]]&gt;Table2[[#This Row],[Qty on hand]],"Check","OK")</f>
        <v>OK</v>
      </c>
    </row>
    <row r="3020" spans="1:24" x14ac:dyDescent="0.3">
      <c r="A3020" t="s">
        <v>311</v>
      </c>
      <c r="B3020" t="s">
        <v>312</v>
      </c>
      <c r="C3020" t="s">
        <v>69</v>
      </c>
      <c r="D3020" t="s">
        <v>70</v>
      </c>
      <c r="E3020" t="s">
        <v>66</v>
      </c>
      <c r="F3020" s="1" t="s">
        <v>47</v>
      </c>
      <c r="G3020" s="2">
        <v>3.15</v>
      </c>
      <c r="H3020">
        <v>3.44</v>
      </c>
      <c r="I3020">
        <v>3.4919560000000001</v>
      </c>
      <c r="J3020">
        <v>4.8099999999999996</v>
      </c>
      <c r="K3020">
        <v>42</v>
      </c>
      <c r="M3020">
        <v>0</v>
      </c>
      <c r="N3020" s="2">
        <v>859</v>
      </c>
      <c r="O3020">
        <v>2999.59</v>
      </c>
      <c r="P3020">
        <v>47</v>
      </c>
      <c r="Q3020">
        <v>812</v>
      </c>
      <c r="R3020">
        <v>4.76</v>
      </c>
      <c r="S3020">
        <v>0</v>
      </c>
      <c r="T3020">
        <v>495</v>
      </c>
      <c r="U3020" s="2">
        <v>2380.9499999999998</v>
      </c>
      <c r="V3020">
        <v>0</v>
      </c>
      <c r="W3020" t="s">
        <v>29</v>
      </c>
      <c r="X3020" t="str">
        <f>IF(Table2[[#This Row],[Qty available]]&gt;Table2[[#This Row],[Qty on hand]],"Check","OK")</f>
        <v>OK</v>
      </c>
    </row>
    <row r="3021" spans="1:24" x14ac:dyDescent="0.3">
      <c r="A3021" t="s">
        <v>311</v>
      </c>
      <c r="B3021" t="s">
        <v>312</v>
      </c>
      <c r="C3021" t="s">
        <v>69</v>
      </c>
      <c r="D3021" t="s">
        <v>70</v>
      </c>
      <c r="E3021" t="s">
        <v>66</v>
      </c>
      <c r="F3021" s="1" t="s">
        <v>48</v>
      </c>
      <c r="G3021" s="2">
        <v>3.15</v>
      </c>
      <c r="H3021">
        <v>3.44</v>
      </c>
      <c r="I3021">
        <v>3.4673949999999998</v>
      </c>
      <c r="J3021">
        <v>4.8099999999999996</v>
      </c>
      <c r="K3021">
        <v>42</v>
      </c>
      <c r="L3021" s="2">
        <v>62</v>
      </c>
      <c r="M3021">
        <v>770</v>
      </c>
      <c r="N3021" s="2">
        <v>1144</v>
      </c>
      <c r="O3021">
        <v>3966.7</v>
      </c>
      <c r="P3021">
        <v>94</v>
      </c>
      <c r="Q3021">
        <v>1050</v>
      </c>
      <c r="R3021">
        <v>8.06</v>
      </c>
      <c r="S3021">
        <v>1</v>
      </c>
      <c r="T3021">
        <v>485</v>
      </c>
      <c r="U3021" s="2">
        <v>2332.85</v>
      </c>
      <c r="V3021">
        <v>0</v>
      </c>
      <c r="W3021" t="s">
        <v>29</v>
      </c>
      <c r="X3021" t="str">
        <f>IF(Table2[[#This Row],[Qty available]]&gt;Table2[[#This Row],[Qty on hand]],"Check","OK")</f>
        <v>OK</v>
      </c>
    </row>
    <row r="3022" spans="1:24" x14ac:dyDescent="0.3">
      <c r="A3022" t="s">
        <v>311</v>
      </c>
      <c r="B3022" t="s">
        <v>312</v>
      </c>
      <c r="C3022" t="s">
        <v>69</v>
      </c>
      <c r="D3022" t="s">
        <v>70</v>
      </c>
      <c r="E3022" t="s">
        <v>66</v>
      </c>
      <c r="F3022" s="1" t="s">
        <v>49</v>
      </c>
      <c r="G3022" s="2">
        <v>3.26</v>
      </c>
      <c r="H3022">
        <v>3.56</v>
      </c>
      <c r="I3022">
        <v>3.5210499999999998</v>
      </c>
      <c r="J3022">
        <v>4.8099999999999996</v>
      </c>
      <c r="K3022">
        <v>42</v>
      </c>
      <c r="L3022" s="2">
        <v>48</v>
      </c>
      <c r="M3022">
        <v>1576</v>
      </c>
      <c r="N3022" s="2">
        <v>2399</v>
      </c>
      <c r="O3022">
        <v>8447</v>
      </c>
      <c r="P3022">
        <v>212</v>
      </c>
      <c r="Q3022">
        <v>2187</v>
      </c>
      <c r="R3022">
        <v>24.23</v>
      </c>
      <c r="S3022">
        <v>1</v>
      </c>
      <c r="T3022">
        <v>321</v>
      </c>
      <c r="U3022" s="2">
        <v>1544.01</v>
      </c>
      <c r="V3022">
        <v>0</v>
      </c>
      <c r="W3022" t="s">
        <v>29</v>
      </c>
      <c r="X3022" t="str">
        <f>IF(Table2[[#This Row],[Qty available]]&gt;Table2[[#This Row],[Qty on hand]],"Check","OK")</f>
        <v>OK</v>
      </c>
    </row>
    <row r="3023" spans="1:24" x14ac:dyDescent="0.3">
      <c r="A3023" t="s">
        <v>311</v>
      </c>
      <c r="B3023" t="s">
        <v>312</v>
      </c>
      <c r="C3023" t="s">
        <v>69</v>
      </c>
      <c r="D3023" t="s">
        <v>70</v>
      </c>
      <c r="E3023" t="s">
        <v>66</v>
      </c>
      <c r="F3023" s="1" t="s">
        <v>50</v>
      </c>
      <c r="G3023" s="2">
        <v>3.19</v>
      </c>
      <c r="H3023">
        <v>3.48</v>
      </c>
      <c r="I3023">
        <v>3.5210509999999999</v>
      </c>
      <c r="J3023">
        <v>4.8099999999999996</v>
      </c>
      <c r="K3023">
        <v>42</v>
      </c>
      <c r="M3023">
        <v>0</v>
      </c>
      <c r="N3023" s="2">
        <v>1674</v>
      </c>
      <c r="O3023">
        <v>5894.24</v>
      </c>
      <c r="P3023">
        <v>189</v>
      </c>
      <c r="Q3023">
        <v>1485</v>
      </c>
      <c r="R3023">
        <v>14.21</v>
      </c>
      <c r="S3023">
        <v>0</v>
      </c>
      <c r="T3023">
        <v>725</v>
      </c>
      <c r="U3023" s="2">
        <v>3487.25</v>
      </c>
      <c r="V3023">
        <v>0</v>
      </c>
      <c r="W3023" t="s">
        <v>29</v>
      </c>
      <c r="X3023" t="str">
        <f>IF(Table2[[#This Row],[Qty available]]&gt;Table2[[#This Row],[Qty on hand]],"Check","OK")</f>
        <v>OK</v>
      </c>
    </row>
    <row r="3024" spans="1:24" x14ac:dyDescent="0.3">
      <c r="A3024" t="s">
        <v>311</v>
      </c>
      <c r="B3024" t="s">
        <v>312</v>
      </c>
      <c r="C3024" t="s">
        <v>69</v>
      </c>
      <c r="D3024" t="s">
        <v>70</v>
      </c>
      <c r="E3024" t="s">
        <v>66</v>
      </c>
      <c r="F3024" s="1" t="s">
        <v>51</v>
      </c>
      <c r="G3024" s="2">
        <v>3.19</v>
      </c>
      <c r="H3024">
        <v>3.48</v>
      </c>
      <c r="I3024">
        <v>3.509128</v>
      </c>
      <c r="J3024">
        <v>4.8099999999999996</v>
      </c>
      <c r="K3024">
        <v>42</v>
      </c>
      <c r="L3024" s="2">
        <v>40</v>
      </c>
      <c r="M3024">
        <v>685</v>
      </c>
      <c r="N3024" s="2">
        <v>1479</v>
      </c>
      <c r="O3024">
        <v>5190</v>
      </c>
      <c r="P3024">
        <v>47</v>
      </c>
      <c r="Q3024">
        <v>1432</v>
      </c>
      <c r="R3024">
        <v>10.09</v>
      </c>
      <c r="S3024">
        <v>1</v>
      </c>
      <c r="T3024">
        <v>880</v>
      </c>
      <c r="U3024" s="2">
        <v>4232.8</v>
      </c>
      <c r="V3024">
        <v>0</v>
      </c>
      <c r="W3024" t="s">
        <v>29</v>
      </c>
      <c r="X3024" t="str">
        <f>IF(Table2[[#This Row],[Qty available]]&gt;Table2[[#This Row],[Qty on hand]],"Check","OK")</f>
        <v>OK</v>
      </c>
    </row>
    <row r="3025" spans="1:24" x14ac:dyDescent="0.3">
      <c r="A3025" t="s">
        <v>311</v>
      </c>
      <c r="B3025" t="s">
        <v>312</v>
      </c>
      <c r="C3025" t="s">
        <v>69</v>
      </c>
      <c r="D3025" t="s">
        <v>70</v>
      </c>
      <c r="E3025" t="s">
        <v>66</v>
      </c>
      <c r="F3025" s="1" t="s">
        <v>52</v>
      </c>
      <c r="G3025" s="2">
        <v>3.15</v>
      </c>
      <c r="H3025">
        <v>3.44</v>
      </c>
      <c r="I3025">
        <v>3.5091290000000002</v>
      </c>
      <c r="J3025">
        <v>4.8099999999999996</v>
      </c>
      <c r="K3025">
        <v>42</v>
      </c>
      <c r="M3025">
        <v>0</v>
      </c>
      <c r="N3025" s="2">
        <v>700</v>
      </c>
      <c r="O3025">
        <v>2456.39</v>
      </c>
      <c r="P3025">
        <v>94</v>
      </c>
      <c r="Q3025">
        <v>606</v>
      </c>
      <c r="R3025">
        <v>3.86</v>
      </c>
      <c r="S3025">
        <v>0</v>
      </c>
      <c r="T3025">
        <v>779</v>
      </c>
      <c r="U3025" s="2">
        <v>3746.99</v>
      </c>
      <c r="V3025">
        <v>0</v>
      </c>
      <c r="W3025" t="s">
        <v>29</v>
      </c>
      <c r="X3025" t="str">
        <f>IF(Table2[[#This Row],[Qty available]]&gt;Table2[[#This Row],[Qty on hand]],"Check","OK")</f>
        <v>OK</v>
      </c>
    </row>
    <row r="3026" spans="1:24" x14ac:dyDescent="0.3">
      <c r="A3026" t="s">
        <v>313</v>
      </c>
      <c r="B3026" t="s">
        <v>314</v>
      </c>
      <c r="C3026" t="s">
        <v>57</v>
      </c>
      <c r="D3026" t="s">
        <v>58</v>
      </c>
      <c r="E3026" t="s">
        <v>66</v>
      </c>
      <c r="F3026" s="1" t="s">
        <v>28</v>
      </c>
      <c r="G3026" s="2">
        <v>1.21</v>
      </c>
      <c r="H3026">
        <v>1.21</v>
      </c>
      <c r="I3026">
        <v>1.227533</v>
      </c>
      <c r="J3026">
        <v>1.69</v>
      </c>
      <c r="K3026">
        <v>49</v>
      </c>
      <c r="L3026" s="2">
        <v>44</v>
      </c>
      <c r="M3026">
        <v>233</v>
      </c>
      <c r="N3026" s="2">
        <v>920</v>
      </c>
      <c r="O3026">
        <v>1129.33</v>
      </c>
      <c r="P3026">
        <v>123</v>
      </c>
      <c r="Q3026">
        <v>797</v>
      </c>
      <c r="R3026">
        <v>7.84</v>
      </c>
      <c r="S3026">
        <v>0</v>
      </c>
      <c r="T3026">
        <v>650</v>
      </c>
      <c r="U3026" s="2">
        <v>1098.5</v>
      </c>
      <c r="V3026">
        <v>0</v>
      </c>
      <c r="W3026" t="s">
        <v>29</v>
      </c>
      <c r="X3026" t="str">
        <f>IF(Table2[[#This Row],[Qty available]]&gt;Table2[[#This Row],[Qty on hand]],"Check","OK")</f>
        <v>OK</v>
      </c>
    </row>
    <row r="3027" spans="1:24" x14ac:dyDescent="0.3">
      <c r="A3027" t="s">
        <v>313</v>
      </c>
      <c r="B3027" t="s">
        <v>314</v>
      </c>
      <c r="C3027" t="s">
        <v>57</v>
      </c>
      <c r="D3027" t="s">
        <v>58</v>
      </c>
      <c r="E3027" t="s">
        <v>66</v>
      </c>
      <c r="F3027" s="1" t="s">
        <v>30</v>
      </c>
      <c r="G3027" s="2">
        <v>1.21</v>
      </c>
      <c r="H3027">
        <v>1.21</v>
      </c>
      <c r="I3027">
        <v>1.22106</v>
      </c>
      <c r="J3027">
        <v>1.69</v>
      </c>
      <c r="K3027">
        <v>49</v>
      </c>
      <c r="L3027" s="2">
        <v>49</v>
      </c>
      <c r="M3027">
        <v>538</v>
      </c>
      <c r="N3027" s="2">
        <v>1075</v>
      </c>
      <c r="O3027">
        <v>1312.64</v>
      </c>
      <c r="P3027">
        <v>49</v>
      </c>
      <c r="Q3027">
        <v>1026</v>
      </c>
      <c r="R3027">
        <v>9.02</v>
      </c>
      <c r="S3027">
        <v>0</v>
      </c>
      <c r="T3027">
        <v>383</v>
      </c>
      <c r="U3027" s="2">
        <v>647.27</v>
      </c>
      <c r="V3027">
        <v>0</v>
      </c>
      <c r="W3027" t="s">
        <v>29</v>
      </c>
      <c r="X3027" t="str">
        <f>IF(Table2[[#This Row],[Qty available]]&gt;Table2[[#This Row],[Qty on hand]],"Check","OK")</f>
        <v>OK</v>
      </c>
    </row>
    <row r="3028" spans="1:24" x14ac:dyDescent="0.3">
      <c r="A3028" t="s">
        <v>313</v>
      </c>
      <c r="B3028" t="s">
        <v>314</v>
      </c>
      <c r="C3028" t="s">
        <v>57</v>
      </c>
      <c r="D3028" t="s">
        <v>58</v>
      </c>
      <c r="E3028" t="s">
        <v>66</v>
      </c>
      <c r="F3028" s="1" t="s">
        <v>31</v>
      </c>
      <c r="G3028" s="2">
        <v>1.24</v>
      </c>
      <c r="H3028">
        <v>1.24</v>
      </c>
      <c r="I3028">
        <v>1.2300059999999999</v>
      </c>
      <c r="J3028">
        <v>1.69</v>
      </c>
      <c r="K3028">
        <v>49</v>
      </c>
      <c r="L3028" s="2">
        <v>42</v>
      </c>
      <c r="M3028">
        <v>962</v>
      </c>
      <c r="N3028" s="2">
        <v>1542</v>
      </c>
      <c r="O3028">
        <v>1896.67</v>
      </c>
      <c r="P3028">
        <v>111</v>
      </c>
      <c r="Q3028">
        <v>1431</v>
      </c>
      <c r="R3028">
        <v>13.12</v>
      </c>
      <c r="S3028">
        <v>0</v>
      </c>
      <c r="T3028">
        <v>495</v>
      </c>
      <c r="U3028" s="2">
        <v>836.55</v>
      </c>
      <c r="V3028">
        <v>0</v>
      </c>
      <c r="W3028" t="s">
        <v>29</v>
      </c>
      <c r="X3028" t="str">
        <f>IF(Table2[[#This Row],[Qty available]]&gt;Table2[[#This Row],[Qty on hand]],"Check","OK")</f>
        <v>OK</v>
      </c>
    </row>
    <row r="3029" spans="1:24" x14ac:dyDescent="0.3">
      <c r="A3029" t="s">
        <v>313</v>
      </c>
      <c r="B3029" t="s">
        <v>314</v>
      </c>
      <c r="C3029" t="s">
        <v>57</v>
      </c>
      <c r="D3029" t="s">
        <v>58</v>
      </c>
      <c r="E3029" t="s">
        <v>66</v>
      </c>
      <c r="F3029" s="1" t="s">
        <v>32</v>
      </c>
      <c r="G3029" s="2">
        <v>1.24</v>
      </c>
      <c r="H3029">
        <v>1.24</v>
      </c>
      <c r="I3029">
        <v>1.230448</v>
      </c>
      <c r="J3029">
        <v>1.69</v>
      </c>
      <c r="K3029">
        <v>49</v>
      </c>
      <c r="L3029" s="2">
        <v>48</v>
      </c>
      <c r="M3029">
        <v>71</v>
      </c>
      <c r="N3029" s="2">
        <v>1005</v>
      </c>
      <c r="O3029">
        <v>1236.5999999999999</v>
      </c>
      <c r="P3029">
        <v>98</v>
      </c>
      <c r="Q3029">
        <v>907</v>
      </c>
      <c r="R3029">
        <v>8.89</v>
      </c>
      <c r="S3029">
        <v>1</v>
      </c>
      <c r="T3029">
        <v>608</v>
      </c>
      <c r="U3029" s="2">
        <v>1027.52</v>
      </c>
      <c r="V3029">
        <v>0</v>
      </c>
      <c r="W3029" t="s">
        <v>29</v>
      </c>
      <c r="X3029" t="str">
        <f>IF(Table2[[#This Row],[Qty available]]&gt;Table2[[#This Row],[Qty on hand]],"Check","OK")</f>
        <v>OK</v>
      </c>
    </row>
    <row r="3030" spans="1:24" x14ac:dyDescent="0.3">
      <c r="A3030" t="s">
        <v>313</v>
      </c>
      <c r="B3030" t="s">
        <v>314</v>
      </c>
      <c r="C3030" t="s">
        <v>57</v>
      </c>
      <c r="D3030" t="s">
        <v>58</v>
      </c>
      <c r="E3030" t="s">
        <v>66</v>
      </c>
      <c r="F3030" s="1" t="s">
        <v>33</v>
      </c>
      <c r="G3030" s="2">
        <v>1.27</v>
      </c>
      <c r="H3030">
        <v>1.27</v>
      </c>
      <c r="I3030">
        <v>1.2465379999999999</v>
      </c>
      <c r="J3030">
        <v>1.69</v>
      </c>
      <c r="K3030">
        <v>49</v>
      </c>
      <c r="L3030" s="2">
        <v>49</v>
      </c>
      <c r="M3030">
        <v>689</v>
      </c>
      <c r="N3030" s="2">
        <v>1577</v>
      </c>
      <c r="O3030">
        <v>1965.79</v>
      </c>
      <c r="P3030">
        <v>37</v>
      </c>
      <c r="Q3030">
        <v>1540</v>
      </c>
      <c r="R3030">
        <v>16.989999999999998</v>
      </c>
      <c r="S3030">
        <v>0</v>
      </c>
      <c r="T3030">
        <v>117</v>
      </c>
      <c r="U3030" s="2">
        <v>197.73</v>
      </c>
      <c r="V3030">
        <v>0</v>
      </c>
      <c r="W3030" t="s">
        <v>29</v>
      </c>
      <c r="X3030" t="str">
        <f>IF(Table2[[#This Row],[Qty available]]&gt;Table2[[#This Row],[Qty on hand]],"Check","OK")</f>
        <v>OK</v>
      </c>
    </row>
    <row r="3031" spans="1:24" x14ac:dyDescent="0.3">
      <c r="A3031" t="s">
        <v>313</v>
      </c>
      <c r="B3031" t="s">
        <v>314</v>
      </c>
      <c r="C3031" t="s">
        <v>57</v>
      </c>
      <c r="D3031" t="s">
        <v>58</v>
      </c>
      <c r="E3031" t="s">
        <v>66</v>
      </c>
      <c r="F3031" s="1" t="s">
        <v>34</v>
      </c>
      <c r="G3031" s="2">
        <v>1.27</v>
      </c>
      <c r="H3031">
        <v>1.27</v>
      </c>
      <c r="I3031">
        <v>1.250224</v>
      </c>
      <c r="J3031">
        <v>1.77</v>
      </c>
      <c r="K3031">
        <v>49</v>
      </c>
      <c r="L3031" s="2">
        <v>49</v>
      </c>
      <c r="M3031">
        <v>294</v>
      </c>
      <c r="N3031" s="2">
        <v>1563</v>
      </c>
      <c r="O3031">
        <v>1954.1</v>
      </c>
      <c r="P3031">
        <v>49</v>
      </c>
      <c r="Q3031">
        <v>1514</v>
      </c>
      <c r="R3031">
        <v>19.45</v>
      </c>
      <c r="S3031">
        <v>0</v>
      </c>
      <c r="T3031">
        <v>308</v>
      </c>
      <c r="U3031" s="2">
        <v>545.16</v>
      </c>
      <c r="V3031">
        <v>0</v>
      </c>
      <c r="W3031" t="s">
        <v>29</v>
      </c>
      <c r="X3031" t="str">
        <f>IF(Table2[[#This Row],[Qty available]]&gt;Table2[[#This Row],[Qty on hand]],"Check","OK")</f>
        <v>OK</v>
      </c>
    </row>
    <row r="3032" spans="1:24" x14ac:dyDescent="0.3">
      <c r="A3032" t="s">
        <v>313</v>
      </c>
      <c r="B3032" t="s">
        <v>314</v>
      </c>
      <c r="C3032" t="s">
        <v>57</v>
      </c>
      <c r="D3032" t="s">
        <v>58</v>
      </c>
      <c r="E3032" t="s">
        <v>66</v>
      </c>
      <c r="F3032" s="1" t="s">
        <v>35</v>
      </c>
      <c r="G3032" s="2">
        <v>1.3</v>
      </c>
      <c r="H3032">
        <v>1.3</v>
      </c>
      <c r="I3032">
        <v>1.250227</v>
      </c>
      <c r="J3032">
        <v>1.77</v>
      </c>
      <c r="K3032">
        <v>49</v>
      </c>
      <c r="M3032">
        <v>0</v>
      </c>
      <c r="N3032" s="2">
        <v>1276</v>
      </c>
      <c r="O3032">
        <v>1595.29</v>
      </c>
      <c r="P3032">
        <v>86</v>
      </c>
      <c r="Q3032">
        <v>1190</v>
      </c>
      <c r="R3032">
        <v>23.04</v>
      </c>
      <c r="S3032">
        <v>1</v>
      </c>
      <c r="T3032">
        <v>287</v>
      </c>
      <c r="U3032" s="2">
        <v>507.99</v>
      </c>
      <c r="V3032">
        <v>0</v>
      </c>
      <c r="W3032" t="s">
        <v>29</v>
      </c>
      <c r="X3032" t="str">
        <f>IF(Table2[[#This Row],[Qty available]]&gt;Table2[[#This Row],[Qty on hand]],"Check","OK")</f>
        <v>OK</v>
      </c>
    </row>
    <row r="3033" spans="1:24" x14ac:dyDescent="0.3">
      <c r="A3033" t="s">
        <v>313</v>
      </c>
      <c r="B3033" t="s">
        <v>314</v>
      </c>
      <c r="C3033" t="s">
        <v>57</v>
      </c>
      <c r="D3033" t="s">
        <v>58</v>
      </c>
      <c r="E3033" t="s">
        <v>66</v>
      </c>
      <c r="F3033" s="1" t="s">
        <v>36</v>
      </c>
      <c r="G3033" s="2">
        <v>1.3</v>
      </c>
      <c r="H3033">
        <v>1.3</v>
      </c>
      <c r="I3033">
        <v>1.2692030000000001</v>
      </c>
      <c r="J3033">
        <v>1.77</v>
      </c>
      <c r="K3033">
        <v>49</v>
      </c>
      <c r="L3033" s="2">
        <v>45</v>
      </c>
      <c r="M3033">
        <v>786</v>
      </c>
      <c r="N3033" s="2">
        <v>1455</v>
      </c>
      <c r="O3033">
        <v>1846.69</v>
      </c>
      <c r="P3033">
        <v>86</v>
      </c>
      <c r="Q3033">
        <v>1369</v>
      </c>
      <c r="R3033">
        <v>15.39</v>
      </c>
      <c r="S3033">
        <v>0</v>
      </c>
      <c r="T3033">
        <v>607</v>
      </c>
      <c r="U3033" s="2">
        <v>1074.3900000000001</v>
      </c>
      <c r="V3033">
        <v>0</v>
      </c>
      <c r="W3033" t="s">
        <v>29</v>
      </c>
      <c r="X3033" t="str">
        <f>IF(Table2[[#This Row],[Qty available]]&gt;Table2[[#This Row],[Qty on hand]],"Check","OK")</f>
        <v>OK</v>
      </c>
    </row>
    <row r="3034" spans="1:24" x14ac:dyDescent="0.3">
      <c r="A3034" t="s">
        <v>313</v>
      </c>
      <c r="B3034" t="s">
        <v>314</v>
      </c>
      <c r="C3034" t="s">
        <v>57</v>
      </c>
      <c r="D3034" t="s">
        <v>58</v>
      </c>
      <c r="E3034" t="s">
        <v>66</v>
      </c>
      <c r="F3034" s="1" t="s">
        <v>37</v>
      </c>
      <c r="G3034" s="2">
        <v>1.3</v>
      </c>
      <c r="H3034">
        <v>1.3</v>
      </c>
      <c r="I3034">
        <v>1.2691969999999999</v>
      </c>
      <c r="J3034">
        <v>1.77</v>
      </c>
      <c r="K3034">
        <v>49</v>
      </c>
      <c r="M3034">
        <v>0</v>
      </c>
      <c r="N3034" s="2">
        <v>872</v>
      </c>
      <c r="O3034">
        <v>1106.74</v>
      </c>
      <c r="P3034">
        <v>25</v>
      </c>
      <c r="Q3034">
        <v>847</v>
      </c>
      <c r="R3034">
        <v>7.76</v>
      </c>
      <c r="S3034">
        <v>0</v>
      </c>
      <c r="T3034">
        <v>583</v>
      </c>
      <c r="U3034" s="2">
        <v>1031.9100000000001</v>
      </c>
      <c r="V3034">
        <v>0</v>
      </c>
      <c r="W3034" t="s">
        <v>29</v>
      </c>
      <c r="X3034" t="str">
        <f>IF(Table2[[#This Row],[Qty available]]&gt;Table2[[#This Row],[Qty on hand]],"Check","OK")</f>
        <v>OK</v>
      </c>
    </row>
    <row r="3035" spans="1:24" x14ac:dyDescent="0.3">
      <c r="A3035" t="s">
        <v>313</v>
      </c>
      <c r="B3035" t="s">
        <v>314</v>
      </c>
      <c r="C3035" t="s">
        <v>57</v>
      </c>
      <c r="D3035" t="s">
        <v>58</v>
      </c>
      <c r="E3035" t="s">
        <v>66</v>
      </c>
      <c r="F3035" s="1" t="s">
        <v>38</v>
      </c>
      <c r="G3035" s="2">
        <v>1.26</v>
      </c>
      <c r="H3035">
        <v>1.26</v>
      </c>
      <c r="I3035">
        <v>1.2691859999999999</v>
      </c>
      <c r="J3035">
        <v>1.77</v>
      </c>
      <c r="K3035">
        <v>49</v>
      </c>
      <c r="M3035">
        <v>0</v>
      </c>
      <c r="N3035" s="2">
        <v>430</v>
      </c>
      <c r="O3035">
        <v>545.75</v>
      </c>
      <c r="P3035">
        <v>62</v>
      </c>
      <c r="Q3035">
        <v>368</v>
      </c>
      <c r="R3035">
        <v>3.43</v>
      </c>
      <c r="S3035">
        <v>0</v>
      </c>
      <c r="T3035">
        <v>442</v>
      </c>
      <c r="U3035" s="2">
        <v>782.34</v>
      </c>
      <c r="V3035">
        <v>0</v>
      </c>
      <c r="W3035" t="s">
        <v>29</v>
      </c>
      <c r="X3035" t="str">
        <f>IF(Table2[[#This Row],[Qty available]]&gt;Table2[[#This Row],[Qty on hand]],"Check","OK")</f>
        <v>OK</v>
      </c>
    </row>
    <row r="3036" spans="1:24" x14ac:dyDescent="0.3">
      <c r="A3036" t="s">
        <v>313</v>
      </c>
      <c r="B3036" t="s">
        <v>314</v>
      </c>
      <c r="C3036" t="s">
        <v>57</v>
      </c>
      <c r="D3036" t="s">
        <v>58</v>
      </c>
      <c r="E3036" t="s">
        <v>66</v>
      </c>
      <c r="F3036" s="1" t="s">
        <v>39</v>
      </c>
      <c r="G3036" s="2">
        <v>1.29</v>
      </c>
      <c r="H3036">
        <v>1.29</v>
      </c>
      <c r="I3036">
        <v>1.2828029999999999</v>
      </c>
      <c r="J3036">
        <v>1.77</v>
      </c>
      <c r="K3036">
        <v>49</v>
      </c>
      <c r="L3036" s="2">
        <v>62</v>
      </c>
      <c r="M3036">
        <v>814</v>
      </c>
      <c r="N3036" s="2">
        <v>767</v>
      </c>
      <c r="O3036">
        <v>983.91</v>
      </c>
      <c r="P3036">
        <v>49</v>
      </c>
      <c r="Q3036">
        <v>718</v>
      </c>
      <c r="R3036">
        <v>6.71</v>
      </c>
      <c r="S3036">
        <v>1</v>
      </c>
      <c r="T3036">
        <v>477</v>
      </c>
      <c r="U3036" s="2">
        <v>844.29</v>
      </c>
      <c r="V3036">
        <v>0</v>
      </c>
      <c r="W3036" t="s">
        <v>29</v>
      </c>
      <c r="X3036" t="str">
        <f>IF(Table2[[#This Row],[Qty available]]&gt;Table2[[#This Row],[Qty on hand]],"Check","OK")</f>
        <v>OK</v>
      </c>
    </row>
    <row r="3037" spans="1:24" x14ac:dyDescent="0.3">
      <c r="A3037" t="s">
        <v>313</v>
      </c>
      <c r="B3037" t="s">
        <v>314</v>
      </c>
      <c r="C3037" t="s">
        <v>57</v>
      </c>
      <c r="D3037" t="s">
        <v>58</v>
      </c>
      <c r="E3037" t="s">
        <v>66</v>
      </c>
      <c r="F3037" s="1" t="s">
        <v>40</v>
      </c>
      <c r="G3037" s="2">
        <v>1.28</v>
      </c>
      <c r="H3037">
        <v>1.28</v>
      </c>
      <c r="I3037">
        <v>1.28105</v>
      </c>
      <c r="J3037">
        <v>1.77</v>
      </c>
      <c r="K3037">
        <v>49</v>
      </c>
      <c r="L3037" s="2">
        <v>44</v>
      </c>
      <c r="M3037">
        <v>1284</v>
      </c>
      <c r="N3037" s="2">
        <v>1590</v>
      </c>
      <c r="O3037">
        <v>2036.87</v>
      </c>
      <c r="P3037">
        <v>86</v>
      </c>
      <c r="Q3037">
        <v>1504</v>
      </c>
      <c r="R3037">
        <v>15.14</v>
      </c>
      <c r="S3037">
        <v>0</v>
      </c>
      <c r="T3037">
        <v>461</v>
      </c>
      <c r="U3037" s="2">
        <v>815.97</v>
      </c>
      <c r="V3037">
        <v>0</v>
      </c>
      <c r="W3037" t="s">
        <v>29</v>
      </c>
      <c r="X3037" t="str">
        <f>IF(Table2[[#This Row],[Qty available]]&gt;Table2[[#This Row],[Qty on hand]],"Check","OK")</f>
        <v>OK</v>
      </c>
    </row>
    <row r="3038" spans="1:24" x14ac:dyDescent="0.3">
      <c r="A3038" t="s">
        <v>313</v>
      </c>
      <c r="B3038" t="s">
        <v>314</v>
      </c>
      <c r="C3038" t="s">
        <v>57</v>
      </c>
      <c r="D3038" t="s">
        <v>58</v>
      </c>
      <c r="E3038" t="s">
        <v>66</v>
      </c>
      <c r="F3038" s="1" t="s">
        <v>41</v>
      </c>
      <c r="G3038" s="2">
        <v>1.27</v>
      </c>
      <c r="H3038">
        <v>1.27</v>
      </c>
      <c r="I3038">
        <v>1.2789090000000001</v>
      </c>
      <c r="J3038">
        <v>1.77</v>
      </c>
      <c r="K3038">
        <v>49</v>
      </c>
      <c r="L3038" s="2">
        <v>48</v>
      </c>
      <c r="M3038">
        <v>382</v>
      </c>
      <c r="N3038" s="2">
        <v>1247</v>
      </c>
      <c r="O3038">
        <v>1594.8</v>
      </c>
      <c r="P3038">
        <v>86</v>
      </c>
      <c r="Q3038">
        <v>1161</v>
      </c>
      <c r="R3038">
        <v>9.86</v>
      </c>
      <c r="S3038">
        <v>1</v>
      </c>
      <c r="T3038">
        <v>725</v>
      </c>
      <c r="U3038" s="2">
        <v>1283.25</v>
      </c>
      <c r="V3038">
        <v>0</v>
      </c>
      <c r="W3038" t="s">
        <v>29</v>
      </c>
      <c r="X3038" t="str">
        <f>IF(Table2[[#This Row],[Qty available]]&gt;Table2[[#This Row],[Qty on hand]],"Check","OK")</f>
        <v>OK</v>
      </c>
    </row>
    <row r="3039" spans="1:24" x14ac:dyDescent="0.3">
      <c r="A3039" t="s">
        <v>313</v>
      </c>
      <c r="B3039" t="s">
        <v>314</v>
      </c>
      <c r="C3039" t="s">
        <v>57</v>
      </c>
      <c r="D3039" t="s">
        <v>58</v>
      </c>
      <c r="E3039" t="s">
        <v>66</v>
      </c>
      <c r="F3039" s="1" t="s">
        <v>42</v>
      </c>
      <c r="G3039" s="2">
        <v>1.28</v>
      </c>
      <c r="H3039">
        <v>1.28</v>
      </c>
      <c r="I3039">
        <v>1.2789090000000001</v>
      </c>
      <c r="J3039">
        <v>1.77</v>
      </c>
      <c r="K3039">
        <v>49</v>
      </c>
      <c r="M3039">
        <v>0</v>
      </c>
      <c r="N3039" s="2">
        <v>724</v>
      </c>
      <c r="O3039">
        <v>925.93</v>
      </c>
      <c r="P3039">
        <v>123</v>
      </c>
      <c r="Q3039">
        <v>601</v>
      </c>
      <c r="R3039">
        <v>5.57</v>
      </c>
      <c r="S3039">
        <v>0</v>
      </c>
      <c r="T3039">
        <v>523</v>
      </c>
      <c r="U3039" s="2">
        <v>925.71</v>
      </c>
      <c r="V3039">
        <v>0</v>
      </c>
      <c r="W3039" t="s">
        <v>29</v>
      </c>
      <c r="X3039" t="str">
        <f>IF(Table2[[#This Row],[Qty available]]&gt;Table2[[#This Row],[Qty on hand]],"Check","OK")</f>
        <v>OK</v>
      </c>
    </row>
    <row r="3040" spans="1:24" x14ac:dyDescent="0.3">
      <c r="A3040" t="s">
        <v>313</v>
      </c>
      <c r="B3040" t="s">
        <v>314</v>
      </c>
      <c r="C3040" t="s">
        <v>57</v>
      </c>
      <c r="D3040" t="s">
        <v>58</v>
      </c>
      <c r="E3040" t="s">
        <v>66</v>
      </c>
      <c r="F3040" s="1" t="s">
        <v>43</v>
      </c>
      <c r="G3040" s="2">
        <v>1.26</v>
      </c>
      <c r="H3040">
        <v>1.26</v>
      </c>
      <c r="I3040">
        <v>1.2682690000000001</v>
      </c>
      <c r="J3040">
        <v>1.77</v>
      </c>
      <c r="K3040">
        <v>49</v>
      </c>
      <c r="L3040" s="2">
        <v>76</v>
      </c>
      <c r="M3040">
        <v>932</v>
      </c>
      <c r="N3040" s="2">
        <v>1652</v>
      </c>
      <c r="O3040">
        <v>2095.1799999999998</v>
      </c>
      <c r="P3040">
        <v>111</v>
      </c>
      <c r="Q3040">
        <v>1541</v>
      </c>
      <c r="R3040">
        <v>17.149999999999999</v>
      </c>
      <c r="S3040">
        <v>0</v>
      </c>
      <c r="T3040">
        <v>4</v>
      </c>
      <c r="U3040" s="2">
        <v>7.08</v>
      </c>
      <c r="V3040">
        <v>0</v>
      </c>
      <c r="W3040" t="s">
        <v>29</v>
      </c>
      <c r="X3040" t="str">
        <f>IF(Table2[[#This Row],[Qty available]]&gt;Table2[[#This Row],[Qty on hand]],"Check","OK")</f>
        <v>OK</v>
      </c>
    </row>
    <row r="3041" spans="1:24" x14ac:dyDescent="0.3">
      <c r="A3041" t="s">
        <v>313</v>
      </c>
      <c r="B3041" t="s">
        <v>314</v>
      </c>
      <c r="C3041" t="s">
        <v>57</v>
      </c>
      <c r="D3041" t="s">
        <v>58</v>
      </c>
      <c r="E3041" t="s">
        <v>66</v>
      </c>
      <c r="F3041" s="1" t="s">
        <v>44</v>
      </c>
      <c r="G3041" s="2">
        <v>1.25</v>
      </c>
      <c r="H3041">
        <v>1.25</v>
      </c>
      <c r="I3041">
        <v>1.268267</v>
      </c>
      <c r="J3041">
        <v>1.77</v>
      </c>
      <c r="K3041">
        <v>49</v>
      </c>
      <c r="M3041">
        <v>0</v>
      </c>
      <c r="N3041" s="2">
        <v>1327</v>
      </c>
      <c r="O3041">
        <v>1682.99</v>
      </c>
      <c r="P3041">
        <v>86</v>
      </c>
      <c r="Q3041">
        <v>1241</v>
      </c>
      <c r="R3041">
        <v>20.47</v>
      </c>
      <c r="S3041">
        <v>6</v>
      </c>
      <c r="T3041">
        <v>325</v>
      </c>
      <c r="U3041" s="2">
        <v>575.25</v>
      </c>
      <c r="V3041">
        <v>0</v>
      </c>
      <c r="W3041" t="s">
        <v>29</v>
      </c>
      <c r="X3041" t="str">
        <f>IF(Table2[[#This Row],[Qty available]]&gt;Table2[[#This Row],[Qty on hand]],"Check","OK")</f>
        <v>OK</v>
      </c>
    </row>
    <row r="3042" spans="1:24" x14ac:dyDescent="0.3">
      <c r="A3042" t="s">
        <v>313</v>
      </c>
      <c r="B3042" t="s">
        <v>314</v>
      </c>
      <c r="C3042" t="s">
        <v>57</v>
      </c>
      <c r="D3042" t="s">
        <v>58</v>
      </c>
      <c r="E3042" t="s">
        <v>66</v>
      </c>
      <c r="F3042" s="1" t="s">
        <v>45</v>
      </c>
      <c r="G3042" s="2">
        <v>1.35</v>
      </c>
      <c r="H3042">
        <v>1.35</v>
      </c>
      <c r="I3042">
        <v>1.291749</v>
      </c>
      <c r="J3042">
        <v>1.77</v>
      </c>
      <c r="K3042">
        <v>49</v>
      </c>
      <c r="L3042" s="2">
        <v>63</v>
      </c>
      <c r="M3042">
        <v>535</v>
      </c>
      <c r="N3042" s="2">
        <v>1401</v>
      </c>
      <c r="O3042">
        <v>1809.74</v>
      </c>
      <c r="P3042">
        <v>98</v>
      </c>
      <c r="Q3042">
        <v>1303</v>
      </c>
      <c r="R3042">
        <v>23.31</v>
      </c>
      <c r="S3042">
        <v>0</v>
      </c>
      <c r="T3042">
        <v>461</v>
      </c>
      <c r="U3042" s="2">
        <v>815.97</v>
      </c>
      <c r="V3042">
        <v>0</v>
      </c>
      <c r="W3042" t="s">
        <v>29</v>
      </c>
      <c r="X3042" t="str">
        <f>IF(Table2[[#This Row],[Qty available]]&gt;Table2[[#This Row],[Qty on hand]],"Check","OK")</f>
        <v>OK</v>
      </c>
    </row>
    <row r="3043" spans="1:24" x14ac:dyDescent="0.3">
      <c r="A3043" t="s">
        <v>313</v>
      </c>
      <c r="B3043" t="s">
        <v>314</v>
      </c>
      <c r="C3043" t="s">
        <v>57</v>
      </c>
      <c r="D3043" t="s">
        <v>58</v>
      </c>
      <c r="E3043" t="s">
        <v>66</v>
      </c>
      <c r="F3043" s="1" t="s">
        <v>46</v>
      </c>
      <c r="G3043" s="2">
        <v>1.33</v>
      </c>
      <c r="H3043">
        <v>1.33</v>
      </c>
      <c r="I3043">
        <v>1.3031090000000001</v>
      </c>
      <c r="J3043">
        <v>1.86</v>
      </c>
      <c r="K3043">
        <v>49</v>
      </c>
      <c r="L3043" s="2">
        <v>47</v>
      </c>
      <c r="M3043">
        <v>592</v>
      </c>
      <c r="N3043" s="2">
        <v>1631</v>
      </c>
      <c r="O3043">
        <v>2125.37</v>
      </c>
      <c r="P3043">
        <v>98</v>
      </c>
      <c r="Q3043">
        <v>1533</v>
      </c>
      <c r="R3043">
        <v>18.27</v>
      </c>
      <c r="S3043">
        <v>0</v>
      </c>
      <c r="T3043">
        <v>362</v>
      </c>
      <c r="U3043" s="2">
        <v>673.32</v>
      </c>
      <c r="V3043">
        <v>0</v>
      </c>
      <c r="W3043" t="s">
        <v>29</v>
      </c>
      <c r="X3043" t="str">
        <f>IF(Table2[[#This Row],[Qty available]]&gt;Table2[[#This Row],[Qty on hand]],"Check","OK")</f>
        <v>OK</v>
      </c>
    </row>
    <row r="3044" spans="1:24" x14ac:dyDescent="0.3">
      <c r="A3044" t="s">
        <v>313</v>
      </c>
      <c r="B3044" t="s">
        <v>314</v>
      </c>
      <c r="C3044" t="s">
        <v>57</v>
      </c>
      <c r="D3044" t="s">
        <v>58</v>
      </c>
      <c r="E3044" t="s">
        <v>66</v>
      </c>
      <c r="F3044" s="1" t="s">
        <v>47</v>
      </c>
      <c r="G3044" s="2">
        <v>1.31</v>
      </c>
      <c r="H3044">
        <v>1.31</v>
      </c>
      <c r="I3044">
        <v>1.3031090000000001</v>
      </c>
      <c r="J3044">
        <v>1.86</v>
      </c>
      <c r="K3044">
        <v>49</v>
      </c>
      <c r="M3044">
        <v>0</v>
      </c>
      <c r="N3044" s="2">
        <v>1010</v>
      </c>
      <c r="O3044">
        <v>1316.14</v>
      </c>
      <c r="P3044">
        <v>37</v>
      </c>
      <c r="Q3044">
        <v>973</v>
      </c>
      <c r="R3044">
        <v>8.99</v>
      </c>
      <c r="S3044">
        <v>0</v>
      </c>
      <c r="T3044">
        <v>621</v>
      </c>
      <c r="U3044" s="2">
        <v>1155.06</v>
      </c>
      <c r="V3044">
        <v>0</v>
      </c>
      <c r="W3044" t="s">
        <v>29</v>
      </c>
      <c r="X3044" t="str">
        <f>IF(Table2[[#This Row],[Qty available]]&gt;Table2[[#This Row],[Qty on hand]],"Check","OK")</f>
        <v>OK</v>
      </c>
    </row>
    <row r="3045" spans="1:24" x14ac:dyDescent="0.3">
      <c r="A3045" t="s">
        <v>313</v>
      </c>
      <c r="B3045" t="s">
        <v>314</v>
      </c>
      <c r="C3045" t="s">
        <v>57</v>
      </c>
      <c r="D3045" t="s">
        <v>58</v>
      </c>
      <c r="E3045" t="s">
        <v>66</v>
      </c>
      <c r="F3045" s="1" t="s">
        <v>48</v>
      </c>
      <c r="G3045" s="2">
        <v>1.31</v>
      </c>
      <c r="H3045">
        <v>1.31</v>
      </c>
      <c r="I3045">
        <v>1.3067470000000001</v>
      </c>
      <c r="J3045">
        <v>1.86</v>
      </c>
      <c r="K3045">
        <v>49</v>
      </c>
      <c r="L3045" s="2">
        <v>45</v>
      </c>
      <c r="M3045">
        <v>1130</v>
      </c>
      <c r="N3045" s="2">
        <v>1611</v>
      </c>
      <c r="O3045">
        <v>2105.17</v>
      </c>
      <c r="P3045">
        <v>37</v>
      </c>
      <c r="Q3045">
        <v>1574</v>
      </c>
      <c r="R3045">
        <v>13.55</v>
      </c>
      <c r="S3045">
        <v>0</v>
      </c>
      <c r="T3045">
        <v>529</v>
      </c>
      <c r="U3045" s="2">
        <v>983.94</v>
      </c>
      <c r="V3045">
        <v>0</v>
      </c>
      <c r="W3045" t="s">
        <v>29</v>
      </c>
      <c r="X3045" t="str">
        <f>IF(Table2[[#This Row],[Qty available]]&gt;Table2[[#This Row],[Qty on hand]],"Check","OK")</f>
        <v>OK</v>
      </c>
    </row>
    <row r="3046" spans="1:24" x14ac:dyDescent="0.3">
      <c r="A3046" t="s">
        <v>313</v>
      </c>
      <c r="B3046" t="s">
        <v>314</v>
      </c>
      <c r="C3046" t="s">
        <v>57</v>
      </c>
      <c r="D3046" t="s">
        <v>58</v>
      </c>
      <c r="E3046" t="s">
        <v>66</v>
      </c>
      <c r="F3046" s="1" t="s">
        <v>49</v>
      </c>
      <c r="G3046" s="2">
        <v>1.32</v>
      </c>
      <c r="H3046">
        <v>1.32</v>
      </c>
      <c r="I3046">
        <v>1.3070820000000001</v>
      </c>
      <c r="J3046">
        <v>1.86</v>
      </c>
      <c r="K3046">
        <v>49</v>
      </c>
      <c r="L3046" s="2">
        <v>47</v>
      </c>
      <c r="M3046">
        <v>42</v>
      </c>
      <c r="N3046" s="2">
        <v>1484</v>
      </c>
      <c r="O3046">
        <v>1939.71</v>
      </c>
      <c r="P3046">
        <v>62</v>
      </c>
      <c r="Q3046">
        <v>1422</v>
      </c>
      <c r="R3046">
        <v>14.79</v>
      </c>
      <c r="S3046">
        <v>0</v>
      </c>
      <c r="T3046">
        <v>169</v>
      </c>
      <c r="U3046" s="2">
        <v>314.33999999999997</v>
      </c>
      <c r="V3046">
        <v>0</v>
      </c>
      <c r="W3046" t="s">
        <v>29</v>
      </c>
      <c r="X3046" t="str">
        <f>IF(Table2[[#This Row],[Qty available]]&gt;Table2[[#This Row],[Qty on hand]],"Check","OK")</f>
        <v>OK</v>
      </c>
    </row>
    <row r="3047" spans="1:24" x14ac:dyDescent="0.3">
      <c r="A3047" t="s">
        <v>313</v>
      </c>
      <c r="B3047" t="s">
        <v>314</v>
      </c>
      <c r="C3047" t="s">
        <v>57</v>
      </c>
      <c r="D3047" t="s">
        <v>58</v>
      </c>
      <c r="E3047" t="s">
        <v>66</v>
      </c>
      <c r="F3047" s="1" t="s">
        <v>50</v>
      </c>
      <c r="G3047" s="2">
        <v>1.31</v>
      </c>
      <c r="H3047">
        <v>1.31</v>
      </c>
      <c r="I3047">
        <v>1.3070809999999999</v>
      </c>
      <c r="J3047">
        <v>1.86</v>
      </c>
      <c r="K3047">
        <v>49</v>
      </c>
      <c r="M3047">
        <v>0</v>
      </c>
      <c r="N3047" s="2">
        <v>1223</v>
      </c>
      <c r="O3047">
        <v>1598.56</v>
      </c>
      <c r="P3047">
        <v>74</v>
      </c>
      <c r="Q3047">
        <v>1149</v>
      </c>
      <c r="R3047">
        <v>16.579999999999998</v>
      </c>
      <c r="S3047">
        <v>0</v>
      </c>
      <c r="T3047">
        <v>261</v>
      </c>
      <c r="U3047" s="2">
        <v>485.46</v>
      </c>
      <c r="V3047">
        <v>0</v>
      </c>
      <c r="W3047" t="s">
        <v>29</v>
      </c>
      <c r="X3047" t="str">
        <f>IF(Table2[[#This Row],[Qty available]]&gt;Table2[[#This Row],[Qty on hand]],"Check","OK")</f>
        <v>OK</v>
      </c>
    </row>
    <row r="3048" spans="1:24" x14ac:dyDescent="0.3">
      <c r="A3048" t="s">
        <v>313</v>
      </c>
      <c r="B3048" t="s">
        <v>314</v>
      </c>
      <c r="C3048" t="s">
        <v>57</v>
      </c>
      <c r="D3048" t="s">
        <v>58</v>
      </c>
      <c r="E3048" t="s">
        <v>66</v>
      </c>
      <c r="F3048" s="1" t="s">
        <v>51</v>
      </c>
      <c r="G3048" s="2">
        <v>1.31</v>
      </c>
      <c r="H3048">
        <v>1.31</v>
      </c>
      <c r="I3048">
        <v>1.308165</v>
      </c>
      <c r="J3048">
        <v>1.86</v>
      </c>
      <c r="K3048">
        <v>49</v>
      </c>
      <c r="L3048" s="2">
        <v>42</v>
      </c>
      <c r="M3048">
        <v>720</v>
      </c>
      <c r="N3048" s="2">
        <v>1564</v>
      </c>
      <c r="O3048">
        <v>2045.97</v>
      </c>
      <c r="P3048">
        <v>25</v>
      </c>
      <c r="Q3048">
        <v>1539</v>
      </c>
      <c r="R3048">
        <v>25.41</v>
      </c>
      <c r="S3048">
        <v>2</v>
      </c>
      <c r="T3048">
        <v>379</v>
      </c>
      <c r="U3048" s="2">
        <v>704.94</v>
      </c>
      <c r="V3048">
        <v>0</v>
      </c>
      <c r="W3048" t="s">
        <v>29</v>
      </c>
      <c r="X3048" t="str">
        <f>IF(Table2[[#This Row],[Qty available]]&gt;Table2[[#This Row],[Qty on hand]],"Check","OK")</f>
        <v>OK</v>
      </c>
    </row>
    <row r="3049" spans="1:24" x14ac:dyDescent="0.3">
      <c r="A3049" t="s">
        <v>313</v>
      </c>
      <c r="B3049" t="s">
        <v>314</v>
      </c>
      <c r="C3049" t="s">
        <v>57</v>
      </c>
      <c r="D3049" t="s">
        <v>58</v>
      </c>
      <c r="E3049" t="s">
        <v>66</v>
      </c>
      <c r="F3049" s="1" t="s">
        <v>52</v>
      </c>
      <c r="G3049" s="2">
        <v>1.33</v>
      </c>
      <c r="H3049">
        <v>1.33</v>
      </c>
      <c r="I3049">
        <v>1.3081670000000001</v>
      </c>
      <c r="J3049">
        <v>1.86</v>
      </c>
      <c r="K3049">
        <v>49</v>
      </c>
      <c r="M3049">
        <v>0</v>
      </c>
      <c r="N3049" s="2">
        <v>1162</v>
      </c>
      <c r="O3049">
        <v>1520.09</v>
      </c>
      <c r="P3049">
        <v>62</v>
      </c>
      <c r="Q3049">
        <v>1100</v>
      </c>
      <c r="R3049">
        <v>14.66</v>
      </c>
      <c r="S3049">
        <v>0</v>
      </c>
      <c r="T3049">
        <v>402</v>
      </c>
      <c r="U3049" s="2">
        <v>747.72</v>
      </c>
      <c r="V3049">
        <v>0</v>
      </c>
      <c r="W3049" t="s">
        <v>29</v>
      </c>
      <c r="X3049" t="str">
        <f>IF(Table2[[#This Row],[Qty available]]&gt;Table2[[#This Row],[Qty on hand]],"Check","OK")</f>
        <v>OK</v>
      </c>
    </row>
    <row r="3050" spans="1:24" x14ac:dyDescent="0.3">
      <c r="A3050" t="s">
        <v>315</v>
      </c>
      <c r="B3050" t="s">
        <v>316</v>
      </c>
      <c r="C3050" t="s">
        <v>57</v>
      </c>
      <c r="D3050" t="s">
        <v>58</v>
      </c>
      <c r="E3050" t="s">
        <v>27</v>
      </c>
      <c r="F3050" s="1" t="s">
        <v>28</v>
      </c>
      <c r="G3050" s="2">
        <v>506.67</v>
      </c>
      <c r="H3050">
        <v>546.85</v>
      </c>
      <c r="I3050">
        <v>552.53260299999999</v>
      </c>
      <c r="J3050">
        <v>740.03</v>
      </c>
      <c r="K3050">
        <v>44</v>
      </c>
      <c r="L3050" s="2">
        <v>58</v>
      </c>
      <c r="M3050">
        <v>5</v>
      </c>
      <c r="N3050" s="2">
        <v>73</v>
      </c>
      <c r="O3050">
        <v>40334.879999999997</v>
      </c>
      <c r="P3050">
        <v>11</v>
      </c>
      <c r="Q3050">
        <v>62</v>
      </c>
      <c r="R3050">
        <v>9.23</v>
      </c>
      <c r="S3050">
        <v>4</v>
      </c>
      <c r="T3050">
        <v>32</v>
      </c>
      <c r="U3050" s="2">
        <v>23680.959999999999</v>
      </c>
      <c r="V3050">
        <v>0</v>
      </c>
      <c r="W3050" t="s">
        <v>29</v>
      </c>
      <c r="X3050" t="str">
        <f>IF(Table2[[#This Row],[Qty available]]&gt;Table2[[#This Row],[Qty on hand]],"Check","OK")</f>
        <v>OK</v>
      </c>
    </row>
    <row r="3051" spans="1:24" x14ac:dyDescent="0.3">
      <c r="A3051" t="s">
        <v>315</v>
      </c>
      <c r="B3051" t="s">
        <v>316</v>
      </c>
      <c r="C3051" t="s">
        <v>57</v>
      </c>
      <c r="D3051" t="s">
        <v>58</v>
      </c>
      <c r="E3051" t="s">
        <v>27</v>
      </c>
      <c r="F3051" s="1" t="s">
        <v>30</v>
      </c>
      <c r="G3051" s="2">
        <v>503.64</v>
      </c>
      <c r="H3051">
        <v>543.58000000000004</v>
      </c>
      <c r="I3051">
        <v>548.35031700000002</v>
      </c>
      <c r="J3051">
        <v>740.03</v>
      </c>
      <c r="K3051">
        <v>44</v>
      </c>
      <c r="L3051" s="2">
        <v>43</v>
      </c>
      <c r="M3051">
        <v>64</v>
      </c>
      <c r="N3051" s="2">
        <v>63</v>
      </c>
      <c r="O3051">
        <v>34546.07</v>
      </c>
      <c r="P3051">
        <v>9</v>
      </c>
      <c r="Q3051">
        <v>54</v>
      </c>
      <c r="R3051">
        <v>6</v>
      </c>
      <c r="S3051">
        <v>0</v>
      </c>
      <c r="T3051">
        <v>74</v>
      </c>
      <c r="U3051" s="2">
        <v>54762.22</v>
      </c>
      <c r="V3051">
        <v>0</v>
      </c>
      <c r="W3051" t="s">
        <v>29</v>
      </c>
      <c r="X3051" t="str">
        <f>IF(Table2[[#This Row],[Qty available]]&gt;Table2[[#This Row],[Qty on hand]],"Check","OK")</f>
        <v>OK</v>
      </c>
    </row>
    <row r="3052" spans="1:24" x14ac:dyDescent="0.3">
      <c r="A3052" t="s">
        <v>315</v>
      </c>
      <c r="B3052" t="s">
        <v>316</v>
      </c>
      <c r="C3052" t="s">
        <v>57</v>
      </c>
      <c r="D3052" t="s">
        <v>58</v>
      </c>
      <c r="E3052" t="s">
        <v>27</v>
      </c>
      <c r="F3052" s="1" t="s">
        <v>31</v>
      </c>
      <c r="G3052" s="2">
        <v>503.23</v>
      </c>
      <c r="H3052">
        <v>543.14</v>
      </c>
      <c r="I3052">
        <v>547.19255799999996</v>
      </c>
      <c r="J3052">
        <v>740.03</v>
      </c>
      <c r="K3052">
        <v>44</v>
      </c>
      <c r="L3052" s="2">
        <v>43</v>
      </c>
      <c r="M3052">
        <v>18</v>
      </c>
      <c r="N3052" s="2">
        <v>43</v>
      </c>
      <c r="O3052">
        <v>23529.279999999999</v>
      </c>
      <c r="P3052">
        <v>9</v>
      </c>
      <c r="Q3052">
        <v>34</v>
      </c>
      <c r="R3052">
        <v>3.88</v>
      </c>
      <c r="S3052">
        <v>3</v>
      </c>
      <c r="T3052">
        <v>38</v>
      </c>
      <c r="U3052" s="2">
        <v>28121.14</v>
      </c>
      <c r="V3052">
        <v>0</v>
      </c>
      <c r="W3052" t="s">
        <v>29</v>
      </c>
      <c r="X3052" t="str">
        <f>IF(Table2[[#This Row],[Qty available]]&gt;Table2[[#This Row],[Qty on hand]],"Check","OK")</f>
        <v>OK</v>
      </c>
    </row>
    <row r="3053" spans="1:24" x14ac:dyDescent="0.3">
      <c r="A3053" t="s">
        <v>315</v>
      </c>
      <c r="B3053" t="s">
        <v>316</v>
      </c>
      <c r="C3053" t="s">
        <v>57</v>
      </c>
      <c r="D3053" t="s">
        <v>58</v>
      </c>
      <c r="E3053" t="s">
        <v>27</v>
      </c>
      <c r="F3053" s="1" t="s">
        <v>32</v>
      </c>
      <c r="G3053" s="2">
        <v>502.83</v>
      </c>
      <c r="H3053">
        <v>542.70000000000005</v>
      </c>
      <c r="I3053">
        <v>543.89247899999998</v>
      </c>
      <c r="J3053">
        <v>740.03</v>
      </c>
      <c r="K3053">
        <v>44</v>
      </c>
      <c r="L3053" s="2">
        <v>40</v>
      </c>
      <c r="M3053">
        <v>119</v>
      </c>
      <c r="N3053" s="2">
        <v>121</v>
      </c>
      <c r="O3053">
        <v>65810.990000000005</v>
      </c>
      <c r="P3053">
        <v>5</v>
      </c>
      <c r="Q3053">
        <v>116</v>
      </c>
      <c r="R3053">
        <v>10.39</v>
      </c>
      <c r="S3053">
        <v>0</v>
      </c>
      <c r="T3053">
        <v>41</v>
      </c>
      <c r="U3053" s="2">
        <v>30341.23</v>
      </c>
      <c r="V3053">
        <v>0</v>
      </c>
      <c r="W3053" t="s">
        <v>29</v>
      </c>
      <c r="X3053" t="str">
        <f>IF(Table2[[#This Row],[Qty available]]&gt;Table2[[#This Row],[Qty on hand]],"Check","OK")</f>
        <v>OK</v>
      </c>
    </row>
    <row r="3054" spans="1:24" x14ac:dyDescent="0.3">
      <c r="A3054" t="s">
        <v>315</v>
      </c>
      <c r="B3054" t="s">
        <v>316</v>
      </c>
      <c r="C3054" t="s">
        <v>57</v>
      </c>
      <c r="D3054" t="s">
        <v>58</v>
      </c>
      <c r="E3054" t="s">
        <v>27</v>
      </c>
      <c r="F3054" s="1" t="s">
        <v>33</v>
      </c>
      <c r="G3054" s="2">
        <v>516.82000000000005</v>
      </c>
      <c r="H3054">
        <v>557.79999999999995</v>
      </c>
      <c r="I3054">
        <v>547.72328700000003</v>
      </c>
      <c r="J3054">
        <v>740.03</v>
      </c>
      <c r="K3054">
        <v>44</v>
      </c>
      <c r="L3054" s="2">
        <v>43</v>
      </c>
      <c r="M3054">
        <v>46</v>
      </c>
      <c r="N3054" s="2">
        <v>143</v>
      </c>
      <c r="O3054">
        <v>78324.429999999993</v>
      </c>
      <c r="P3054">
        <v>8</v>
      </c>
      <c r="Q3054">
        <v>135</v>
      </c>
      <c r="R3054">
        <v>18.25</v>
      </c>
      <c r="S3054">
        <v>14</v>
      </c>
      <c r="T3054">
        <v>24</v>
      </c>
      <c r="U3054" s="2">
        <v>17760.72</v>
      </c>
      <c r="V3054">
        <v>0</v>
      </c>
      <c r="W3054" t="s">
        <v>29</v>
      </c>
      <c r="X3054" t="str">
        <f>IF(Table2[[#This Row],[Qty available]]&gt;Table2[[#This Row],[Qty on hand]],"Check","OK")</f>
        <v>OK</v>
      </c>
    </row>
    <row r="3055" spans="1:24" x14ac:dyDescent="0.3">
      <c r="A3055" t="s">
        <v>315</v>
      </c>
      <c r="B3055" t="s">
        <v>316</v>
      </c>
      <c r="C3055" t="s">
        <v>57</v>
      </c>
      <c r="D3055" t="s">
        <v>58</v>
      </c>
      <c r="E3055" t="s">
        <v>27</v>
      </c>
      <c r="F3055" s="1" t="s">
        <v>34</v>
      </c>
      <c r="G3055" s="2">
        <v>528.14</v>
      </c>
      <c r="H3055">
        <v>570.02</v>
      </c>
      <c r="I3055">
        <v>547.723298</v>
      </c>
      <c r="J3055">
        <v>779.35</v>
      </c>
      <c r="K3055">
        <v>44</v>
      </c>
      <c r="M3055">
        <v>0</v>
      </c>
      <c r="N3055" s="2">
        <v>94</v>
      </c>
      <c r="O3055">
        <v>51485.99</v>
      </c>
      <c r="P3055">
        <v>11</v>
      </c>
      <c r="Q3055">
        <v>83</v>
      </c>
      <c r="R3055">
        <v>10.6</v>
      </c>
      <c r="S3055">
        <v>0</v>
      </c>
      <c r="T3055">
        <v>49</v>
      </c>
      <c r="U3055" s="2">
        <v>38188.15</v>
      </c>
      <c r="V3055">
        <v>0</v>
      </c>
      <c r="W3055" t="s">
        <v>29</v>
      </c>
      <c r="X3055" t="str">
        <f>IF(Table2[[#This Row],[Qty available]]&gt;Table2[[#This Row],[Qty on hand]],"Check","OK")</f>
        <v>OK</v>
      </c>
    </row>
    <row r="3056" spans="1:24" x14ac:dyDescent="0.3">
      <c r="A3056" t="s">
        <v>315</v>
      </c>
      <c r="B3056" t="s">
        <v>316</v>
      </c>
      <c r="C3056" t="s">
        <v>57</v>
      </c>
      <c r="D3056" t="s">
        <v>58</v>
      </c>
      <c r="E3056" t="s">
        <v>27</v>
      </c>
      <c r="F3056" s="1" t="s">
        <v>35</v>
      </c>
      <c r="G3056" s="2">
        <v>526.88</v>
      </c>
      <c r="H3056">
        <v>568.66</v>
      </c>
      <c r="I3056">
        <v>547.72328600000003</v>
      </c>
      <c r="J3056">
        <v>779.35</v>
      </c>
      <c r="K3056">
        <v>44</v>
      </c>
      <c r="M3056">
        <v>0</v>
      </c>
      <c r="N3056" s="2">
        <v>70</v>
      </c>
      <c r="O3056">
        <v>38340.629999999997</v>
      </c>
      <c r="P3056">
        <v>6</v>
      </c>
      <c r="Q3056">
        <v>64</v>
      </c>
      <c r="R3056">
        <v>9.2799999999999994</v>
      </c>
      <c r="S3056">
        <v>3</v>
      </c>
      <c r="T3056">
        <v>24</v>
      </c>
      <c r="U3056" s="2">
        <v>18704.400000000001</v>
      </c>
      <c r="V3056">
        <v>0</v>
      </c>
      <c r="W3056" t="s">
        <v>29</v>
      </c>
      <c r="X3056" t="str">
        <f>IF(Table2[[#This Row],[Qty available]]&gt;Table2[[#This Row],[Qty on hand]],"Check","OK")</f>
        <v>OK</v>
      </c>
    </row>
    <row r="3057" spans="1:24" x14ac:dyDescent="0.3">
      <c r="A3057" t="s">
        <v>315</v>
      </c>
      <c r="B3057" t="s">
        <v>316</v>
      </c>
      <c r="C3057" t="s">
        <v>57</v>
      </c>
      <c r="D3057" t="s">
        <v>58</v>
      </c>
      <c r="E3057" t="s">
        <v>27</v>
      </c>
      <c r="F3057" s="1" t="s">
        <v>36</v>
      </c>
      <c r="G3057" s="2">
        <v>533.79</v>
      </c>
      <c r="H3057">
        <v>576.12</v>
      </c>
      <c r="I3057">
        <v>559.41611899999998</v>
      </c>
      <c r="J3057">
        <v>779.35</v>
      </c>
      <c r="K3057">
        <v>44</v>
      </c>
      <c r="L3057" s="2">
        <v>40</v>
      </c>
      <c r="M3057">
        <v>49</v>
      </c>
      <c r="N3057" s="2">
        <v>67</v>
      </c>
      <c r="O3057">
        <v>37480.879999999997</v>
      </c>
      <c r="P3057">
        <v>3</v>
      </c>
      <c r="Q3057">
        <v>64</v>
      </c>
      <c r="R3057">
        <v>6.81</v>
      </c>
      <c r="S3057">
        <v>1</v>
      </c>
      <c r="T3057">
        <v>52</v>
      </c>
      <c r="U3057" s="2">
        <v>40526.199999999997</v>
      </c>
      <c r="V3057">
        <v>0</v>
      </c>
      <c r="W3057" t="s">
        <v>29</v>
      </c>
      <c r="X3057" t="str">
        <f>IF(Table2[[#This Row],[Qty available]]&gt;Table2[[#This Row],[Qty on hand]],"Check","OK")</f>
        <v>OK</v>
      </c>
    </row>
    <row r="3058" spans="1:24" x14ac:dyDescent="0.3">
      <c r="A3058" t="s">
        <v>315</v>
      </c>
      <c r="B3058" t="s">
        <v>316</v>
      </c>
      <c r="C3058" t="s">
        <v>57</v>
      </c>
      <c r="D3058" t="s">
        <v>58</v>
      </c>
      <c r="E3058" t="s">
        <v>27</v>
      </c>
      <c r="F3058" s="1" t="s">
        <v>37</v>
      </c>
      <c r="G3058" s="2">
        <v>526.91</v>
      </c>
      <c r="H3058">
        <v>568.69000000000005</v>
      </c>
      <c r="I3058">
        <v>559.41600000000005</v>
      </c>
      <c r="J3058">
        <v>779.35</v>
      </c>
      <c r="K3058">
        <v>44</v>
      </c>
      <c r="M3058">
        <v>0</v>
      </c>
      <c r="N3058" s="2">
        <v>25</v>
      </c>
      <c r="O3058">
        <v>13985.4</v>
      </c>
      <c r="P3058">
        <v>12</v>
      </c>
      <c r="Q3058">
        <v>13</v>
      </c>
      <c r="R3058">
        <v>2.78</v>
      </c>
      <c r="S3058">
        <v>4</v>
      </c>
      <c r="T3058">
        <v>42</v>
      </c>
      <c r="U3058" s="2">
        <v>32732.7</v>
      </c>
      <c r="V3058">
        <v>0</v>
      </c>
      <c r="W3058" t="s">
        <v>29</v>
      </c>
      <c r="X3058" t="str">
        <f>IF(Table2[[#This Row],[Qty available]]&gt;Table2[[#This Row],[Qty on hand]],"Check","OK")</f>
        <v>OK</v>
      </c>
    </row>
    <row r="3059" spans="1:24" x14ac:dyDescent="0.3">
      <c r="A3059" t="s">
        <v>315</v>
      </c>
      <c r="B3059" t="s">
        <v>316</v>
      </c>
      <c r="C3059" t="s">
        <v>57</v>
      </c>
      <c r="D3059" t="s">
        <v>58</v>
      </c>
      <c r="E3059" t="s">
        <v>27</v>
      </c>
      <c r="F3059" s="1" t="s">
        <v>38</v>
      </c>
      <c r="G3059" s="2">
        <v>519.05999999999995</v>
      </c>
      <c r="H3059">
        <v>560.22</v>
      </c>
      <c r="I3059">
        <v>559.41600000000005</v>
      </c>
      <c r="J3059">
        <v>779.35</v>
      </c>
      <c r="K3059">
        <v>44</v>
      </c>
      <c r="M3059">
        <v>0</v>
      </c>
      <c r="N3059" s="2">
        <v>0</v>
      </c>
      <c r="O3059">
        <v>0</v>
      </c>
      <c r="P3059">
        <v>0</v>
      </c>
      <c r="Q3059">
        <v>0</v>
      </c>
      <c r="R3059">
        <v>0</v>
      </c>
      <c r="S3059">
        <v>5</v>
      </c>
      <c r="T3059">
        <v>25</v>
      </c>
      <c r="U3059" s="2">
        <v>19483.75</v>
      </c>
      <c r="V3059">
        <v>19</v>
      </c>
      <c r="W3059" t="s">
        <v>59</v>
      </c>
      <c r="X3059" t="str">
        <f>IF(Table2[[#This Row],[Qty available]]&gt;Table2[[#This Row],[Qty on hand]],"Check","OK")</f>
        <v>OK</v>
      </c>
    </row>
    <row r="3060" spans="1:24" x14ac:dyDescent="0.3">
      <c r="A3060" t="s">
        <v>315</v>
      </c>
      <c r="B3060" t="s">
        <v>316</v>
      </c>
      <c r="C3060" t="s">
        <v>57</v>
      </c>
      <c r="D3060" t="s">
        <v>58</v>
      </c>
      <c r="E3060" t="s">
        <v>27</v>
      </c>
      <c r="F3060" s="1" t="s">
        <v>39</v>
      </c>
      <c r="G3060" s="2">
        <v>536.91</v>
      </c>
      <c r="H3060">
        <v>579.49</v>
      </c>
      <c r="I3060">
        <v>579.49</v>
      </c>
      <c r="J3060">
        <v>779.35</v>
      </c>
      <c r="K3060">
        <v>44</v>
      </c>
      <c r="L3060" s="2">
        <v>72</v>
      </c>
      <c r="M3060">
        <v>45</v>
      </c>
      <c r="N3060" s="2">
        <v>18</v>
      </c>
      <c r="O3060">
        <v>10430.82</v>
      </c>
      <c r="P3060">
        <v>12</v>
      </c>
      <c r="Q3060">
        <v>6</v>
      </c>
      <c r="R3060">
        <v>2.52</v>
      </c>
      <c r="S3060">
        <v>4</v>
      </c>
      <c r="T3060">
        <v>27</v>
      </c>
      <c r="U3060" s="2">
        <v>21042.45</v>
      </c>
      <c r="V3060">
        <v>0</v>
      </c>
      <c r="W3060" t="s">
        <v>29</v>
      </c>
      <c r="X3060" t="str">
        <f>IF(Table2[[#This Row],[Qty available]]&gt;Table2[[#This Row],[Qty on hand]],"Check","OK")</f>
        <v>OK</v>
      </c>
    </row>
    <row r="3061" spans="1:24" x14ac:dyDescent="0.3">
      <c r="A3061" t="s">
        <v>315</v>
      </c>
      <c r="B3061" t="s">
        <v>316</v>
      </c>
      <c r="C3061" t="s">
        <v>57</v>
      </c>
      <c r="D3061" t="s">
        <v>58</v>
      </c>
      <c r="E3061" t="s">
        <v>27</v>
      </c>
      <c r="F3061" s="1" t="s">
        <v>40</v>
      </c>
      <c r="G3061" s="2">
        <v>517.20000000000005</v>
      </c>
      <c r="H3061">
        <v>558.21</v>
      </c>
      <c r="I3061">
        <v>560.90744199999995</v>
      </c>
      <c r="J3061">
        <v>779.35</v>
      </c>
      <c r="K3061">
        <v>44</v>
      </c>
      <c r="L3061" s="2">
        <v>70</v>
      </c>
      <c r="M3061">
        <v>124</v>
      </c>
      <c r="N3061" s="2">
        <v>86</v>
      </c>
      <c r="O3061">
        <v>48238.04</v>
      </c>
      <c r="P3061">
        <v>12</v>
      </c>
      <c r="Q3061">
        <v>74</v>
      </c>
      <c r="R3061">
        <v>10.47</v>
      </c>
      <c r="S3061">
        <v>2</v>
      </c>
      <c r="T3061">
        <v>56</v>
      </c>
      <c r="U3061" s="2">
        <v>43643.6</v>
      </c>
      <c r="V3061">
        <v>0</v>
      </c>
      <c r="W3061" t="s">
        <v>29</v>
      </c>
      <c r="X3061" t="str">
        <f>IF(Table2[[#This Row],[Qty available]]&gt;Table2[[#This Row],[Qty on hand]],"Check","OK")</f>
        <v>OK</v>
      </c>
    </row>
    <row r="3062" spans="1:24" x14ac:dyDescent="0.3">
      <c r="A3062" t="s">
        <v>315</v>
      </c>
      <c r="B3062" t="s">
        <v>316</v>
      </c>
      <c r="C3062" t="s">
        <v>57</v>
      </c>
      <c r="D3062" t="s">
        <v>58</v>
      </c>
      <c r="E3062" t="s">
        <v>27</v>
      </c>
      <c r="F3062" s="1" t="s">
        <v>41</v>
      </c>
      <c r="G3062" s="2">
        <v>517.46</v>
      </c>
      <c r="H3062">
        <v>558.49</v>
      </c>
      <c r="I3062">
        <v>560.90733299999999</v>
      </c>
      <c r="J3062">
        <v>779.35</v>
      </c>
      <c r="K3062">
        <v>44</v>
      </c>
      <c r="M3062">
        <v>0</v>
      </c>
      <c r="N3062" s="2">
        <v>45</v>
      </c>
      <c r="O3062">
        <v>25240.83</v>
      </c>
      <c r="P3062">
        <v>14</v>
      </c>
      <c r="Q3062">
        <v>31</v>
      </c>
      <c r="R3062">
        <v>4.7699999999999996</v>
      </c>
      <c r="S3062">
        <v>3</v>
      </c>
      <c r="T3062">
        <v>41</v>
      </c>
      <c r="U3062" s="2">
        <v>31953.35</v>
      </c>
      <c r="V3062">
        <v>0</v>
      </c>
      <c r="W3062" t="s">
        <v>29</v>
      </c>
      <c r="X3062" t="str">
        <f>IF(Table2[[#This Row],[Qty available]]&gt;Table2[[#This Row],[Qty on hand]],"Check","OK")</f>
        <v>OK</v>
      </c>
    </row>
    <row r="3063" spans="1:24" x14ac:dyDescent="0.3">
      <c r="A3063" t="s">
        <v>315</v>
      </c>
      <c r="B3063" t="s">
        <v>316</v>
      </c>
      <c r="C3063" t="s">
        <v>57</v>
      </c>
      <c r="D3063" t="s">
        <v>58</v>
      </c>
      <c r="E3063" t="s">
        <v>27</v>
      </c>
      <c r="F3063" s="1" t="s">
        <v>42</v>
      </c>
      <c r="G3063" s="2">
        <v>530.79999999999995</v>
      </c>
      <c r="H3063">
        <v>572.89</v>
      </c>
      <c r="I3063">
        <v>560.90733299999999</v>
      </c>
      <c r="J3063">
        <v>779.35</v>
      </c>
      <c r="K3063">
        <v>44</v>
      </c>
      <c r="M3063">
        <v>0</v>
      </c>
      <c r="N3063" s="2">
        <v>0</v>
      </c>
      <c r="O3063">
        <v>0</v>
      </c>
      <c r="P3063">
        <v>0</v>
      </c>
      <c r="Q3063">
        <v>0</v>
      </c>
      <c r="R3063">
        <v>0</v>
      </c>
      <c r="S3063">
        <v>2</v>
      </c>
      <c r="T3063">
        <v>45</v>
      </c>
      <c r="U3063" s="2">
        <v>35070.75</v>
      </c>
      <c r="V3063">
        <v>34</v>
      </c>
      <c r="W3063" t="s">
        <v>59</v>
      </c>
      <c r="X3063" t="str">
        <f>IF(Table2[[#This Row],[Qty available]]&gt;Table2[[#This Row],[Qty on hand]],"Check","OK")</f>
        <v>OK</v>
      </c>
    </row>
    <row r="3064" spans="1:24" x14ac:dyDescent="0.3">
      <c r="A3064" t="s">
        <v>315</v>
      </c>
      <c r="B3064" t="s">
        <v>316</v>
      </c>
      <c r="C3064" t="s">
        <v>57</v>
      </c>
      <c r="D3064" t="s">
        <v>58</v>
      </c>
      <c r="E3064" t="s">
        <v>27</v>
      </c>
      <c r="F3064" s="1" t="s">
        <v>43</v>
      </c>
      <c r="G3064" s="2">
        <v>516.91999999999996</v>
      </c>
      <c r="H3064">
        <v>557.91</v>
      </c>
      <c r="I3064">
        <v>557.91</v>
      </c>
      <c r="J3064">
        <v>779.35</v>
      </c>
      <c r="K3064">
        <v>44</v>
      </c>
      <c r="L3064" s="2">
        <v>71</v>
      </c>
      <c r="M3064">
        <v>68</v>
      </c>
      <c r="N3064" s="2">
        <v>10</v>
      </c>
      <c r="O3064">
        <v>5579.1</v>
      </c>
      <c r="P3064">
        <v>3</v>
      </c>
      <c r="Q3064">
        <v>7</v>
      </c>
      <c r="R3064">
        <v>0.9</v>
      </c>
      <c r="S3064">
        <v>0</v>
      </c>
      <c r="T3064">
        <v>58</v>
      </c>
      <c r="U3064" s="2">
        <v>45202.3</v>
      </c>
      <c r="V3064">
        <v>0</v>
      </c>
      <c r="W3064" t="s">
        <v>29</v>
      </c>
      <c r="X3064" t="str">
        <f>IF(Table2[[#This Row],[Qty available]]&gt;Table2[[#This Row],[Qty on hand]],"Check","OK")</f>
        <v>OK</v>
      </c>
    </row>
    <row r="3065" spans="1:24" x14ac:dyDescent="0.3">
      <c r="A3065" t="s">
        <v>315</v>
      </c>
      <c r="B3065" t="s">
        <v>316</v>
      </c>
      <c r="C3065" t="s">
        <v>57</v>
      </c>
      <c r="D3065" t="s">
        <v>58</v>
      </c>
      <c r="E3065" t="s">
        <v>27</v>
      </c>
      <c r="F3065" s="1" t="s">
        <v>44</v>
      </c>
      <c r="G3065" s="2">
        <v>524.52</v>
      </c>
      <c r="H3065">
        <v>566.11</v>
      </c>
      <c r="I3065">
        <v>565.13374999999996</v>
      </c>
      <c r="J3065">
        <v>779.35</v>
      </c>
      <c r="K3065">
        <v>44</v>
      </c>
      <c r="L3065" s="2">
        <v>41</v>
      </c>
      <c r="M3065">
        <v>74</v>
      </c>
      <c r="N3065" s="2">
        <v>24</v>
      </c>
      <c r="O3065">
        <v>13563.21</v>
      </c>
      <c r="P3065">
        <v>11</v>
      </c>
      <c r="Q3065">
        <v>13</v>
      </c>
      <c r="R3065">
        <v>1.94</v>
      </c>
      <c r="S3065">
        <v>2</v>
      </c>
      <c r="T3065">
        <v>60</v>
      </c>
      <c r="U3065" s="2">
        <v>46761</v>
      </c>
      <c r="V3065">
        <v>0</v>
      </c>
      <c r="W3065" t="s">
        <v>29</v>
      </c>
      <c r="X3065" t="str">
        <f>IF(Table2[[#This Row],[Qty available]]&gt;Table2[[#This Row],[Qty on hand]],"Check","OK")</f>
        <v>OK</v>
      </c>
    </row>
    <row r="3066" spans="1:24" x14ac:dyDescent="0.3">
      <c r="A3066" t="s">
        <v>315</v>
      </c>
      <c r="B3066" t="s">
        <v>316</v>
      </c>
      <c r="C3066" t="s">
        <v>57</v>
      </c>
      <c r="D3066" t="s">
        <v>58</v>
      </c>
      <c r="E3066" t="s">
        <v>27</v>
      </c>
      <c r="F3066" s="1" t="s">
        <v>45</v>
      </c>
      <c r="G3066" s="2">
        <v>557.42999999999995</v>
      </c>
      <c r="H3066">
        <v>601.63</v>
      </c>
      <c r="I3066">
        <v>592.00465099999997</v>
      </c>
      <c r="J3066">
        <v>779.35</v>
      </c>
      <c r="K3066">
        <v>44</v>
      </c>
      <c r="L3066" s="2">
        <v>43</v>
      </c>
      <c r="M3066">
        <v>67</v>
      </c>
      <c r="N3066" s="2">
        <v>43</v>
      </c>
      <c r="O3066">
        <v>25456.2</v>
      </c>
      <c r="P3066">
        <v>9</v>
      </c>
      <c r="Q3066">
        <v>34</v>
      </c>
      <c r="R3066">
        <v>3.4</v>
      </c>
      <c r="S3066">
        <v>2</v>
      </c>
      <c r="T3066">
        <v>48</v>
      </c>
      <c r="U3066" s="2">
        <v>37408.800000000003</v>
      </c>
      <c r="V3066">
        <v>0</v>
      </c>
      <c r="W3066" t="s">
        <v>29</v>
      </c>
      <c r="X3066" t="str">
        <f>IF(Table2[[#This Row],[Qty available]]&gt;Table2[[#This Row],[Qty on hand]],"Check","OK")</f>
        <v>OK</v>
      </c>
    </row>
    <row r="3067" spans="1:24" x14ac:dyDescent="0.3">
      <c r="A3067" t="s">
        <v>315</v>
      </c>
      <c r="B3067" t="s">
        <v>316</v>
      </c>
      <c r="C3067" t="s">
        <v>57</v>
      </c>
      <c r="D3067" t="s">
        <v>58</v>
      </c>
      <c r="E3067" t="s">
        <v>27</v>
      </c>
      <c r="F3067" s="1" t="s">
        <v>46</v>
      </c>
      <c r="G3067" s="2">
        <v>557</v>
      </c>
      <c r="H3067">
        <v>601.16999999999996</v>
      </c>
      <c r="I3067">
        <v>598.59414600000002</v>
      </c>
      <c r="J3067">
        <v>820.76</v>
      </c>
      <c r="K3067">
        <v>44</v>
      </c>
      <c r="L3067" s="2">
        <v>43</v>
      </c>
      <c r="M3067">
        <v>110</v>
      </c>
      <c r="N3067" s="2">
        <v>123</v>
      </c>
      <c r="O3067">
        <v>73627.08</v>
      </c>
      <c r="P3067">
        <v>14</v>
      </c>
      <c r="Q3067">
        <v>109</v>
      </c>
      <c r="R3067">
        <v>11.46</v>
      </c>
      <c r="S3067">
        <v>0</v>
      </c>
      <c r="T3067">
        <v>30</v>
      </c>
      <c r="U3067" s="2">
        <v>24622.799999999999</v>
      </c>
      <c r="V3067">
        <v>0</v>
      </c>
      <c r="W3067" t="s">
        <v>29</v>
      </c>
      <c r="X3067" t="str">
        <f>IF(Table2[[#This Row],[Qty available]]&gt;Table2[[#This Row],[Qty on hand]],"Check","OK")</f>
        <v>OK</v>
      </c>
    </row>
    <row r="3068" spans="1:24" x14ac:dyDescent="0.3">
      <c r="A3068" t="s">
        <v>315</v>
      </c>
      <c r="B3068" t="s">
        <v>316</v>
      </c>
      <c r="C3068" t="s">
        <v>57</v>
      </c>
      <c r="D3068" t="s">
        <v>58</v>
      </c>
      <c r="E3068" t="s">
        <v>27</v>
      </c>
      <c r="F3068" s="1" t="s">
        <v>47</v>
      </c>
      <c r="G3068" s="2">
        <v>555.44000000000005</v>
      </c>
      <c r="H3068">
        <v>599.49</v>
      </c>
      <c r="I3068">
        <v>598.83797600000003</v>
      </c>
      <c r="J3068">
        <v>820.76</v>
      </c>
      <c r="K3068">
        <v>44</v>
      </c>
      <c r="L3068" s="2">
        <v>44</v>
      </c>
      <c r="M3068">
        <v>46</v>
      </c>
      <c r="N3068" s="2">
        <v>84</v>
      </c>
      <c r="O3068">
        <v>50302.39</v>
      </c>
      <c r="P3068">
        <v>14</v>
      </c>
      <c r="Q3068">
        <v>70</v>
      </c>
      <c r="R3068">
        <v>6.63</v>
      </c>
      <c r="S3068">
        <v>7</v>
      </c>
      <c r="T3068">
        <v>85</v>
      </c>
      <c r="U3068" s="2">
        <v>69764.600000000006</v>
      </c>
      <c r="V3068">
        <v>0</v>
      </c>
      <c r="W3068" t="s">
        <v>29</v>
      </c>
      <c r="X3068" t="str">
        <f>IF(Table2[[#This Row],[Qty available]]&gt;Table2[[#This Row],[Qty on hand]],"Check","OK")</f>
        <v>OK</v>
      </c>
    </row>
    <row r="3069" spans="1:24" x14ac:dyDescent="0.3">
      <c r="A3069" t="s">
        <v>315</v>
      </c>
      <c r="B3069" t="s">
        <v>316</v>
      </c>
      <c r="C3069" t="s">
        <v>57</v>
      </c>
      <c r="D3069" t="s">
        <v>58</v>
      </c>
      <c r="E3069" t="s">
        <v>27</v>
      </c>
      <c r="F3069" s="1" t="s">
        <v>48</v>
      </c>
      <c r="G3069" s="2">
        <v>550.66</v>
      </c>
      <c r="H3069">
        <v>594.33000000000004</v>
      </c>
      <c r="I3069">
        <v>598.83797100000004</v>
      </c>
      <c r="J3069">
        <v>820.76</v>
      </c>
      <c r="K3069">
        <v>44</v>
      </c>
      <c r="M3069">
        <v>0</v>
      </c>
      <c r="N3069" s="2">
        <v>69</v>
      </c>
      <c r="O3069">
        <v>41319.82</v>
      </c>
      <c r="P3069">
        <v>8</v>
      </c>
      <c r="Q3069">
        <v>61</v>
      </c>
      <c r="R3069">
        <v>6.75</v>
      </c>
      <c r="S3069">
        <v>1</v>
      </c>
      <c r="T3069">
        <v>15</v>
      </c>
      <c r="U3069" s="2">
        <v>12311.4</v>
      </c>
      <c r="V3069">
        <v>0</v>
      </c>
      <c r="W3069" t="s">
        <v>29</v>
      </c>
      <c r="X3069" t="str">
        <f>IF(Table2[[#This Row],[Qty available]]&gt;Table2[[#This Row],[Qty on hand]],"Check","OK")</f>
        <v>OK</v>
      </c>
    </row>
    <row r="3070" spans="1:24" x14ac:dyDescent="0.3">
      <c r="A3070" t="s">
        <v>315</v>
      </c>
      <c r="B3070" t="s">
        <v>316</v>
      </c>
      <c r="C3070" t="s">
        <v>57</v>
      </c>
      <c r="D3070" t="s">
        <v>58</v>
      </c>
      <c r="E3070" t="s">
        <v>27</v>
      </c>
      <c r="F3070" s="1" t="s">
        <v>49</v>
      </c>
      <c r="G3070" s="2">
        <v>539.95000000000005</v>
      </c>
      <c r="H3070">
        <v>582.77</v>
      </c>
      <c r="I3070">
        <v>596.45755599999995</v>
      </c>
      <c r="J3070">
        <v>820.76</v>
      </c>
      <c r="K3070">
        <v>44</v>
      </c>
      <c r="L3070" s="2">
        <v>42</v>
      </c>
      <c r="M3070">
        <v>12</v>
      </c>
      <c r="N3070" s="2">
        <v>45</v>
      </c>
      <c r="O3070">
        <v>26840.59</v>
      </c>
      <c r="P3070">
        <v>11</v>
      </c>
      <c r="Q3070">
        <v>34</v>
      </c>
      <c r="R3070">
        <v>4.3499999999999996</v>
      </c>
      <c r="S3070">
        <v>1</v>
      </c>
      <c r="T3070">
        <v>36</v>
      </c>
      <c r="U3070" s="2">
        <v>29547.360000000001</v>
      </c>
      <c r="V3070">
        <v>0</v>
      </c>
      <c r="W3070" t="s">
        <v>29</v>
      </c>
      <c r="X3070" t="str">
        <f>IF(Table2[[#This Row],[Qty available]]&gt;Table2[[#This Row],[Qty on hand]],"Check","OK")</f>
        <v>OK</v>
      </c>
    </row>
    <row r="3071" spans="1:24" x14ac:dyDescent="0.3">
      <c r="A3071" t="s">
        <v>315</v>
      </c>
      <c r="B3071" t="s">
        <v>316</v>
      </c>
      <c r="C3071" t="s">
        <v>57</v>
      </c>
      <c r="D3071" t="s">
        <v>58</v>
      </c>
      <c r="E3071" t="s">
        <v>27</v>
      </c>
      <c r="F3071" s="1" t="s">
        <v>50</v>
      </c>
      <c r="G3071" s="2">
        <v>557.52</v>
      </c>
      <c r="H3071">
        <v>601.73</v>
      </c>
      <c r="I3071">
        <v>599.23245899999995</v>
      </c>
      <c r="J3071">
        <v>820.76</v>
      </c>
      <c r="K3071">
        <v>44</v>
      </c>
      <c r="L3071" s="2">
        <v>44</v>
      </c>
      <c r="M3071">
        <v>50</v>
      </c>
      <c r="N3071" s="2">
        <v>61</v>
      </c>
      <c r="O3071">
        <v>36553.18</v>
      </c>
      <c r="P3071">
        <v>8</v>
      </c>
      <c r="Q3071">
        <v>53</v>
      </c>
      <c r="R3071">
        <v>9.33</v>
      </c>
      <c r="S3071">
        <v>2</v>
      </c>
      <c r="T3071">
        <v>34</v>
      </c>
      <c r="U3071" s="2">
        <v>27905.84</v>
      </c>
      <c r="V3071">
        <v>0</v>
      </c>
      <c r="W3071" t="s">
        <v>29</v>
      </c>
      <c r="X3071" t="str">
        <f>IF(Table2[[#This Row],[Qty available]]&gt;Table2[[#This Row],[Qty on hand]],"Check","OK")</f>
        <v>OK</v>
      </c>
    </row>
    <row r="3072" spans="1:24" x14ac:dyDescent="0.3">
      <c r="A3072" t="s">
        <v>315</v>
      </c>
      <c r="B3072" t="s">
        <v>316</v>
      </c>
      <c r="C3072" t="s">
        <v>57</v>
      </c>
      <c r="D3072" t="s">
        <v>58</v>
      </c>
      <c r="E3072" t="s">
        <v>27</v>
      </c>
      <c r="F3072" s="1" t="s">
        <v>51</v>
      </c>
      <c r="G3072" s="2">
        <v>547.97</v>
      </c>
      <c r="H3072">
        <v>591.41999999999996</v>
      </c>
      <c r="I3072">
        <v>594.17470600000001</v>
      </c>
      <c r="J3072">
        <v>820.76</v>
      </c>
      <c r="K3072">
        <v>44</v>
      </c>
      <c r="L3072" s="2">
        <v>41</v>
      </c>
      <c r="M3072">
        <v>112</v>
      </c>
      <c r="N3072" s="2">
        <v>102</v>
      </c>
      <c r="O3072">
        <v>60605.82</v>
      </c>
      <c r="P3072">
        <v>6</v>
      </c>
      <c r="Q3072">
        <v>96</v>
      </c>
      <c r="R3072">
        <v>9.51</v>
      </c>
      <c r="S3072">
        <v>1</v>
      </c>
      <c r="T3072">
        <v>71</v>
      </c>
      <c r="U3072" s="2">
        <v>58273.96</v>
      </c>
      <c r="V3072">
        <v>0</v>
      </c>
      <c r="W3072" t="s">
        <v>29</v>
      </c>
      <c r="X3072" t="str">
        <f>IF(Table2[[#This Row],[Qty available]]&gt;Table2[[#This Row],[Qty on hand]],"Check","OK")</f>
        <v>OK</v>
      </c>
    </row>
    <row r="3073" spans="1:24" x14ac:dyDescent="0.3">
      <c r="A3073" t="s">
        <v>315</v>
      </c>
      <c r="B3073" t="s">
        <v>316</v>
      </c>
      <c r="C3073" t="s">
        <v>57</v>
      </c>
      <c r="D3073" t="s">
        <v>58</v>
      </c>
      <c r="E3073" t="s">
        <v>27</v>
      </c>
      <c r="F3073" s="1" t="s">
        <v>52</v>
      </c>
      <c r="G3073" s="2">
        <v>551.22</v>
      </c>
      <c r="H3073">
        <v>594.92999999999995</v>
      </c>
      <c r="I3073">
        <v>594.174667</v>
      </c>
      <c r="J3073">
        <v>820.76</v>
      </c>
      <c r="K3073">
        <v>44</v>
      </c>
      <c r="M3073">
        <v>0</v>
      </c>
      <c r="N3073" s="2">
        <v>60</v>
      </c>
      <c r="O3073">
        <v>35650.480000000003</v>
      </c>
      <c r="P3073">
        <v>8</v>
      </c>
      <c r="Q3073">
        <v>52</v>
      </c>
      <c r="R3073">
        <v>5.36</v>
      </c>
      <c r="S3073">
        <v>1</v>
      </c>
      <c r="T3073">
        <v>42</v>
      </c>
      <c r="U3073" s="2">
        <v>34471.919999999998</v>
      </c>
      <c r="V3073">
        <v>0</v>
      </c>
      <c r="W3073" t="s">
        <v>29</v>
      </c>
      <c r="X3073" t="str">
        <f>IF(Table2[[#This Row],[Qty available]]&gt;Table2[[#This Row],[Qty on hand]],"Check","OK")</f>
        <v>OK</v>
      </c>
    </row>
    <row r="3074" spans="1:24" x14ac:dyDescent="0.3">
      <c r="A3074" t="s">
        <v>317</v>
      </c>
      <c r="B3074" t="s">
        <v>318</v>
      </c>
      <c r="C3074" t="s">
        <v>57</v>
      </c>
      <c r="D3074" t="s">
        <v>58</v>
      </c>
      <c r="E3074" t="s">
        <v>27</v>
      </c>
      <c r="F3074" s="1" t="s">
        <v>28</v>
      </c>
      <c r="G3074" s="2">
        <v>26.96</v>
      </c>
      <c r="H3074">
        <v>26.96</v>
      </c>
      <c r="I3074">
        <v>26.93</v>
      </c>
      <c r="J3074">
        <v>36.58</v>
      </c>
      <c r="K3074">
        <v>37</v>
      </c>
      <c r="M3074">
        <v>0</v>
      </c>
      <c r="N3074" s="2">
        <v>0</v>
      </c>
      <c r="O3074">
        <v>0</v>
      </c>
      <c r="P3074">
        <v>0</v>
      </c>
      <c r="Q3074">
        <v>0</v>
      </c>
      <c r="S3074">
        <v>230</v>
      </c>
      <c r="T3074">
        <v>0</v>
      </c>
      <c r="U3074" s="2">
        <v>0</v>
      </c>
      <c r="V3074">
        <v>0</v>
      </c>
      <c r="W3074" t="s">
        <v>29</v>
      </c>
      <c r="X3074" t="str">
        <f>IF(Table2[[#This Row],[Qty available]]&gt;Table2[[#This Row],[Qty on hand]],"Check","OK")</f>
        <v>OK</v>
      </c>
    </row>
    <row r="3075" spans="1:24" x14ac:dyDescent="0.3">
      <c r="A3075" t="s">
        <v>317</v>
      </c>
      <c r="B3075" t="s">
        <v>318</v>
      </c>
      <c r="C3075" t="s">
        <v>57</v>
      </c>
      <c r="D3075" t="s">
        <v>58</v>
      </c>
      <c r="E3075" t="s">
        <v>27</v>
      </c>
      <c r="F3075" s="1" t="s">
        <v>30</v>
      </c>
      <c r="G3075" s="2">
        <v>27.32</v>
      </c>
      <c r="H3075">
        <v>27.32</v>
      </c>
      <c r="I3075">
        <v>26.93</v>
      </c>
      <c r="J3075">
        <v>36.58</v>
      </c>
      <c r="K3075">
        <v>37</v>
      </c>
      <c r="M3075">
        <v>0</v>
      </c>
      <c r="N3075" s="2">
        <v>0</v>
      </c>
      <c r="O3075">
        <v>0</v>
      </c>
      <c r="P3075">
        <v>0</v>
      </c>
      <c r="Q3075">
        <v>0</v>
      </c>
      <c r="S3075">
        <v>261</v>
      </c>
      <c r="T3075">
        <v>0</v>
      </c>
      <c r="U3075" s="2">
        <v>0</v>
      </c>
      <c r="V3075">
        <v>0</v>
      </c>
      <c r="W3075" t="s">
        <v>29</v>
      </c>
      <c r="X3075" t="str">
        <f>IF(Table2[[#This Row],[Qty available]]&gt;Table2[[#This Row],[Qty on hand]],"Check","OK")</f>
        <v>OK</v>
      </c>
    </row>
    <row r="3076" spans="1:24" x14ac:dyDescent="0.3">
      <c r="A3076" t="s">
        <v>317</v>
      </c>
      <c r="B3076" t="s">
        <v>318</v>
      </c>
      <c r="C3076" t="s">
        <v>57</v>
      </c>
      <c r="D3076" t="s">
        <v>58</v>
      </c>
      <c r="E3076" t="s">
        <v>27</v>
      </c>
      <c r="F3076" s="1" t="s">
        <v>31</v>
      </c>
      <c r="G3076" s="2">
        <v>27.19</v>
      </c>
      <c r="H3076">
        <v>27.19</v>
      </c>
      <c r="I3076">
        <v>26.93</v>
      </c>
      <c r="J3076">
        <v>36.58</v>
      </c>
      <c r="K3076">
        <v>37</v>
      </c>
      <c r="M3076">
        <v>0</v>
      </c>
      <c r="N3076" s="2">
        <v>0</v>
      </c>
      <c r="O3076">
        <v>0</v>
      </c>
      <c r="P3076">
        <v>0</v>
      </c>
      <c r="Q3076">
        <v>0</v>
      </c>
      <c r="S3076">
        <v>291</v>
      </c>
      <c r="T3076">
        <v>0</v>
      </c>
      <c r="U3076" s="2">
        <v>0</v>
      </c>
      <c r="V3076">
        <v>0</v>
      </c>
      <c r="W3076" t="s">
        <v>29</v>
      </c>
      <c r="X3076" t="str">
        <f>IF(Table2[[#This Row],[Qty available]]&gt;Table2[[#This Row],[Qty on hand]],"Check","OK")</f>
        <v>OK</v>
      </c>
    </row>
    <row r="3077" spans="1:24" x14ac:dyDescent="0.3">
      <c r="A3077" t="s">
        <v>317</v>
      </c>
      <c r="B3077" t="s">
        <v>318</v>
      </c>
      <c r="C3077" t="s">
        <v>57</v>
      </c>
      <c r="D3077" t="s">
        <v>58</v>
      </c>
      <c r="E3077" t="s">
        <v>27</v>
      </c>
      <c r="F3077" s="1" t="s">
        <v>32</v>
      </c>
      <c r="G3077" s="2">
        <v>26.77</v>
      </c>
      <c r="H3077">
        <v>26.77</v>
      </c>
      <c r="I3077">
        <v>26.93</v>
      </c>
      <c r="J3077">
        <v>36.58</v>
      </c>
      <c r="K3077">
        <v>37</v>
      </c>
      <c r="M3077">
        <v>0</v>
      </c>
      <c r="N3077" s="2">
        <v>0</v>
      </c>
      <c r="O3077">
        <v>0</v>
      </c>
      <c r="P3077">
        <v>0</v>
      </c>
      <c r="Q3077">
        <v>0</v>
      </c>
      <c r="S3077">
        <v>322</v>
      </c>
      <c r="T3077">
        <v>0</v>
      </c>
      <c r="U3077" s="2">
        <v>0</v>
      </c>
      <c r="V3077">
        <v>0</v>
      </c>
      <c r="W3077" t="s">
        <v>29</v>
      </c>
      <c r="X3077" t="str">
        <f>IF(Table2[[#This Row],[Qty available]]&gt;Table2[[#This Row],[Qty on hand]],"Check","OK")</f>
        <v>OK</v>
      </c>
    </row>
    <row r="3078" spans="1:24" x14ac:dyDescent="0.3">
      <c r="A3078" t="s">
        <v>317</v>
      </c>
      <c r="B3078" t="s">
        <v>318</v>
      </c>
      <c r="C3078" t="s">
        <v>57</v>
      </c>
      <c r="D3078" t="s">
        <v>58</v>
      </c>
      <c r="E3078" t="s">
        <v>27</v>
      </c>
      <c r="F3078" s="1" t="s">
        <v>33</v>
      </c>
      <c r="G3078" s="2">
        <v>27.47</v>
      </c>
      <c r="H3078">
        <v>27.47</v>
      </c>
      <c r="I3078">
        <v>26.93</v>
      </c>
      <c r="J3078">
        <v>36.58</v>
      </c>
      <c r="K3078">
        <v>37</v>
      </c>
      <c r="M3078">
        <v>0</v>
      </c>
      <c r="N3078" s="2">
        <v>0</v>
      </c>
      <c r="O3078">
        <v>0</v>
      </c>
      <c r="P3078">
        <v>0</v>
      </c>
      <c r="Q3078">
        <v>0</v>
      </c>
      <c r="S3078">
        <v>353</v>
      </c>
      <c r="T3078">
        <v>0</v>
      </c>
      <c r="U3078" s="2">
        <v>0</v>
      </c>
      <c r="V3078">
        <v>0</v>
      </c>
      <c r="W3078" t="s">
        <v>29</v>
      </c>
      <c r="X3078" t="str">
        <f>IF(Table2[[#This Row],[Qty available]]&gt;Table2[[#This Row],[Qty on hand]],"Check","OK")</f>
        <v>OK</v>
      </c>
    </row>
    <row r="3079" spans="1:24" x14ac:dyDescent="0.3">
      <c r="A3079" t="s">
        <v>317</v>
      </c>
      <c r="B3079" t="s">
        <v>318</v>
      </c>
      <c r="C3079" t="s">
        <v>57</v>
      </c>
      <c r="D3079" t="s">
        <v>58</v>
      </c>
      <c r="E3079" t="s">
        <v>27</v>
      </c>
      <c r="F3079" s="1" t="s">
        <v>34</v>
      </c>
      <c r="G3079" s="2">
        <v>27.76</v>
      </c>
      <c r="H3079">
        <v>27.76</v>
      </c>
      <c r="I3079">
        <v>26.93</v>
      </c>
      <c r="J3079">
        <v>38.31</v>
      </c>
      <c r="K3079">
        <v>37</v>
      </c>
      <c r="M3079">
        <v>0</v>
      </c>
      <c r="N3079" s="2">
        <v>0</v>
      </c>
      <c r="O3079">
        <v>0</v>
      </c>
      <c r="P3079">
        <v>0</v>
      </c>
      <c r="Q3079">
        <v>0</v>
      </c>
      <c r="S3079">
        <v>381</v>
      </c>
      <c r="T3079">
        <v>0</v>
      </c>
      <c r="U3079" s="2">
        <v>0</v>
      </c>
      <c r="V3079">
        <v>0</v>
      </c>
      <c r="W3079" t="s">
        <v>29</v>
      </c>
      <c r="X3079" t="str">
        <f>IF(Table2[[#This Row],[Qty available]]&gt;Table2[[#This Row],[Qty on hand]],"Check","OK")</f>
        <v>OK</v>
      </c>
    </row>
    <row r="3080" spans="1:24" x14ac:dyDescent="0.3">
      <c r="A3080" t="s">
        <v>317</v>
      </c>
      <c r="B3080" t="s">
        <v>318</v>
      </c>
      <c r="C3080" t="s">
        <v>57</v>
      </c>
      <c r="D3080" t="s">
        <v>58</v>
      </c>
      <c r="E3080" t="s">
        <v>27</v>
      </c>
      <c r="F3080" s="1" t="s">
        <v>35</v>
      </c>
      <c r="G3080" s="2">
        <v>28.06</v>
      </c>
      <c r="H3080">
        <v>28.06</v>
      </c>
      <c r="I3080">
        <v>26.93</v>
      </c>
      <c r="J3080">
        <v>38.31</v>
      </c>
      <c r="K3080">
        <v>37</v>
      </c>
      <c r="M3080">
        <v>0</v>
      </c>
      <c r="N3080" s="2">
        <v>0</v>
      </c>
      <c r="O3080">
        <v>0</v>
      </c>
      <c r="P3080">
        <v>0</v>
      </c>
      <c r="Q3080">
        <v>0</v>
      </c>
      <c r="S3080">
        <v>412</v>
      </c>
      <c r="T3080">
        <v>0</v>
      </c>
      <c r="U3080" s="2">
        <v>0</v>
      </c>
      <c r="V3080">
        <v>0</v>
      </c>
      <c r="W3080" t="s">
        <v>29</v>
      </c>
      <c r="X3080" t="str">
        <f>IF(Table2[[#This Row],[Qty available]]&gt;Table2[[#This Row],[Qty on hand]],"Check","OK")</f>
        <v>OK</v>
      </c>
    </row>
    <row r="3081" spans="1:24" x14ac:dyDescent="0.3">
      <c r="A3081" t="s">
        <v>317</v>
      </c>
      <c r="B3081" t="s">
        <v>318</v>
      </c>
      <c r="C3081" t="s">
        <v>57</v>
      </c>
      <c r="D3081" t="s">
        <v>58</v>
      </c>
      <c r="E3081" t="s">
        <v>27</v>
      </c>
      <c r="F3081" s="1" t="s">
        <v>36</v>
      </c>
      <c r="G3081" s="2">
        <v>28.35</v>
      </c>
      <c r="H3081">
        <v>28.35</v>
      </c>
      <c r="I3081">
        <v>26.93</v>
      </c>
      <c r="J3081">
        <v>38.31</v>
      </c>
      <c r="K3081">
        <v>37</v>
      </c>
      <c r="M3081">
        <v>0</v>
      </c>
      <c r="N3081" s="2">
        <v>0</v>
      </c>
      <c r="O3081">
        <v>0</v>
      </c>
      <c r="P3081">
        <v>0</v>
      </c>
      <c r="Q3081">
        <v>0</v>
      </c>
      <c r="S3081">
        <v>442</v>
      </c>
      <c r="T3081">
        <v>0</v>
      </c>
      <c r="U3081" s="2">
        <v>0</v>
      </c>
      <c r="V3081">
        <v>0</v>
      </c>
      <c r="W3081" t="s">
        <v>29</v>
      </c>
      <c r="X3081" t="str">
        <f>IF(Table2[[#This Row],[Qty available]]&gt;Table2[[#This Row],[Qty on hand]],"Check","OK")</f>
        <v>OK</v>
      </c>
    </row>
    <row r="3082" spans="1:24" x14ac:dyDescent="0.3">
      <c r="A3082" t="s">
        <v>317</v>
      </c>
      <c r="B3082" t="s">
        <v>318</v>
      </c>
      <c r="C3082" t="s">
        <v>57</v>
      </c>
      <c r="D3082" t="s">
        <v>58</v>
      </c>
      <c r="E3082" t="s">
        <v>27</v>
      </c>
      <c r="F3082" s="1" t="s">
        <v>37</v>
      </c>
      <c r="G3082" s="2">
        <v>27.51</v>
      </c>
      <c r="H3082">
        <v>27.51</v>
      </c>
      <c r="I3082">
        <v>26.93</v>
      </c>
      <c r="J3082">
        <v>38.31</v>
      </c>
      <c r="K3082">
        <v>37</v>
      </c>
      <c r="M3082">
        <v>0</v>
      </c>
      <c r="N3082" s="2">
        <v>0</v>
      </c>
      <c r="O3082">
        <v>0</v>
      </c>
      <c r="P3082">
        <v>0</v>
      </c>
      <c r="Q3082">
        <v>0</v>
      </c>
      <c r="S3082">
        <v>473</v>
      </c>
      <c r="T3082">
        <v>0</v>
      </c>
      <c r="U3082" s="2">
        <v>0</v>
      </c>
      <c r="V3082">
        <v>0</v>
      </c>
      <c r="W3082" t="s">
        <v>29</v>
      </c>
      <c r="X3082" t="str">
        <f>IF(Table2[[#This Row],[Qty available]]&gt;Table2[[#This Row],[Qty on hand]],"Check","OK")</f>
        <v>OK</v>
      </c>
    </row>
    <row r="3083" spans="1:24" x14ac:dyDescent="0.3">
      <c r="A3083" t="s">
        <v>317</v>
      </c>
      <c r="B3083" t="s">
        <v>318</v>
      </c>
      <c r="C3083" t="s">
        <v>57</v>
      </c>
      <c r="D3083" t="s">
        <v>58</v>
      </c>
      <c r="E3083" t="s">
        <v>27</v>
      </c>
      <c r="F3083" s="1" t="s">
        <v>38</v>
      </c>
      <c r="G3083" s="2">
        <v>28.1</v>
      </c>
      <c r="H3083">
        <v>28.1</v>
      </c>
      <c r="I3083">
        <v>26.93</v>
      </c>
      <c r="J3083">
        <v>38.31</v>
      </c>
      <c r="K3083">
        <v>37</v>
      </c>
      <c r="M3083">
        <v>0</v>
      </c>
      <c r="N3083" s="2">
        <v>0</v>
      </c>
      <c r="O3083">
        <v>0</v>
      </c>
      <c r="P3083">
        <v>0</v>
      </c>
      <c r="Q3083">
        <v>0</v>
      </c>
      <c r="S3083">
        <v>503</v>
      </c>
      <c r="T3083">
        <v>0</v>
      </c>
      <c r="U3083" s="2">
        <v>0</v>
      </c>
      <c r="V3083">
        <v>0</v>
      </c>
      <c r="W3083" t="s">
        <v>29</v>
      </c>
      <c r="X3083" t="str">
        <f>IF(Table2[[#This Row],[Qty available]]&gt;Table2[[#This Row],[Qty on hand]],"Check","OK")</f>
        <v>OK</v>
      </c>
    </row>
    <row r="3084" spans="1:24" x14ac:dyDescent="0.3">
      <c r="A3084" t="s">
        <v>317</v>
      </c>
      <c r="B3084" t="s">
        <v>318</v>
      </c>
      <c r="C3084" t="s">
        <v>57</v>
      </c>
      <c r="D3084" t="s">
        <v>58</v>
      </c>
      <c r="E3084" t="s">
        <v>27</v>
      </c>
      <c r="F3084" s="1" t="s">
        <v>39</v>
      </c>
      <c r="G3084" s="2">
        <v>27.64</v>
      </c>
      <c r="H3084">
        <v>27.64</v>
      </c>
      <c r="I3084">
        <v>26.93</v>
      </c>
      <c r="J3084">
        <v>38.31</v>
      </c>
      <c r="K3084">
        <v>37</v>
      </c>
      <c r="M3084">
        <v>0</v>
      </c>
      <c r="N3084" s="2">
        <v>0</v>
      </c>
      <c r="O3084">
        <v>0</v>
      </c>
      <c r="P3084">
        <v>0</v>
      </c>
      <c r="Q3084">
        <v>0</v>
      </c>
      <c r="S3084">
        <v>534</v>
      </c>
      <c r="T3084">
        <v>0</v>
      </c>
      <c r="U3084" s="2">
        <v>0</v>
      </c>
      <c r="V3084">
        <v>0</v>
      </c>
      <c r="W3084" t="s">
        <v>29</v>
      </c>
      <c r="X3084" t="str">
        <f>IF(Table2[[#This Row],[Qty available]]&gt;Table2[[#This Row],[Qty on hand]],"Check","OK")</f>
        <v>OK</v>
      </c>
    </row>
    <row r="3085" spans="1:24" x14ac:dyDescent="0.3">
      <c r="A3085" t="s">
        <v>317</v>
      </c>
      <c r="B3085" t="s">
        <v>318</v>
      </c>
      <c r="C3085" t="s">
        <v>57</v>
      </c>
      <c r="D3085" t="s">
        <v>58</v>
      </c>
      <c r="E3085" t="s">
        <v>27</v>
      </c>
      <c r="F3085" s="1" t="s">
        <v>40</v>
      </c>
      <c r="G3085" s="2">
        <v>27.6</v>
      </c>
      <c r="H3085">
        <v>27.6</v>
      </c>
      <c r="I3085">
        <v>26.93</v>
      </c>
      <c r="J3085">
        <v>38.31</v>
      </c>
      <c r="K3085">
        <v>37</v>
      </c>
      <c r="M3085">
        <v>0</v>
      </c>
      <c r="N3085" s="2">
        <v>0</v>
      </c>
      <c r="O3085">
        <v>0</v>
      </c>
      <c r="P3085">
        <v>0</v>
      </c>
      <c r="Q3085">
        <v>0</v>
      </c>
      <c r="S3085">
        <v>565</v>
      </c>
      <c r="T3085">
        <v>0</v>
      </c>
      <c r="U3085" s="2">
        <v>0</v>
      </c>
      <c r="V3085">
        <v>0</v>
      </c>
      <c r="W3085" t="s">
        <v>29</v>
      </c>
      <c r="X3085" t="str">
        <f>IF(Table2[[#This Row],[Qty available]]&gt;Table2[[#This Row],[Qty on hand]],"Check","OK")</f>
        <v>OK</v>
      </c>
    </row>
    <row r="3086" spans="1:24" x14ac:dyDescent="0.3">
      <c r="A3086" t="s">
        <v>317</v>
      </c>
      <c r="B3086" t="s">
        <v>318</v>
      </c>
      <c r="C3086" t="s">
        <v>57</v>
      </c>
      <c r="D3086" t="s">
        <v>58</v>
      </c>
      <c r="E3086" t="s">
        <v>27</v>
      </c>
      <c r="F3086" s="1" t="s">
        <v>41</v>
      </c>
      <c r="G3086" s="2">
        <v>28.02</v>
      </c>
      <c r="H3086">
        <v>28.02</v>
      </c>
      <c r="I3086">
        <v>26.93</v>
      </c>
      <c r="J3086">
        <v>38.31</v>
      </c>
      <c r="K3086">
        <v>37</v>
      </c>
      <c r="M3086">
        <v>0</v>
      </c>
      <c r="N3086" s="2">
        <v>0</v>
      </c>
      <c r="O3086">
        <v>0</v>
      </c>
      <c r="P3086">
        <v>0</v>
      </c>
      <c r="Q3086">
        <v>0</v>
      </c>
      <c r="S3086">
        <v>595</v>
      </c>
      <c r="T3086">
        <v>0</v>
      </c>
      <c r="U3086" s="2">
        <v>0</v>
      </c>
      <c r="V3086">
        <v>0</v>
      </c>
      <c r="W3086" t="s">
        <v>29</v>
      </c>
      <c r="X3086" t="str">
        <f>IF(Table2[[#This Row],[Qty available]]&gt;Table2[[#This Row],[Qty on hand]],"Check","OK")</f>
        <v>OK</v>
      </c>
    </row>
    <row r="3087" spans="1:24" x14ac:dyDescent="0.3">
      <c r="A3087" t="s">
        <v>317</v>
      </c>
      <c r="B3087" t="s">
        <v>318</v>
      </c>
      <c r="C3087" t="s">
        <v>57</v>
      </c>
      <c r="D3087" t="s">
        <v>58</v>
      </c>
      <c r="E3087" t="s">
        <v>27</v>
      </c>
      <c r="F3087" s="1" t="s">
        <v>42</v>
      </c>
      <c r="G3087" s="2">
        <v>27.64</v>
      </c>
      <c r="H3087">
        <v>27.64</v>
      </c>
      <c r="I3087">
        <v>26.93</v>
      </c>
      <c r="J3087">
        <v>38.31</v>
      </c>
      <c r="K3087">
        <v>37</v>
      </c>
      <c r="M3087">
        <v>0</v>
      </c>
      <c r="N3087" s="2">
        <v>0</v>
      </c>
      <c r="O3087">
        <v>0</v>
      </c>
      <c r="P3087">
        <v>0</v>
      </c>
      <c r="Q3087">
        <v>0</v>
      </c>
      <c r="S3087">
        <v>626</v>
      </c>
      <c r="T3087">
        <v>0</v>
      </c>
      <c r="U3087" s="2">
        <v>0</v>
      </c>
      <c r="V3087">
        <v>0</v>
      </c>
      <c r="W3087" t="s">
        <v>29</v>
      </c>
      <c r="X3087" t="str">
        <f>IF(Table2[[#This Row],[Qty available]]&gt;Table2[[#This Row],[Qty on hand]],"Check","OK")</f>
        <v>OK</v>
      </c>
    </row>
    <row r="3088" spans="1:24" x14ac:dyDescent="0.3">
      <c r="A3088" t="s">
        <v>317</v>
      </c>
      <c r="B3088" t="s">
        <v>318</v>
      </c>
      <c r="C3088" t="s">
        <v>57</v>
      </c>
      <c r="D3088" t="s">
        <v>58</v>
      </c>
      <c r="E3088" t="s">
        <v>27</v>
      </c>
      <c r="F3088" s="1" t="s">
        <v>43</v>
      </c>
      <c r="G3088" s="2">
        <v>27.93</v>
      </c>
      <c r="H3088">
        <v>27.93</v>
      </c>
      <c r="I3088">
        <v>27.93</v>
      </c>
      <c r="J3088">
        <v>38.31</v>
      </c>
      <c r="K3088">
        <v>37</v>
      </c>
      <c r="L3088" s="2">
        <v>33</v>
      </c>
      <c r="M3088">
        <v>20</v>
      </c>
      <c r="N3088" s="2">
        <v>20</v>
      </c>
      <c r="O3088">
        <v>558.6</v>
      </c>
      <c r="P3088">
        <v>0</v>
      </c>
      <c r="Q3088">
        <v>20</v>
      </c>
      <c r="S3088">
        <v>656</v>
      </c>
      <c r="T3088">
        <v>0</v>
      </c>
      <c r="U3088" s="2">
        <v>0</v>
      </c>
      <c r="V3088">
        <v>0</v>
      </c>
      <c r="W3088" t="s">
        <v>29</v>
      </c>
      <c r="X3088" t="str">
        <f>IF(Table2[[#This Row],[Qty available]]&gt;Table2[[#This Row],[Qty on hand]],"Check","OK")</f>
        <v>OK</v>
      </c>
    </row>
    <row r="3089" spans="1:24" x14ac:dyDescent="0.3">
      <c r="A3089" t="s">
        <v>317</v>
      </c>
      <c r="B3089" t="s">
        <v>318</v>
      </c>
      <c r="C3089" t="s">
        <v>57</v>
      </c>
      <c r="D3089" t="s">
        <v>58</v>
      </c>
      <c r="E3089" t="s">
        <v>27</v>
      </c>
      <c r="F3089" s="1" t="s">
        <v>44</v>
      </c>
      <c r="G3089" s="2">
        <v>28.09</v>
      </c>
      <c r="H3089">
        <v>28.09</v>
      </c>
      <c r="I3089">
        <v>28.024633999999999</v>
      </c>
      <c r="J3089">
        <v>38.31</v>
      </c>
      <c r="K3089">
        <v>37</v>
      </c>
      <c r="L3089" s="2">
        <v>56</v>
      </c>
      <c r="M3089">
        <v>29</v>
      </c>
      <c r="N3089" s="2">
        <v>41</v>
      </c>
      <c r="O3089">
        <v>1149.01</v>
      </c>
      <c r="P3089">
        <v>1</v>
      </c>
      <c r="Q3089">
        <v>40</v>
      </c>
      <c r="R3089">
        <v>67.36</v>
      </c>
      <c r="S3089">
        <v>2</v>
      </c>
      <c r="T3089">
        <v>8</v>
      </c>
      <c r="U3089" s="2">
        <v>306.48</v>
      </c>
      <c r="V3089">
        <v>0</v>
      </c>
      <c r="W3089" t="s">
        <v>29</v>
      </c>
      <c r="X3089" t="str">
        <f>IF(Table2[[#This Row],[Qty available]]&gt;Table2[[#This Row],[Qty on hand]],"Check","OK")</f>
        <v>OK</v>
      </c>
    </row>
    <row r="3090" spans="1:24" x14ac:dyDescent="0.3">
      <c r="A3090" t="s">
        <v>317</v>
      </c>
      <c r="B3090" t="s">
        <v>318</v>
      </c>
      <c r="C3090" t="s">
        <v>57</v>
      </c>
      <c r="D3090" t="s">
        <v>58</v>
      </c>
      <c r="E3090" t="s">
        <v>27</v>
      </c>
      <c r="F3090" s="1" t="s">
        <v>45</v>
      </c>
      <c r="G3090" s="2">
        <v>29.47</v>
      </c>
      <c r="H3090">
        <v>29.47</v>
      </c>
      <c r="I3090">
        <v>28.729285999999998</v>
      </c>
      <c r="J3090">
        <v>38.31</v>
      </c>
      <c r="K3090">
        <v>37</v>
      </c>
      <c r="L3090" s="2">
        <v>32</v>
      </c>
      <c r="M3090">
        <v>39</v>
      </c>
      <c r="N3090" s="2">
        <v>56</v>
      </c>
      <c r="O3090">
        <v>1608.84</v>
      </c>
      <c r="P3090">
        <v>4</v>
      </c>
      <c r="Q3090">
        <v>52</v>
      </c>
      <c r="R3090">
        <v>23</v>
      </c>
      <c r="S3090">
        <v>2</v>
      </c>
      <c r="T3090">
        <v>24</v>
      </c>
      <c r="U3090" s="2">
        <v>919.44</v>
      </c>
      <c r="V3090">
        <v>0</v>
      </c>
      <c r="W3090" t="s">
        <v>29</v>
      </c>
      <c r="X3090" t="str">
        <f>IF(Table2[[#This Row],[Qty available]]&gt;Table2[[#This Row],[Qty on hand]],"Check","OK")</f>
        <v>OK</v>
      </c>
    </row>
    <row r="3091" spans="1:24" x14ac:dyDescent="0.3">
      <c r="A3091" t="s">
        <v>317</v>
      </c>
      <c r="B3091" t="s">
        <v>318</v>
      </c>
      <c r="C3091" t="s">
        <v>57</v>
      </c>
      <c r="D3091" t="s">
        <v>58</v>
      </c>
      <c r="E3091" t="s">
        <v>27</v>
      </c>
      <c r="F3091" s="1" t="s">
        <v>46</v>
      </c>
      <c r="G3091" s="2">
        <v>28.6</v>
      </c>
      <c r="H3091">
        <v>28.6</v>
      </c>
      <c r="I3091">
        <v>28.647024999999999</v>
      </c>
      <c r="J3091">
        <v>40.119999999999997</v>
      </c>
      <c r="K3091">
        <v>37</v>
      </c>
      <c r="L3091" s="2">
        <v>35</v>
      </c>
      <c r="M3091">
        <v>98</v>
      </c>
      <c r="N3091" s="2">
        <v>121</v>
      </c>
      <c r="O3091">
        <v>3466.29</v>
      </c>
      <c r="P3091">
        <v>3</v>
      </c>
      <c r="Q3091">
        <v>118</v>
      </c>
      <c r="R3091">
        <v>23.93</v>
      </c>
      <c r="S3091">
        <v>4</v>
      </c>
      <c r="T3091">
        <v>33</v>
      </c>
      <c r="U3091" s="2">
        <v>1323.96</v>
      </c>
      <c r="V3091">
        <v>0</v>
      </c>
      <c r="W3091" t="s">
        <v>29</v>
      </c>
      <c r="X3091" t="str">
        <f>IF(Table2[[#This Row],[Qty available]]&gt;Table2[[#This Row],[Qty on hand]],"Check","OK")</f>
        <v>OK</v>
      </c>
    </row>
    <row r="3092" spans="1:24" x14ac:dyDescent="0.3">
      <c r="A3092" t="s">
        <v>317</v>
      </c>
      <c r="B3092" t="s">
        <v>318</v>
      </c>
      <c r="C3092" t="s">
        <v>57</v>
      </c>
      <c r="D3092" t="s">
        <v>58</v>
      </c>
      <c r="E3092" t="s">
        <v>27</v>
      </c>
      <c r="F3092" s="1" t="s">
        <v>47</v>
      </c>
      <c r="G3092" s="2">
        <v>28.63</v>
      </c>
      <c r="H3092">
        <v>28.63</v>
      </c>
      <c r="I3092">
        <v>28.647030000000001</v>
      </c>
      <c r="J3092">
        <v>40.119999999999997</v>
      </c>
      <c r="K3092">
        <v>37</v>
      </c>
      <c r="M3092">
        <v>0</v>
      </c>
      <c r="N3092" s="2">
        <v>101</v>
      </c>
      <c r="O3092">
        <v>2893.35</v>
      </c>
      <c r="P3092">
        <v>8</v>
      </c>
      <c r="Q3092">
        <v>93</v>
      </c>
      <c r="R3092">
        <v>16.86</v>
      </c>
      <c r="S3092">
        <v>24</v>
      </c>
      <c r="T3092">
        <v>20</v>
      </c>
      <c r="U3092" s="2">
        <v>802.4</v>
      </c>
      <c r="V3092">
        <v>0</v>
      </c>
      <c r="W3092" t="s">
        <v>29</v>
      </c>
      <c r="X3092" t="str">
        <f>IF(Table2[[#This Row],[Qty available]]&gt;Table2[[#This Row],[Qty on hand]],"Check","OK")</f>
        <v>OK</v>
      </c>
    </row>
    <row r="3093" spans="1:24" x14ac:dyDescent="0.3">
      <c r="A3093" t="s">
        <v>317</v>
      </c>
      <c r="B3093" t="s">
        <v>318</v>
      </c>
      <c r="C3093" t="s">
        <v>57</v>
      </c>
      <c r="D3093" t="s">
        <v>58</v>
      </c>
      <c r="E3093" t="s">
        <v>27</v>
      </c>
      <c r="F3093" s="1" t="s">
        <v>48</v>
      </c>
      <c r="G3093" s="2">
        <v>29.42</v>
      </c>
      <c r="H3093">
        <v>29.42</v>
      </c>
      <c r="I3093">
        <v>28.774805000000001</v>
      </c>
      <c r="J3093">
        <v>40.119999999999997</v>
      </c>
      <c r="K3093">
        <v>37</v>
      </c>
      <c r="L3093" s="2">
        <v>34</v>
      </c>
      <c r="M3093">
        <v>20</v>
      </c>
      <c r="N3093" s="2">
        <v>77</v>
      </c>
      <c r="O3093">
        <v>2215.66</v>
      </c>
      <c r="P3093">
        <v>8</v>
      </c>
      <c r="Q3093">
        <v>69</v>
      </c>
      <c r="R3093">
        <v>10.09</v>
      </c>
      <c r="S3093">
        <v>1</v>
      </c>
      <c r="T3093">
        <v>44</v>
      </c>
      <c r="U3093" s="2">
        <v>1765.28</v>
      </c>
      <c r="V3093">
        <v>0</v>
      </c>
      <c r="W3093" t="s">
        <v>29</v>
      </c>
      <c r="X3093" t="str">
        <f>IF(Table2[[#This Row],[Qty available]]&gt;Table2[[#This Row],[Qty on hand]],"Check","OK")</f>
        <v>OK</v>
      </c>
    </row>
    <row r="3094" spans="1:24" x14ac:dyDescent="0.3">
      <c r="A3094" t="s">
        <v>317</v>
      </c>
      <c r="B3094" t="s">
        <v>318</v>
      </c>
      <c r="C3094" t="s">
        <v>57</v>
      </c>
      <c r="D3094" t="s">
        <v>58</v>
      </c>
      <c r="E3094" t="s">
        <v>27</v>
      </c>
      <c r="F3094" s="1" t="s">
        <v>49</v>
      </c>
      <c r="G3094" s="2">
        <v>29.38</v>
      </c>
      <c r="H3094">
        <v>29.38</v>
      </c>
      <c r="I3094">
        <v>28.936153999999998</v>
      </c>
      <c r="J3094">
        <v>40.119999999999997</v>
      </c>
      <c r="K3094">
        <v>37</v>
      </c>
      <c r="L3094" s="2">
        <v>41</v>
      </c>
      <c r="M3094">
        <v>28</v>
      </c>
      <c r="N3094" s="2">
        <v>65</v>
      </c>
      <c r="O3094">
        <v>1880.85</v>
      </c>
      <c r="P3094">
        <v>8</v>
      </c>
      <c r="Q3094">
        <v>57</v>
      </c>
      <c r="R3094">
        <v>8.2100000000000009</v>
      </c>
      <c r="S3094">
        <v>7</v>
      </c>
      <c r="T3094">
        <v>40</v>
      </c>
      <c r="U3094" s="2">
        <v>1604.8</v>
      </c>
      <c r="V3094">
        <v>0</v>
      </c>
      <c r="W3094" t="s">
        <v>29</v>
      </c>
      <c r="X3094" t="str">
        <f>IF(Table2[[#This Row],[Qty available]]&gt;Table2[[#This Row],[Qty on hand]],"Check","OK")</f>
        <v>OK</v>
      </c>
    </row>
    <row r="3095" spans="1:24" x14ac:dyDescent="0.3">
      <c r="A3095" t="s">
        <v>317</v>
      </c>
      <c r="B3095" t="s">
        <v>318</v>
      </c>
      <c r="C3095" t="s">
        <v>57</v>
      </c>
      <c r="D3095" t="s">
        <v>58</v>
      </c>
      <c r="E3095" t="s">
        <v>27</v>
      </c>
      <c r="F3095" s="1" t="s">
        <v>50</v>
      </c>
      <c r="G3095" s="2">
        <v>29.48</v>
      </c>
      <c r="H3095">
        <v>29.48</v>
      </c>
      <c r="I3095">
        <v>29.280263000000001</v>
      </c>
      <c r="J3095">
        <v>40.119999999999997</v>
      </c>
      <c r="K3095">
        <v>37</v>
      </c>
      <c r="L3095" s="2">
        <v>36</v>
      </c>
      <c r="M3095">
        <v>112</v>
      </c>
      <c r="N3095" s="2">
        <v>114</v>
      </c>
      <c r="O3095">
        <v>3337.95</v>
      </c>
      <c r="P3095">
        <v>10</v>
      </c>
      <c r="Q3095">
        <v>104</v>
      </c>
      <c r="R3095">
        <v>10.08</v>
      </c>
      <c r="S3095">
        <v>4</v>
      </c>
      <c r="T3095">
        <v>63</v>
      </c>
      <c r="U3095" s="2">
        <v>2527.56</v>
      </c>
      <c r="V3095">
        <v>0</v>
      </c>
      <c r="W3095" t="s">
        <v>29</v>
      </c>
      <c r="X3095" t="str">
        <f>IF(Table2[[#This Row],[Qty available]]&gt;Table2[[#This Row],[Qty on hand]],"Check","OK")</f>
        <v>OK</v>
      </c>
    </row>
    <row r="3096" spans="1:24" x14ac:dyDescent="0.3">
      <c r="A3096" t="s">
        <v>317</v>
      </c>
      <c r="B3096" t="s">
        <v>318</v>
      </c>
      <c r="C3096" t="s">
        <v>57</v>
      </c>
      <c r="D3096" t="s">
        <v>58</v>
      </c>
      <c r="E3096" t="s">
        <v>27</v>
      </c>
      <c r="F3096" s="1" t="s">
        <v>51</v>
      </c>
      <c r="G3096" s="2">
        <v>29.46</v>
      </c>
      <c r="H3096">
        <v>29.46</v>
      </c>
      <c r="I3096">
        <v>29.280221999999998</v>
      </c>
      <c r="J3096">
        <v>40.119999999999997</v>
      </c>
      <c r="K3096">
        <v>37</v>
      </c>
      <c r="M3096">
        <v>0</v>
      </c>
      <c r="N3096" s="2">
        <v>90</v>
      </c>
      <c r="O3096">
        <v>2635.22</v>
      </c>
      <c r="P3096">
        <v>8</v>
      </c>
      <c r="Q3096">
        <v>82</v>
      </c>
      <c r="R3096">
        <v>9.31</v>
      </c>
      <c r="S3096">
        <v>5</v>
      </c>
      <c r="T3096">
        <v>24</v>
      </c>
      <c r="U3096" s="2">
        <v>962.88</v>
      </c>
      <c r="V3096">
        <v>0</v>
      </c>
      <c r="W3096" t="s">
        <v>29</v>
      </c>
      <c r="X3096" t="str">
        <f>IF(Table2[[#This Row],[Qty available]]&gt;Table2[[#This Row],[Qty on hand]],"Check","OK")</f>
        <v>OK</v>
      </c>
    </row>
    <row r="3097" spans="1:24" x14ac:dyDescent="0.3">
      <c r="A3097" t="s">
        <v>317</v>
      </c>
      <c r="B3097" t="s">
        <v>318</v>
      </c>
      <c r="C3097" t="s">
        <v>57</v>
      </c>
      <c r="D3097" t="s">
        <v>58</v>
      </c>
      <c r="E3097" t="s">
        <v>27</v>
      </c>
      <c r="F3097" s="1" t="s">
        <v>52</v>
      </c>
      <c r="G3097" s="2">
        <v>29.57</v>
      </c>
      <c r="H3097">
        <v>29.57</v>
      </c>
      <c r="I3097">
        <v>29.401779999999999</v>
      </c>
      <c r="J3097">
        <v>40.119999999999997</v>
      </c>
      <c r="K3097">
        <v>37</v>
      </c>
      <c r="L3097" s="2">
        <v>34</v>
      </c>
      <c r="M3097">
        <v>65</v>
      </c>
      <c r="N3097" s="2">
        <v>118</v>
      </c>
      <c r="O3097">
        <v>3469.41</v>
      </c>
      <c r="P3097">
        <v>4</v>
      </c>
      <c r="Q3097">
        <v>114</v>
      </c>
      <c r="R3097">
        <v>12.51</v>
      </c>
      <c r="S3097">
        <v>1</v>
      </c>
      <c r="T3097">
        <v>37</v>
      </c>
      <c r="U3097" s="2">
        <v>1484.44</v>
      </c>
      <c r="V3097">
        <v>0</v>
      </c>
      <c r="W3097" t="s">
        <v>29</v>
      </c>
      <c r="X3097" t="str">
        <f>IF(Table2[[#This Row],[Qty available]]&gt;Table2[[#This Row],[Qty on hand]],"Check","OK")</f>
        <v>OK</v>
      </c>
    </row>
    <row r="3098" spans="1:24" x14ac:dyDescent="0.3">
      <c r="A3098" t="s">
        <v>319</v>
      </c>
      <c r="B3098" t="s">
        <v>320</v>
      </c>
      <c r="C3098" t="s">
        <v>25</v>
      </c>
      <c r="D3098" t="s">
        <v>26</v>
      </c>
      <c r="E3098" t="s">
        <v>66</v>
      </c>
      <c r="F3098" s="1" t="s">
        <v>28</v>
      </c>
      <c r="G3098" s="2">
        <v>2.38</v>
      </c>
      <c r="H3098">
        <v>2.38</v>
      </c>
      <c r="I3098">
        <v>2.366911</v>
      </c>
      <c r="J3098">
        <v>3.14</v>
      </c>
      <c r="K3098">
        <v>31</v>
      </c>
      <c r="M3098">
        <v>0</v>
      </c>
      <c r="N3098" s="2">
        <v>246</v>
      </c>
      <c r="O3098">
        <v>582.26</v>
      </c>
      <c r="P3098">
        <v>122</v>
      </c>
      <c r="Q3098">
        <v>124</v>
      </c>
      <c r="R3098">
        <v>2.31</v>
      </c>
      <c r="S3098">
        <v>1</v>
      </c>
      <c r="T3098">
        <v>660</v>
      </c>
      <c r="U3098" s="2">
        <v>2072.4</v>
      </c>
      <c r="V3098">
        <v>0</v>
      </c>
      <c r="W3098" t="s">
        <v>29</v>
      </c>
      <c r="X3098" t="str">
        <f>IF(Table2[[#This Row],[Qty available]]&gt;Table2[[#This Row],[Qty on hand]],"Check","OK")</f>
        <v>OK</v>
      </c>
    </row>
    <row r="3099" spans="1:24" x14ac:dyDescent="0.3">
      <c r="A3099" t="s">
        <v>319</v>
      </c>
      <c r="B3099" t="s">
        <v>320</v>
      </c>
      <c r="C3099" t="s">
        <v>25</v>
      </c>
      <c r="D3099" t="s">
        <v>26</v>
      </c>
      <c r="E3099" t="s">
        <v>66</v>
      </c>
      <c r="F3099" s="1" t="s">
        <v>30</v>
      </c>
      <c r="G3099" s="2">
        <v>2.33</v>
      </c>
      <c r="H3099">
        <v>2.33</v>
      </c>
      <c r="I3099">
        <v>2.3436340000000002</v>
      </c>
      <c r="J3099">
        <v>3.14</v>
      </c>
      <c r="K3099">
        <v>31</v>
      </c>
      <c r="L3099" s="2">
        <v>51</v>
      </c>
      <c r="M3099">
        <v>420</v>
      </c>
      <c r="N3099" s="2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666</v>
      </c>
      <c r="U3099" s="2">
        <v>2091.2399999999998</v>
      </c>
      <c r="V3099">
        <v>383</v>
      </c>
      <c r="W3099" t="s">
        <v>59</v>
      </c>
      <c r="X3099" t="str">
        <f>IF(Table2[[#This Row],[Qty available]]&gt;Table2[[#This Row],[Qty on hand]],"Check","OK")</f>
        <v>OK</v>
      </c>
    </row>
    <row r="3100" spans="1:24" x14ac:dyDescent="0.3">
      <c r="A3100" t="s">
        <v>319</v>
      </c>
      <c r="B3100" t="s">
        <v>320</v>
      </c>
      <c r="C3100" t="s">
        <v>25</v>
      </c>
      <c r="D3100" t="s">
        <v>26</v>
      </c>
      <c r="E3100" t="s">
        <v>66</v>
      </c>
      <c r="F3100" s="1" t="s">
        <v>31</v>
      </c>
      <c r="G3100" s="2">
        <v>2.37</v>
      </c>
      <c r="H3100">
        <v>2.37</v>
      </c>
      <c r="I3100">
        <v>2.37</v>
      </c>
      <c r="J3100">
        <v>3.14</v>
      </c>
      <c r="K3100">
        <v>31</v>
      </c>
      <c r="L3100" s="2">
        <v>27</v>
      </c>
      <c r="M3100">
        <v>2199</v>
      </c>
      <c r="N3100" s="2">
        <v>1545</v>
      </c>
      <c r="O3100">
        <v>3661.65</v>
      </c>
      <c r="P3100">
        <v>49</v>
      </c>
      <c r="Q3100">
        <v>1496</v>
      </c>
      <c r="R3100">
        <v>10.14</v>
      </c>
      <c r="S3100">
        <v>1</v>
      </c>
      <c r="T3100">
        <v>654</v>
      </c>
      <c r="U3100" s="2">
        <v>2053.56</v>
      </c>
      <c r="V3100">
        <v>0</v>
      </c>
      <c r="W3100" t="s">
        <v>29</v>
      </c>
      <c r="X3100" t="str">
        <f>IF(Table2[[#This Row],[Qty available]]&gt;Table2[[#This Row],[Qty on hand]],"Check","OK")</f>
        <v>OK</v>
      </c>
    </row>
    <row r="3101" spans="1:24" x14ac:dyDescent="0.3">
      <c r="A3101" t="s">
        <v>319</v>
      </c>
      <c r="B3101" t="s">
        <v>320</v>
      </c>
      <c r="C3101" t="s">
        <v>25</v>
      </c>
      <c r="D3101" t="s">
        <v>26</v>
      </c>
      <c r="E3101" t="s">
        <v>66</v>
      </c>
      <c r="F3101" s="1" t="s">
        <v>32</v>
      </c>
      <c r="G3101" s="2">
        <v>2.3199999999999998</v>
      </c>
      <c r="H3101">
        <v>2.3199999999999998</v>
      </c>
      <c r="I3101">
        <v>2.37</v>
      </c>
      <c r="J3101">
        <v>3.14</v>
      </c>
      <c r="K3101">
        <v>31</v>
      </c>
      <c r="M3101">
        <v>0</v>
      </c>
      <c r="N3101" s="2">
        <v>1120</v>
      </c>
      <c r="O3101">
        <v>2654.4</v>
      </c>
      <c r="P3101">
        <v>195</v>
      </c>
      <c r="Q3101">
        <v>925</v>
      </c>
      <c r="R3101">
        <v>8.44</v>
      </c>
      <c r="S3101">
        <v>1</v>
      </c>
      <c r="T3101">
        <v>425</v>
      </c>
      <c r="U3101" s="2">
        <v>1334.5</v>
      </c>
      <c r="V3101">
        <v>0</v>
      </c>
      <c r="W3101" t="s">
        <v>29</v>
      </c>
      <c r="X3101" t="str">
        <f>IF(Table2[[#This Row],[Qty available]]&gt;Table2[[#This Row],[Qty on hand]],"Check","OK")</f>
        <v>OK</v>
      </c>
    </row>
    <row r="3102" spans="1:24" x14ac:dyDescent="0.3">
      <c r="A3102" t="s">
        <v>319</v>
      </c>
      <c r="B3102" t="s">
        <v>320</v>
      </c>
      <c r="C3102" t="s">
        <v>25</v>
      </c>
      <c r="D3102" t="s">
        <v>26</v>
      </c>
      <c r="E3102" t="s">
        <v>66</v>
      </c>
      <c r="F3102" s="1" t="s">
        <v>33</v>
      </c>
      <c r="G3102" s="2">
        <v>2.4</v>
      </c>
      <c r="H3102">
        <v>2.4</v>
      </c>
      <c r="I3102">
        <v>2.3827449999999999</v>
      </c>
      <c r="J3102">
        <v>3.14</v>
      </c>
      <c r="K3102">
        <v>31</v>
      </c>
      <c r="L3102" s="2">
        <v>27</v>
      </c>
      <c r="M3102">
        <v>827</v>
      </c>
      <c r="N3102" s="2">
        <v>1377</v>
      </c>
      <c r="O3102">
        <v>3281.04</v>
      </c>
      <c r="P3102">
        <v>73</v>
      </c>
      <c r="Q3102">
        <v>1304</v>
      </c>
      <c r="R3102">
        <v>10.97</v>
      </c>
      <c r="S3102">
        <v>0</v>
      </c>
      <c r="T3102">
        <v>570</v>
      </c>
      <c r="U3102" s="2">
        <v>1789.8</v>
      </c>
      <c r="V3102">
        <v>0</v>
      </c>
      <c r="W3102" t="s">
        <v>29</v>
      </c>
      <c r="X3102" t="str">
        <f>IF(Table2[[#This Row],[Qty available]]&gt;Table2[[#This Row],[Qty on hand]],"Check","OK")</f>
        <v>OK</v>
      </c>
    </row>
    <row r="3103" spans="1:24" x14ac:dyDescent="0.3">
      <c r="A3103" t="s">
        <v>319</v>
      </c>
      <c r="B3103" t="s">
        <v>320</v>
      </c>
      <c r="C3103" t="s">
        <v>25</v>
      </c>
      <c r="D3103" t="s">
        <v>26</v>
      </c>
      <c r="E3103" t="s">
        <v>66</v>
      </c>
      <c r="F3103" s="1" t="s">
        <v>34</v>
      </c>
      <c r="G3103" s="2">
        <v>2.38</v>
      </c>
      <c r="H3103">
        <v>2.38</v>
      </c>
      <c r="I3103">
        <v>2.3827479999999999</v>
      </c>
      <c r="J3103">
        <v>3.29</v>
      </c>
      <c r="K3103">
        <v>31</v>
      </c>
      <c r="M3103">
        <v>0</v>
      </c>
      <c r="N3103" s="2">
        <v>1179</v>
      </c>
      <c r="O3103">
        <v>2809.26</v>
      </c>
      <c r="P3103">
        <v>146</v>
      </c>
      <c r="Q3103">
        <v>1033</v>
      </c>
      <c r="R3103">
        <v>12.71</v>
      </c>
      <c r="S3103">
        <v>2</v>
      </c>
      <c r="T3103">
        <v>198</v>
      </c>
      <c r="U3103" s="2">
        <v>651.41999999999996</v>
      </c>
      <c r="V3103">
        <v>0</v>
      </c>
      <c r="W3103" t="s">
        <v>29</v>
      </c>
      <c r="X3103" t="str">
        <f>IF(Table2[[#This Row],[Qty available]]&gt;Table2[[#This Row],[Qty on hand]],"Check","OK")</f>
        <v>OK</v>
      </c>
    </row>
    <row r="3104" spans="1:24" x14ac:dyDescent="0.3">
      <c r="A3104" t="s">
        <v>319</v>
      </c>
      <c r="B3104" t="s">
        <v>320</v>
      </c>
      <c r="C3104" t="s">
        <v>25</v>
      </c>
      <c r="D3104" t="s">
        <v>26</v>
      </c>
      <c r="E3104" t="s">
        <v>66</v>
      </c>
      <c r="F3104" s="1" t="s">
        <v>35</v>
      </c>
      <c r="G3104" s="2">
        <v>2.34</v>
      </c>
      <c r="H3104">
        <v>2.34</v>
      </c>
      <c r="I3104">
        <v>2.359899</v>
      </c>
      <c r="J3104">
        <v>3.29</v>
      </c>
      <c r="K3104">
        <v>31</v>
      </c>
      <c r="L3104" s="2">
        <v>29</v>
      </c>
      <c r="M3104">
        <v>1354</v>
      </c>
      <c r="N3104" s="2">
        <v>1690</v>
      </c>
      <c r="O3104">
        <v>3988.23</v>
      </c>
      <c r="P3104">
        <v>122</v>
      </c>
      <c r="Q3104">
        <v>1568</v>
      </c>
      <c r="R3104">
        <v>13.49</v>
      </c>
      <c r="S3104">
        <v>0</v>
      </c>
      <c r="T3104">
        <v>843</v>
      </c>
      <c r="U3104" s="2">
        <v>2773.47</v>
      </c>
      <c r="V3104">
        <v>0</v>
      </c>
      <c r="W3104" t="s">
        <v>29</v>
      </c>
      <c r="X3104" t="str">
        <f>IF(Table2[[#This Row],[Qty available]]&gt;Table2[[#This Row],[Qty on hand]],"Check","OK")</f>
        <v>OK</v>
      </c>
    </row>
    <row r="3105" spans="1:24" x14ac:dyDescent="0.3">
      <c r="A3105" t="s">
        <v>319</v>
      </c>
      <c r="B3105" t="s">
        <v>320</v>
      </c>
      <c r="C3105" t="s">
        <v>25</v>
      </c>
      <c r="D3105" t="s">
        <v>26</v>
      </c>
      <c r="E3105" t="s">
        <v>66</v>
      </c>
      <c r="F3105" s="1" t="s">
        <v>36</v>
      </c>
      <c r="G3105" s="2">
        <v>2.4700000000000002</v>
      </c>
      <c r="H3105">
        <v>2.4700000000000002</v>
      </c>
      <c r="I3105">
        <v>2.359896</v>
      </c>
      <c r="J3105">
        <v>3.29</v>
      </c>
      <c r="K3105">
        <v>31</v>
      </c>
      <c r="M3105">
        <v>0</v>
      </c>
      <c r="N3105" s="2">
        <v>1158</v>
      </c>
      <c r="O3105">
        <v>2732.76</v>
      </c>
      <c r="P3105">
        <v>49</v>
      </c>
      <c r="Q3105">
        <v>1109</v>
      </c>
      <c r="R3105">
        <v>9.36</v>
      </c>
      <c r="S3105">
        <v>0</v>
      </c>
      <c r="T3105">
        <v>532</v>
      </c>
      <c r="U3105" s="2">
        <v>1750.28</v>
      </c>
      <c r="V3105">
        <v>0</v>
      </c>
      <c r="W3105" t="s">
        <v>29</v>
      </c>
      <c r="X3105" t="str">
        <f>IF(Table2[[#This Row],[Qty available]]&gt;Table2[[#This Row],[Qty on hand]],"Check","OK")</f>
        <v>OK</v>
      </c>
    </row>
    <row r="3106" spans="1:24" x14ac:dyDescent="0.3">
      <c r="A3106" t="s">
        <v>319</v>
      </c>
      <c r="B3106" t="s">
        <v>320</v>
      </c>
      <c r="C3106" t="s">
        <v>25</v>
      </c>
      <c r="D3106" t="s">
        <v>26</v>
      </c>
      <c r="E3106" t="s">
        <v>66</v>
      </c>
      <c r="F3106" s="1" t="s">
        <v>37</v>
      </c>
      <c r="G3106" s="2">
        <v>2.38</v>
      </c>
      <c r="H3106">
        <v>2.38</v>
      </c>
      <c r="I3106">
        <v>2.35989</v>
      </c>
      <c r="J3106">
        <v>3.29</v>
      </c>
      <c r="K3106">
        <v>31</v>
      </c>
      <c r="M3106">
        <v>0</v>
      </c>
      <c r="N3106" s="2">
        <v>181</v>
      </c>
      <c r="O3106">
        <v>427.14</v>
      </c>
      <c r="P3106">
        <v>181</v>
      </c>
      <c r="Q3106">
        <v>0</v>
      </c>
      <c r="R3106">
        <v>1.01</v>
      </c>
      <c r="S3106">
        <v>0</v>
      </c>
      <c r="T3106">
        <v>977</v>
      </c>
      <c r="U3106" s="2">
        <v>3214.33</v>
      </c>
      <c r="V3106">
        <v>0</v>
      </c>
      <c r="W3106" t="s">
        <v>29</v>
      </c>
      <c r="X3106" t="str">
        <f>IF(Table2[[#This Row],[Qty available]]&gt;Table2[[#This Row],[Qty on hand]],"Check","OK")</f>
        <v>OK</v>
      </c>
    </row>
    <row r="3107" spans="1:24" x14ac:dyDescent="0.3">
      <c r="A3107" t="s">
        <v>319</v>
      </c>
      <c r="B3107" t="s">
        <v>320</v>
      </c>
      <c r="C3107" t="s">
        <v>25</v>
      </c>
      <c r="D3107" t="s">
        <v>26</v>
      </c>
      <c r="E3107" t="s">
        <v>66</v>
      </c>
      <c r="F3107" s="1" t="s">
        <v>38</v>
      </c>
      <c r="G3107" s="2">
        <v>2.46</v>
      </c>
      <c r="H3107">
        <v>2.46</v>
      </c>
      <c r="I3107">
        <v>2.35989</v>
      </c>
      <c r="J3107">
        <v>3.29</v>
      </c>
      <c r="K3107">
        <v>31</v>
      </c>
      <c r="M3107">
        <v>0</v>
      </c>
      <c r="N3107" s="2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181</v>
      </c>
      <c r="U3107" s="2">
        <v>595.49</v>
      </c>
      <c r="V3107">
        <v>817</v>
      </c>
      <c r="W3107" t="s">
        <v>59</v>
      </c>
      <c r="X3107" t="str">
        <f>IF(Table2[[#This Row],[Qty available]]&gt;Table2[[#This Row],[Qty on hand]],"Check","OK")</f>
        <v>OK</v>
      </c>
    </row>
    <row r="3108" spans="1:24" x14ac:dyDescent="0.3">
      <c r="A3108" t="s">
        <v>319</v>
      </c>
      <c r="B3108" t="s">
        <v>320</v>
      </c>
      <c r="C3108" t="s">
        <v>25</v>
      </c>
      <c r="D3108" t="s">
        <v>26</v>
      </c>
      <c r="E3108" t="s">
        <v>66</v>
      </c>
      <c r="F3108" s="1" t="s">
        <v>39</v>
      </c>
      <c r="G3108" s="2">
        <v>2.48</v>
      </c>
      <c r="H3108">
        <v>2.48</v>
      </c>
      <c r="I3108">
        <v>2.48</v>
      </c>
      <c r="J3108">
        <v>3.29</v>
      </c>
      <c r="K3108">
        <v>31</v>
      </c>
      <c r="L3108" s="2">
        <v>30</v>
      </c>
      <c r="M3108">
        <v>1717</v>
      </c>
      <c r="N3108" s="2">
        <v>807</v>
      </c>
      <c r="O3108">
        <v>2001.36</v>
      </c>
      <c r="P3108">
        <v>171</v>
      </c>
      <c r="Q3108">
        <v>636</v>
      </c>
      <c r="R3108">
        <v>5.13</v>
      </c>
      <c r="S3108">
        <v>0</v>
      </c>
      <c r="T3108">
        <v>910</v>
      </c>
      <c r="U3108" s="2">
        <v>2993.9</v>
      </c>
      <c r="V3108">
        <v>0</v>
      </c>
      <c r="W3108" t="s">
        <v>29</v>
      </c>
      <c r="X3108" t="str">
        <f>IF(Table2[[#This Row],[Qty available]]&gt;Table2[[#This Row],[Qty on hand]],"Check","OK")</f>
        <v>OK</v>
      </c>
    </row>
    <row r="3109" spans="1:24" x14ac:dyDescent="0.3">
      <c r="A3109" t="s">
        <v>319</v>
      </c>
      <c r="B3109" t="s">
        <v>320</v>
      </c>
      <c r="C3109" t="s">
        <v>25</v>
      </c>
      <c r="D3109" t="s">
        <v>26</v>
      </c>
      <c r="E3109" t="s">
        <v>66</v>
      </c>
      <c r="F3109" s="1" t="s">
        <v>40</v>
      </c>
      <c r="G3109" s="2">
        <v>2.46</v>
      </c>
      <c r="H3109">
        <v>2.46</v>
      </c>
      <c r="I3109">
        <v>2.4736549999999999</v>
      </c>
      <c r="J3109">
        <v>3.29</v>
      </c>
      <c r="K3109">
        <v>31</v>
      </c>
      <c r="L3109" s="2">
        <v>27</v>
      </c>
      <c r="M3109">
        <v>376</v>
      </c>
      <c r="N3109" s="2">
        <v>394</v>
      </c>
      <c r="O3109">
        <v>974.62</v>
      </c>
      <c r="P3109">
        <v>146</v>
      </c>
      <c r="Q3109">
        <v>248</v>
      </c>
      <c r="R3109">
        <v>2.75</v>
      </c>
      <c r="S3109">
        <v>1</v>
      </c>
      <c r="T3109">
        <v>789</v>
      </c>
      <c r="U3109" s="2">
        <v>2595.81</v>
      </c>
      <c r="V3109">
        <v>0</v>
      </c>
      <c r="W3109" t="s">
        <v>29</v>
      </c>
      <c r="X3109" t="str">
        <f>IF(Table2[[#This Row],[Qty available]]&gt;Table2[[#This Row],[Qty on hand]],"Check","OK")</f>
        <v>OK</v>
      </c>
    </row>
    <row r="3110" spans="1:24" x14ac:dyDescent="0.3">
      <c r="A3110" t="s">
        <v>319</v>
      </c>
      <c r="B3110" t="s">
        <v>320</v>
      </c>
      <c r="C3110" t="s">
        <v>25</v>
      </c>
      <c r="D3110" t="s">
        <v>26</v>
      </c>
      <c r="E3110" t="s">
        <v>66</v>
      </c>
      <c r="F3110" s="1" t="s">
        <v>41</v>
      </c>
      <c r="G3110" s="2">
        <v>2.46</v>
      </c>
      <c r="H3110">
        <v>2.46</v>
      </c>
      <c r="I3110">
        <v>2.462323</v>
      </c>
      <c r="J3110">
        <v>3.29</v>
      </c>
      <c r="K3110">
        <v>31</v>
      </c>
      <c r="L3110" s="2">
        <v>30</v>
      </c>
      <c r="M3110">
        <v>1920</v>
      </c>
      <c r="N3110" s="2">
        <v>1670</v>
      </c>
      <c r="O3110">
        <v>4112.08</v>
      </c>
      <c r="P3110">
        <v>195</v>
      </c>
      <c r="Q3110">
        <v>1475</v>
      </c>
      <c r="R3110">
        <v>9.3699999999999992</v>
      </c>
      <c r="S3110">
        <v>0</v>
      </c>
      <c r="T3110">
        <v>644</v>
      </c>
      <c r="U3110" s="2">
        <v>2118.7600000000002</v>
      </c>
      <c r="V3110">
        <v>0</v>
      </c>
      <c r="W3110" t="s">
        <v>29</v>
      </c>
      <c r="X3110" t="str">
        <f>IF(Table2[[#This Row],[Qty available]]&gt;Table2[[#This Row],[Qty on hand]],"Check","OK")</f>
        <v>OK</v>
      </c>
    </row>
    <row r="3111" spans="1:24" x14ac:dyDescent="0.3">
      <c r="A3111" t="s">
        <v>319</v>
      </c>
      <c r="B3111" t="s">
        <v>320</v>
      </c>
      <c r="C3111" t="s">
        <v>25</v>
      </c>
      <c r="D3111" t="s">
        <v>26</v>
      </c>
      <c r="E3111" t="s">
        <v>66</v>
      </c>
      <c r="F3111" s="1" t="s">
        <v>42</v>
      </c>
      <c r="G3111" s="2">
        <v>2.46</v>
      </c>
      <c r="H3111">
        <v>2.46</v>
      </c>
      <c r="I3111">
        <v>2.4623210000000002</v>
      </c>
      <c r="J3111">
        <v>3.29</v>
      </c>
      <c r="K3111">
        <v>31</v>
      </c>
      <c r="M3111">
        <v>0</v>
      </c>
      <c r="N3111" s="2">
        <v>978</v>
      </c>
      <c r="O3111">
        <v>2408.15</v>
      </c>
      <c r="P3111">
        <v>122</v>
      </c>
      <c r="Q3111">
        <v>856</v>
      </c>
      <c r="R3111">
        <v>6.05</v>
      </c>
      <c r="S3111">
        <v>0</v>
      </c>
      <c r="T3111">
        <v>692</v>
      </c>
      <c r="U3111" s="2">
        <v>2276.6799999999998</v>
      </c>
      <c r="V3111">
        <v>0</v>
      </c>
      <c r="W3111" t="s">
        <v>29</v>
      </c>
      <c r="X3111" t="str">
        <f>IF(Table2[[#This Row],[Qty available]]&gt;Table2[[#This Row],[Qty on hand]],"Check","OK")</f>
        <v>OK</v>
      </c>
    </row>
    <row r="3112" spans="1:24" x14ac:dyDescent="0.3">
      <c r="A3112" t="s">
        <v>319</v>
      </c>
      <c r="B3112" t="s">
        <v>320</v>
      </c>
      <c r="C3112" t="s">
        <v>25</v>
      </c>
      <c r="D3112" t="s">
        <v>26</v>
      </c>
      <c r="E3112" t="s">
        <v>66</v>
      </c>
      <c r="F3112" s="1" t="s">
        <v>43</v>
      </c>
      <c r="G3112" s="2">
        <v>2.42</v>
      </c>
      <c r="H3112">
        <v>2.42</v>
      </c>
      <c r="I3112">
        <v>2.4393419999999999</v>
      </c>
      <c r="J3112">
        <v>3.29</v>
      </c>
      <c r="K3112">
        <v>31</v>
      </c>
      <c r="L3112" s="2">
        <v>30</v>
      </c>
      <c r="M3112">
        <v>1162</v>
      </c>
      <c r="N3112" s="2">
        <v>1019</v>
      </c>
      <c r="O3112">
        <v>2485.69</v>
      </c>
      <c r="P3112">
        <v>73</v>
      </c>
      <c r="Q3112">
        <v>946</v>
      </c>
      <c r="R3112">
        <v>5.39</v>
      </c>
      <c r="S3112">
        <v>0</v>
      </c>
      <c r="T3112">
        <v>1121</v>
      </c>
      <c r="U3112" s="2">
        <v>3688.09</v>
      </c>
      <c r="V3112">
        <v>0</v>
      </c>
      <c r="W3112" t="s">
        <v>29</v>
      </c>
      <c r="X3112" t="str">
        <f>IF(Table2[[#This Row],[Qty available]]&gt;Table2[[#This Row],[Qty on hand]],"Check","OK")</f>
        <v>OK</v>
      </c>
    </row>
    <row r="3113" spans="1:24" x14ac:dyDescent="0.3">
      <c r="A3113" t="s">
        <v>319</v>
      </c>
      <c r="B3113" t="s">
        <v>320</v>
      </c>
      <c r="C3113" t="s">
        <v>25</v>
      </c>
      <c r="D3113" t="s">
        <v>26</v>
      </c>
      <c r="E3113" t="s">
        <v>66</v>
      </c>
      <c r="F3113" s="1" t="s">
        <v>44</v>
      </c>
      <c r="G3113" s="2">
        <v>2.38</v>
      </c>
      <c r="H3113">
        <v>2.38</v>
      </c>
      <c r="I3113">
        <v>2.439346</v>
      </c>
      <c r="J3113">
        <v>3.29</v>
      </c>
      <c r="K3113">
        <v>31</v>
      </c>
      <c r="M3113">
        <v>0</v>
      </c>
      <c r="N3113" s="2">
        <v>918</v>
      </c>
      <c r="O3113">
        <v>2239.3200000000002</v>
      </c>
      <c r="P3113">
        <v>195</v>
      </c>
      <c r="Q3113">
        <v>723</v>
      </c>
      <c r="R3113">
        <v>6.3</v>
      </c>
      <c r="S3113">
        <v>8</v>
      </c>
      <c r="T3113">
        <v>101</v>
      </c>
      <c r="U3113" s="2">
        <v>332.29</v>
      </c>
      <c r="V3113">
        <v>0</v>
      </c>
      <c r="W3113" t="s">
        <v>29</v>
      </c>
      <c r="X3113" t="str">
        <f>IF(Table2[[#This Row],[Qty available]]&gt;Table2[[#This Row],[Qty on hand]],"Check","OK")</f>
        <v>OK</v>
      </c>
    </row>
    <row r="3114" spans="1:24" x14ac:dyDescent="0.3">
      <c r="A3114" t="s">
        <v>319</v>
      </c>
      <c r="B3114" t="s">
        <v>320</v>
      </c>
      <c r="C3114" t="s">
        <v>25</v>
      </c>
      <c r="D3114" t="s">
        <v>26</v>
      </c>
      <c r="E3114" t="s">
        <v>66</v>
      </c>
      <c r="F3114" s="1" t="s">
        <v>45</v>
      </c>
      <c r="G3114" s="2">
        <v>2.4500000000000002</v>
      </c>
      <c r="H3114">
        <v>2.4500000000000002</v>
      </c>
      <c r="I3114">
        <v>2.4450889999999998</v>
      </c>
      <c r="J3114">
        <v>3.29</v>
      </c>
      <c r="K3114">
        <v>31</v>
      </c>
      <c r="L3114" s="2">
        <v>28</v>
      </c>
      <c r="M3114">
        <v>1071</v>
      </c>
      <c r="N3114" s="2">
        <v>786</v>
      </c>
      <c r="O3114">
        <v>1921.84</v>
      </c>
      <c r="P3114">
        <v>171</v>
      </c>
      <c r="Q3114">
        <v>615</v>
      </c>
      <c r="R3114">
        <v>4.26</v>
      </c>
      <c r="S3114">
        <v>0</v>
      </c>
      <c r="T3114">
        <v>1203</v>
      </c>
      <c r="U3114" s="2">
        <v>3957.87</v>
      </c>
      <c r="V3114">
        <v>0</v>
      </c>
      <c r="W3114" t="s">
        <v>29</v>
      </c>
      <c r="X3114" t="str">
        <f>IF(Table2[[#This Row],[Qty available]]&gt;Table2[[#This Row],[Qty on hand]],"Check","OK")</f>
        <v>OK</v>
      </c>
    </row>
    <row r="3115" spans="1:24" x14ac:dyDescent="0.3">
      <c r="A3115" t="s">
        <v>319</v>
      </c>
      <c r="B3115" t="s">
        <v>320</v>
      </c>
      <c r="C3115" t="s">
        <v>25</v>
      </c>
      <c r="D3115" t="s">
        <v>26</v>
      </c>
      <c r="E3115" t="s">
        <v>66</v>
      </c>
      <c r="F3115" s="1" t="s">
        <v>46</v>
      </c>
      <c r="G3115" s="2">
        <v>2.4700000000000002</v>
      </c>
      <c r="H3115">
        <v>2.4700000000000002</v>
      </c>
      <c r="I3115">
        <v>2.4450889999999998</v>
      </c>
      <c r="J3115">
        <v>3.44</v>
      </c>
      <c r="K3115">
        <v>31</v>
      </c>
      <c r="M3115">
        <v>0</v>
      </c>
      <c r="N3115" s="2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786</v>
      </c>
      <c r="U3115" s="2">
        <v>2703.84</v>
      </c>
      <c r="V3115">
        <v>110</v>
      </c>
      <c r="W3115" t="s">
        <v>59</v>
      </c>
      <c r="X3115" t="str">
        <f>IF(Table2[[#This Row],[Qty available]]&gt;Table2[[#This Row],[Qty on hand]],"Check","OK")</f>
        <v>OK</v>
      </c>
    </row>
    <row r="3116" spans="1:24" x14ac:dyDescent="0.3">
      <c r="A3116" t="s">
        <v>319</v>
      </c>
      <c r="B3116" t="s">
        <v>320</v>
      </c>
      <c r="C3116" t="s">
        <v>25</v>
      </c>
      <c r="D3116" t="s">
        <v>26</v>
      </c>
      <c r="E3116" t="s">
        <v>66</v>
      </c>
      <c r="F3116" s="1" t="s">
        <v>47</v>
      </c>
      <c r="G3116" s="2">
        <v>2.41</v>
      </c>
      <c r="H3116">
        <v>2.41</v>
      </c>
      <c r="I3116">
        <v>2.41</v>
      </c>
      <c r="J3116">
        <v>3.44</v>
      </c>
      <c r="K3116">
        <v>31</v>
      </c>
      <c r="L3116" s="2">
        <v>28</v>
      </c>
      <c r="M3116">
        <v>1938</v>
      </c>
      <c r="N3116" s="2">
        <v>1296</v>
      </c>
      <c r="O3116">
        <v>3123.36</v>
      </c>
      <c r="P3116">
        <v>122</v>
      </c>
      <c r="Q3116">
        <v>1174</v>
      </c>
      <c r="R3116">
        <v>6.33</v>
      </c>
      <c r="S3116">
        <v>0</v>
      </c>
      <c r="T3116">
        <v>642</v>
      </c>
      <c r="U3116" s="2">
        <v>2208.48</v>
      </c>
      <c r="V3116">
        <v>0</v>
      </c>
      <c r="W3116" t="s">
        <v>29</v>
      </c>
      <c r="X3116" t="str">
        <f>IF(Table2[[#This Row],[Qty available]]&gt;Table2[[#This Row],[Qty on hand]],"Check","OK")</f>
        <v>OK</v>
      </c>
    </row>
    <row r="3117" spans="1:24" x14ac:dyDescent="0.3">
      <c r="A3117" t="s">
        <v>319</v>
      </c>
      <c r="B3117" t="s">
        <v>320</v>
      </c>
      <c r="C3117" t="s">
        <v>25</v>
      </c>
      <c r="D3117" t="s">
        <v>26</v>
      </c>
      <c r="E3117" t="s">
        <v>66</v>
      </c>
      <c r="F3117" s="1" t="s">
        <v>48</v>
      </c>
      <c r="G3117" s="2">
        <v>2.52</v>
      </c>
      <c r="H3117">
        <v>2.52</v>
      </c>
      <c r="I3117">
        <v>2.41</v>
      </c>
      <c r="J3117">
        <v>3.44</v>
      </c>
      <c r="K3117">
        <v>31</v>
      </c>
      <c r="M3117">
        <v>0</v>
      </c>
      <c r="N3117" s="2">
        <v>777</v>
      </c>
      <c r="O3117">
        <v>1872.57</v>
      </c>
      <c r="P3117">
        <v>244</v>
      </c>
      <c r="Q3117">
        <v>533</v>
      </c>
      <c r="R3117">
        <v>5.07</v>
      </c>
      <c r="S3117">
        <v>0</v>
      </c>
      <c r="T3117">
        <v>519</v>
      </c>
      <c r="U3117" s="2">
        <v>1785.36</v>
      </c>
      <c r="V3117">
        <v>0</v>
      </c>
      <c r="W3117" t="s">
        <v>29</v>
      </c>
      <c r="X3117" t="str">
        <f>IF(Table2[[#This Row],[Qty available]]&gt;Table2[[#This Row],[Qty on hand]],"Check","OK")</f>
        <v>OK</v>
      </c>
    </row>
    <row r="3118" spans="1:24" x14ac:dyDescent="0.3">
      <c r="A3118" t="s">
        <v>319</v>
      </c>
      <c r="B3118" t="s">
        <v>320</v>
      </c>
      <c r="C3118" t="s">
        <v>25</v>
      </c>
      <c r="D3118" t="s">
        <v>26</v>
      </c>
      <c r="E3118" t="s">
        <v>66</v>
      </c>
      <c r="F3118" s="1" t="s">
        <v>49</v>
      </c>
      <c r="G3118" s="2">
        <v>2.52</v>
      </c>
      <c r="H3118">
        <v>2.52</v>
      </c>
      <c r="I3118">
        <v>2.4770479999999999</v>
      </c>
      <c r="J3118">
        <v>3.44</v>
      </c>
      <c r="K3118">
        <v>31</v>
      </c>
      <c r="L3118" s="2">
        <v>28</v>
      </c>
      <c r="M3118">
        <v>1213</v>
      </c>
      <c r="N3118" s="2">
        <v>1477</v>
      </c>
      <c r="O3118">
        <v>3658.6</v>
      </c>
      <c r="P3118">
        <v>195</v>
      </c>
      <c r="Q3118">
        <v>1282</v>
      </c>
      <c r="R3118">
        <v>11.6</v>
      </c>
      <c r="S3118">
        <v>1</v>
      </c>
      <c r="T3118">
        <v>513</v>
      </c>
      <c r="U3118" s="2">
        <v>1764.72</v>
      </c>
      <c r="V3118">
        <v>0</v>
      </c>
      <c r="W3118" t="s">
        <v>29</v>
      </c>
      <c r="X3118" t="str">
        <f>IF(Table2[[#This Row],[Qty available]]&gt;Table2[[#This Row],[Qty on hand]],"Check","OK")</f>
        <v>OK</v>
      </c>
    </row>
    <row r="3119" spans="1:24" x14ac:dyDescent="0.3">
      <c r="A3119" t="s">
        <v>319</v>
      </c>
      <c r="B3119" t="s">
        <v>320</v>
      </c>
      <c r="C3119" t="s">
        <v>25</v>
      </c>
      <c r="D3119" t="s">
        <v>26</v>
      </c>
      <c r="E3119" t="s">
        <v>66</v>
      </c>
      <c r="F3119" s="1" t="s">
        <v>50</v>
      </c>
      <c r="G3119" s="2">
        <v>2.48</v>
      </c>
      <c r="H3119">
        <v>2.48</v>
      </c>
      <c r="I3119">
        <v>2.4781840000000002</v>
      </c>
      <c r="J3119">
        <v>3.44</v>
      </c>
      <c r="K3119">
        <v>31</v>
      </c>
      <c r="L3119" s="2">
        <v>30</v>
      </c>
      <c r="M3119">
        <v>920</v>
      </c>
      <c r="N3119" s="2">
        <v>947</v>
      </c>
      <c r="O3119">
        <v>2346.84</v>
      </c>
      <c r="P3119">
        <v>146</v>
      </c>
      <c r="Q3119">
        <v>801</v>
      </c>
      <c r="R3119">
        <v>4.96</v>
      </c>
      <c r="S3119">
        <v>0</v>
      </c>
      <c r="T3119">
        <v>1450</v>
      </c>
      <c r="U3119" s="2">
        <v>4988</v>
      </c>
      <c r="V3119">
        <v>0</v>
      </c>
      <c r="W3119" t="s">
        <v>29</v>
      </c>
      <c r="X3119" t="str">
        <f>IF(Table2[[#This Row],[Qty available]]&gt;Table2[[#This Row],[Qty on hand]],"Check","OK")</f>
        <v>OK</v>
      </c>
    </row>
    <row r="3120" spans="1:24" x14ac:dyDescent="0.3">
      <c r="A3120" t="s">
        <v>319</v>
      </c>
      <c r="B3120" t="s">
        <v>320</v>
      </c>
      <c r="C3120" t="s">
        <v>25</v>
      </c>
      <c r="D3120" t="s">
        <v>26</v>
      </c>
      <c r="E3120" t="s">
        <v>66</v>
      </c>
      <c r="F3120" s="1" t="s">
        <v>51</v>
      </c>
      <c r="G3120" s="2">
        <v>2.5099999999999998</v>
      </c>
      <c r="H3120">
        <v>2.5099999999999998</v>
      </c>
      <c r="I3120">
        <v>2.480248</v>
      </c>
      <c r="J3120">
        <v>3.44</v>
      </c>
      <c r="K3120">
        <v>31</v>
      </c>
      <c r="L3120" s="2">
        <v>29</v>
      </c>
      <c r="M3120">
        <v>66</v>
      </c>
      <c r="N3120" s="2">
        <v>403</v>
      </c>
      <c r="O3120">
        <v>999.54</v>
      </c>
      <c r="P3120">
        <v>73</v>
      </c>
      <c r="Q3120">
        <v>330</v>
      </c>
      <c r="R3120">
        <v>2.06</v>
      </c>
      <c r="S3120">
        <v>0</v>
      </c>
      <c r="T3120">
        <v>610</v>
      </c>
      <c r="U3120" s="2">
        <v>2098.4</v>
      </c>
      <c r="V3120">
        <v>0</v>
      </c>
      <c r="W3120" t="s">
        <v>29</v>
      </c>
      <c r="X3120" t="str">
        <f>IF(Table2[[#This Row],[Qty available]]&gt;Table2[[#This Row],[Qty on hand]],"Check","OK")</f>
        <v>OK</v>
      </c>
    </row>
    <row r="3121" spans="1:24" x14ac:dyDescent="0.3">
      <c r="A3121" t="s">
        <v>319</v>
      </c>
      <c r="B3121" t="s">
        <v>320</v>
      </c>
      <c r="C3121" t="s">
        <v>25</v>
      </c>
      <c r="D3121" t="s">
        <v>26</v>
      </c>
      <c r="E3121" t="s">
        <v>66</v>
      </c>
      <c r="F3121" s="1" t="s">
        <v>52</v>
      </c>
      <c r="G3121" s="2">
        <v>2.46</v>
      </c>
      <c r="H3121">
        <v>2.46</v>
      </c>
      <c r="I3121">
        <v>2.480248</v>
      </c>
      <c r="J3121">
        <v>3.44</v>
      </c>
      <c r="K3121">
        <v>31</v>
      </c>
      <c r="M3121">
        <v>0</v>
      </c>
      <c r="N3121" s="2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403</v>
      </c>
      <c r="U3121" s="2">
        <v>1386.32</v>
      </c>
      <c r="V3121">
        <v>638</v>
      </c>
      <c r="W3121" t="s">
        <v>59</v>
      </c>
      <c r="X3121" t="str">
        <f>IF(Table2[[#This Row],[Qty available]]&gt;Table2[[#This Row],[Qty on hand]],"Check","OK")</f>
        <v>OK</v>
      </c>
    </row>
    <row r="3122" spans="1:24" x14ac:dyDescent="0.3">
      <c r="A3122" t="s">
        <v>321</v>
      </c>
      <c r="B3122" t="s">
        <v>322</v>
      </c>
      <c r="C3122" t="s">
        <v>77</v>
      </c>
      <c r="D3122" t="s">
        <v>78</v>
      </c>
      <c r="E3122" t="s">
        <v>27</v>
      </c>
      <c r="F3122" s="1" t="s">
        <v>28</v>
      </c>
      <c r="G3122" s="2">
        <v>1.54</v>
      </c>
      <c r="H3122">
        <v>1.68</v>
      </c>
      <c r="I3122">
        <v>1.6929970000000001</v>
      </c>
      <c r="J3122">
        <v>2.2799999999999998</v>
      </c>
      <c r="K3122">
        <v>59</v>
      </c>
      <c r="L3122" s="2">
        <v>53</v>
      </c>
      <c r="M3122">
        <v>282</v>
      </c>
      <c r="N3122" s="2">
        <v>347</v>
      </c>
      <c r="O3122">
        <v>587.47</v>
      </c>
      <c r="P3122">
        <v>55</v>
      </c>
      <c r="Q3122">
        <v>292</v>
      </c>
      <c r="R3122">
        <v>7.23</v>
      </c>
      <c r="S3122">
        <v>6</v>
      </c>
      <c r="T3122">
        <v>69</v>
      </c>
      <c r="U3122" s="2">
        <v>157.32</v>
      </c>
      <c r="V3122">
        <v>0</v>
      </c>
      <c r="W3122" t="s">
        <v>29</v>
      </c>
      <c r="X3122" t="str">
        <f>IF(Table2[[#This Row],[Qty available]]&gt;Table2[[#This Row],[Qty on hand]],"Check","OK")</f>
        <v>OK</v>
      </c>
    </row>
    <row r="3123" spans="1:24" x14ac:dyDescent="0.3">
      <c r="A3123" t="s">
        <v>321</v>
      </c>
      <c r="B3123" t="s">
        <v>322</v>
      </c>
      <c r="C3123" t="s">
        <v>77</v>
      </c>
      <c r="D3123" t="s">
        <v>78</v>
      </c>
      <c r="E3123" t="s">
        <v>27</v>
      </c>
      <c r="F3123" s="1" t="s">
        <v>30</v>
      </c>
      <c r="G3123" s="2">
        <v>1.57</v>
      </c>
      <c r="H3123">
        <v>1.71</v>
      </c>
      <c r="I3123">
        <v>1.6929829999999999</v>
      </c>
      <c r="J3123">
        <v>2.2799999999999998</v>
      </c>
      <c r="K3123">
        <v>59</v>
      </c>
      <c r="M3123">
        <v>0</v>
      </c>
      <c r="N3123" s="2">
        <v>238</v>
      </c>
      <c r="O3123">
        <v>402.93</v>
      </c>
      <c r="P3123">
        <v>49</v>
      </c>
      <c r="Q3123">
        <v>189</v>
      </c>
      <c r="R3123">
        <v>7.63</v>
      </c>
      <c r="S3123">
        <v>0</v>
      </c>
      <c r="T3123">
        <v>109</v>
      </c>
      <c r="U3123" s="2">
        <v>248.52</v>
      </c>
      <c r="V3123">
        <v>0</v>
      </c>
      <c r="W3123" t="s">
        <v>29</v>
      </c>
      <c r="X3123" t="str">
        <f>IF(Table2[[#This Row],[Qty available]]&gt;Table2[[#This Row],[Qty on hand]],"Check","OK")</f>
        <v>OK</v>
      </c>
    </row>
    <row r="3124" spans="1:24" x14ac:dyDescent="0.3">
      <c r="A3124" t="s">
        <v>321</v>
      </c>
      <c r="B3124" t="s">
        <v>322</v>
      </c>
      <c r="C3124" t="s">
        <v>77</v>
      </c>
      <c r="D3124" t="s">
        <v>78</v>
      </c>
      <c r="E3124" t="s">
        <v>27</v>
      </c>
      <c r="F3124" s="1" t="s">
        <v>31</v>
      </c>
      <c r="G3124" s="2">
        <v>1.56</v>
      </c>
      <c r="H3124">
        <v>1.7</v>
      </c>
      <c r="I3124">
        <v>1.696561</v>
      </c>
      <c r="J3124">
        <v>2.2799999999999998</v>
      </c>
      <c r="K3124">
        <v>59</v>
      </c>
      <c r="L3124" s="2">
        <v>87</v>
      </c>
      <c r="M3124">
        <v>248</v>
      </c>
      <c r="N3124" s="2">
        <v>253</v>
      </c>
      <c r="O3124">
        <v>429.23</v>
      </c>
      <c r="P3124">
        <v>18</v>
      </c>
      <c r="Q3124">
        <v>235</v>
      </c>
      <c r="R3124">
        <v>8</v>
      </c>
      <c r="S3124">
        <v>1</v>
      </c>
      <c r="T3124">
        <v>233</v>
      </c>
      <c r="U3124" s="2">
        <v>531.24</v>
      </c>
      <c r="V3124">
        <v>0</v>
      </c>
      <c r="W3124" t="s">
        <v>29</v>
      </c>
      <c r="X3124" t="str">
        <f>IF(Table2[[#This Row],[Qty available]]&gt;Table2[[#This Row],[Qty on hand]],"Check","OK")</f>
        <v>OK</v>
      </c>
    </row>
    <row r="3125" spans="1:24" x14ac:dyDescent="0.3">
      <c r="A3125" t="s">
        <v>321</v>
      </c>
      <c r="B3125" t="s">
        <v>322</v>
      </c>
      <c r="C3125" t="s">
        <v>77</v>
      </c>
      <c r="D3125" t="s">
        <v>78</v>
      </c>
      <c r="E3125" t="s">
        <v>27</v>
      </c>
      <c r="F3125" s="1" t="s">
        <v>32</v>
      </c>
      <c r="G3125" s="2">
        <v>1.57</v>
      </c>
      <c r="H3125">
        <v>1.71</v>
      </c>
      <c r="I3125">
        <v>1.6965809999999999</v>
      </c>
      <c r="J3125">
        <v>2.2799999999999998</v>
      </c>
      <c r="K3125">
        <v>59</v>
      </c>
      <c r="M3125">
        <v>0</v>
      </c>
      <c r="N3125" s="2">
        <v>117</v>
      </c>
      <c r="O3125">
        <v>198.5</v>
      </c>
      <c r="P3125">
        <v>12</v>
      </c>
      <c r="Q3125">
        <v>105</v>
      </c>
      <c r="R3125">
        <v>3.22</v>
      </c>
      <c r="S3125">
        <v>0</v>
      </c>
      <c r="T3125">
        <v>136</v>
      </c>
      <c r="U3125" s="2">
        <v>310.08</v>
      </c>
      <c r="V3125">
        <v>0</v>
      </c>
      <c r="W3125" t="s">
        <v>29</v>
      </c>
      <c r="X3125" t="str">
        <f>IF(Table2[[#This Row],[Qty available]]&gt;Table2[[#This Row],[Qty on hand]],"Check","OK")</f>
        <v>OK</v>
      </c>
    </row>
    <row r="3126" spans="1:24" x14ac:dyDescent="0.3">
      <c r="A3126" t="s">
        <v>321</v>
      </c>
      <c r="B3126" t="s">
        <v>322</v>
      </c>
      <c r="C3126" t="s">
        <v>77</v>
      </c>
      <c r="D3126" t="s">
        <v>78</v>
      </c>
      <c r="E3126" t="s">
        <v>27</v>
      </c>
      <c r="F3126" s="1" t="s">
        <v>33</v>
      </c>
      <c r="G3126" s="2">
        <v>1.53</v>
      </c>
      <c r="H3126">
        <v>1.67</v>
      </c>
      <c r="I3126">
        <v>1.6821740000000001</v>
      </c>
      <c r="J3126">
        <v>2.2799999999999998</v>
      </c>
      <c r="K3126">
        <v>59</v>
      </c>
      <c r="L3126" s="2">
        <v>56</v>
      </c>
      <c r="M3126">
        <v>140</v>
      </c>
      <c r="N3126" s="2">
        <v>46</v>
      </c>
      <c r="O3126">
        <v>77.38</v>
      </c>
      <c r="P3126">
        <v>46</v>
      </c>
      <c r="Q3126">
        <v>0</v>
      </c>
      <c r="R3126">
        <v>1.04</v>
      </c>
      <c r="S3126">
        <v>2</v>
      </c>
      <c r="T3126">
        <v>211</v>
      </c>
      <c r="U3126" s="2">
        <v>481.08</v>
      </c>
      <c r="V3126">
        <v>0</v>
      </c>
      <c r="W3126" t="s">
        <v>29</v>
      </c>
      <c r="X3126" t="str">
        <f>IF(Table2[[#This Row],[Qty available]]&gt;Table2[[#This Row],[Qty on hand]],"Check","OK")</f>
        <v>OK</v>
      </c>
    </row>
    <row r="3127" spans="1:24" x14ac:dyDescent="0.3">
      <c r="A3127" t="s">
        <v>321</v>
      </c>
      <c r="B3127" t="s">
        <v>322</v>
      </c>
      <c r="C3127" t="s">
        <v>77</v>
      </c>
      <c r="D3127" t="s">
        <v>78</v>
      </c>
      <c r="E3127" t="s">
        <v>27</v>
      </c>
      <c r="F3127" s="1" t="s">
        <v>34</v>
      </c>
      <c r="G3127" s="2">
        <v>1.56</v>
      </c>
      <c r="H3127">
        <v>1.7</v>
      </c>
      <c r="I3127">
        <v>1.6821740000000001</v>
      </c>
      <c r="J3127">
        <v>2.37</v>
      </c>
      <c r="K3127">
        <v>59</v>
      </c>
      <c r="M3127">
        <v>0</v>
      </c>
      <c r="N3127" s="2">
        <v>0</v>
      </c>
      <c r="O3127">
        <v>0</v>
      </c>
      <c r="P3127">
        <v>0</v>
      </c>
      <c r="Q3127">
        <v>0</v>
      </c>
      <c r="R3127">
        <v>0</v>
      </c>
      <c r="S3127">
        <v>2</v>
      </c>
      <c r="T3127">
        <v>46</v>
      </c>
      <c r="U3127" s="2">
        <v>109.02</v>
      </c>
      <c r="V3127">
        <v>62</v>
      </c>
      <c r="W3127" t="s">
        <v>59</v>
      </c>
      <c r="X3127" t="str">
        <f>IF(Table2[[#This Row],[Qty available]]&gt;Table2[[#This Row],[Qty on hand]],"Check","OK")</f>
        <v>OK</v>
      </c>
    </row>
    <row r="3128" spans="1:24" x14ac:dyDescent="0.3">
      <c r="A3128" t="s">
        <v>321</v>
      </c>
      <c r="B3128" t="s">
        <v>322</v>
      </c>
      <c r="C3128" t="s">
        <v>77</v>
      </c>
      <c r="D3128" t="s">
        <v>78</v>
      </c>
      <c r="E3128" t="s">
        <v>27</v>
      </c>
      <c r="F3128" s="1" t="s">
        <v>35</v>
      </c>
      <c r="G3128" s="2">
        <v>1.65</v>
      </c>
      <c r="H3128">
        <v>1.8</v>
      </c>
      <c r="I3128">
        <v>1.8</v>
      </c>
      <c r="J3128">
        <v>2.37</v>
      </c>
      <c r="K3128">
        <v>59</v>
      </c>
      <c r="L3128" s="2">
        <v>53</v>
      </c>
      <c r="M3128">
        <v>266</v>
      </c>
      <c r="N3128" s="2">
        <v>197</v>
      </c>
      <c r="O3128">
        <v>354.6</v>
      </c>
      <c r="P3128">
        <v>55</v>
      </c>
      <c r="Q3128">
        <v>142</v>
      </c>
      <c r="R3128">
        <v>7.77</v>
      </c>
      <c r="S3128">
        <v>0</v>
      </c>
      <c r="T3128">
        <v>69</v>
      </c>
      <c r="U3128" s="2">
        <v>163.53</v>
      </c>
      <c r="V3128">
        <v>0</v>
      </c>
      <c r="W3128" t="s">
        <v>29</v>
      </c>
      <c r="X3128" t="str">
        <f>IF(Table2[[#This Row],[Qty available]]&gt;Table2[[#This Row],[Qty on hand]],"Check","OK")</f>
        <v>OK</v>
      </c>
    </row>
    <row r="3129" spans="1:24" x14ac:dyDescent="0.3">
      <c r="A3129" t="s">
        <v>321</v>
      </c>
      <c r="B3129" t="s">
        <v>322</v>
      </c>
      <c r="C3129" t="s">
        <v>77</v>
      </c>
      <c r="D3129" t="s">
        <v>78</v>
      </c>
      <c r="E3129" t="s">
        <v>27</v>
      </c>
      <c r="F3129" s="1" t="s">
        <v>36</v>
      </c>
      <c r="G3129" s="2">
        <v>1.63</v>
      </c>
      <c r="H3129">
        <v>1.78</v>
      </c>
      <c r="I3129">
        <v>1.7864230000000001</v>
      </c>
      <c r="J3129">
        <v>2.37</v>
      </c>
      <c r="K3129">
        <v>59</v>
      </c>
      <c r="L3129" s="2">
        <v>58</v>
      </c>
      <c r="M3129">
        <v>416</v>
      </c>
      <c r="N3129" s="2">
        <v>520</v>
      </c>
      <c r="O3129">
        <v>928.94</v>
      </c>
      <c r="P3129">
        <v>25</v>
      </c>
      <c r="Q3129">
        <v>495</v>
      </c>
      <c r="R3129">
        <v>31.79</v>
      </c>
      <c r="S3129">
        <v>0</v>
      </c>
      <c r="T3129">
        <v>93</v>
      </c>
      <c r="U3129" s="2">
        <v>220.41</v>
      </c>
      <c r="V3129">
        <v>0</v>
      </c>
      <c r="W3129" t="s">
        <v>29</v>
      </c>
      <c r="X3129" t="str">
        <f>IF(Table2[[#This Row],[Qty available]]&gt;Table2[[#This Row],[Qty on hand]],"Check","OK")</f>
        <v>OK</v>
      </c>
    </row>
    <row r="3130" spans="1:24" x14ac:dyDescent="0.3">
      <c r="A3130" t="s">
        <v>321</v>
      </c>
      <c r="B3130" t="s">
        <v>322</v>
      </c>
      <c r="C3130" t="s">
        <v>77</v>
      </c>
      <c r="D3130" t="s">
        <v>78</v>
      </c>
      <c r="E3130" t="s">
        <v>27</v>
      </c>
      <c r="F3130" s="1" t="s">
        <v>37</v>
      </c>
      <c r="G3130" s="2">
        <v>1.68</v>
      </c>
      <c r="H3130">
        <v>1.83</v>
      </c>
      <c r="I3130">
        <v>1.786438</v>
      </c>
      <c r="J3130">
        <v>2.37</v>
      </c>
      <c r="K3130">
        <v>59</v>
      </c>
      <c r="M3130">
        <v>0</v>
      </c>
      <c r="N3130" s="2">
        <v>146</v>
      </c>
      <c r="O3130">
        <v>260.82</v>
      </c>
      <c r="P3130">
        <v>43</v>
      </c>
      <c r="Q3130">
        <v>103</v>
      </c>
      <c r="R3130">
        <v>3.58</v>
      </c>
      <c r="S3130">
        <v>1</v>
      </c>
      <c r="T3130">
        <v>374</v>
      </c>
      <c r="U3130" s="2">
        <v>886.38</v>
      </c>
      <c r="V3130">
        <v>0</v>
      </c>
      <c r="W3130" t="s">
        <v>29</v>
      </c>
      <c r="X3130" t="str">
        <f>IF(Table2[[#This Row],[Qty available]]&gt;Table2[[#This Row],[Qty on hand]],"Check","OK")</f>
        <v>OK</v>
      </c>
    </row>
    <row r="3131" spans="1:24" x14ac:dyDescent="0.3">
      <c r="A3131" t="s">
        <v>321</v>
      </c>
      <c r="B3131" t="s">
        <v>322</v>
      </c>
      <c r="C3131" t="s">
        <v>77</v>
      </c>
      <c r="D3131" t="s">
        <v>78</v>
      </c>
      <c r="E3131" t="s">
        <v>27</v>
      </c>
      <c r="F3131" s="1" t="s">
        <v>38</v>
      </c>
      <c r="G3131" s="2">
        <v>1.68</v>
      </c>
      <c r="H3131">
        <v>1.83</v>
      </c>
      <c r="I3131">
        <v>1.816988</v>
      </c>
      <c r="J3131">
        <v>2.37</v>
      </c>
      <c r="K3131">
        <v>59</v>
      </c>
      <c r="L3131" s="2">
        <v>58</v>
      </c>
      <c r="M3131">
        <v>343</v>
      </c>
      <c r="N3131" s="2">
        <v>322</v>
      </c>
      <c r="O3131">
        <v>585.07000000000005</v>
      </c>
      <c r="P3131">
        <v>25</v>
      </c>
      <c r="Q3131">
        <v>297</v>
      </c>
      <c r="R3131">
        <v>6.6</v>
      </c>
      <c r="S3131">
        <v>1</v>
      </c>
      <c r="T3131">
        <v>167</v>
      </c>
      <c r="U3131" s="2">
        <v>395.79</v>
      </c>
      <c r="V3131">
        <v>0</v>
      </c>
      <c r="W3131" t="s">
        <v>29</v>
      </c>
      <c r="X3131" t="str">
        <f>IF(Table2[[#This Row],[Qty available]]&gt;Table2[[#This Row],[Qty on hand]],"Check","OK")</f>
        <v>OK</v>
      </c>
    </row>
    <row r="3132" spans="1:24" x14ac:dyDescent="0.3">
      <c r="A3132" t="s">
        <v>321</v>
      </c>
      <c r="B3132" t="s">
        <v>322</v>
      </c>
      <c r="C3132" t="s">
        <v>77</v>
      </c>
      <c r="D3132" t="s">
        <v>78</v>
      </c>
      <c r="E3132" t="s">
        <v>27</v>
      </c>
      <c r="F3132" s="1" t="s">
        <v>39</v>
      </c>
      <c r="G3132" s="2">
        <v>1.63</v>
      </c>
      <c r="H3132">
        <v>1.78</v>
      </c>
      <c r="I3132">
        <v>1.816997</v>
      </c>
      <c r="J3132">
        <v>2.37</v>
      </c>
      <c r="K3132">
        <v>59</v>
      </c>
      <c r="M3132">
        <v>0</v>
      </c>
      <c r="N3132" s="2">
        <v>293</v>
      </c>
      <c r="O3132">
        <v>532.38</v>
      </c>
      <c r="P3132">
        <v>18</v>
      </c>
      <c r="Q3132">
        <v>275</v>
      </c>
      <c r="R3132">
        <v>6.76</v>
      </c>
      <c r="S3132">
        <v>3</v>
      </c>
      <c r="T3132">
        <v>29</v>
      </c>
      <c r="U3132" s="2">
        <v>68.73</v>
      </c>
      <c r="V3132">
        <v>0</v>
      </c>
      <c r="W3132" t="s">
        <v>29</v>
      </c>
      <c r="X3132" t="str">
        <f>IF(Table2[[#This Row],[Qty available]]&gt;Table2[[#This Row],[Qty on hand]],"Check","OK")</f>
        <v>OK</v>
      </c>
    </row>
    <row r="3133" spans="1:24" x14ac:dyDescent="0.3">
      <c r="A3133" t="s">
        <v>321</v>
      </c>
      <c r="B3133" t="s">
        <v>322</v>
      </c>
      <c r="C3133" t="s">
        <v>77</v>
      </c>
      <c r="D3133" t="s">
        <v>78</v>
      </c>
      <c r="E3133" t="s">
        <v>27</v>
      </c>
      <c r="F3133" s="1" t="s">
        <v>40</v>
      </c>
      <c r="G3133" s="2">
        <v>1.68</v>
      </c>
      <c r="H3133">
        <v>1.83</v>
      </c>
      <c r="I3133">
        <v>1.820802</v>
      </c>
      <c r="J3133">
        <v>2.37</v>
      </c>
      <c r="K3133">
        <v>59</v>
      </c>
      <c r="L3133" s="2">
        <v>56</v>
      </c>
      <c r="M3133">
        <v>121</v>
      </c>
      <c r="N3133" s="2">
        <v>262</v>
      </c>
      <c r="O3133">
        <v>477.05</v>
      </c>
      <c r="P3133">
        <v>25</v>
      </c>
      <c r="Q3133">
        <v>237</v>
      </c>
      <c r="R3133">
        <v>9.89</v>
      </c>
      <c r="S3133">
        <v>4</v>
      </c>
      <c r="T3133">
        <v>152</v>
      </c>
      <c r="U3133" s="2">
        <v>360.24</v>
      </c>
      <c r="V3133">
        <v>0</v>
      </c>
      <c r="W3133" t="s">
        <v>29</v>
      </c>
      <c r="X3133" t="str">
        <f>IF(Table2[[#This Row],[Qty available]]&gt;Table2[[#This Row],[Qty on hand]],"Check","OK")</f>
        <v>OK</v>
      </c>
    </row>
    <row r="3134" spans="1:24" x14ac:dyDescent="0.3">
      <c r="A3134" t="s">
        <v>321</v>
      </c>
      <c r="B3134" t="s">
        <v>322</v>
      </c>
      <c r="C3134" t="s">
        <v>77</v>
      </c>
      <c r="D3134" t="s">
        <v>78</v>
      </c>
      <c r="E3134" t="s">
        <v>27</v>
      </c>
      <c r="F3134" s="1" t="s">
        <v>41</v>
      </c>
      <c r="G3134" s="2">
        <v>1.67</v>
      </c>
      <c r="H3134">
        <v>1.82</v>
      </c>
      <c r="I3134">
        <v>1.820395</v>
      </c>
      <c r="J3134">
        <v>2.37</v>
      </c>
      <c r="K3134">
        <v>59</v>
      </c>
      <c r="L3134" s="2">
        <v>50</v>
      </c>
      <c r="M3134">
        <v>274</v>
      </c>
      <c r="N3134" s="2">
        <v>506</v>
      </c>
      <c r="O3134">
        <v>921.12</v>
      </c>
      <c r="P3134">
        <v>12</v>
      </c>
      <c r="Q3134">
        <v>494</v>
      </c>
      <c r="R3134">
        <v>31.52</v>
      </c>
      <c r="S3134">
        <v>9</v>
      </c>
      <c r="T3134">
        <v>30</v>
      </c>
      <c r="U3134" s="2">
        <v>71.099999999999994</v>
      </c>
      <c r="V3134">
        <v>0</v>
      </c>
      <c r="W3134" t="s">
        <v>29</v>
      </c>
      <c r="X3134" t="str">
        <f>IF(Table2[[#This Row],[Qty available]]&gt;Table2[[#This Row],[Qty on hand]],"Check","OK")</f>
        <v>OK</v>
      </c>
    </row>
    <row r="3135" spans="1:24" x14ac:dyDescent="0.3">
      <c r="A3135" t="s">
        <v>321</v>
      </c>
      <c r="B3135" t="s">
        <v>322</v>
      </c>
      <c r="C3135" t="s">
        <v>77</v>
      </c>
      <c r="D3135" t="s">
        <v>78</v>
      </c>
      <c r="E3135" t="s">
        <v>27</v>
      </c>
      <c r="F3135" s="1" t="s">
        <v>42</v>
      </c>
      <c r="G3135" s="2">
        <v>1.63</v>
      </c>
      <c r="H3135">
        <v>1.78</v>
      </c>
      <c r="I3135">
        <v>1.8203940000000001</v>
      </c>
      <c r="J3135">
        <v>2.37</v>
      </c>
      <c r="K3135">
        <v>59</v>
      </c>
      <c r="M3135">
        <v>0</v>
      </c>
      <c r="N3135" s="2">
        <v>279</v>
      </c>
      <c r="O3135">
        <v>507.89</v>
      </c>
      <c r="P3135">
        <v>62</v>
      </c>
      <c r="Q3135">
        <v>217</v>
      </c>
      <c r="R3135">
        <v>8.9700000000000006</v>
      </c>
      <c r="S3135">
        <v>0</v>
      </c>
      <c r="T3135">
        <v>227</v>
      </c>
      <c r="U3135" s="2">
        <v>537.99</v>
      </c>
      <c r="V3135">
        <v>0</v>
      </c>
      <c r="W3135" t="s">
        <v>29</v>
      </c>
      <c r="X3135" t="str">
        <f>IF(Table2[[#This Row],[Qty available]]&gt;Table2[[#This Row],[Qty on hand]],"Check","OK")</f>
        <v>OK</v>
      </c>
    </row>
    <row r="3136" spans="1:24" x14ac:dyDescent="0.3">
      <c r="A3136" t="s">
        <v>321</v>
      </c>
      <c r="B3136" t="s">
        <v>322</v>
      </c>
      <c r="C3136" t="s">
        <v>77</v>
      </c>
      <c r="D3136" t="s">
        <v>78</v>
      </c>
      <c r="E3136" t="s">
        <v>27</v>
      </c>
      <c r="F3136" s="1" t="s">
        <v>43</v>
      </c>
      <c r="G3136" s="2">
        <v>1.64</v>
      </c>
      <c r="H3136">
        <v>1.79</v>
      </c>
      <c r="I3136">
        <v>1.806691</v>
      </c>
      <c r="J3136">
        <v>2.37</v>
      </c>
      <c r="K3136">
        <v>59</v>
      </c>
      <c r="L3136" s="2">
        <v>56</v>
      </c>
      <c r="M3136">
        <v>229</v>
      </c>
      <c r="N3136" s="2">
        <v>272</v>
      </c>
      <c r="O3136">
        <v>491.42</v>
      </c>
      <c r="P3136">
        <v>25</v>
      </c>
      <c r="Q3136">
        <v>247</v>
      </c>
      <c r="R3136">
        <v>7.17</v>
      </c>
      <c r="S3136">
        <v>0</v>
      </c>
      <c r="T3136">
        <v>236</v>
      </c>
      <c r="U3136" s="2">
        <v>559.32000000000005</v>
      </c>
      <c r="V3136">
        <v>0</v>
      </c>
      <c r="W3136" t="s">
        <v>29</v>
      </c>
      <c r="X3136" t="str">
        <f>IF(Table2[[#This Row],[Qty available]]&gt;Table2[[#This Row],[Qty on hand]],"Check","OK")</f>
        <v>OK</v>
      </c>
    </row>
    <row r="3137" spans="1:24" x14ac:dyDescent="0.3">
      <c r="A3137" t="s">
        <v>321</v>
      </c>
      <c r="B3137" t="s">
        <v>322</v>
      </c>
      <c r="C3137" t="s">
        <v>77</v>
      </c>
      <c r="D3137" t="s">
        <v>78</v>
      </c>
      <c r="E3137" t="s">
        <v>27</v>
      </c>
      <c r="F3137" s="1" t="s">
        <v>44</v>
      </c>
      <c r="G3137" s="2">
        <v>1.67</v>
      </c>
      <c r="H3137">
        <v>1.82</v>
      </c>
      <c r="I3137">
        <v>1.8067009999999999</v>
      </c>
      <c r="J3137">
        <v>2.37</v>
      </c>
      <c r="K3137">
        <v>59</v>
      </c>
      <c r="M3137">
        <v>0</v>
      </c>
      <c r="N3137" s="2">
        <v>194</v>
      </c>
      <c r="O3137">
        <v>350.5</v>
      </c>
      <c r="P3137">
        <v>55</v>
      </c>
      <c r="Q3137">
        <v>139</v>
      </c>
      <c r="R3137">
        <v>4.71</v>
      </c>
      <c r="S3137">
        <v>5</v>
      </c>
      <c r="T3137">
        <v>78</v>
      </c>
      <c r="U3137" s="2">
        <v>184.86</v>
      </c>
      <c r="V3137">
        <v>0</v>
      </c>
      <c r="W3137" t="s">
        <v>29</v>
      </c>
      <c r="X3137" t="str">
        <f>IF(Table2[[#This Row],[Qty available]]&gt;Table2[[#This Row],[Qty on hand]],"Check","OK")</f>
        <v>OK</v>
      </c>
    </row>
    <row r="3138" spans="1:24" x14ac:dyDescent="0.3">
      <c r="A3138" t="s">
        <v>321</v>
      </c>
      <c r="B3138" t="s">
        <v>322</v>
      </c>
      <c r="C3138" t="s">
        <v>77</v>
      </c>
      <c r="D3138" t="s">
        <v>78</v>
      </c>
      <c r="E3138" t="s">
        <v>27</v>
      </c>
      <c r="F3138" s="1" t="s">
        <v>45</v>
      </c>
      <c r="G3138" s="2">
        <v>1.65</v>
      </c>
      <c r="H3138">
        <v>1.8</v>
      </c>
      <c r="I3138">
        <v>1.806667</v>
      </c>
      <c r="J3138">
        <v>2.37</v>
      </c>
      <c r="K3138">
        <v>59</v>
      </c>
      <c r="M3138">
        <v>0</v>
      </c>
      <c r="N3138" s="2">
        <v>15</v>
      </c>
      <c r="O3138">
        <v>27.1</v>
      </c>
      <c r="P3138">
        <v>15</v>
      </c>
      <c r="Q3138">
        <v>0</v>
      </c>
      <c r="R3138">
        <v>0.4</v>
      </c>
      <c r="S3138">
        <v>4</v>
      </c>
      <c r="T3138">
        <v>179</v>
      </c>
      <c r="U3138" s="2">
        <v>424.23</v>
      </c>
      <c r="V3138">
        <v>0</v>
      </c>
      <c r="W3138" t="s">
        <v>29</v>
      </c>
      <c r="X3138" t="str">
        <f>IF(Table2[[#This Row],[Qty available]]&gt;Table2[[#This Row],[Qty on hand]],"Check","OK")</f>
        <v>OK</v>
      </c>
    </row>
    <row r="3139" spans="1:24" x14ac:dyDescent="0.3">
      <c r="A3139" t="s">
        <v>321</v>
      </c>
      <c r="B3139" t="s">
        <v>322</v>
      </c>
      <c r="C3139" t="s">
        <v>77</v>
      </c>
      <c r="D3139" t="s">
        <v>78</v>
      </c>
      <c r="E3139" t="s">
        <v>27</v>
      </c>
      <c r="F3139" s="1" t="s">
        <v>46</v>
      </c>
      <c r="G3139" s="2">
        <v>1.65</v>
      </c>
      <c r="H3139">
        <v>1.8</v>
      </c>
      <c r="I3139">
        <v>1.80026</v>
      </c>
      <c r="J3139">
        <v>2.4700000000000002</v>
      </c>
      <c r="K3139">
        <v>59</v>
      </c>
      <c r="L3139" s="2">
        <v>50</v>
      </c>
      <c r="M3139">
        <v>377</v>
      </c>
      <c r="N3139" s="2">
        <v>269</v>
      </c>
      <c r="O3139">
        <v>484.27</v>
      </c>
      <c r="P3139">
        <v>31</v>
      </c>
      <c r="Q3139">
        <v>238</v>
      </c>
      <c r="R3139">
        <v>9.1</v>
      </c>
      <c r="S3139">
        <v>2</v>
      </c>
      <c r="T3139">
        <v>123</v>
      </c>
      <c r="U3139" s="2">
        <v>303.81</v>
      </c>
      <c r="V3139">
        <v>0</v>
      </c>
      <c r="W3139" t="s">
        <v>29</v>
      </c>
      <c r="X3139" t="str">
        <f>IF(Table2[[#This Row],[Qty available]]&gt;Table2[[#This Row],[Qty on hand]],"Check","OK")</f>
        <v>OK</v>
      </c>
    </row>
    <row r="3140" spans="1:24" x14ac:dyDescent="0.3">
      <c r="A3140" t="s">
        <v>321</v>
      </c>
      <c r="B3140" t="s">
        <v>322</v>
      </c>
      <c r="C3140" t="s">
        <v>77</v>
      </c>
      <c r="D3140" t="s">
        <v>78</v>
      </c>
      <c r="E3140" t="s">
        <v>27</v>
      </c>
      <c r="F3140" s="1" t="s">
        <v>47</v>
      </c>
      <c r="G3140" s="2">
        <v>1.75</v>
      </c>
      <c r="H3140">
        <v>1.91</v>
      </c>
      <c r="I3140">
        <v>1.83</v>
      </c>
      <c r="J3140">
        <v>2.4700000000000002</v>
      </c>
      <c r="K3140">
        <v>59</v>
      </c>
      <c r="L3140" s="2">
        <v>55</v>
      </c>
      <c r="M3140">
        <v>100</v>
      </c>
      <c r="N3140" s="2">
        <v>211</v>
      </c>
      <c r="O3140">
        <v>386.13</v>
      </c>
      <c r="P3140">
        <v>43</v>
      </c>
      <c r="Q3140">
        <v>168</v>
      </c>
      <c r="R3140">
        <v>5.9</v>
      </c>
      <c r="S3140">
        <v>3</v>
      </c>
      <c r="T3140">
        <v>158</v>
      </c>
      <c r="U3140" s="2">
        <v>390.26</v>
      </c>
      <c r="V3140">
        <v>0</v>
      </c>
      <c r="W3140" t="s">
        <v>29</v>
      </c>
      <c r="X3140" t="str">
        <f>IF(Table2[[#This Row],[Qty available]]&gt;Table2[[#This Row],[Qty on hand]],"Check","OK")</f>
        <v>OK</v>
      </c>
    </row>
    <row r="3141" spans="1:24" x14ac:dyDescent="0.3">
      <c r="A3141" t="s">
        <v>321</v>
      </c>
      <c r="B3141" t="s">
        <v>322</v>
      </c>
      <c r="C3141" t="s">
        <v>77</v>
      </c>
      <c r="D3141" t="s">
        <v>78</v>
      </c>
      <c r="E3141" t="s">
        <v>27</v>
      </c>
      <c r="F3141" s="1" t="s">
        <v>48</v>
      </c>
      <c r="G3141" s="2">
        <v>1.72</v>
      </c>
      <c r="H3141">
        <v>1.87</v>
      </c>
      <c r="I3141">
        <v>1.83</v>
      </c>
      <c r="J3141">
        <v>2.4700000000000002</v>
      </c>
      <c r="K3141">
        <v>59</v>
      </c>
      <c r="M3141">
        <v>0</v>
      </c>
      <c r="N3141" s="2">
        <v>44</v>
      </c>
      <c r="O3141">
        <v>80.52</v>
      </c>
      <c r="P3141">
        <v>37</v>
      </c>
      <c r="Q3141">
        <v>7</v>
      </c>
      <c r="R3141">
        <v>1.25</v>
      </c>
      <c r="S3141">
        <v>0</v>
      </c>
      <c r="T3141">
        <v>167</v>
      </c>
      <c r="U3141" s="2">
        <v>412.49</v>
      </c>
      <c r="V3141">
        <v>0</v>
      </c>
      <c r="W3141" t="s">
        <v>29</v>
      </c>
      <c r="X3141" t="str">
        <f>IF(Table2[[#This Row],[Qty available]]&gt;Table2[[#This Row],[Qty on hand]],"Check","OK")</f>
        <v>OK</v>
      </c>
    </row>
    <row r="3142" spans="1:24" x14ac:dyDescent="0.3">
      <c r="A3142" t="s">
        <v>321</v>
      </c>
      <c r="B3142" t="s">
        <v>322</v>
      </c>
      <c r="C3142" t="s">
        <v>77</v>
      </c>
      <c r="D3142" t="s">
        <v>78</v>
      </c>
      <c r="E3142" t="s">
        <v>27</v>
      </c>
      <c r="F3142" s="1" t="s">
        <v>49</v>
      </c>
      <c r="G3142" s="2">
        <v>1.75</v>
      </c>
      <c r="H3142">
        <v>1.91</v>
      </c>
      <c r="I3142">
        <v>1.83</v>
      </c>
      <c r="J3142">
        <v>2.4700000000000002</v>
      </c>
      <c r="K3142">
        <v>59</v>
      </c>
      <c r="M3142">
        <v>0</v>
      </c>
      <c r="N3142" s="2">
        <v>0</v>
      </c>
      <c r="O3142">
        <v>0</v>
      </c>
      <c r="P3142">
        <v>0</v>
      </c>
      <c r="Q3142">
        <v>0</v>
      </c>
      <c r="R3142">
        <v>0</v>
      </c>
      <c r="S3142">
        <v>2</v>
      </c>
      <c r="T3142">
        <v>44</v>
      </c>
      <c r="U3142" s="2">
        <v>108.68</v>
      </c>
      <c r="V3142">
        <v>209</v>
      </c>
      <c r="W3142" t="s">
        <v>59</v>
      </c>
      <c r="X3142" t="str">
        <f>IF(Table2[[#This Row],[Qty available]]&gt;Table2[[#This Row],[Qty on hand]],"Check","OK")</f>
        <v>OK</v>
      </c>
    </row>
    <row r="3143" spans="1:24" x14ac:dyDescent="0.3">
      <c r="A3143" t="s">
        <v>321</v>
      </c>
      <c r="B3143" t="s">
        <v>322</v>
      </c>
      <c r="C3143" t="s">
        <v>77</v>
      </c>
      <c r="D3143" t="s">
        <v>78</v>
      </c>
      <c r="E3143" t="s">
        <v>27</v>
      </c>
      <c r="F3143" s="1" t="s">
        <v>50</v>
      </c>
      <c r="G3143" s="2">
        <v>1.76</v>
      </c>
      <c r="H3143">
        <v>1.92</v>
      </c>
      <c r="I3143">
        <v>1.92</v>
      </c>
      <c r="J3143">
        <v>2.4700000000000002</v>
      </c>
      <c r="K3143">
        <v>59</v>
      </c>
      <c r="L3143" s="2">
        <v>51</v>
      </c>
      <c r="M3143">
        <v>517</v>
      </c>
      <c r="N3143" s="2">
        <v>406</v>
      </c>
      <c r="O3143">
        <v>779.52</v>
      </c>
      <c r="P3143">
        <v>37</v>
      </c>
      <c r="Q3143">
        <v>369</v>
      </c>
      <c r="R3143">
        <v>16.39</v>
      </c>
      <c r="S3143">
        <v>3</v>
      </c>
      <c r="T3143">
        <v>111</v>
      </c>
      <c r="U3143" s="2">
        <v>274.17</v>
      </c>
      <c r="V3143">
        <v>0</v>
      </c>
      <c r="W3143" t="s">
        <v>29</v>
      </c>
      <c r="X3143" t="str">
        <f>IF(Table2[[#This Row],[Qty available]]&gt;Table2[[#This Row],[Qty on hand]],"Check","OK")</f>
        <v>OK</v>
      </c>
    </row>
    <row r="3144" spans="1:24" x14ac:dyDescent="0.3">
      <c r="A3144" t="s">
        <v>321</v>
      </c>
      <c r="B3144" t="s">
        <v>322</v>
      </c>
      <c r="C3144" t="s">
        <v>77</v>
      </c>
      <c r="D3144" t="s">
        <v>78</v>
      </c>
      <c r="E3144" t="s">
        <v>27</v>
      </c>
      <c r="F3144" s="1" t="s">
        <v>51</v>
      </c>
      <c r="G3144" s="2">
        <v>1.76</v>
      </c>
      <c r="H3144">
        <v>1.92</v>
      </c>
      <c r="I3144">
        <v>1.92</v>
      </c>
      <c r="J3144">
        <v>2.4700000000000002</v>
      </c>
      <c r="K3144">
        <v>59</v>
      </c>
      <c r="L3144" s="2">
        <v>57</v>
      </c>
      <c r="M3144">
        <v>100</v>
      </c>
      <c r="N3144" s="2">
        <v>433</v>
      </c>
      <c r="O3144">
        <v>831.36</v>
      </c>
      <c r="P3144">
        <v>31</v>
      </c>
      <c r="Q3144">
        <v>402</v>
      </c>
      <c r="R3144">
        <v>24.96</v>
      </c>
      <c r="S3144">
        <v>1</v>
      </c>
      <c r="T3144">
        <v>73</v>
      </c>
      <c r="U3144" s="2">
        <v>180.31</v>
      </c>
      <c r="V3144">
        <v>0</v>
      </c>
      <c r="W3144" t="s">
        <v>29</v>
      </c>
      <c r="X3144" t="str">
        <f>IF(Table2[[#This Row],[Qty available]]&gt;Table2[[#This Row],[Qty on hand]],"Check","OK")</f>
        <v>OK</v>
      </c>
    </row>
    <row r="3145" spans="1:24" x14ac:dyDescent="0.3">
      <c r="A3145" t="s">
        <v>321</v>
      </c>
      <c r="B3145" t="s">
        <v>322</v>
      </c>
      <c r="C3145" t="s">
        <v>77</v>
      </c>
      <c r="D3145" t="s">
        <v>78</v>
      </c>
      <c r="E3145" t="s">
        <v>27</v>
      </c>
      <c r="F3145" s="1" t="s">
        <v>52</v>
      </c>
      <c r="G3145" s="2">
        <v>1.77</v>
      </c>
      <c r="H3145">
        <v>1.93</v>
      </c>
      <c r="I3145">
        <v>1.9221699999999999</v>
      </c>
      <c r="J3145">
        <v>2.4700000000000002</v>
      </c>
      <c r="K3145">
        <v>59</v>
      </c>
      <c r="L3145" s="2">
        <v>57</v>
      </c>
      <c r="M3145">
        <v>119</v>
      </c>
      <c r="N3145" s="2">
        <v>235</v>
      </c>
      <c r="O3145">
        <v>451.71</v>
      </c>
      <c r="P3145">
        <v>25</v>
      </c>
      <c r="Q3145">
        <v>210</v>
      </c>
      <c r="R3145">
        <v>6.16</v>
      </c>
      <c r="S3145">
        <v>0</v>
      </c>
      <c r="T3145">
        <v>317</v>
      </c>
      <c r="U3145" s="2">
        <v>782.99</v>
      </c>
      <c r="V3145">
        <v>0</v>
      </c>
      <c r="W3145" t="s">
        <v>29</v>
      </c>
      <c r="X3145" t="str">
        <f>IF(Table2[[#This Row],[Qty available]]&gt;Table2[[#This Row],[Qty on hand]],"Check","OK")</f>
        <v>OK</v>
      </c>
    </row>
    <row r="3146" spans="1:24" x14ac:dyDescent="0.3">
      <c r="A3146" t="s">
        <v>323</v>
      </c>
      <c r="B3146" t="s">
        <v>324</v>
      </c>
      <c r="C3146" t="s">
        <v>57</v>
      </c>
      <c r="D3146" t="s">
        <v>58</v>
      </c>
      <c r="E3146" t="s">
        <v>27</v>
      </c>
      <c r="F3146" s="1" t="s">
        <v>28</v>
      </c>
      <c r="G3146" s="2">
        <v>276.27999999999997</v>
      </c>
      <c r="H3146">
        <v>305.02999999999997</v>
      </c>
      <c r="I3146">
        <v>308.53808800000002</v>
      </c>
      <c r="J3146">
        <v>417.4</v>
      </c>
      <c r="K3146">
        <v>33</v>
      </c>
      <c r="M3146">
        <v>0</v>
      </c>
      <c r="N3146" s="2">
        <v>68</v>
      </c>
      <c r="O3146">
        <v>20980.59</v>
      </c>
      <c r="P3146">
        <v>11</v>
      </c>
      <c r="Q3146">
        <v>57</v>
      </c>
      <c r="R3146">
        <v>9.82</v>
      </c>
      <c r="S3146">
        <v>3</v>
      </c>
      <c r="T3146">
        <v>41</v>
      </c>
      <c r="U3146" s="2">
        <v>17113.400000000001</v>
      </c>
      <c r="V3146">
        <v>0</v>
      </c>
      <c r="W3146" t="s">
        <v>29</v>
      </c>
      <c r="X3146" t="str">
        <f>IF(Table2[[#This Row],[Qty available]]&gt;Table2[[#This Row],[Qty on hand]],"Check","OK")</f>
        <v>OK</v>
      </c>
    </row>
    <row r="3147" spans="1:24" x14ac:dyDescent="0.3">
      <c r="A3147" t="s">
        <v>323</v>
      </c>
      <c r="B3147" t="s">
        <v>324</v>
      </c>
      <c r="C3147" t="s">
        <v>57</v>
      </c>
      <c r="D3147" t="s">
        <v>58</v>
      </c>
      <c r="E3147" t="s">
        <v>27</v>
      </c>
      <c r="F3147" s="1" t="s">
        <v>30</v>
      </c>
      <c r="G3147" s="2">
        <v>279.83</v>
      </c>
      <c r="H3147">
        <v>308.95</v>
      </c>
      <c r="I3147">
        <v>308.68061699999998</v>
      </c>
      <c r="J3147">
        <v>417.4</v>
      </c>
      <c r="K3147">
        <v>33</v>
      </c>
      <c r="L3147" s="2">
        <v>39</v>
      </c>
      <c r="M3147">
        <v>36</v>
      </c>
      <c r="N3147" s="2">
        <v>81</v>
      </c>
      <c r="O3147">
        <v>25003.13</v>
      </c>
      <c r="P3147">
        <v>12</v>
      </c>
      <c r="Q3147">
        <v>69</v>
      </c>
      <c r="R3147">
        <v>9.9499999999999993</v>
      </c>
      <c r="S3147">
        <v>3</v>
      </c>
      <c r="T3147">
        <v>23</v>
      </c>
      <c r="U3147" s="2">
        <v>9600.2000000000007</v>
      </c>
      <c r="V3147">
        <v>0</v>
      </c>
      <c r="W3147" t="s">
        <v>29</v>
      </c>
      <c r="X3147" t="str">
        <f>IF(Table2[[#This Row],[Qty available]]&gt;Table2[[#This Row],[Qty on hand]],"Check","OK")</f>
        <v>OK</v>
      </c>
    </row>
    <row r="3148" spans="1:24" x14ac:dyDescent="0.3">
      <c r="A3148" t="s">
        <v>323</v>
      </c>
      <c r="B3148" t="s">
        <v>324</v>
      </c>
      <c r="C3148" t="s">
        <v>57</v>
      </c>
      <c r="D3148" t="s">
        <v>58</v>
      </c>
      <c r="E3148" t="s">
        <v>27</v>
      </c>
      <c r="F3148" s="1" t="s">
        <v>31</v>
      </c>
      <c r="G3148" s="2">
        <v>282.41000000000003</v>
      </c>
      <c r="H3148">
        <v>311.8</v>
      </c>
      <c r="I3148">
        <v>309.64047599999998</v>
      </c>
      <c r="J3148">
        <v>417.4</v>
      </c>
      <c r="K3148">
        <v>33</v>
      </c>
      <c r="L3148" s="2">
        <v>42</v>
      </c>
      <c r="M3148">
        <v>36</v>
      </c>
      <c r="N3148" s="2">
        <v>84</v>
      </c>
      <c r="O3148">
        <v>26009.8</v>
      </c>
      <c r="P3148">
        <v>4</v>
      </c>
      <c r="Q3148">
        <v>80</v>
      </c>
      <c r="R3148">
        <v>11.26</v>
      </c>
      <c r="S3148">
        <v>4</v>
      </c>
      <c r="T3148">
        <v>33</v>
      </c>
      <c r="U3148" s="2">
        <v>13774.2</v>
      </c>
      <c r="V3148">
        <v>0</v>
      </c>
      <c r="W3148" t="s">
        <v>29</v>
      </c>
      <c r="X3148" t="str">
        <f>IF(Table2[[#This Row],[Qty available]]&gt;Table2[[#This Row],[Qty on hand]],"Check","OK")</f>
        <v>OK</v>
      </c>
    </row>
    <row r="3149" spans="1:24" x14ac:dyDescent="0.3">
      <c r="A3149" t="s">
        <v>323</v>
      </c>
      <c r="B3149" t="s">
        <v>324</v>
      </c>
      <c r="C3149" t="s">
        <v>57</v>
      </c>
      <c r="D3149" t="s">
        <v>58</v>
      </c>
      <c r="E3149" t="s">
        <v>27</v>
      </c>
      <c r="F3149" s="1" t="s">
        <v>32</v>
      </c>
      <c r="G3149" s="2">
        <v>272.55</v>
      </c>
      <c r="H3149">
        <v>300.91000000000003</v>
      </c>
      <c r="I3149">
        <v>306.22415899999999</v>
      </c>
      <c r="J3149">
        <v>417.4</v>
      </c>
      <c r="K3149">
        <v>33</v>
      </c>
      <c r="L3149" s="2">
        <v>31</v>
      </c>
      <c r="M3149">
        <v>54</v>
      </c>
      <c r="N3149" s="2">
        <v>113</v>
      </c>
      <c r="O3149">
        <v>34603.33</v>
      </c>
      <c r="P3149">
        <v>12</v>
      </c>
      <c r="Q3149">
        <v>101</v>
      </c>
      <c r="R3149">
        <v>18.34</v>
      </c>
      <c r="S3149">
        <v>2</v>
      </c>
      <c r="T3149">
        <v>25</v>
      </c>
      <c r="U3149" s="2">
        <v>10435</v>
      </c>
      <c r="V3149">
        <v>0</v>
      </c>
      <c r="W3149" t="s">
        <v>29</v>
      </c>
      <c r="X3149" t="str">
        <f>IF(Table2[[#This Row],[Qty available]]&gt;Table2[[#This Row],[Qty on hand]],"Check","OK")</f>
        <v>OK</v>
      </c>
    </row>
    <row r="3150" spans="1:24" x14ac:dyDescent="0.3">
      <c r="A3150" t="s">
        <v>323</v>
      </c>
      <c r="B3150" t="s">
        <v>324</v>
      </c>
      <c r="C3150" t="s">
        <v>57</v>
      </c>
      <c r="D3150" t="s">
        <v>58</v>
      </c>
      <c r="E3150" t="s">
        <v>27</v>
      </c>
      <c r="F3150" s="1" t="s">
        <v>33</v>
      </c>
      <c r="G3150" s="2">
        <v>291.92</v>
      </c>
      <c r="H3150">
        <v>322.3</v>
      </c>
      <c r="I3150">
        <v>306.22412700000001</v>
      </c>
      <c r="J3150">
        <v>417.4</v>
      </c>
      <c r="K3150">
        <v>33</v>
      </c>
      <c r="M3150">
        <v>0</v>
      </c>
      <c r="N3150" s="2">
        <v>63</v>
      </c>
      <c r="O3150">
        <v>19292.12</v>
      </c>
      <c r="P3150">
        <v>6</v>
      </c>
      <c r="Q3150">
        <v>57</v>
      </c>
      <c r="R3150">
        <v>7.67</v>
      </c>
      <c r="S3150">
        <v>3</v>
      </c>
      <c r="T3150">
        <v>50</v>
      </c>
      <c r="U3150" s="2">
        <v>20870</v>
      </c>
      <c r="V3150">
        <v>0</v>
      </c>
      <c r="W3150" t="s">
        <v>29</v>
      </c>
      <c r="X3150" t="str">
        <f>IF(Table2[[#This Row],[Qty available]]&gt;Table2[[#This Row],[Qty on hand]],"Check","OK")</f>
        <v>OK</v>
      </c>
    </row>
    <row r="3151" spans="1:24" x14ac:dyDescent="0.3">
      <c r="A3151" t="s">
        <v>323</v>
      </c>
      <c r="B3151" t="s">
        <v>324</v>
      </c>
      <c r="C3151" t="s">
        <v>57</v>
      </c>
      <c r="D3151" t="s">
        <v>58</v>
      </c>
      <c r="E3151" t="s">
        <v>27</v>
      </c>
      <c r="F3151" s="1" t="s">
        <v>34</v>
      </c>
      <c r="G3151" s="2">
        <v>291.85000000000002</v>
      </c>
      <c r="H3151">
        <v>322.22000000000003</v>
      </c>
      <c r="I3151">
        <v>306.22399999999999</v>
      </c>
      <c r="J3151">
        <v>434.53</v>
      </c>
      <c r="K3151">
        <v>33</v>
      </c>
      <c r="M3151">
        <v>0</v>
      </c>
      <c r="N3151" s="2">
        <v>25</v>
      </c>
      <c r="O3151">
        <v>7655.6</v>
      </c>
      <c r="P3151">
        <v>6</v>
      </c>
      <c r="Q3151">
        <v>19</v>
      </c>
      <c r="R3151">
        <v>2.84</v>
      </c>
      <c r="S3151">
        <v>4</v>
      </c>
      <c r="T3151">
        <v>38</v>
      </c>
      <c r="U3151" s="2">
        <v>16512.14</v>
      </c>
      <c r="V3151">
        <v>0</v>
      </c>
      <c r="W3151" t="s">
        <v>29</v>
      </c>
      <c r="X3151" t="str">
        <f>IF(Table2[[#This Row],[Qty available]]&gt;Table2[[#This Row],[Qty on hand]],"Check","OK")</f>
        <v>OK</v>
      </c>
    </row>
    <row r="3152" spans="1:24" x14ac:dyDescent="0.3">
      <c r="A3152" t="s">
        <v>323</v>
      </c>
      <c r="B3152" t="s">
        <v>324</v>
      </c>
      <c r="C3152" t="s">
        <v>57</v>
      </c>
      <c r="D3152" t="s">
        <v>58</v>
      </c>
      <c r="E3152" t="s">
        <v>27</v>
      </c>
      <c r="F3152" s="1" t="s">
        <v>35</v>
      </c>
      <c r="G3152" s="2">
        <v>287.74</v>
      </c>
      <c r="H3152">
        <v>317.68</v>
      </c>
      <c r="I3152">
        <v>315.40699999999998</v>
      </c>
      <c r="J3152">
        <v>434.53</v>
      </c>
      <c r="K3152">
        <v>33</v>
      </c>
      <c r="L3152" s="2">
        <v>33</v>
      </c>
      <c r="M3152">
        <v>101</v>
      </c>
      <c r="N3152" s="2">
        <v>100</v>
      </c>
      <c r="O3152">
        <v>31540.7</v>
      </c>
      <c r="P3152">
        <v>7</v>
      </c>
      <c r="Q3152">
        <v>93</v>
      </c>
      <c r="R3152">
        <v>11.28</v>
      </c>
      <c r="S3152">
        <v>2</v>
      </c>
      <c r="T3152">
        <v>26</v>
      </c>
      <c r="U3152" s="2">
        <v>11297.78</v>
      </c>
      <c r="V3152">
        <v>0</v>
      </c>
      <c r="W3152" t="s">
        <v>29</v>
      </c>
      <c r="X3152" t="str">
        <f>IF(Table2[[#This Row],[Qty available]]&gt;Table2[[#This Row],[Qty on hand]],"Check","OK")</f>
        <v>OK</v>
      </c>
    </row>
    <row r="3153" spans="1:24" x14ac:dyDescent="0.3">
      <c r="A3153" t="s">
        <v>323</v>
      </c>
      <c r="B3153" t="s">
        <v>324</v>
      </c>
      <c r="C3153" t="s">
        <v>57</v>
      </c>
      <c r="D3153" t="s">
        <v>58</v>
      </c>
      <c r="E3153" t="s">
        <v>27</v>
      </c>
      <c r="F3153" s="1" t="s">
        <v>36</v>
      </c>
      <c r="G3153" s="2">
        <v>290.06</v>
      </c>
      <c r="H3153">
        <v>320.24</v>
      </c>
      <c r="I3153">
        <v>316.78788100000003</v>
      </c>
      <c r="J3153">
        <v>434.53</v>
      </c>
      <c r="K3153">
        <v>33</v>
      </c>
      <c r="L3153" s="2">
        <v>33</v>
      </c>
      <c r="M3153">
        <v>40</v>
      </c>
      <c r="N3153" s="2">
        <v>118</v>
      </c>
      <c r="O3153">
        <v>37380.97</v>
      </c>
      <c r="P3153">
        <v>11</v>
      </c>
      <c r="Q3153">
        <v>107</v>
      </c>
      <c r="R3153">
        <v>17.45</v>
      </c>
      <c r="S3153">
        <v>5</v>
      </c>
      <c r="T3153">
        <v>22</v>
      </c>
      <c r="U3153" s="2">
        <v>9559.66</v>
      </c>
      <c r="V3153">
        <v>0</v>
      </c>
      <c r="W3153" t="s">
        <v>29</v>
      </c>
      <c r="X3153" t="str">
        <f>IF(Table2[[#This Row],[Qty available]]&gt;Table2[[#This Row],[Qty on hand]],"Check","OK")</f>
        <v>OK</v>
      </c>
    </row>
    <row r="3154" spans="1:24" x14ac:dyDescent="0.3">
      <c r="A3154" t="s">
        <v>323</v>
      </c>
      <c r="B3154" t="s">
        <v>324</v>
      </c>
      <c r="C3154" t="s">
        <v>57</v>
      </c>
      <c r="D3154" t="s">
        <v>58</v>
      </c>
      <c r="E3154" t="s">
        <v>27</v>
      </c>
      <c r="F3154" s="1" t="s">
        <v>37</v>
      </c>
      <c r="G3154" s="2">
        <v>286.06</v>
      </c>
      <c r="H3154">
        <v>315.83</v>
      </c>
      <c r="I3154">
        <v>316.78787499999999</v>
      </c>
      <c r="J3154">
        <v>434.53</v>
      </c>
      <c r="K3154">
        <v>33</v>
      </c>
      <c r="M3154">
        <v>0</v>
      </c>
      <c r="N3154" s="2">
        <v>80</v>
      </c>
      <c r="O3154">
        <v>25343.03</v>
      </c>
      <c r="P3154">
        <v>11</v>
      </c>
      <c r="Q3154">
        <v>69</v>
      </c>
      <c r="R3154">
        <v>12.23</v>
      </c>
      <c r="S3154">
        <v>0</v>
      </c>
      <c r="T3154">
        <v>38</v>
      </c>
      <c r="U3154" s="2">
        <v>16512.14</v>
      </c>
      <c r="V3154">
        <v>0</v>
      </c>
      <c r="W3154" t="s">
        <v>29</v>
      </c>
      <c r="X3154" t="str">
        <f>IF(Table2[[#This Row],[Qty available]]&gt;Table2[[#This Row],[Qty on hand]],"Check","OK")</f>
        <v>OK</v>
      </c>
    </row>
    <row r="3155" spans="1:24" x14ac:dyDescent="0.3">
      <c r="A3155" t="s">
        <v>323</v>
      </c>
      <c r="B3155" t="s">
        <v>324</v>
      </c>
      <c r="C3155" t="s">
        <v>57</v>
      </c>
      <c r="D3155" t="s">
        <v>58</v>
      </c>
      <c r="E3155" t="s">
        <v>27</v>
      </c>
      <c r="F3155" s="1" t="s">
        <v>38</v>
      </c>
      <c r="G3155" s="2">
        <v>289.86</v>
      </c>
      <c r="H3155">
        <v>320.02</v>
      </c>
      <c r="I3155">
        <v>317.79097300000001</v>
      </c>
      <c r="J3155">
        <v>434.53</v>
      </c>
      <c r="K3155">
        <v>33</v>
      </c>
      <c r="L3155" s="2">
        <v>30</v>
      </c>
      <c r="M3155">
        <v>36</v>
      </c>
      <c r="N3155" s="2">
        <v>113</v>
      </c>
      <c r="O3155">
        <v>35910.379999999997</v>
      </c>
      <c r="P3155">
        <v>7</v>
      </c>
      <c r="Q3155">
        <v>106</v>
      </c>
      <c r="R3155">
        <v>23.32</v>
      </c>
      <c r="S3155">
        <v>2</v>
      </c>
      <c r="T3155">
        <v>3</v>
      </c>
      <c r="U3155" s="2">
        <v>1303.5899999999999</v>
      </c>
      <c r="V3155">
        <v>0</v>
      </c>
      <c r="W3155" t="s">
        <v>29</v>
      </c>
      <c r="X3155" t="str">
        <f>IF(Table2[[#This Row],[Qty available]]&gt;Table2[[#This Row],[Qty on hand]],"Check","OK")</f>
        <v>OK</v>
      </c>
    </row>
    <row r="3156" spans="1:24" x14ac:dyDescent="0.3">
      <c r="A3156" t="s">
        <v>323</v>
      </c>
      <c r="B3156" t="s">
        <v>324</v>
      </c>
      <c r="C3156" t="s">
        <v>57</v>
      </c>
      <c r="D3156" t="s">
        <v>58</v>
      </c>
      <c r="E3156" t="s">
        <v>27</v>
      </c>
      <c r="F3156" s="1" t="s">
        <v>39</v>
      </c>
      <c r="G3156" s="2">
        <v>293.85000000000002</v>
      </c>
      <c r="H3156">
        <v>324.43</v>
      </c>
      <c r="I3156">
        <v>319.395039</v>
      </c>
      <c r="J3156">
        <v>434.53</v>
      </c>
      <c r="K3156">
        <v>33</v>
      </c>
      <c r="L3156" s="2">
        <v>29</v>
      </c>
      <c r="M3156">
        <v>36</v>
      </c>
      <c r="N3156" s="2">
        <v>129</v>
      </c>
      <c r="O3156">
        <v>41201.96</v>
      </c>
      <c r="P3156">
        <v>5</v>
      </c>
      <c r="Q3156">
        <v>124</v>
      </c>
      <c r="R3156">
        <v>27.79</v>
      </c>
      <c r="S3156">
        <v>3</v>
      </c>
      <c r="T3156">
        <v>20</v>
      </c>
      <c r="U3156" s="2">
        <v>8690.6</v>
      </c>
      <c r="V3156">
        <v>0</v>
      </c>
      <c r="W3156" t="s">
        <v>29</v>
      </c>
      <c r="X3156" t="str">
        <f>IF(Table2[[#This Row],[Qty available]]&gt;Table2[[#This Row],[Qty on hand]],"Check","OK")</f>
        <v>OK</v>
      </c>
    </row>
    <row r="3157" spans="1:24" x14ac:dyDescent="0.3">
      <c r="A3157" t="s">
        <v>323</v>
      </c>
      <c r="B3157" t="s">
        <v>324</v>
      </c>
      <c r="C3157" t="s">
        <v>57</v>
      </c>
      <c r="D3157" t="s">
        <v>58</v>
      </c>
      <c r="E3157" t="s">
        <v>27</v>
      </c>
      <c r="F3157" s="1" t="s">
        <v>40</v>
      </c>
      <c r="G3157" s="2">
        <v>293.37</v>
      </c>
      <c r="H3157">
        <v>323.89999999999998</v>
      </c>
      <c r="I3157">
        <v>319.39505500000001</v>
      </c>
      <c r="J3157">
        <v>434.53</v>
      </c>
      <c r="K3157">
        <v>33</v>
      </c>
      <c r="M3157">
        <v>0</v>
      </c>
      <c r="N3157" s="2">
        <v>91</v>
      </c>
      <c r="O3157">
        <v>29064.95</v>
      </c>
      <c r="P3157">
        <v>7</v>
      </c>
      <c r="Q3157">
        <v>84</v>
      </c>
      <c r="R3157">
        <v>19.61</v>
      </c>
      <c r="S3157">
        <v>5</v>
      </c>
      <c r="T3157">
        <v>38</v>
      </c>
      <c r="U3157" s="2">
        <v>16512.14</v>
      </c>
      <c r="V3157">
        <v>0</v>
      </c>
      <c r="W3157" t="s">
        <v>29</v>
      </c>
      <c r="X3157" t="str">
        <f>IF(Table2[[#This Row],[Qty available]]&gt;Table2[[#This Row],[Qty on hand]],"Check","OK")</f>
        <v>OK</v>
      </c>
    </row>
    <row r="3158" spans="1:24" x14ac:dyDescent="0.3">
      <c r="A3158" t="s">
        <v>323</v>
      </c>
      <c r="B3158" t="s">
        <v>324</v>
      </c>
      <c r="C3158" t="s">
        <v>57</v>
      </c>
      <c r="D3158" t="s">
        <v>58</v>
      </c>
      <c r="E3158" t="s">
        <v>27</v>
      </c>
      <c r="F3158" s="1" t="s">
        <v>41</v>
      </c>
      <c r="G3158" s="2">
        <v>289.88</v>
      </c>
      <c r="H3158">
        <v>320.05</v>
      </c>
      <c r="I3158">
        <v>319.580714</v>
      </c>
      <c r="J3158">
        <v>434.53</v>
      </c>
      <c r="K3158">
        <v>33</v>
      </c>
      <c r="L3158" s="2">
        <v>51</v>
      </c>
      <c r="M3158">
        <v>36</v>
      </c>
      <c r="N3158" s="2">
        <v>98</v>
      </c>
      <c r="O3158">
        <v>31318.91</v>
      </c>
      <c r="P3158">
        <v>7</v>
      </c>
      <c r="Q3158">
        <v>91</v>
      </c>
      <c r="R3158">
        <v>14.8</v>
      </c>
      <c r="S3158">
        <v>9</v>
      </c>
      <c r="T3158">
        <v>29</v>
      </c>
      <c r="U3158" s="2">
        <v>12601.37</v>
      </c>
      <c r="V3158">
        <v>0</v>
      </c>
      <c r="W3158" t="s">
        <v>29</v>
      </c>
      <c r="X3158" t="str">
        <f>IF(Table2[[#This Row],[Qty available]]&gt;Table2[[#This Row],[Qty on hand]],"Check","OK")</f>
        <v>OK</v>
      </c>
    </row>
    <row r="3159" spans="1:24" x14ac:dyDescent="0.3">
      <c r="A3159" t="s">
        <v>323</v>
      </c>
      <c r="B3159" t="s">
        <v>324</v>
      </c>
      <c r="C3159" t="s">
        <v>57</v>
      </c>
      <c r="D3159" t="s">
        <v>58</v>
      </c>
      <c r="E3159" t="s">
        <v>27</v>
      </c>
      <c r="F3159" s="1" t="s">
        <v>42</v>
      </c>
      <c r="G3159" s="2">
        <v>293.54000000000002</v>
      </c>
      <c r="H3159">
        <v>324.08999999999997</v>
      </c>
      <c r="I3159">
        <v>320.792125</v>
      </c>
      <c r="J3159">
        <v>434.53</v>
      </c>
      <c r="K3159">
        <v>33</v>
      </c>
      <c r="L3159" s="2">
        <v>30</v>
      </c>
      <c r="M3159">
        <v>36</v>
      </c>
      <c r="N3159" s="2">
        <v>80</v>
      </c>
      <c r="O3159">
        <v>25663.37</v>
      </c>
      <c r="P3159">
        <v>8</v>
      </c>
      <c r="Q3159">
        <v>72</v>
      </c>
      <c r="R3159">
        <v>8.69</v>
      </c>
      <c r="S3159">
        <v>2</v>
      </c>
      <c r="T3159">
        <v>54</v>
      </c>
      <c r="U3159" s="2">
        <v>23464.62</v>
      </c>
      <c r="V3159">
        <v>0</v>
      </c>
      <c r="W3159" t="s">
        <v>29</v>
      </c>
      <c r="X3159" t="str">
        <f>IF(Table2[[#This Row],[Qty available]]&gt;Table2[[#This Row],[Qty on hand]],"Check","OK")</f>
        <v>OK</v>
      </c>
    </row>
    <row r="3160" spans="1:24" x14ac:dyDescent="0.3">
      <c r="A3160" t="s">
        <v>323</v>
      </c>
      <c r="B3160" t="s">
        <v>324</v>
      </c>
      <c r="C3160" t="s">
        <v>57</v>
      </c>
      <c r="D3160" t="s">
        <v>58</v>
      </c>
      <c r="E3160" t="s">
        <v>27</v>
      </c>
      <c r="F3160" s="1" t="s">
        <v>43</v>
      </c>
      <c r="G3160" s="2">
        <v>283.04000000000002</v>
      </c>
      <c r="H3160">
        <v>312.49</v>
      </c>
      <c r="I3160">
        <v>317.88972699999999</v>
      </c>
      <c r="J3160">
        <v>434.53</v>
      </c>
      <c r="K3160">
        <v>33</v>
      </c>
      <c r="L3160" s="2">
        <v>30</v>
      </c>
      <c r="M3160">
        <v>43</v>
      </c>
      <c r="N3160" s="2">
        <v>110</v>
      </c>
      <c r="O3160">
        <v>34967.870000000003</v>
      </c>
      <c r="P3160">
        <v>5</v>
      </c>
      <c r="Q3160">
        <v>105</v>
      </c>
      <c r="R3160">
        <v>14.9</v>
      </c>
      <c r="S3160">
        <v>1</v>
      </c>
      <c r="T3160">
        <v>13</v>
      </c>
      <c r="U3160" s="2">
        <v>5648.89</v>
      </c>
      <c r="V3160">
        <v>0</v>
      </c>
      <c r="W3160" t="s">
        <v>29</v>
      </c>
      <c r="X3160" t="str">
        <f>IF(Table2[[#This Row],[Qty available]]&gt;Table2[[#This Row],[Qty on hand]],"Check","OK")</f>
        <v>OK</v>
      </c>
    </row>
    <row r="3161" spans="1:24" x14ac:dyDescent="0.3">
      <c r="A3161" t="s">
        <v>323</v>
      </c>
      <c r="B3161" t="s">
        <v>324</v>
      </c>
      <c r="C3161" t="s">
        <v>57</v>
      </c>
      <c r="D3161" t="s">
        <v>58</v>
      </c>
      <c r="E3161" t="s">
        <v>27</v>
      </c>
      <c r="F3161" s="1" t="s">
        <v>44</v>
      </c>
      <c r="G3161" s="2">
        <v>290.5</v>
      </c>
      <c r="H3161">
        <v>320.73</v>
      </c>
      <c r="I3161">
        <v>317.88971400000003</v>
      </c>
      <c r="J3161">
        <v>434.53</v>
      </c>
      <c r="K3161">
        <v>33</v>
      </c>
      <c r="M3161">
        <v>0</v>
      </c>
      <c r="N3161" s="2">
        <v>70</v>
      </c>
      <c r="O3161">
        <v>22252.28</v>
      </c>
      <c r="P3161">
        <v>2</v>
      </c>
      <c r="Q3161">
        <v>68</v>
      </c>
      <c r="R3161">
        <v>8.6</v>
      </c>
      <c r="S3161">
        <v>0</v>
      </c>
      <c r="T3161">
        <v>40</v>
      </c>
      <c r="U3161" s="2">
        <v>17381.2</v>
      </c>
      <c r="V3161">
        <v>0</v>
      </c>
      <c r="W3161" t="s">
        <v>29</v>
      </c>
      <c r="X3161" t="str">
        <f>IF(Table2[[#This Row],[Qty available]]&gt;Table2[[#This Row],[Qty on hand]],"Check","OK")</f>
        <v>OK</v>
      </c>
    </row>
    <row r="3162" spans="1:24" x14ac:dyDescent="0.3">
      <c r="A3162" t="s">
        <v>323</v>
      </c>
      <c r="B3162" t="s">
        <v>324</v>
      </c>
      <c r="C3162" t="s">
        <v>57</v>
      </c>
      <c r="D3162" t="s">
        <v>58</v>
      </c>
      <c r="E3162" t="s">
        <v>27</v>
      </c>
      <c r="F3162" s="1" t="s">
        <v>45</v>
      </c>
      <c r="G3162" s="2">
        <v>299.3</v>
      </c>
      <c r="H3162">
        <v>330.45</v>
      </c>
      <c r="I3162">
        <v>317.88967700000001</v>
      </c>
      <c r="J3162">
        <v>434.53</v>
      </c>
      <c r="K3162">
        <v>33</v>
      </c>
      <c r="M3162">
        <v>0</v>
      </c>
      <c r="N3162" s="2">
        <v>31</v>
      </c>
      <c r="O3162">
        <v>9854.58</v>
      </c>
      <c r="P3162">
        <v>2</v>
      </c>
      <c r="Q3162">
        <v>29</v>
      </c>
      <c r="R3162">
        <v>4.43</v>
      </c>
      <c r="S3162">
        <v>1</v>
      </c>
      <c r="T3162">
        <v>39</v>
      </c>
      <c r="U3162" s="2">
        <v>16946.669999999998</v>
      </c>
      <c r="V3162">
        <v>0</v>
      </c>
      <c r="W3162" t="s">
        <v>29</v>
      </c>
      <c r="X3162" t="str">
        <f>IF(Table2[[#This Row],[Qty available]]&gt;Table2[[#This Row],[Qty on hand]],"Check","OK")</f>
        <v>OK</v>
      </c>
    </row>
    <row r="3163" spans="1:24" x14ac:dyDescent="0.3">
      <c r="A3163" t="s">
        <v>323</v>
      </c>
      <c r="B3163" t="s">
        <v>324</v>
      </c>
      <c r="C3163" t="s">
        <v>57</v>
      </c>
      <c r="D3163" t="s">
        <v>58</v>
      </c>
      <c r="E3163" t="s">
        <v>27</v>
      </c>
      <c r="F3163" s="1" t="s">
        <v>46</v>
      </c>
      <c r="G3163" s="2">
        <v>296.75</v>
      </c>
      <c r="H3163">
        <v>327.63</v>
      </c>
      <c r="I3163">
        <v>323.12323500000002</v>
      </c>
      <c r="J3163">
        <v>452.37</v>
      </c>
      <c r="K3163">
        <v>33</v>
      </c>
      <c r="L3163" s="2">
        <v>32</v>
      </c>
      <c r="M3163">
        <v>36</v>
      </c>
      <c r="N3163" s="2">
        <v>34</v>
      </c>
      <c r="O3163">
        <v>10986.19</v>
      </c>
      <c r="P3163">
        <v>12</v>
      </c>
      <c r="Q3163">
        <v>22</v>
      </c>
      <c r="R3163">
        <v>3.9</v>
      </c>
      <c r="S3163">
        <v>5</v>
      </c>
      <c r="T3163">
        <v>33</v>
      </c>
      <c r="U3163" s="2">
        <v>14928.21</v>
      </c>
      <c r="V3163">
        <v>0</v>
      </c>
      <c r="W3163" t="s">
        <v>29</v>
      </c>
      <c r="X3163" t="str">
        <f>IF(Table2[[#This Row],[Qty available]]&gt;Table2[[#This Row],[Qty on hand]],"Check","OK")</f>
        <v>OK</v>
      </c>
    </row>
    <row r="3164" spans="1:24" x14ac:dyDescent="0.3">
      <c r="A3164" t="s">
        <v>323</v>
      </c>
      <c r="B3164" t="s">
        <v>324</v>
      </c>
      <c r="C3164" t="s">
        <v>57</v>
      </c>
      <c r="D3164" t="s">
        <v>58</v>
      </c>
      <c r="E3164" t="s">
        <v>27</v>
      </c>
      <c r="F3164" s="1" t="s">
        <v>47</v>
      </c>
      <c r="G3164" s="2">
        <v>295.51</v>
      </c>
      <c r="H3164">
        <v>326.26</v>
      </c>
      <c r="I3164">
        <v>325.47576099999998</v>
      </c>
      <c r="J3164">
        <v>452.37</v>
      </c>
      <c r="K3164">
        <v>33</v>
      </c>
      <c r="L3164" s="2">
        <v>30</v>
      </c>
      <c r="M3164">
        <v>102</v>
      </c>
      <c r="N3164" s="2">
        <v>92</v>
      </c>
      <c r="O3164">
        <v>29943.77</v>
      </c>
      <c r="P3164">
        <v>2</v>
      </c>
      <c r="Q3164">
        <v>90</v>
      </c>
      <c r="R3164">
        <v>10.199999999999999</v>
      </c>
      <c r="S3164">
        <v>0</v>
      </c>
      <c r="T3164">
        <v>44</v>
      </c>
      <c r="U3164" s="2">
        <v>19904.28</v>
      </c>
      <c r="V3164">
        <v>0</v>
      </c>
      <c r="W3164" t="s">
        <v>29</v>
      </c>
      <c r="X3164" t="str">
        <f>IF(Table2[[#This Row],[Qty available]]&gt;Table2[[#This Row],[Qty on hand]],"Check","OK")</f>
        <v>OK</v>
      </c>
    </row>
    <row r="3165" spans="1:24" x14ac:dyDescent="0.3">
      <c r="A3165" t="s">
        <v>323</v>
      </c>
      <c r="B3165" t="s">
        <v>324</v>
      </c>
      <c r="C3165" t="s">
        <v>57</v>
      </c>
      <c r="D3165" t="s">
        <v>58</v>
      </c>
      <c r="E3165" t="s">
        <v>27</v>
      </c>
      <c r="F3165" s="1" t="s">
        <v>48</v>
      </c>
      <c r="G3165" s="2">
        <v>293.75</v>
      </c>
      <c r="H3165">
        <v>324.32</v>
      </c>
      <c r="I3165">
        <v>325.47583300000002</v>
      </c>
      <c r="J3165">
        <v>452.37</v>
      </c>
      <c r="K3165">
        <v>33</v>
      </c>
      <c r="M3165">
        <v>0</v>
      </c>
      <c r="N3165" s="2">
        <v>36</v>
      </c>
      <c r="O3165">
        <v>11717.13</v>
      </c>
      <c r="P3165">
        <v>6</v>
      </c>
      <c r="Q3165">
        <v>30</v>
      </c>
      <c r="R3165">
        <v>3.44</v>
      </c>
      <c r="S3165">
        <v>3</v>
      </c>
      <c r="T3165">
        <v>56</v>
      </c>
      <c r="U3165" s="2">
        <v>25332.720000000001</v>
      </c>
      <c r="V3165">
        <v>0</v>
      </c>
      <c r="W3165" t="s">
        <v>29</v>
      </c>
      <c r="X3165" t="str">
        <f>IF(Table2[[#This Row],[Qty available]]&gt;Table2[[#This Row],[Qty on hand]],"Check","OK")</f>
        <v>OK</v>
      </c>
    </row>
    <row r="3166" spans="1:24" x14ac:dyDescent="0.3">
      <c r="A3166" t="s">
        <v>323</v>
      </c>
      <c r="B3166" t="s">
        <v>324</v>
      </c>
      <c r="C3166" t="s">
        <v>57</v>
      </c>
      <c r="D3166" t="s">
        <v>58</v>
      </c>
      <c r="E3166" t="s">
        <v>27</v>
      </c>
      <c r="F3166" s="1" t="s">
        <v>49</v>
      </c>
      <c r="G3166" s="2">
        <v>298.63</v>
      </c>
      <c r="H3166">
        <v>329.71</v>
      </c>
      <c r="I3166">
        <v>328.33666699999998</v>
      </c>
      <c r="J3166">
        <v>452.37</v>
      </c>
      <c r="K3166">
        <v>33</v>
      </c>
      <c r="L3166" s="2">
        <v>30</v>
      </c>
      <c r="M3166">
        <v>75</v>
      </c>
      <c r="N3166" s="2">
        <v>48</v>
      </c>
      <c r="O3166">
        <v>15760.16</v>
      </c>
      <c r="P3166">
        <v>6</v>
      </c>
      <c r="Q3166">
        <v>42</v>
      </c>
      <c r="R3166">
        <v>3.87</v>
      </c>
      <c r="S3166">
        <v>2</v>
      </c>
      <c r="T3166">
        <v>63</v>
      </c>
      <c r="U3166" s="2">
        <v>28499.31</v>
      </c>
      <c r="V3166">
        <v>0</v>
      </c>
      <c r="W3166" t="s">
        <v>29</v>
      </c>
      <c r="X3166" t="str">
        <f>IF(Table2[[#This Row],[Qty available]]&gt;Table2[[#This Row],[Qty on hand]],"Check","OK")</f>
        <v>OK</v>
      </c>
    </row>
    <row r="3167" spans="1:24" x14ac:dyDescent="0.3">
      <c r="A3167" t="s">
        <v>323</v>
      </c>
      <c r="B3167" t="s">
        <v>324</v>
      </c>
      <c r="C3167" t="s">
        <v>57</v>
      </c>
      <c r="D3167" t="s">
        <v>58</v>
      </c>
      <c r="E3167" t="s">
        <v>27</v>
      </c>
      <c r="F3167" s="1" t="s">
        <v>50</v>
      </c>
      <c r="G3167" s="2">
        <v>295.49</v>
      </c>
      <c r="H3167">
        <v>326.24</v>
      </c>
      <c r="I3167">
        <v>326.95371699999998</v>
      </c>
      <c r="J3167">
        <v>452.37</v>
      </c>
      <c r="K3167">
        <v>33</v>
      </c>
      <c r="L3167" s="2">
        <v>29</v>
      </c>
      <c r="M3167">
        <v>93</v>
      </c>
      <c r="N3167" s="2">
        <v>113</v>
      </c>
      <c r="O3167">
        <v>36945.769999999997</v>
      </c>
      <c r="P3167">
        <v>11</v>
      </c>
      <c r="Q3167">
        <v>102</v>
      </c>
      <c r="R3167">
        <v>9.99</v>
      </c>
      <c r="S3167">
        <v>0</v>
      </c>
      <c r="T3167">
        <v>28</v>
      </c>
      <c r="U3167" s="2">
        <v>12666.36</v>
      </c>
      <c r="V3167">
        <v>0</v>
      </c>
      <c r="W3167" t="s">
        <v>29</v>
      </c>
      <c r="X3167" t="str">
        <f>IF(Table2[[#This Row],[Qty available]]&gt;Table2[[#This Row],[Qty on hand]],"Check","OK")</f>
        <v>OK</v>
      </c>
    </row>
    <row r="3168" spans="1:24" x14ac:dyDescent="0.3">
      <c r="A3168" t="s">
        <v>323</v>
      </c>
      <c r="B3168" t="s">
        <v>324</v>
      </c>
      <c r="C3168" t="s">
        <v>57</v>
      </c>
      <c r="D3168" t="s">
        <v>58</v>
      </c>
      <c r="E3168" t="s">
        <v>27</v>
      </c>
      <c r="F3168" s="1" t="s">
        <v>51</v>
      </c>
      <c r="G3168" s="2">
        <v>298.13</v>
      </c>
      <c r="H3168">
        <v>329.15</v>
      </c>
      <c r="I3168">
        <v>326.953667</v>
      </c>
      <c r="J3168">
        <v>452.37</v>
      </c>
      <c r="K3168">
        <v>33</v>
      </c>
      <c r="M3168">
        <v>0</v>
      </c>
      <c r="N3168" s="2">
        <v>60</v>
      </c>
      <c r="O3168">
        <v>19617.22</v>
      </c>
      <c r="P3168">
        <v>7</v>
      </c>
      <c r="Q3168">
        <v>53</v>
      </c>
      <c r="R3168">
        <v>5.48</v>
      </c>
      <c r="S3168">
        <v>6</v>
      </c>
      <c r="T3168">
        <v>53</v>
      </c>
      <c r="U3168" s="2">
        <v>23975.61</v>
      </c>
      <c r="V3168">
        <v>0</v>
      </c>
      <c r="W3168" t="s">
        <v>29</v>
      </c>
      <c r="X3168" t="str">
        <f>IF(Table2[[#This Row],[Qty available]]&gt;Table2[[#This Row],[Qty on hand]],"Check","OK")</f>
        <v>OK</v>
      </c>
    </row>
    <row r="3169" spans="1:24" x14ac:dyDescent="0.3">
      <c r="A3169" t="s">
        <v>323</v>
      </c>
      <c r="B3169" t="s">
        <v>324</v>
      </c>
      <c r="C3169" t="s">
        <v>57</v>
      </c>
      <c r="D3169" t="s">
        <v>58</v>
      </c>
      <c r="E3169" t="s">
        <v>27</v>
      </c>
      <c r="F3169" s="1" t="s">
        <v>52</v>
      </c>
      <c r="G3169" s="2">
        <v>301.85000000000002</v>
      </c>
      <c r="H3169">
        <v>333.26</v>
      </c>
      <c r="I3169">
        <v>331.22572300000002</v>
      </c>
      <c r="J3169">
        <v>452.37</v>
      </c>
      <c r="K3169">
        <v>33</v>
      </c>
      <c r="L3169" s="2">
        <v>30</v>
      </c>
      <c r="M3169">
        <v>126</v>
      </c>
      <c r="N3169" s="2">
        <v>159</v>
      </c>
      <c r="O3169">
        <v>52664.89</v>
      </c>
      <c r="P3169">
        <v>2</v>
      </c>
      <c r="Q3169">
        <v>157</v>
      </c>
      <c r="R3169">
        <v>19.350000000000001</v>
      </c>
      <c r="S3169">
        <v>2</v>
      </c>
      <c r="T3169">
        <v>27</v>
      </c>
      <c r="U3169" s="2">
        <v>12213.99</v>
      </c>
      <c r="V3169">
        <v>0</v>
      </c>
      <c r="W3169" t="s">
        <v>29</v>
      </c>
      <c r="X3169" t="str">
        <f>IF(Table2[[#This Row],[Qty available]]&gt;Table2[[#This Row],[Qty on hand]],"Check","OK")</f>
        <v>OK</v>
      </c>
    </row>
    <row r="3170" spans="1:24" x14ac:dyDescent="0.3">
      <c r="A3170" t="s">
        <v>325</v>
      </c>
      <c r="B3170" t="s">
        <v>326</v>
      </c>
      <c r="C3170" t="s">
        <v>57</v>
      </c>
      <c r="D3170" t="s">
        <v>58</v>
      </c>
      <c r="E3170" t="s">
        <v>27</v>
      </c>
      <c r="F3170" s="1" t="s">
        <v>28</v>
      </c>
      <c r="G3170" s="2">
        <v>69.02</v>
      </c>
      <c r="H3170">
        <v>69.02</v>
      </c>
      <c r="I3170">
        <v>68.462451000000001</v>
      </c>
      <c r="J3170">
        <v>100.6</v>
      </c>
      <c r="K3170">
        <v>15</v>
      </c>
      <c r="L3170" s="2">
        <v>13</v>
      </c>
      <c r="M3170">
        <v>127</v>
      </c>
      <c r="N3170" s="2">
        <v>253</v>
      </c>
      <c r="O3170">
        <v>17321</v>
      </c>
      <c r="P3170">
        <v>38</v>
      </c>
      <c r="Q3170">
        <v>215</v>
      </c>
      <c r="R3170">
        <v>5.68</v>
      </c>
      <c r="S3170">
        <v>2</v>
      </c>
      <c r="T3170">
        <v>209</v>
      </c>
      <c r="U3170" s="2">
        <v>21025.4</v>
      </c>
      <c r="V3170">
        <v>0</v>
      </c>
      <c r="W3170" t="s">
        <v>29</v>
      </c>
      <c r="X3170" t="str">
        <f>IF(Table2[[#This Row],[Qty available]]&gt;Table2[[#This Row],[Qty on hand]],"Check","OK")</f>
        <v>OK</v>
      </c>
    </row>
    <row r="3171" spans="1:24" x14ac:dyDescent="0.3">
      <c r="A3171" t="s">
        <v>325</v>
      </c>
      <c r="B3171" t="s">
        <v>326</v>
      </c>
      <c r="C3171" t="s">
        <v>57</v>
      </c>
      <c r="D3171" t="s">
        <v>58</v>
      </c>
      <c r="E3171" t="s">
        <v>27</v>
      </c>
      <c r="F3171" s="1" t="s">
        <v>30</v>
      </c>
      <c r="G3171" s="2">
        <v>68.17</v>
      </c>
      <c r="H3171">
        <v>68.17</v>
      </c>
      <c r="I3171">
        <v>68.323491000000004</v>
      </c>
      <c r="J3171">
        <v>100.6</v>
      </c>
      <c r="K3171">
        <v>15</v>
      </c>
      <c r="L3171" s="2">
        <v>14</v>
      </c>
      <c r="M3171">
        <v>229</v>
      </c>
      <c r="N3171" s="2">
        <v>275</v>
      </c>
      <c r="O3171">
        <v>18788.96</v>
      </c>
      <c r="P3171">
        <v>13</v>
      </c>
      <c r="Q3171">
        <v>262</v>
      </c>
      <c r="R3171">
        <v>6.27</v>
      </c>
      <c r="S3171">
        <v>0</v>
      </c>
      <c r="T3171">
        <v>207</v>
      </c>
      <c r="U3171" s="2">
        <v>20824.2</v>
      </c>
      <c r="V3171">
        <v>0</v>
      </c>
      <c r="W3171" t="s">
        <v>29</v>
      </c>
      <c r="X3171" t="str">
        <f>IF(Table2[[#This Row],[Qty available]]&gt;Table2[[#This Row],[Qty on hand]],"Check","OK")</f>
        <v>OK</v>
      </c>
    </row>
    <row r="3172" spans="1:24" x14ac:dyDescent="0.3">
      <c r="A3172" t="s">
        <v>325</v>
      </c>
      <c r="B3172" t="s">
        <v>326</v>
      </c>
      <c r="C3172" t="s">
        <v>57</v>
      </c>
      <c r="D3172" t="s">
        <v>58</v>
      </c>
      <c r="E3172" t="s">
        <v>27</v>
      </c>
      <c r="F3172" s="1" t="s">
        <v>31</v>
      </c>
      <c r="G3172" s="2">
        <v>69.150000000000006</v>
      </c>
      <c r="H3172">
        <v>69.150000000000006</v>
      </c>
      <c r="I3172">
        <v>68.640409000000005</v>
      </c>
      <c r="J3172">
        <v>100.6</v>
      </c>
      <c r="K3172">
        <v>15</v>
      </c>
      <c r="L3172" s="2">
        <v>14</v>
      </c>
      <c r="M3172">
        <v>171</v>
      </c>
      <c r="N3172" s="2">
        <v>171</v>
      </c>
      <c r="O3172">
        <v>11737.51</v>
      </c>
      <c r="P3172">
        <v>25</v>
      </c>
      <c r="Q3172">
        <v>146</v>
      </c>
      <c r="R3172">
        <v>3.22</v>
      </c>
      <c r="S3172">
        <v>0</v>
      </c>
      <c r="T3172">
        <v>275</v>
      </c>
      <c r="U3172" s="2">
        <v>27665</v>
      </c>
      <c r="V3172">
        <v>0</v>
      </c>
      <c r="W3172" t="s">
        <v>29</v>
      </c>
      <c r="X3172" t="str">
        <f>IF(Table2[[#This Row],[Qty available]]&gt;Table2[[#This Row],[Qty on hand]],"Check","OK")</f>
        <v>OK</v>
      </c>
    </row>
    <row r="3173" spans="1:24" x14ac:dyDescent="0.3">
      <c r="A3173" t="s">
        <v>325</v>
      </c>
      <c r="B3173" t="s">
        <v>326</v>
      </c>
      <c r="C3173" t="s">
        <v>57</v>
      </c>
      <c r="D3173" t="s">
        <v>58</v>
      </c>
      <c r="E3173" t="s">
        <v>27</v>
      </c>
      <c r="F3173" s="1" t="s">
        <v>32</v>
      </c>
      <c r="G3173" s="2">
        <v>69.83</v>
      </c>
      <c r="H3173">
        <v>69.83</v>
      </c>
      <c r="I3173">
        <v>69.359121999999999</v>
      </c>
      <c r="J3173">
        <v>100.6</v>
      </c>
      <c r="K3173">
        <v>15</v>
      </c>
      <c r="L3173" s="2">
        <v>20</v>
      </c>
      <c r="M3173">
        <v>261</v>
      </c>
      <c r="N3173" s="2">
        <v>319</v>
      </c>
      <c r="O3173">
        <v>22125.56</v>
      </c>
      <c r="P3173">
        <v>56</v>
      </c>
      <c r="Q3173">
        <v>263</v>
      </c>
      <c r="R3173">
        <v>7.05</v>
      </c>
      <c r="S3173">
        <v>0</v>
      </c>
      <c r="T3173">
        <v>113</v>
      </c>
      <c r="U3173" s="2">
        <v>11367.8</v>
      </c>
      <c r="V3173">
        <v>0</v>
      </c>
      <c r="W3173" t="s">
        <v>29</v>
      </c>
      <c r="X3173" t="str">
        <f>IF(Table2[[#This Row],[Qty available]]&gt;Table2[[#This Row],[Qty on hand]],"Check","OK")</f>
        <v>OK</v>
      </c>
    </row>
    <row r="3174" spans="1:24" x14ac:dyDescent="0.3">
      <c r="A3174" t="s">
        <v>325</v>
      </c>
      <c r="B3174" t="s">
        <v>326</v>
      </c>
      <c r="C3174" t="s">
        <v>57</v>
      </c>
      <c r="D3174" t="s">
        <v>58</v>
      </c>
      <c r="E3174" t="s">
        <v>27</v>
      </c>
      <c r="F3174" s="1" t="s">
        <v>33</v>
      </c>
      <c r="G3174" s="2">
        <v>72.19</v>
      </c>
      <c r="H3174">
        <v>72.19</v>
      </c>
      <c r="I3174">
        <v>69.736048999999994</v>
      </c>
      <c r="J3174">
        <v>100.6</v>
      </c>
      <c r="K3174">
        <v>15</v>
      </c>
      <c r="L3174" s="2">
        <v>15</v>
      </c>
      <c r="M3174">
        <v>49</v>
      </c>
      <c r="N3174" s="2">
        <v>205</v>
      </c>
      <c r="O3174">
        <v>14295.89</v>
      </c>
      <c r="P3174">
        <v>38</v>
      </c>
      <c r="Q3174">
        <v>167</v>
      </c>
      <c r="R3174">
        <v>4.8899999999999997</v>
      </c>
      <c r="S3174">
        <v>0</v>
      </c>
      <c r="T3174">
        <v>163</v>
      </c>
      <c r="U3174" s="2">
        <v>16397.8</v>
      </c>
      <c r="V3174">
        <v>0</v>
      </c>
      <c r="W3174" t="s">
        <v>29</v>
      </c>
      <c r="X3174" t="str">
        <f>IF(Table2[[#This Row],[Qty available]]&gt;Table2[[#This Row],[Qty on hand]],"Check","OK")</f>
        <v>OK</v>
      </c>
    </row>
    <row r="3175" spans="1:24" x14ac:dyDescent="0.3">
      <c r="A3175" t="s">
        <v>325</v>
      </c>
      <c r="B3175" t="s">
        <v>326</v>
      </c>
      <c r="C3175" t="s">
        <v>57</v>
      </c>
      <c r="D3175" t="s">
        <v>58</v>
      </c>
      <c r="E3175" t="s">
        <v>27</v>
      </c>
      <c r="F3175" s="1" t="s">
        <v>34</v>
      </c>
      <c r="G3175" s="2">
        <v>71.959999999999994</v>
      </c>
      <c r="H3175">
        <v>71.959999999999994</v>
      </c>
      <c r="I3175">
        <v>71.057193999999996</v>
      </c>
      <c r="J3175">
        <v>105.96</v>
      </c>
      <c r="K3175">
        <v>15</v>
      </c>
      <c r="L3175" s="2">
        <v>13</v>
      </c>
      <c r="M3175">
        <v>300</v>
      </c>
      <c r="N3175" s="2">
        <v>253</v>
      </c>
      <c r="O3175">
        <v>17977.47</v>
      </c>
      <c r="P3175">
        <v>56</v>
      </c>
      <c r="Q3175">
        <v>197</v>
      </c>
      <c r="R3175">
        <v>6.16</v>
      </c>
      <c r="S3175">
        <v>1</v>
      </c>
      <c r="T3175">
        <v>252</v>
      </c>
      <c r="U3175" s="2">
        <v>26701.919999999998</v>
      </c>
      <c r="V3175">
        <v>0</v>
      </c>
      <c r="W3175" t="s">
        <v>29</v>
      </c>
      <c r="X3175" t="str">
        <f>IF(Table2[[#This Row],[Qty available]]&gt;Table2[[#This Row],[Qty on hand]],"Check","OK")</f>
        <v>OK</v>
      </c>
    </row>
    <row r="3176" spans="1:24" x14ac:dyDescent="0.3">
      <c r="A3176" t="s">
        <v>325</v>
      </c>
      <c r="B3176" t="s">
        <v>326</v>
      </c>
      <c r="C3176" t="s">
        <v>57</v>
      </c>
      <c r="D3176" t="s">
        <v>58</v>
      </c>
      <c r="E3176" t="s">
        <v>27</v>
      </c>
      <c r="F3176" s="1" t="s">
        <v>35</v>
      </c>
      <c r="G3176" s="2">
        <v>71.61</v>
      </c>
      <c r="H3176">
        <v>71.61</v>
      </c>
      <c r="I3176">
        <v>71.179666999999995</v>
      </c>
      <c r="J3176">
        <v>105.96</v>
      </c>
      <c r="K3176">
        <v>15</v>
      </c>
      <c r="L3176" s="2">
        <v>14</v>
      </c>
      <c r="M3176">
        <v>72</v>
      </c>
      <c r="N3176" s="2">
        <v>270</v>
      </c>
      <c r="O3176">
        <v>19218.509999999998</v>
      </c>
      <c r="P3176">
        <v>25</v>
      </c>
      <c r="Q3176">
        <v>245</v>
      </c>
      <c r="R3176">
        <v>7.39</v>
      </c>
      <c r="S3176">
        <v>1</v>
      </c>
      <c r="T3176">
        <v>55</v>
      </c>
      <c r="U3176" s="2">
        <v>5827.8</v>
      </c>
      <c r="V3176">
        <v>0</v>
      </c>
      <c r="W3176" t="s">
        <v>29</v>
      </c>
      <c r="X3176" t="str">
        <f>IF(Table2[[#This Row],[Qty available]]&gt;Table2[[#This Row],[Qty on hand]],"Check","OK")</f>
        <v>OK</v>
      </c>
    </row>
    <row r="3177" spans="1:24" x14ac:dyDescent="0.3">
      <c r="A3177" t="s">
        <v>325</v>
      </c>
      <c r="B3177" t="s">
        <v>326</v>
      </c>
      <c r="C3177" t="s">
        <v>57</v>
      </c>
      <c r="D3177" t="s">
        <v>58</v>
      </c>
      <c r="E3177" t="s">
        <v>27</v>
      </c>
      <c r="F3177" s="1" t="s">
        <v>36</v>
      </c>
      <c r="G3177" s="2">
        <v>72.489999999999995</v>
      </c>
      <c r="H3177">
        <v>72.489999999999995</v>
      </c>
      <c r="I3177">
        <v>71.703783000000001</v>
      </c>
      <c r="J3177">
        <v>105.96</v>
      </c>
      <c r="K3177">
        <v>15</v>
      </c>
      <c r="L3177" s="2">
        <v>21</v>
      </c>
      <c r="M3177">
        <v>180</v>
      </c>
      <c r="N3177" s="2">
        <v>230</v>
      </c>
      <c r="O3177">
        <v>16491.87</v>
      </c>
      <c r="P3177">
        <v>19</v>
      </c>
      <c r="Q3177">
        <v>211</v>
      </c>
      <c r="R3177">
        <v>5.55</v>
      </c>
      <c r="S3177">
        <v>3</v>
      </c>
      <c r="T3177">
        <v>220</v>
      </c>
      <c r="U3177" s="2">
        <v>23311.200000000001</v>
      </c>
      <c r="V3177">
        <v>0</v>
      </c>
      <c r="W3177" t="s">
        <v>29</v>
      </c>
      <c r="X3177" t="str">
        <f>IF(Table2[[#This Row],[Qty available]]&gt;Table2[[#This Row],[Qty on hand]],"Check","OK")</f>
        <v>OK</v>
      </c>
    </row>
    <row r="3178" spans="1:24" x14ac:dyDescent="0.3">
      <c r="A3178" t="s">
        <v>325</v>
      </c>
      <c r="B3178" t="s">
        <v>326</v>
      </c>
      <c r="C3178" t="s">
        <v>57</v>
      </c>
      <c r="D3178" t="s">
        <v>58</v>
      </c>
      <c r="E3178" t="s">
        <v>27</v>
      </c>
      <c r="F3178" s="1" t="s">
        <v>37</v>
      </c>
      <c r="G3178" s="2">
        <v>70.7</v>
      </c>
      <c r="H3178">
        <v>70.7</v>
      </c>
      <c r="I3178">
        <v>71.189138</v>
      </c>
      <c r="J3178">
        <v>105.96</v>
      </c>
      <c r="K3178">
        <v>15</v>
      </c>
      <c r="L3178" s="2">
        <v>24</v>
      </c>
      <c r="M3178">
        <v>242</v>
      </c>
      <c r="N3178" s="2">
        <v>174</v>
      </c>
      <c r="O3178">
        <v>12386.91</v>
      </c>
      <c r="P3178">
        <v>56</v>
      </c>
      <c r="Q3178">
        <v>118</v>
      </c>
      <c r="R3178">
        <v>3.99</v>
      </c>
      <c r="S3178">
        <v>3</v>
      </c>
      <c r="T3178">
        <v>298</v>
      </c>
      <c r="U3178" s="2">
        <v>31576.080000000002</v>
      </c>
      <c r="V3178">
        <v>0</v>
      </c>
      <c r="W3178" t="s">
        <v>29</v>
      </c>
      <c r="X3178" t="str">
        <f>IF(Table2[[#This Row],[Qty available]]&gt;Table2[[#This Row],[Qty on hand]],"Check","OK")</f>
        <v>OK</v>
      </c>
    </row>
    <row r="3179" spans="1:24" x14ac:dyDescent="0.3">
      <c r="A3179" t="s">
        <v>325</v>
      </c>
      <c r="B3179" t="s">
        <v>326</v>
      </c>
      <c r="C3179" t="s">
        <v>57</v>
      </c>
      <c r="D3179" t="s">
        <v>58</v>
      </c>
      <c r="E3179" t="s">
        <v>27</v>
      </c>
      <c r="F3179" s="1" t="s">
        <v>38</v>
      </c>
      <c r="G3179" s="2">
        <v>70.180000000000007</v>
      </c>
      <c r="H3179">
        <v>70.180000000000007</v>
      </c>
      <c r="I3179">
        <v>70.697971999999993</v>
      </c>
      <c r="J3179">
        <v>105.96</v>
      </c>
      <c r="K3179">
        <v>15</v>
      </c>
      <c r="L3179" s="2">
        <v>25</v>
      </c>
      <c r="M3179">
        <v>165</v>
      </c>
      <c r="N3179" s="2">
        <v>286</v>
      </c>
      <c r="O3179">
        <v>20219.62</v>
      </c>
      <c r="P3179">
        <v>13</v>
      </c>
      <c r="Q3179">
        <v>273</v>
      </c>
      <c r="R3179">
        <v>6.51</v>
      </c>
      <c r="S3179">
        <v>0</v>
      </c>
      <c r="T3179">
        <v>53</v>
      </c>
      <c r="U3179" s="2">
        <v>5615.88</v>
      </c>
      <c r="V3179">
        <v>0</v>
      </c>
      <c r="W3179" t="s">
        <v>29</v>
      </c>
      <c r="X3179" t="str">
        <f>IF(Table2[[#This Row],[Qty available]]&gt;Table2[[#This Row],[Qty on hand]],"Check","OK")</f>
        <v>OK</v>
      </c>
    </row>
    <row r="3180" spans="1:24" x14ac:dyDescent="0.3">
      <c r="A3180" t="s">
        <v>325</v>
      </c>
      <c r="B3180" t="s">
        <v>326</v>
      </c>
      <c r="C3180" t="s">
        <v>57</v>
      </c>
      <c r="D3180" t="s">
        <v>58</v>
      </c>
      <c r="E3180" t="s">
        <v>27</v>
      </c>
      <c r="F3180" s="1" t="s">
        <v>39</v>
      </c>
      <c r="G3180" s="2">
        <v>70.989999999999995</v>
      </c>
      <c r="H3180">
        <v>70.989999999999995</v>
      </c>
      <c r="I3180">
        <v>70.766765000000007</v>
      </c>
      <c r="J3180">
        <v>105.96</v>
      </c>
      <c r="K3180">
        <v>15</v>
      </c>
      <c r="L3180" s="2">
        <v>23</v>
      </c>
      <c r="M3180">
        <v>88</v>
      </c>
      <c r="N3180" s="2">
        <v>34</v>
      </c>
      <c r="O3180">
        <v>2406.0700000000002</v>
      </c>
      <c r="P3180">
        <v>13</v>
      </c>
      <c r="Q3180">
        <v>21</v>
      </c>
      <c r="R3180">
        <v>0.65</v>
      </c>
      <c r="S3180">
        <v>1</v>
      </c>
      <c r="T3180">
        <v>340</v>
      </c>
      <c r="U3180" s="2">
        <v>36026.400000000001</v>
      </c>
      <c r="V3180">
        <v>0</v>
      </c>
      <c r="W3180" t="s">
        <v>29</v>
      </c>
      <c r="X3180" t="str">
        <f>IF(Table2[[#This Row],[Qty available]]&gt;Table2[[#This Row],[Qty on hand]],"Check","OK")</f>
        <v>OK</v>
      </c>
    </row>
    <row r="3181" spans="1:24" x14ac:dyDescent="0.3">
      <c r="A3181" t="s">
        <v>325</v>
      </c>
      <c r="B3181" t="s">
        <v>326</v>
      </c>
      <c r="C3181" t="s">
        <v>57</v>
      </c>
      <c r="D3181" t="s">
        <v>58</v>
      </c>
      <c r="E3181" t="s">
        <v>27</v>
      </c>
      <c r="F3181" s="1" t="s">
        <v>40</v>
      </c>
      <c r="G3181" s="2">
        <v>71</v>
      </c>
      <c r="H3181">
        <v>71</v>
      </c>
      <c r="I3181">
        <v>70.983667999999994</v>
      </c>
      <c r="J3181">
        <v>105.96</v>
      </c>
      <c r="K3181">
        <v>15</v>
      </c>
      <c r="L3181" s="2">
        <v>25</v>
      </c>
      <c r="M3181">
        <v>452</v>
      </c>
      <c r="N3181" s="2">
        <v>259</v>
      </c>
      <c r="O3181">
        <v>18384.77</v>
      </c>
      <c r="P3181">
        <v>50</v>
      </c>
      <c r="Q3181">
        <v>209</v>
      </c>
      <c r="R3181">
        <v>5.49</v>
      </c>
      <c r="S3181">
        <v>0</v>
      </c>
      <c r="T3181">
        <v>227</v>
      </c>
      <c r="U3181" s="2">
        <v>24052.92</v>
      </c>
      <c r="V3181">
        <v>0</v>
      </c>
      <c r="W3181" t="s">
        <v>29</v>
      </c>
      <c r="X3181" t="str">
        <f>IF(Table2[[#This Row],[Qty available]]&gt;Table2[[#This Row],[Qty on hand]],"Check","OK")</f>
        <v>OK</v>
      </c>
    </row>
    <row r="3182" spans="1:24" x14ac:dyDescent="0.3">
      <c r="A3182" t="s">
        <v>325</v>
      </c>
      <c r="B3182" t="s">
        <v>326</v>
      </c>
      <c r="C3182" t="s">
        <v>57</v>
      </c>
      <c r="D3182" t="s">
        <v>58</v>
      </c>
      <c r="E3182" t="s">
        <v>27</v>
      </c>
      <c r="F3182" s="1" t="s">
        <v>41</v>
      </c>
      <c r="G3182" s="2">
        <v>72.33</v>
      </c>
      <c r="H3182">
        <v>72.33</v>
      </c>
      <c r="I3182">
        <v>71.633973999999995</v>
      </c>
      <c r="J3182">
        <v>105.96</v>
      </c>
      <c r="K3182">
        <v>15</v>
      </c>
      <c r="L3182" s="2">
        <v>13</v>
      </c>
      <c r="M3182">
        <v>242</v>
      </c>
      <c r="N3182" s="2">
        <v>229</v>
      </c>
      <c r="O3182">
        <v>16404.18</v>
      </c>
      <c r="P3182">
        <v>38</v>
      </c>
      <c r="Q3182">
        <v>191</v>
      </c>
      <c r="R3182">
        <v>3.59</v>
      </c>
      <c r="S3182">
        <v>3</v>
      </c>
      <c r="T3182">
        <v>272</v>
      </c>
      <c r="U3182" s="2">
        <v>28821.119999999999</v>
      </c>
      <c r="V3182">
        <v>0</v>
      </c>
      <c r="W3182" t="s">
        <v>29</v>
      </c>
      <c r="X3182" t="str">
        <f>IF(Table2[[#This Row],[Qty available]]&gt;Table2[[#This Row],[Qty on hand]],"Check","OK")</f>
        <v>OK</v>
      </c>
    </row>
    <row r="3183" spans="1:24" x14ac:dyDescent="0.3">
      <c r="A3183" t="s">
        <v>325</v>
      </c>
      <c r="B3183" t="s">
        <v>326</v>
      </c>
      <c r="C3183" t="s">
        <v>57</v>
      </c>
      <c r="D3183" t="s">
        <v>58</v>
      </c>
      <c r="E3183" t="s">
        <v>27</v>
      </c>
      <c r="F3183" s="1" t="s">
        <v>42</v>
      </c>
      <c r="G3183" s="2">
        <v>71.33</v>
      </c>
      <c r="H3183">
        <v>71.33</v>
      </c>
      <c r="I3183">
        <v>71.504017000000005</v>
      </c>
      <c r="J3183">
        <v>105.96</v>
      </c>
      <c r="K3183">
        <v>15</v>
      </c>
      <c r="L3183" s="2">
        <v>14</v>
      </c>
      <c r="M3183">
        <v>171</v>
      </c>
      <c r="N3183" s="2">
        <v>239</v>
      </c>
      <c r="O3183">
        <v>17089.46</v>
      </c>
      <c r="P3183">
        <v>25</v>
      </c>
      <c r="Q3183">
        <v>214</v>
      </c>
      <c r="R3183">
        <v>4.76</v>
      </c>
      <c r="S3183">
        <v>0</v>
      </c>
      <c r="T3183">
        <v>161</v>
      </c>
      <c r="U3183" s="2">
        <v>17059.560000000001</v>
      </c>
      <c r="V3183">
        <v>0</v>
      </c>
      <c r="W3183" t="s">
        <v>29</v>
      </c>
      <c r="X3183" t="str">
        <f>IF(Table2[[#This Row],[Qty available]]&gt;Table2[[#This Row],[Qty on hand]],"Check","OK")</f>
        <v>OK</v>
      </c>
    </row>
    <row r="3184" spans="1:24" x14ac:dyDescent="0.3">
      <c r="A3184" t="s">
        <v>325</v>
      </c>
      <c r="B3184" t="s">
        <v>326</v>
      </c>
      <c r="C3184" t="s">
        <v>57</v>
      </c>
      <c r="D3184" t="s">
        <v>58</v>
      </c>
      <c r="E3184" t="s">
        <v>27</v>
      </c>
      <c r="F3184" s="1" t="s">
        <v>43</v>
      </c>
      <c r="G3184" s="2">
        <v>70.72</v>
      </c>
      <c r="H3184">
        <v>70.72</v>
      </c>
      <c r="I3184">
        <v>71.180378000000005</v>
      </c>
      <c r="J3184">
        <v>105.96</v>
      </c>
      <c r="K3184">
        <v>15</v>
      </c>
      <c r="L3184" s="2">
        <v>14</v>
      </c>
      <c r="M3184">
        <v>168</v>
      </c>
      <c r="N3184" s="2">
        <v>185</v>
      </c>
      <c r="O3184">
        <v>13168.37</v>
      </c>
      <c r="P3184">
        <v>31</v>
      </c>
      <c r="Q3184">
        <v>154</v>
      </c>
      <c r="R3184">
        <v>3.67</v>
      </c>
      <c r="S3184">
        <v>1</v>
      </c>
      <c r="T3184">
        <v>222</v>
      </c>
      <c r="U3184" s="2">
        <v>23523.119999999999</v>
      </c>
      <c r="V3184">
        <v>0</v>
      </c>
      <c r="W3184" t="s">
        <v>29</v>
      </c>
      <c r="X3184" t="str">
        <f>IF(Table2[[#This Row],[Qty available]]&gt;Table2[[#This Row],[Qty on hand]],"Check","OK")</f>
        <v>OK</v>
      </c>
    </row>
    <row r="3185" spans="1:24" x14ac:dyDescent="0.3">
      <c r="A3185" t="s">
        <v>325</v>
      </c>
      <c r="B3185" t="s">
        <v>326</v>
      </c>
      <c r="C3185" t="s">
        <v>57</v>
      </c>
      <c r="D3185" t="s">
        <v>58</v>
      </c>
      <c r="E3185" t="s">
        <v>27</v>
      </c>
      <c r="F3185" s="1" t="s">
        <v>44</v>
      </c>
      <c r="G3185" s="2">
        <v>69.930000000000007</v>
      </c>
      <c r="H3185">
        <v>69.930000000000007</v>
      </c>
      <c r="I3185">
        <v>70.563734999999994</v>
      </c>
      <c r="J3185">
        <v>105.96</v>
      </c>
      <c r="K3185">
        <v>15</v>
      </c>
      <c r="L3185" s="2">
        <v>13</v>
      </c>
      <c r="M3185">
        <v>180</v>
      </c>
      <c r="N3185" s="2">
        <v>249</v>
      </c>
      <c r="O3185">
        <v>17570.37</v>
      </c>
      <c r="P3185">
        <v>13</v>
      </c>
      <c r="Q3185">
        <v>236</v>
      </c>
      <c r="R3185">
        <v>6.56</v>
      </c>
      <c r="S3185">
        <v>0</v>
      </c>
      <c r="T3185">
        <v>116</v>
      </c>
      <c r="U3185" s="2">
        <v>12291.36</v>
      </c>
      <c r="V3185">
        <v>0</v>
      </c>
      <c r="W3185" t="s">
        <v>29</v>
      </c>
      <c r="X3185" t="str">
        <f>IF(Table2[[#This Row],[Qty available]]&gt;Table2[[#This Row],[Qty on hand]],"Check","OK")</f>
        <v>OK</v>
      </c>
    </row>
    <row r="3186" spans="1:24" x14ac:dyDescent="0.3">
      <c r="A3186" t="s">
        <v>325</v>
      </c>
      <c r="B3186" t="s">
        <v>326</v>
      </c>
      <c r="C3186" t="s">
        <v>57</v>
      </c>
      <c r="D3186" t="s">
        <v>58</v>
      </c>
      <c r="E3186" t="s">
        <v>27</v>
      </c>
      <c r="F3186" s="1" t="s">
        <v>45</v>
      </c>
      <c r="G3186" s="2">
        <v>74.38</v>
      </c>
      <c r="H3186">
        <v>74.38</v>
      </c>
      <c r="I3186">
        <v>72.254146000000006</v>
      </c>
      <c r="J3186">
        <v>105.96</v>
      </c>
      <c r="K3186">
        <v>15</v>
      </c>
      <c r="L3186" s="2">
        <v>13</v>
      </c>
      <c r="M3186">
        <v>198</v>
      </c>
      <c r="N3186" s="2">
        <v>246</v>
      </c>
      <c r="O3186">
        <v>17774.52</v>
      </c>
      <c r="P3186">
        <v>63</v>
      </c>
      <c r="Q3186">
        <v>183</v>
      </c>
      <c r="R3186">
        <v>6</v>
      </c>
      <c r="S3186">
        <v>5</v>
      </c>
      <c r="T3186">
        <v>201</v>
      </c>
      <c r="U3186" s="2">
        <v>21297.96</v>
      </c>
      <c r="V3186">
        <v>0</v>
      </c>
      <c r="W3186" t="s">
        <v>29</v>
      </c>
      <c r="X3186" t="str">
        <f>IF(Table2[[#This Row],[Qty available]]&gt;Table2[[#This Row],[Qty on hand]],"Check","OK")</f>
        <v>OK</v>
      </c>
    </row>
    <row r="3187" spans="1:24" x14ac:dyDescent="0.3">
      <c r="A3187" t="s">
        <v>325</v>
      </c>
      <c r="B3187" t="s">
        <v>326</v>
      </c>
      <c r="C3187" t="s">
        <v>57</v>
      </c>
      <c r="D3187" t="s">
        <v>58</v>
      </c>
      <c r="E3187" t="s">
        <v>27</v>
      </c>
      <c r="F3187" s="1" t="s">
        <v>46</v>
      </c>
      <c r="G3187" s="2">
        <v>72.8</v>
      </c>
      <c r="H3187">
        <v>72.8</v>
      </c>
      <c r="I3187">
        <v>72.458332999999996</v>
      </c>
      <c r="J3187">
        <v>111.61</v>
      </c>
      <c r="K3187">
        <v>15</v>
      </c>
      <c r="L3187" s="2">
        <v>13</v>
      </c>
      <c r="M3187">
        <v>147</v>
      </c>
      <c r="N3187" s="2">
        <v>228</v>
      </c>
      <c r="O3187">
        <v>16520.5</v>
      </c>
      <c r="P3187">
        <v>25</v>
      </c>
      <c r="Q3187">
        <v>203</v>
      </c>
      <c r="R3187">
        <v>6.08</v>
      </c>
      <c r="S3187">
        <v>0</v>
      </c>
      <c r="T3187">
        <v>165</v>
      </c>
      <c r="U3187" s="2">
        <v>18415.650000000001</v>
      </c>
      <c r="V3187">
        <v>0</v>
      </c>
      <c r="W3187" t="s">
        <v>29</v>
      </c>
      <c r="X3187" t="str">
        <f>IF(Table2[[#This Row],[Qty available]]&gt;Table2[[#This Row],[Qty on hand]],"Check","OK")</f>
        <v>OK</v>
      </c>
    </row>
    <row r="3188" spans="1:24" x14ac:dyDescent="0.3">
      <c r="A3188" t="s">
        <v>325</v>
      </c>
      <c r="B3188" t="s">
        <v>326</v>
      </c>
      <c r="C3188" t="s">
        <v>57</v>
      </c>
      <c r="D3188" t="s">
        <v>58</v>
      </c>
      <c r="E3188" t="s">
        <v>27</v>
      </c>
      <c r="F3188" s="1" t="s">
        <v>47</v>
      </c>
      <c r="G3188" s="2">
        <v>72.489999999999995</v>
      </c>
      <c r="H3188">
        <v>72.489999999999995</v>
      </c>
      <c r="I3188">
        <v>72.472885000000005</v>
      </c>
      <c r="J3188">
        <v>111.61</v>
      </c>
      <c r="K3188">
        <v>15</v>
      </c>
      <c r="L3188" s="2">
        <v>26</v>
      </c>
      <c r="M3188">
        <v>194</v>
      </c>
      <c r="N3188" s="2">
        <v>364</v>
      </c>
      <c r="O3188">
        <v>26380.13</v>
      </c>
      <c r="P3188">
        <v>13</v>
      </c>
      <c r="Q3188">
        <v>351</v>
      </c>
      <c r="R3188">
        <v>11.04</v>
      </c>
      <c r="S3188">
        <v>0</v>
      </c>
      <c r="T3188">
        <v>58</v>
      </c>
      <c r="U3188" s="2">
        <v>6473.38</v>
      </c>
      <c r="V3188">
        <v>0</v>
      </c>
      <c r="W3188" t="s">
        <v>29</v>
      </c>
      <c r="X3188" t="str">
        <f>IF(Table2[[#This Row],[Qty available]]&gt;Table2[[#This Row],[Qty on hand]],"Check","OK")</f>
        <v>OK</v>
      </c>
    </row>
    <row r="3189" spans="1:24" x14ac:dyDescent="0.3">
      <c r="A3189" t="s">
        <v>325</v>
      </c>
      <c r="B3189" t="s">
        <v>326</v>
      </c>
      <c r="C3189" t="s">
        <v>57</v>
      </c>
      <c r="D3189" t="s">
        <v>58</v>
      </c>
      <c r="E3189" t="s">
        <v>27</v>
      </c>
      <c r="F3189" s="1" t="s">
        <v>48</v>
      </c>
      <c r="G3189" s="2">
        <v>73.52</v>
      </c>
      <c r="H3189">
        <v>73.52</v>
      </c>
      <c r="I3189">
        <v>72.472894999999994</v>
      </c>
      <c r="J3189">
        <v>111.61</v>
      </c>
      <c r="K3189">
        <v>15</v>
      </c>
      <c r="M3189">
        <v>0</v>
      </c>
      <c r="N3189" s="2">
        <v>76</v>
      </c>
      <c r="O3189">
        <v>5507.94</v>
      </c>
      <c r="P3189">
        <v>13</v>
      </c>
      <c r="Q3189">
        <v>63</v>
      </c>
      <c r="R3189">
        <v>1.89</v>
      </c>
      <c r="S3189">
        <v>1</v>
      </c>
      <c r="T3189">
        <v>288</v>
      </c>
      <c r="U3189" s="2">
        <v>32143.68</v>
      </c>
      <c r="V3189">
        <v>0</v>
      </c>
      <c r="W3189" t="s">
        <v>29</v>
      </c>
      <c r="X3189" t="str">
        <f>IF(Table2[[#This Row],[Qty available]]&gt;Table2[[#This Row],[Qty on hand]],"Check","OK")</f>
        <v>OK</v>
      </c>
    </row>
    <row r="3190" spans="1:24" x14ac:dyDescent="0.3">
      <c r="A3190" t="s">
        <v>325</v>
      </c>
      <c r="B3190" t="s">
        <v>326</v>
      </c>
      <c r="C3190" t="s">
        <v>57</v>
      </c>
      <c r="D3190" t="s">
        <v>58</v>
      </c>
      <c r="E3190" t="s">
        <v>27</v>
      </c>
      <c r="F3190" s="1" t="s">
        <v>49</v>
      </c>
      <c r="G3190" s="2">
        <v>73.47</v>
      </c>
      <c r="H3190">
        <v>73.47</v>
      </c>
      <c r="I3190">
        <v>73.136222000000004</v>
      </c>
      <c r="J3190">
        <v>111.61</v>
      </c>
      <c r="K3190">
        <v>15</v>
      </c>
      <c r="L3190" s="2">
        <v>15</v>
      </c>
      <c r="M3190">
        <v>151</v>
      </c>
      <c r="N3190" s="2">
        <v>90</v>
      </c>
      <c r="O3190">
        <v>6582.26</v>
      </c>
      <c r="P3190">
        <v>38</v>
      </c>
      <c r="Q3190">
        <v>52</v>
      </c>
      <c r="R3190">
        <v>2.4500000000000002</v>
      </c>
      <c r="S3190">
        <v>1</v>
      </c>
      <c r="T3190">
        <v>137</v>
      </c>
      <c r="U3190" s="2">
        <v>15290.57</v>
      </c>
      <c r="V3190">
        <v>0</v>
      </c>
      <c r="W3190" t="s">
        <v>29</v>
      </c>
      <c r="X3190" t="str">
        <f>IF(Table2[[#This Row],[Qty available]]&gt;Table2[[#This Row],[Qty on hand]],"Check","OK")</f>
        <v>OK</v>
      </c>
    </row>
    <row r="3191" spans="1:24" x14ac:dyDescent="0.3">
      <c r="A3191" t="s">
        <v>325</v>
      </c>
      <c r="B3191" t="s">
        <v>326</v>
      </c>
      <c r="C3191" t="s">
        <v>57</v>
      </c>
      <c r="D3191" t="s">
        <v>58</v>
      </c>
      <c r="E3191" t="s">
        <v>27</v>
      </c>
      <c r="F3191" s="1" t="s">
        <v>50</v>
      </c>
      <c r="G3191" s="2">
        <v>74</v>
      </c>
      <c r="H3191">
        <v>74</v>
      </c>
      <c r="I3191">
        <v>73.721321000000003</v>
      </c>
      <c r="J3191">
        <v>111.61</v>
      </c>
      <c r="K3191">
        <v>15</v>
      </c>
      <c r="L3191" s="2">
        <v>13</v>
      </c>
      <c r="M3191">
        <v>189</v>
      </c>
      <c r="N3191" s="2">
        <v>106</v>
      </c>
      <c r="O3191">
        <v>7814.46</v>
      </c>
      <c r="P3191">
        <v>13</v>
      </c>
      <c r="Q3191">
        <v>93</v>
      </c>
      <c r="R3191">
        <v>2.2999999999999998</v>
      </c>
      <c r="S3191">
        <v>2</v>
      </c>
      <c r="T3191">
        <v>173</v>
      </c>
      <c r="U3191" s="2">
        <v>19308.53</v>
      </c>
      <c r="V3191">
        <v>0</v>
      </c>
      <c r="W3191" t="s">
        <v>29</v>
      </c>
      <c r="X3191" t="str">
        <f>IF(Table2[[#This Row],[Qty available]]&gt;Table2[[#This Row],[Qty on hand]],"Check","OK")</f>
        <v>OK</v>
      </c>
    </row>
    <row r="3192" spans="1:24" x14ac:dyDescent="0.3">
      <c r="A3192" t="s">
        <v>325</v>
      </c>
      <c r="B3192" t="s">
        <v>326</v>
      </c>
      <c r="C3192" t="s">
        <v>57</v>
      </c>
      <c r="D3192" t="s">
        <v>58</v>
      </c>
      <c r="E3192" t="s">
        <v>27</v>
      </c>
      <c r="F3192" s="1" t="s">
        <v>51</v>
      </c>
      <c r="G3192" s="2">
        <v>73.400000000000006</v>
      </c>
      <c r="H3192">
        <v>73.400000000000006</v>
      </c>
      <c r="I3192">
        <v>73.485179000000002</v>
      </c>
      <c r="J3192">
        <v>111.61</v>
      </c>
      <c r="K3192">
        <v>15</v>
      </c>
      <c r="L3192" s="2">
        <v>20</v>
      </c>
      <c r="M3192">
        <v>294</v>
      </c>
      <c r="N3192" s="2">
        <v>112</v>
      </c>
      <c r="O3192">
        <v>8230.34</v>
      </c>
      <c r="P3192">
        <v>25</v>
      </c>
      <c r="Q3192">
        <v>87</v>
      </c>
      <c r="R3192">
        <v>2.46</v>
      </c>
      <c r="S3192">
        <v>0</v>
      </c>
      <c r="T3192">
        <v>288</v>
      </c>
      <c r="U3192" s="2">
        <v>32143.68</v>
      </c>
      <c r="V3192">
        <v>0</v>
      </c>
      <c r="W3192" t="s">
        <v>29</v>
      </c>
      <c r="X3192" t="str">
        <f>IF(Table2[[#This Row],[Qty available]]&gt;Table2[[#This Row],[Qty on hand]],"Check","OK")</f>
        <v>OK</v>
      </c>
    </row>
    <row r="3193" spans="1:24" x14ac:dyDescent="0.3">
      <c r="A3193" t="s">
        <v>325</v>
      </c>
      <c r="B3193" t="s">
        <v>326</v>
      </c>
      <c r="C3193" t="s">
        <v>57</v>
      </c>
      <c r="D3193" t="s">
        <v>58</v>
      </c>
      <c r="E3193" t="s">
        <v>27</v>
      </c>
      <c r="F3193" s="1" t="s">
        <v>52</v>
      </c>
      <c r="G3193" s="2">
        <v>75.11</v>
      </c>
      <c r="H3193">
        <v>75.11</v>
      </c>
      <c r="I3193">
        <v>74.766006000000004</v>
      </c>
      <c r="J3193">
        <v>111.61</v>
      </c>
      <c r="K3193">
        <v>15</v>
      </c>
      <c r="L3193" s="2">
        <v>14</v>
      </c>
      <c r="M3193">
        <v>417</v>
      </c>
      <c r="N3193" s="2">
        <v>318</v>
      </c>
      <c r="O3193">
        <v>23775.59</v>
      </c>
      <c r="P3193">
        <v>44</v>
      </c>
      <c r="Q3193">
        <v>274</v>
      </c>
      <c r="R3193">
        <v>6.22</v>
      </c>
      <c r="S3193">
        <v>2</v>
      </c>
      <c r="T3193">
        <v>211</v>
      </c>
      <c r="U3193" s="2">
        <v>23549.71</v>
      </c>
      <c r="V3193">
        <v>0</v>
      </c>
      <c r="W3193" t="s">
        <v>29</v>
      </c>
      <c r="X3193" t="str">
        <f>IF(Table2[[#This Row],[Qty available]]&gt;Table2[[#This Row],[Qty on hand]],"Check","OK")</f>
        <v>OK</v>
      </c>
    </row>
    <row r="3194" spans="1:24" x14ac:dyDescent="0.3">
      <c r="A3194" t="s">
        <v>327</v>
      </c>
      <c r="B3194" t="s">
        <v>328</v>
      </c>
      <c r="C3194" t="s">
        <v>69</v>
      </c>
      <c r="D3194" t="s">
        <v>70</v>
      </c>
      <c r="E3194" t="s">
        <v>27</v>
      </c>
      <c r="F3194" s="1" t="s">
        <v>28</v>
      </c>
      <c r="G3194" s="2">
        <v>11.62</v>
      </c>
      <c r="H3194">
        <v>12.59</v>
      </c>
      <c r="I3194">
        <v>12.322404000000001</v>
      </c>
      <c r="J3194">
        <v>16.7</v>
      </c>
      <c r="K3194">
        <v>17</v>
      </c>
      <c r="M3194">
        <v>0</v>
      </c>
      <c r="N3194" s="2">
        <v>104</v>
      </c>
      <c r="O3194">
        <v>1281.53</v>
      </c>
      <c r="P3194">
        <v>7</v>
      </c>
      <c r="Q3194">
        <v>97</v>
      </c>
      <c r="R3194">
        <v>31.79</v>
      </c>
      <c r="S3194">
        <v>5</v>
      </c>
      <c r="T3194">
        <v>15</v>
      </c>
      <c r="U3194" s="2">
        <v>250.5</v>
      </c>
      <c r="V3194">
        <v>0</v>
      </c>
      <c r="W3194" t="s">
        <v>29</v>
      </c>
      <c r="X3194" t="str">
        <f>IF(Table2[[#This Row],[Qty available]]&gt;Table2[[#This Row],[Qty on hand]],"Check","OK")</f>
        <v>OK</v>
      </c>
    </row>
    <row r="3195" spans="1:24" x14ac:dyDescent="0.3">
      <c r="A3195" t="s">
        <v>327</v>
      </c>
      <c r="B3195" t="s">
        <v>328</v>
      </c>
      <c r="C3195" t="s">
        <v>69</v>
      </c>
      <c r="D3195" t="s">
        <v>70</v>
      </c>
      <c r="E3195" t="s">
        <v>27</v>
      </c>
      <c r="F3195" s="1" t="s">
        <v>30</v>
      </c>
      <c r="G3195" s="2">
        <v>11.31</v>
      </c>
      <c r="H3195">
        <v>12.25</v>
      </c>
      <c r="I3195">
        <v>12.322368000000001</v>
      </c>
      <c r="J3195">
        <v>16.7</v>
      </c>
      <c r="K3195">
        <v>17</v>
      </c>
      <c r="M3195">
        <v>0</v>
      </c>
      <c r="N3195" s="2">
        <v>76</v>
      </c>
      <c r="O3195">
        <v>936.5</v>
      </c>
      <c r="P3195">
        <v>3</v>
      </c>
      <c r="Q3195">
        <v>73</v>
      </c>
      <c r="R3195">
        <v>16.649999999999999</v>
      </c>
      <c r="S3195">
        <v>7</v>
      </c>
      <c r="T3195">
        <v>28</v>
      </c>
      <c r="U3195" s="2">
        <v>467.6</v>
      </c>
      <c r="V3195">
        <v>0</v>
      </c>
      <c r="W3195" t="s">
        <v>29</v>
      </c>
      <c r="X3195" t="str">
        <f>IF(Table2[[#This Row],[Qty available]]&gt;Table2[[#This Row],[Qty on hand]],"Check","OK")</f>
        <v>OK</v>
      </c>
    </row>
    <row r="3196" spans="1:24" x14ac:dyDescent="0.3">
      <c r="A3196" t="s">
        <v>327</v>
      </c>
      <c r="B3196" t="s">
        <v>328</v>
      </c>
      <c r="C3196" t="s">
        <v>69</v>
      </c>
      <c r="D3196" t="s">
        <v>70</v>
      </c>
      <c r="E3196" t="s">
        <v>27</v>
      </c>
      <c r="F3196" s="1" t="s">
        <v>31</v>
      </c>
      <c r="G3196" s="2">
        <v>11.21</v>
      </c>
      <c r="H3196">
        <v>12.14</v>
      </c>
      <c r="I3196">
        <v>12.278554</v>
      </c>
      <c r="J3196">
        <v>16.7</v>
      </c>
      <c r="K3196">
        <v>17</v>
      </c>
      <c r="L3196" s="2">
        <v>25</v>
      </c>
      <c r="M3196">
        <v>24</v>
      </c>
      <c r="N3196" s="2">
        <v>83</v>
      </c>
      <c r="O3196">
        <v>1019.12</v>
      </c>
      <c r="P3196">
        <v>6</v>
      </c>
      <c r="Q3196">
        <v>77</v>
      </c>
      <c r="R3196">
        <v>17.98</v>
      </c>
      <c r="S3196">
        <v>10</v>
      </c>
      <c r="T3196">
        <v>17</v>
      </c>
      <c r="U3196" s="2">
        <v>283.89999999999998</v>
      </c>
      <c r="V3196">
        <v>0</v>
      </c>
      <c r="W3196" t="s">
        <v>29</v>
      </c>
      <c r="X3196" t="str">
        <f>IF(Table2[[#This Row],[Qty available]]&gt;Table2[[#This Row],[Qty on hand]],"Check","OK")</f>
        <v>OK</v>
      </c>
    </row>
    <row r="3197" spans="1:24" x14ac:dyDescent="0.3">
      <c r="A3197" t="s">
        <v>327</v>
      </c>
      <c r="B3197" t="s">
        <v>328</v>
      </c>
      <c r="C3197" t="s">
        <v>69</v>
      </c>
      <c r="D3197" t="s">
        <v>70</v>
      </c>
      <c r="E3197" t="s">
        <v>27</v>
      </c>
      <c r="F3197" s="1" t="s">
        <v>32</v>
      </c>
      <c r="G3197" s="2">
        <v>11.91</v>
      </c>
      <c r="H3197">
        <v>12.9</v>
      </c>
      <c r="I3197">
        <v>12.417999999999999</v>
      </c>
      <c r="J3197">
        <v>16.7</v>
      </c>
      <c r="K3197">
        <v>17</v>
      </c>
      <c r="L3197" s="2">
        <v>17</v>
      </c>
      <c r="M3197">
        <v>24</v>
      </c>
      <c r="N3197" s="2">
        <v>70</v>
      </c>
      <c r="O3197">
        <v>869.26</v>
      </c>
      <c r="P3197">
        <v>6</v>
      </c>
      <c r="Q3197">
        <v>64</v>
      </c>
      <c r="R3197">
        <v>11.22</v>
      </c>
      <c r="S3197">
        <v>5</v>
      </c>
      <c r="T3197">
        <v>37</v>
      </c>
      <c r="U3197" s="2">
        <v>617.9</v>
      </c>
      <c r="V3197">
        <v>0</v>
      </c>
      <c r="W3197" t="s">
        <v>29</v>
      </c>
      <c r="X3197" t="str">
        <f>IF(Table2[[#This Row],[Qty available]]&gt;Table2[[#This Row],[Qty on hand]],"Check","OK")</f>
        <v>OK</v>
      </c>
    </row>
    <row r="3198" spans="1:24" x14ac:dyDescent="0.3">
      <c r="A3198" t="s">
        <v>327</v>
      </c>
      <c r="B3198" t="s">
        <v>328</v>
      </c>
      <c r="C3198" t="s">
        <v>69</v>
      </c>
      <c r="D3198" t="s">
        <v>70</v>
      </c>
      <c r="E3198" t="s">
        <v>27</v>
      </c>
      <c r="F3198" s="1" t="s">
        <v>33</v>
      </c>
      <c r="G3198" s="2">
        <v>11.9</v>
      </c>
      <c r="H3198">
        <v>12.89</v>
      </c>
      <c r="I3198">
        <v>12.589615</v>
      </c>
      <c r="J3198">
        <v>16.7</v>
      </c>
      <c r="K3198">
        <v>17</v>
      </c>
      <c r="L3198" s="2">
        <v>15</v>
      </c>
      <c r="M3198">
        <v>40</v>
      </c>
      <c r="N3198" s="2">
        <v>104</v>
      </c>
      <c r="O3198">
        <v>1309.32</v>
      </c>
      <c r="P3198">
        <v>3</v>
      </c>
      <c r="Q3198">
        <v>101</v>
      </c>
      <c r="R3198">
        <v>22.78</v>
      </c>
      <c r="S3198">
        <v>21</v>
      </c>
      <c r="T3198">
        <v>6</v>
      </c>
      <c r="U3198" s="2">
        <v>100.2</v>
      </c>
      <c r="V3198">
        <v>0</v>
      </c>
      <c r="W3198" t="s">
        <v>29</v>
      </c>
      <c r="X3198" t="str">
        <f>IF(Table2[[#This Row],[Qty available]]&gt;Table2[[#This Row],[Qty on hand]],"Check","OK")</f>
        <v>OK</v>
      </c>
    </row>
    <row r="3199" spans="1:24" x14ac:dyDescent="0.3">
      <c r="A3199" t="s">
        <v>327</v>
      </c>
      <c r="B3199" t="s">
        <v>328</v>
      </c>
      <c r="C3199" t="s">
        <v>69</v>
      </c>
      <c r="D3199" t="s">
        <v>70</v>
      </c>
      <c r="E3199" t="s">
        <v>27</v>
      </c>
      <c r="F3199" s="1" t="s">
        <v>34</v>
      </c>
      <c r="G3199" s="2">
        <v>11.73</v>
      </c>
      <c r="H3199">
        <v>12.71</v>
      </c>
      <c r="I3199">
        <v>12.612143</v>
      </c>
      <c r="J3199">
        <v>17.12</v>
      </c>
      <c r="K3199">
        <v>17</v>
      </c>
      <c r="L3199" s="2">
        <v>17</v>
      </c>
      <c r="M3199">
        <v>24</v>
      </c>
      <c r="N3199" s="2">
        <v>98</v>
      </c>
      <c r="O3199">
        <v>1235.99</v>
      </c>
      <c r="P3199">
        <v>7</v>
      </c>
      <c r="Q3199">
        <v>91</v>
      </c>
      <c r="R3199">
        <v>17.260000000000002</v>
      </c>
      <c r="S3199">
        <v>3</v>
      </c>
      <c r="T3199">
        <v>30</v>
      </c>
      <c r="U3199" s="2">
        <v>513.6</v>
      </c>
      <c r="V3199">
        <v>0</v>
      </c>
      <c r="W3199" t="s">
        <v>29</v>
      </c>
      <c r="X3199" t="str">
        <f>IF(Table2[[#This Row],[Qty available]]&gt;Table2[[#This Row],[Qty on hand]],"Check","OK")</f>
        <v>OK</v>
      </c>
    </row>
    <row r="3200" spans="1:24" x14ac:dyDescent="0.3">
      <c r="A3200" t="s">
        <v>327</v>
      </c>
      <c r="B3200" t="s">
        <v>328</v>
      </c>
      <c r="C3200" t="s">
        <v>69</v>
      </c>
      <c r="D3200" t="s">
        <v>70</v>
      </c>
      <c r="E3200" t="s">
        <v>27</v>
      </c>
      <c r="F3200" s="1" t="s">
        <v>35</v>
      </c>
      <c r="G3200" s="2">
        <v>11.72</v>
      </c>
      <c r="H3200">
        <v>12.7</v>
      </c>
      <c r="I3200">
        <v>12.612062999999999</v>
      </c>
      <c r="J3200">
        <v>17.12</v>
      </c>
      <c r="K3200">
        <v>17</v>
      </c>
      <c r="M3200">
        <v>0</v>
      </c>
      <c r="N3200" s="2">
        <v>63</v>
      </c>
      <c r="O3200">
        <v>794.56</v>
      </c>
      <c r="P3200">
        <v>8</v>
      </c>
      <c r="Q3200">
        <v>55</v>
      </c>
      <c r="R3200">
        <v>11.41</v>
      </c>
      <c r="S3200">
        <v>4</v>
      </c>
      <c r="T3200">
        <v>35</v>
      </c>
      <c r="U3200" s="2">
        <v>599.20000000000005</v>
      </c>
      <c r="V3200">
        <v>0</v>
      </c>
      <c r="W3200" t="s">
        <v>29</v>
      </c>
      <c r="X3200" t="str">
        <f>IF(Table2[[#This Row],[Qty available]]&gt;Table2[[#This Row],[Qty on hand]],"Check","OK")</f>
        <v>OK</v>
      </c>
    </row>
    <row r="3201" spans="1:24" x14ac:dyDescent="0.3">
      <c r="A3201" t="s">
        <v>327</v>
      </c>
      <c r="B3201" t="s">
        <v>328</v>
      </c>
      <c r="C3201" t="s">
        <v>69</v>
      </c>
      <c r="D3201" t="s">
        <v>70</v>
      </c>
      <c r="E3201" t="s">
        <v>27</v>
      </c>
      <c r="F3201" s="1" t="s">
        <v>36</v>
      </c>
      <c r="G3201" s="2">
        <v>11.71</v>
      </c>
      <c r="H3201">
        <v>12.68</v>
      </c>
      <c r="I3201">
        <v>12.644949</v>
      </c>
      <c r="J3201">
        <v>17.12</v>
      </c>
      <c r="K3201">
        <v>17</v>
      </c>
      <c r="L3201" s="2">
        <v>17</v>
      </c>
      <c r="M3201">
        <v>59</v>
      </c>
      <c r="N3201" s="2">
        <v>99</v>
      </c>
      <c r="O3201">
        <v>1251.8499999999999</v>
      </c>
      <c r="P3201">
        <v>4</v>
      </c>
      <c r="Q3201">
        <v>95</v>
      </c>
      <c r="R3201">
        <v>14.3</v>
      </c>
      <c r="S3201">
        <v>0</v>
      </c>
      <c r="T3201">
        <v>23</v>
      </c>
      <c r="U3201" s="2">
        <v>393.76</v>
      </c>
      <c r="V3201">
        <v>0</v>
      </c>
      <c r="W3201" t="s">
        <v>29</v>
      </c>
      <c r="X3201" t="str">
        <f>IF(Table2[[#This Row],[Qty available]]&gt;Table2[[#This Row],[Qty on hand]],"Check","OK")</f>
        <v>OK</v>
      </c>
    </row>
    <row r="3202" spans="1:24" x14ac:dyDescent="0.3">
      <c r="A3202" t="s">
        <v>327</v>
      </c>
      <c r="B3202" t="s">
        <v>328</v>
      </c>
      <c r="C3202" t="s">
        <v>69</v>
      </c>
      <c r="D3202" t="s">
        <v>70</v>
      </c>
      <c r="E3202" t="s">
        <v>27</v>
      </c>
      <c r="F3202" s="1" t="s">
        <v>37</v>
      </c>
      <c r="G3202" s="2">
        <v>11.87</v>
      </c>
      <c r="H3202">
        <v>12.86</v>
      </c>
      <c r="I3202">
        <v>12.645</v>
      </c>
      <c r="J3202">
        <v>17.12</v>
      </c>
      <c r="K3202">
        <v>17</v>
      </c>
      <c r="M3202">
        <v>0</v>
      </c>
      <c r="N3202" s="2">
        <v>78</v>
      </c>
      <c r="O3202">
        <v>986.31</v>
      </c>
      <c r="P3202">
        <v>4</v>
      </c>
      <c r="Q3202">
        <v>74</v>
      </c>
      <c r="R3202">
        <v>12.98</v>
      </c>
      <c r="S3202">
        <v>14</v>
      </c>
      <c r="T3202">
        <v>21</v>
      </c>
      <c r="U3202" s="2">
        <v>359.52</v>
      </c>
      <c r="V3202">
        <v>0</v>
      </c>
      <c r="W3202" t="s">
        <v>29</v>
      </c>
      <c r="X3202" t="str">
        <f>IF(Table2[[#This Row],[Qty available]]&gt;Table2[[#This Row],[Qty on hand]],"Check","OK")</f>
        <v>OK</v>
      </c>
    </row>
    <row r="3203" spans="1:24" x14ac:dyDescent="0.3">
      <c r="A3203" t="s">
        <v>327</v>
      </c>
      <c r="B3203" t="s">
        <v>328</v>
      </c>
      <c r="C3203" t="s">
        <v>69</v>
      </c>
      <c r="D3203" t="s">
        <v>70</v>
      </c>
      <c r="E3203" t="s">
        <v>27</v>
      </c>
      <c r="F3203" s="1" t="s">
        <v>38</v>
      </c>
      <c r="G3203" s="2">
        <v>11.56</v>
      </c>
      <c r="H3203">
        <v>12.52</v>
      </c>
      <c r="I3203">
        <v>12.645</v>
      </c>
      <c r="J3203">
        <v>17.12</v>
      </c>
      <c r="K3203">
        <v>17</v>
      </c>
      <c r="M3203">
        <v>0</v>
      </c>
      <c r="N3203" s="2">
        <v>58</v>
      </c>
      <c r="O3203">
        <v>733.41</v>
      </c>
      <c r="P3203">
        <v>4</v>
      </c>
      <c r="Q3203">
        <v>54</v>
      </c>
      <c r="R3203">
        <v>11.78</v>
      </c>
      <c r="S3203">
        <v>7</v>
      </c>
      <c r="T3203">
        <v>20</v>
      </c>
      <c r="U3203" s="2">
        <v>342.4</v>
      </c>
      <c r="V3203">
        <v>0</v>
      </c>
      <c r="W3203" t="s">
        <v>29</v>
      </c>
      <c r="X3203" t="str">
        <f>IF(Table2[[#This Row],[Qty available]]&gt;Table2[[#This Row],[Qty on hand]],"Check","OK")</f>
        <v>OK</v>
      </c>
    </row>
    <row r="3204" spans="1:24" x14ac:dyDescent="0.3">
      <c r="A3204" t="s">
        <v>327</v>
      </c>
      <c r="B3204" t="s">
        <v>328</v>
      </c>
      <c r="C3204" t="s">
        <v>69</v>
      </c>
      <c r="D3204" t="s">
        <v>70</v>
      </c>
      <c r="E3204" t="s">
        <v>27</v>
      </c>
      <c r="F3204" s="1" t="s">
        <v>39</v>
      </c>
      <c r="G3204" s="2">
        <v>11.49</v>
      </c>
      <c r="H3204">
        <v>12.45</v>
      </c>
      <c r="I3204">
        <v>12.547453000000001</v>
      </c>
      <c r="J3204">
        <v>17.12</v>
      </c>
      <c r="K3204">
        <v>17</v>
      </c>
      <c r="L3204" s="2">
        <v>16</v>
      </c>
      <c r="M3204">
        <v>58</v>
      </c>
      <c r="N3204" s="2">
        <v>106</v>
      </c>
      <c r="O3204">
        <v>1330.03</v>
      </c>
      <c r="P3204">
        <v>7</v>
      </c>
      <c r="Q3204">
        <v>99</v>
      </c>
      <c r="R3204">
        <v>27.32</v>
      </c>
      <c r="S3204">
        <v>7</v>
      </c>
      <c r="T3204">
        <v>10</v>
      </c>
      <c r="U3204" s="2">
        <v>171.2</v>
      </c>
      <c r="V3204">
        <v>0</v>
      </c>
      <c r="W3204" t="s">
        <v>29</v>
      </c>
      <c r="X3204" t="str">
        <f>IF(Table2[[#This Row],[Qty available]]&gt;Table2[[#This Row],[Qty on hand]],"Check","OK")</f>
        <v>OK</v>
      </c>
    </row>
    <row r="3205" spans="1:24" x14ac:dyDescent="0.3">
      <c r="A3205" t="s">
        <v>327</v>
      </c>
      <c r="B3205" t="s">
        <v>328</v>
      </c>
      <c r="C3205" t="s">
        <v>69</v>
      </c>
      <c r="D3205" t="s">
        <v>70</v>
      </c>
      <c r="E3205" t="s">
        <v>27</v>
      </c>
      <c r="F3205" s="1" t="s">
        <v>40</v>
      </c>
      <c r="G3205" s="2">
        <v>11.82</v>
      </c>
      <c r="H3205">
        <v>12.8</v>
      </c>
      <c r="I3205">
        <v>12.597184</v>
      </c>
      <c r="J3205">
        <v>17.12</v>
      </c>
      <c r="K3205">
        <v>17</v>
      </c>
      <c r="L3205" s="2">
        <v>17</v>
      </c>
      <c r="M3205">
        <v>26</v>
      </c>
      <c r="N3205" s="2">
        <v>103</v>
      </c>
      <c r="O3205">
        <v>1297.51</v>
      </c>
      <c r="P3205">
        <v>7</v>
      </c>
      <c r="Q3205">
        <v>96</v>
      </c>
      <c r="R3205">
        <v>22.94</v>
      </c>
      <c r="S3205">
        <v>2</v>
      </c>
      <c r="T3205">
        <v>29</v>
      </c>
      <c r="U3205" s="2">
        <v>496.48</v>
      </c>
      <c r="V3205">
        <v>0</v>
      </c>
      <c r="W3205" t="s">
        <v>29</v>
      </c>
      <c r="X3205" t="str">
        <f>IF(Table2[[#This Row],[Qty available]]&gt;Table2[[#This Row],[Qty on hand]],"Check","OK")</f>
        <v>OK</v>
      </c>
    </row>
    <row r="3206" spans="1:24" x14ac:dyDescent="0.3">
      <c r="A3206" t="s">
        <v>327</v>
      </c>
      <c r="B3206" t="s">
        <v>328</v>
      </c>
      <c r="C3206" t="s">
        <v>69</v>
      </c>
      <c r="D3206" t="s">
        <v>70</v>
      </c>
      <c r="E3206" t="s">
        <v>27</v>
      </c>
      <c r="F3206" s="1" t="s">
        <v>41</v>
      </c>
      <c r="G3206" s="2">
        <v>11.9</v>
      </c>
      <c r="H3206">
        <v>12.89</v>
      </c>
      <c r="I3206">
        <v>12.597123</v>
      </c>
      <c r="J3206">
        <v>17.12</v>
      </c>
      <c r="K3206">
        <v>17</v>
      </c>
      <c r="M3206">
        <v>0</v>
      </c>
      <c r="N3206" s="2">
        <v>73</v>
      </c>
      <c r="O3206">
        <v>919.59</v>
      </c>
      <c r="P3206">
        <v>6</v>
      </c>
      <c r="Q3206">
        <v>67</v>
      </c>
      <c r="R3206">
        <v>13.9</v>
      </c>
      <c r="S3206">
        <v>5</v>
      </c>
      <c r="T3206">
        <v>30</v>
      </c>
      <c r="U3206" s="2">
        <v>513.6</v>
      </c>
      <c r="V3206">
        <v>0</v>
      </c>
      <c r="W3206" t="s">
        <v>29</v>
      </c>
      <c r="X3206" t="str">
        <f>IF(Table2[[#This Row],[Qty available]]&gt;Table2[[#This Row],[Qty on hand]],"Check","OK")</f>
        <v>OK</v>
      </c>
    </row>
    <row r="3207" spans="1:24" x14ac:dyDescent="0.3">
      <c r="A3207" t="s">
        <v>327</v>
      </c>
      <c r="B3207" t="s">
        <v>328</v>
      </c>
      <c r="C3207" t="s">
        <v>69</v>
      </c>
      <c r="D3207" t="s">
        <v>70</v>
      </c>
      <c r="E3207" t="s">
        <v>27</v>
      </c>
      <c r="F3207" s="1" t="s">
        <v>42</v>
      </c>
      <c r="G3207" s="2">
        <v>11.5</v>
      </c>
      <c r="H3207">
        <v>12.46</v>
      </c>
      <c r="I3207">
        <v>12.542702999999999</v>
      </c>
      <c r="J3207">
        <v>17.12</v>
      </c>
      <c r="K3207">
        <v>17</v>
      </c>
      <c r="L3207" s="2">
        <v>15</v>
      </c>
      <c r="M3207">
        <v>48</v>
      </c>
      <c r="N3207" s="2">
        <v>74</v>
      </c>
      <c r="O3207">
        <v>928.16</v>
      </c>
      <c r="P3207">
        <v>5</v>
      </c>
      <c r="Q3207">
        <v>69</v>
      </c>
      <c r="R3207">
        <v>9.18</v>
      </c>
      <c r="S3207">
        <v>1</v>
      </c>
      <c r="T3207">
        <v>47</v>
      </c>
      <c r="U3207" s="2">
        <v>804.64</v>
      </c>
      <c r="V3207">
        <v>0</v>
      </c>
      <c r="W3207" t="s">
        <v>29</v>
      </c>
      <c r="X3207" t="str">
        <f>IF(Table2[[#This Row],[Qty available]]&gt;Table2[[#This Row],[Qty on hand]],"Check","OK")</f>
        <v>OK</v>
      </c>
    </row>
    <row r="3208" spans="1:24" x14ac:dyDescent="0.3">
      <c r="A3208" t="s">
        <v>327</v>
      </c>
      <c r="B3208" t="s">
        <v>328</v>
      </c>
      <c r="C3208" t="s">
        <v>69</v>
      </c>
      <c r="D3208" t="s">
        <v>70</v>
      </c>
      <c r="E3208" t="s">
        <v>27</v>
      </c>
      <c r="F3208" s="1" t="s">
        <v>43</v>
      </c>
      <c r="G3208" s="2">
        <v>11.63</v>
      </c>
      <c r="H3208">
        <v>12.6</v>
      </c>
      <c r="I3208">
        <v>12.560745000000001</v>
      </c>
      <c r="J3208">
        <v>17.12</v>
      </c>
      <c r="K3208">
        <v>17</v>
      </c>
      <c r="L3208" s="2">
        <v>17</v>
      </c>
      <c r="M3208">
        <v>34</v>
      </c>
      <c r="N3208" s="2">
        <v>94</v>
      </c>
      <c r="O3208">
        <v>1180.71</v>
      </c>
      <c r="P3208">
        <v>2</v>
      </c>
      <c r="Q3208">
        <v>92</v>
      </c>
      <c r="R3208">
        <v>13.43</v>
      </c>
      <c r="S3208">
        <v>4</v>
      </c>
      <c r="T3208">
        <v>14</v>
      </c>
      <c r="U3208" s="2">
        <v>239.68</v>
      </c>
      <c r="V3208">
        <v>0</v>
      </c>
      <c r="W3208" t="s">
        <v>29</v>
      </c>
      <c r="X3208" t="str">
        <f>IF(Table2[[#This Row],[Qty available]]&gt;Table2[[#This Row],[Qty on hand]],"Check","OK")</f>
        <v>OK</v>
      </c>
    </row>
    <row r="3209" spans="1:24" x14ac:dyDescent="0.3">
      <c r="A3209" t="s">
        <v>327</v>
      </c>
      <c r="B3209" t="s">
        <v>328</v>
      </c>
      <c r="C3209" t="s">
        <v>69</v>
      </c>
      <c r="D3209" t="s">
        <v>70</v>
      </c>
      <c r="E3209" t="s">
        <v>27</v>
      </c>
      <c r="F3209" s="1" t="s">
        <v>44</v>
      </c>
      <c r="G3209" s="2">
        <v>11.87</v>
      </c>
      <c r="H3209">
        <v>12.86</v>
      </c>
      <c r="I3209">
        <v>12.621600000000001</v>
      </c>
      <c r="J3209">
        <v>17.12</v>
      </c>
      <c r="K3209">
        <v>17</v>
      </c>
      <c r="L3209" s="2">
        <v>15</v>
      </c>
      <c r="M3209">
        <v>24</v>
      </c>
      <c r="N3209" s="2">
        <v>75</v>
      </c>
      <c r="O3209">
        <v>946.62</v>
      </c>
      <c r="P3209">
        <v>5</v>
      </c>
      <c r="Q3209">
        <v>70</v>
      </c>
      <c r="R3209">
        <v>9.48</v>
      </c>
      <c r="S3209">
        <v>1</v>
      </c>
      <c r="T3209">
        <v>43</v>
      </c>
      <c r="U3209" s="2">
        <v>736.16</v>
      </c>
      <c r="V3209">
        <v>0</v>
      </c>
      <c r="W3209" t="s">
        <v>29</v>
      </c>
      <c r="X3209" t="str">
        <f>IF(Table2[[#This Row],[Qty available]]&gt;Table2[[#This Row],[Qty on hand]],"Check","OK")</f>
        <v>OK</v>
      </c>
    </row>
    <row r="3210" spans="1:24" x14ac:dyDescent="0.3">
      <c r="A3210" t="s">
        <v>327</v>
      </c>
      <c r="B3210" t="s">
        <v>328</v>
      </c>
      <c r="C3210" t="s">
        <v>69</v>
      </c>
      <c r="D3210" t="s">
        <v>70</v>
      </c>
      <c r="E3210" t="s">
        <v>27</v>
      </c>
      <c r="F3210" s="1" t="s">
        <v>45</v>
      </c>
      <c r="G3210" s="2">
        <v>12.09</v>
      </c>
      <c r="H3210">
        <v>13.1</v>
      </c>
      <c r="I3210">
        <v>12.788</v>
      </c>
      <c r="J3210">
        <v>17.12</v>
      </c>
      <c r="K3210">
        <v>17</v>
      </c>
      <c r="L3210" s="2">
        <v>15</v>
      </c>
      <c r="M3210">
        <v>40</v>
      </c>
      <c r="N3210" s="2">
        <v>75</v>
      </c>
      <c r="O3210">
        <v>959.1</v>
      </c>
      <c r="P3210">
        <v>3</v>
      </c>
      <c r="Q3210">
        <v>72</v>
      </c>
      <c r="R3210">
        <v>10.16</v>
      </c>
      <c r="S3210">
        <v>12</v>
      </c>
      <c r="T3210">
        <v>40</v>
      </c>
      <c r="U3210" s="2">
        <v>684.8</v>
      </c>
      <c r="V3210">
        <v>0</v>
      </c>
      <c r="W3210" t="s">
        <v>29</v>
      </c>
      <c r="X3210" t="str">
        <f>IF(Table2[[#This Row],[Qty available]]&gt;Table2[[#This Row],[Qty on hand]],"Check","OK")</f>
        <v>OK</v>
      </c>
    </row>
    <row r="3211" spans="1:24" x14ac:dyDescent="0.3">
      <c r="A3211" t="s">
        <v>327</v>
      </c>
      <c r="B3211" t="s">
        <v>328</v>
      </c>
      <c r="C3211" t="s">
        <v>69</v>
      </c>
      <c r="D3211" t="s">
        <v>70</v>
      </c>
      <c r="E3211" t="s">
        <v>27</v>
      </c>
      <c r="F3211" s="1" t="s">
        <v>46</v>
      </c>
      <c r="G3211" s="2">
        <v>11.93</v>
      </c>
      <c r="H3211">
        <v>12.92</v>
      </c>
      <c r="I3211">
        <v>12.829221</v>
      </c>
      <c r="J3211">
        <v>17.55</v>
      </c>
      <c r="K3211">
        <v>17</v>
      </c>
      <c r="L3211" s="2">
        <v>16</v>
      </c>
      <c r="M3211">
        <v>34</v>
      </c>
      <c r="N3211" s="2">
        <v>77</v>
      </c>
      <c r="O3211">
        <v>987.85</v>
      </c>
      <c r="P3211">
        <v>6</v>
      </c>
      <c r="Q3211">
        <v>71</v>
      </c>
      <c r="R3211">
        <v>8.61</v>
      </c>
      <c r="S3211">
        <v>0</v>
      </c>
      <c r="T3211">
        <v>32</v>
      </c>
      <c r="U3211" s="2">
        <v>561.6</v>
      </c>
      <c r="V3211">
        <v>0</v>
      </c>
      <c r="W3211" t="s">
        <v>29</v>
      </c>
      <c r="X3211" t="str">
        <f>IF(Table2[[#This Row],[Qty available]]&gt;Table2[[#This Row],[Qty on hand]],"Check","OK")</f>
        <v>OK</v>
      </c>
    </row>
    <row r="3212" spans="1:24" x14ac:dyDescent="0.3">
      <c r="A3212" t="s">
        <v>327</v>
      </c>
      <c r="B3212" t="s">
        <v>328</v>
      </c>
      <c r="C3212" t="s">
        <v>69</v>
      </c>
      <c r="D3212" t="s">
        <v>70</v>
      </c>
      <c r="E3212" t="s">
        <v>27</v>
      </c>
      <c r="F3212" s="1" t="s">
        <v>47</v>
      </c>
      <c r="G3212" s="2">
        <v>12.06</v>
      </c>
      <c r="H3212">
        <v>13.06</v>
      </c>
      <c r="I3212">
        <v>12.884022999999999</v>
      </c>
      <c r="J3212">
        <v>17.55</v>
      </c>
      <c r="K3212">
        <v>17</v>
      </c>
      <c r="L3212" s="2">
        <v>17</v>
      </c>
      <c r="M3212">
        <v>24</v>
      </c>
      <c r="N3212" s="2">
        <v>87</v>
      </c>
      <c r="O3212">
        <v>1120.9100000000001</v>
      </c>
      <c r="P3212">
        <v>2</v>
      </c>
      <c r="Q3212">
        <v>85</v>
      </c>
      <c r="R3212">
        <v>13.01</v>
      </c>
      <c r="S3212">
        <v>10</v>
      </c>
      <c r="T3212">
        <v>14</v>
      </c>
      <c r="U3212" s="2">
        <v>245.7</v>
      </c>
      <c r="V3212">
        <v>0</v>
      </c>
      <c r="W3212" t="s">
        <v>29</v>
      </c>
      <c r="X3212" t="str">
        <f>IF(Table2[[#This Row],[Qty available]]&gt;Table2[[#This Row],[Qty on hand]],"Check","OK")</f>
        <v>OK</v>
      </c>
    </row>
    <row r="3213" spans="1:24" x14ac:dyDescent="0.3">
      <c r="A3213" t="s">
        <v>327</v>
      </c>
      <c r="B3213" t="s">
        <v>328</v>
      </c>
      <c r="C3213" t="s">
        <v>69</v>
      </c>
      <c r="D3213" t="s">
        <v>70</v>
      </c>
      <c r="E3213" t="s">
        <v>27</v>
      </c>
      <c r="F3213" s="1" t="s">
        <v>48</v>
      </c>
      <c r="G3213" s="2">
        <v>12.13</v>
      </c>
      <c r="H3213">
        <v>13.14</v>
      </c>
      <c r="I3213">
        <v>12.939361999999999</v>
      </c>
      <c r="J3213">
        <v>17.55</v>
      </c>
      <c r="K3213">
        <v>17</v>
      </c>
      <c r="L3213" s="2">
        <v>16</v>
      </c>
      <c r="M3213">
        <v>24</v>
      </c>
      <c r="N3213" s="2">
        <v>94</v>
      </c>
      <c r="O3213">
        <v>1216.3</v>
      </c>
      <c r="P3213">
        <v>2</v>
      </c>
      <c r="Q3213">
        <v>92</v>
      </c>
      <c r="R3213">
        <v>18.97</v>
      </c>
      <c r="S3213">
        <v>2</v>
      </c>
      <c r="T3213">
        <v>17</v>
      </c>
      <c r="U3213" s="2">
        <v>298.35000000000002</v>
      </c>
      <c r="V3213">
        <v>0</v>
      </c>
      <c r="W3213" t="s">
        <v>29</v>
      </c>
      <c r="X3213" t="str">
        <f>IF(Table2[[#This Row],[Qty available]]&gt;Table2[[#This Row],[Qty on hand]],"Check","OK")</f>
        <v>OK</v>
      </c>
    </row>
    <row r="3214" spans="1:24" x14ac:dyDescent="0.3">
      <c r="A3214" t="s">
        <v>327</v>
      </c>
      <c r="B3214" t="s">
        <v>328</v>
      </c>
      <c r="C3214" t="s">
        <v>69</v>
      </c>
      <c r="D3214" t="s">
        <v>70</v>
      </c>
      <c r="E3214" t="s">
        <v>27</v>
      </c>
      <c r="F3214" s="1" t="s">
        <v>49</v>
      </c>
      <c r="G3214" s="2">
        <v>12.01</v>
      </c>
      <c r="H3214">
        <v>13.01</v>
      </c>
      <c r="I3214">
        <v>12.939355000000001</v>
      </c>
      <c r="J3214">
        <v>17.55</v>
      </c>
      <c r="K3214">
        <v>17</v>
      </c>
      <c r="M3214">
        <v>0</v>
      </c>
      <c r="N3214" s="2">
        <v>62</v>
      </c>
      <c r="O3214">
        <v>802.24</v>
      </c>
      <c r="P3214">
        <v>2</v>
      </c>
      <c r="Q3214">
        <v>60</v>
      </c>
      <c r="R3214">
        <v>12.93</v>
      </c>
      <c r="S3214">
        <v>0</v>
      </c>
      <c r="T3214">
        <v>32</v>
      </c>
      <c r="U3214" s="2">
        <v>561.6</v>
      </c>
      <c r="V3214">
        <v>0</v>
      </c>
      <c r="W3214" t="s">
        <v>29</v>
      </c>
      <c r="X3214" t="str">
        <f>IF(Table2[[#This Row],[Qty available]]&gt;Table2[[#This Row],[Qty on hand]],"Check","OK")</f>
        <v>OK</v>
      </c>
    </row>
    <row r="3215" spans="1:24" x14ac:dyDescent="0.3">
      <c r="A3215" t="s">
        <v>327</v>
      </c>
      <c r="B3215" t="s">
        <v>328</v>
      </c>
      <c r="C3215" t="s">
        <v>69</v>
      </c>
      <c r="D3215" t="s">
        <v>70</v>
      </c>
      <c r="E3215" t="s">
        <v>27</v>
      </c>
      <c r="F3215" s="1" t="s">
        <v>50</v>
      </c>
      <c r="G3215" s="2">
        <v>11.81</v>
      </c>
      <c r="H3215">
        <v>12.79</v>
      </c>
      <c r="I3215">
        <v>12.897593000000001</v>
      </c>
      <c r="J3215">
        <v>17.55</v>
      </c>
      <c r="K3215">
        <v>17</v>
      </c>
      <c r="L3215" s="2">
        <v>16</v>
      </c>
      <c r="M3215">
        <v>24</v>
      </c>
      <c r="N3215" s="2">
        <v>54</v>
      </c>
      <c r="O3215">
        <v>696.47</v>
      </c>
      <c r="P3215">
        <v>5</v>
      </c>
      <c r="Q3215">
        <v>49</v>
      </c>
      <c r="R3215">
        <v>8.67</v>
      </c>
      <c r="S3215">
        <v>6</v>
      </c>
      <c r="T3215">
        <v>32</v>
      </c>
      <c r="U3215" s="2">
        <v>561.6</v>
      </c>
      <c r="V3215">
        <v>0</v>
      </c>
      <c r="W3215" t="s">
        <v>29</v>
      </c>
      <c r="X3215" t="str">
        <f>IF(Table2[[#This Row],[Qty available]]&gt;Table2[[#This Row],[Qty on hand]],"Check","OK")</f>
        <v>OK</v>
      </c>
    </row>
    <row r="3216" spans="1:24" x14ac:dyDescent="0.3">
      <c r="A3216" t="s">
        <v>327</v>
      </c>
      <c r="B3216" t="s">
        <v>328</v>
      </c>
      <c r="C3216" t="s">
        <v>69</v>
      </c>
      <c r="D3216" t="s">
        <v>70</v>
      </c>
      <c r="E3216" t="s">
        <v>27</v>
      </c>
      <c r="F3216" s="1" t="s">
        <v>51</v>
      </c>
      <c r="G3216" s="2">
        <v>11.87</v>
      </c>
      <c r="H3216">
        <v>12.86</v>
      </c>
      <c r="I3216">
        <v>12.883881000000001</v>
      </c>
      <c r="J3216">
        <v>17.55</v>
      </c>
      <c r="K3216">
        <v>17</v>
      </c>
      <c r="L3216" s="2">
        <v>19</v>
      </c>
      <c r="M3216">
        <v>31</v>
      </c>
      <c r="N3216" s="2">
        <v>67</v>
      </c>
      <c r="O3216">
        <v>863.22</v>
      </c>
      <c r="P3216">
        <v>8</v>
      </c>
      <c r="Q3216">
        <v>59</v>
      </c>
      <c r="R3216">
        <v>10.74</v>
      </c>
      <c r="S3216">
        <v>3</v>
      </c>
      <c r="T3216">
        <v>18</v>
      </c>
      <c r="U3216" s="2">
        <v>315.89999999999998</v>
      </c>
      <c r="V3216">
        <v>0</v>
      </c>
      <c r="W3216" t="s">
        <v>29</v>
      </c>
      <c r="X3216" t="str">
        <f>IF(Table2[[#This Row],[Qty available]]&gt;Table2[[#This Row],[Qty on hand]],"Check","OK")</f>
        <v>OK</v>
      </c>
    </row>
    <row r="3217" spans="1:24" x14ac:dyDescent="0.3">
      <c r="A3217" t="s">
        <v>327</v>
      </c>
      <c r="B3217" t="s">
        <v>328</v>
      </c>
      <c r="C3217" t="s">
        <v>69</v>
      </c>
      <c r="D3217" t="s">
        <v>70</v>
      </c>
      <c r="E3217" t="s">
        <v>27</v>
      </c>
      <c r="F3217" s="1" t="s">
        <v>52</v>
      </c>
      <c r="G3217" s="2">
        <v>12.08</v>
      </c>
      <c r="H3217">
        <v>13.09</v>
      </c>
      <c r="I3217">
        <v>12.938281</v>
      </c>
      <c r="J3217">
        <v>17.55</v>
      </c>
      <c r="K3217">
        <v>17</v>
      </c>
      <c r="L3217" s="2">
        <v>27</v>
      </c>
      <c r="M3217">
        <v>24</v>
      </c>
      <c r="N3217" s="2">
        <v>64</v>
      </c>
      <c r="O3217">
        <v>828.05</v>
      </c>
      <c r="P3217">
        <v>7</v>
      </c>
      <c r="Q3217">
        <v>57</v>
      </c>
      <c r="R3217">
        <v>10.92</v>
      </c>
      <c r="S3217">
        <v>1</v>
      </c>
      <c r="T3217">
        <v>27</v>
      </c>
      <c r="U3217" s="2">
        <v>473.85</v>
      </c>
      <c r="V3217">
        <v>0</v>
      </c>
      <c r="W3217" t="s">
        <v>29</v>
      </c>
      <c r="X3217" t="str">
        <f>IF(Table2[[#This Row],[Qty available]]&gt;Table2[[#This Row],[Qty on hand]],"Check","OK")</f>
        <v>OK</v>
      </c>
    </row>
    <row r="3218" spans="1:24" x14ac:dyDescent="0.3">
      <c r="A3218" t="s">
        <v>329</v>
      </c>
      <c r="B3218" t="s">
        <v>330</v>
      </c>
      <c r="C3218" t="s">
        <v>69</v>
      </c>
      <c r="D3218" t="s">
        <v>70</v>
      </c>
      <c r="E3218" t="s">
        <v>66</v>
      </c>
      <c r="F3218" s="1" t="s">
        <v>28</v>
      </c>
      <c r="G3218" s="2">
        <v>4.43</v>
      </c>
      <c r="H3218">
        <v>4.43</v>
      </c>
      <c r="I3218">
        <v>4.5163589999999996</v>
      </c>
      <c r="J3218">
        <v>6.27</v>
      </c>
      <c r="K3218">
        <v>42</v>
      </c>
      <c r="M3218">
        <v>0</v>
      </c>
      <c r="N3218" s="2">
        <v>1442</v>
      </c>
      <c r="O3218">
        <v>6512.59</v>
      </c>
      <c r="P3218">
        <v>83</v>
      </c>
      <c r="Q3218">
        <v>1359</v>
      </c>
      <c r="R3218">
        <v>9.42</v>
      </c>
      <c r="S3218">
        <v>2</v>
      </c>
      <c r="T3218">
        <v>578</v>
      </c>
      <c r="U3218" s="2">
        <v>3624.06</v>
      </c>
      <c r="V3218">
        <v>0</v>
      </c>
      <c r="W3218" t="s">
        <v>29</v>
      </c>
      <c r="X3218" t="str">
        <f>IF(Table2[[#This Row],[Qty available]]&gt;Table2[[#This Row],[Qty on hand]],"Check","OK")</f>
        <v>OK</v>
      </c>
    </row>
    <row r="3219" spans="1:24" x14ac:dyDescent="0.3">
      <c r="A3219" t="s">
        <v>329</v>
      </c>
      <c r="B3219" t="s">
        <v>330</v>
      </c>
      <c r="C3219" t="s">
        <v>69</v>
      </c>
      <c r="D3219" t="s">
        <v>70</v>
      </c>
      <c r="E3219" t="s">
        <v>66</v>
      </c>
      <c r="F3219" s="1" t="s">
        <v>30</v>
      </c>
      <c r="G3219" s="2">
        <v>4.45</v>
      </c>
      <c r="H3219">
        <v>4.45</v>
      </c>
      <c r="I3219">
        <v>4.4922810000000002</v>
      </c>
      <c r="J3219">
        <v>6.27</v>
      </c>
      <c r="K3219">
        <v>42</v>
      </c>
      <c r="L3219" s="2">
        <v>40</v>
      </c>
      <c r="M3219">
        <v>821</v>
      </c>
      <c r="N3219" s="2">
        <v>1175</v>
      </c>
      <c r="O3219">
        <v>5278.43</v>
      </c>
      <c r="P3219">
        <v>55</v>
      </c>
      <c r="Q3219">
        <v>1120</v>
      </c>
      <c r="R3219">
        <v>6.98</v>
      </c>
      <c r="S3219">
        <v>1</v>
      </c>
      <c r="T3219">
        <v>1088</v>
      </c>
      <c r="U3219" s="2">
        <v>6821.76</v>
      </c>
      <c r="V3219">
        <v>0</v>
      </c>
      <c r="W3219" t="s">
        <v>29</v>
      </c>
      <c r="X3219" t="str">
        <f>IF(Table2[[#This Row],[Qty available]]&gt;Table2[[#This Row],[Qty on hand]],"Check","OK")</f>
        <v>OK</v>
      </c>
    </row>
    <row r="3220" spans="1:24" x14ac:dyDescent="0.3">
      <c r="A3220" t="s">
        <v>329</v>
      </c>
      <c r="B3220" t="s">
        <v>330</v>
      </c>
      <c r="C3220" t="s">
        <v>69</v>
      </c>
      <c r="D3220" t="s">
        <v>70</v>
      </c>
      <c r="E3220" t="s">
        <v>66</v>
      </c>
      <c r="F3220" s="1" t="s">
        <v>31</v>
      </c>
      <c r="G3220" s="2">
        <v>4.47</v>
      </c>
      <c r="H3220">
        <v>4.47</v>
      </c>
      <c r="I3220">
        <v>4.4834149999999999</v>
      </c>
      <c r="J3220">
        <v>6.27</v>
      </c>
      <c r="K3220">
        <v>42</v>
      </c>
      <c r="L3220" s="2">
        <v>37</v>
      </c>
      <c r="M3220">
        <v>776</v>
      </c>
      <c r="N3220" s="2">
        <v>650</v>
      </c>
      <c r="O3220">
        <v>2914.22</v>
      </c>
      <c r="P3220">
        <v>165</v>
      </c>
      <c r="Q3220">
        <v>485</v>
      </c>
      <c r="R3220">
        <v>2.85</v>
      </c>
      <c r="S3220">
        <v>0</v>
      </c>
      <c r="T3220">
        <v>1301</v>
      </c>
      <c r="U3220" s="2">
        <v>8157.27</v>
      </c>
      <c r="V3220">
        <v>0</v>
      </c>
      <c r="W3220" t="s">
        <v>29</v>
      </c>
      <c r="X3220" t="str">
        <f>IF(Table2[[#This Row],[Qty available]]&gt;Table2[[#This Row],[Qty on hand]],"Check","OK")</f>
        <v>OK</v>
      </c>
    </row>
    <row r="3221" spans="1:24" x14ac:dyDescent="0.3">
      <c r="A3221" t="s">
        <v>329</v>
      </c>
      <c r="B3221" t="s">
        <v>330</v>
      </c>
      <c r="C3221" t="s">
        <v>69</v>
      </c>
      <c r="D3221" t="s">
        <v>70</v>
      </c>
      <c r="E3221" t="s">
        <v>66</v>
      </c>
      <c r="F3221" s="1" t="s">
        <v>32</v>
      </c>
      <c r="G3221" s="2">
        <v>4.62</v>
      </c>
      <c r="H3221">
        <v>4.62</v>
      </c>
      <c r="I3221">
        <v>4.5764570000000004</v>
      </c>
      <c r="J3221">
        <v>6.27</v>
      </c>
      <c r="K3221">
        <v>42</v>
      </c>
      <c r="L3221" s="2">
        <v>41</v>
      </c>
      <c r="M3221">
        <v>1389</v>
      </c>
      <c r="N3221" s="2">
        <v>1431</v>
      </c>
      <c r="O3221">
        <v>6548.91</v>
      </c>
      <c r="P3221">
        <v>165</v>
      </c>
      <c r="Q3221">
        <v>1266</v>
      </c>
      <c r="R3221">
        <v>6.28</v>
      </c>
      <c r="S3221">
        <v>6</v>
      </c>
      <c r="T3221">
        <v>608</v>
      </c>
      <c r="U3221" s="2">
        <v>3812.16</v>
      </c>
      <c r="V3221">
        <v>0</v>
      </c>
      <c r="W3221" t="s">
        <v>29</v>
      </c>
      <c r="X3221" t="str">
        <f>IF(Table2[[#This Row],[Qty available]]&gt;Table2[[#This Row],[Qty on hand]],"Check","OK")</f>
        <v>OK</v>
      </c>
    </row>
    <row r="3222" spans="1:24" x14ac:dyDescent="0.3">
      <c r="A3222" t="s">
        <v>329</v>
      </c>
      <c r="B3222" t="s">
        <v>330</v>
      </c>
      <c r="C3222" t="s">
        <v>69</v>
      </c>
      <c r="D3222" t="s">
        <v>70</v>
      </c>
      <c r="E3222" t="s">
        <v>66</v>
      </c>
      <c r="F3222" s="1" t="s">
        <v>33</v>
      </c>
      <c r="G3222" s="2">
        <v>4.59</v>
      </c>
      <c r="H3222">
        <v>4.59</v>
      </c>
      <c r="I3222">
        <v>4.5764290000000001</v>
      </c>
      <c r="J3222">
        <v>6.27</v>
      </c>
      <c r="K3222">
        <v>42</v>
      </c>
      <c r="M3222">
        <v>0</v>
      </c>
      <c r="N3222" s="2">
        <v>98</v>
      </c>
      <c r="O3222">
        <v>448.49</v>
      </c>
      <c r="P3222">
        <v>98</v>
      </c>
      <c r="Q3222">
        <v>0</v>
      </c>
      <c r="R3222">
        <v>0.4</v>
      </c>
      <c r="S3222">
        <v>0</v>
      </c>
      <c r="T3222">
        <v>1333</v>
      </c>
      <c r="U3222" s="2">
        <v>8357.91</v>
      </c>
      <c r="V3222">
        <v>0</v>
      </c>
      <c r="W3222" t="s">
        <v>29</v>
      </c>
      <c r="X3222" t="str">
        <f>IF(Table2[[#This Row],[Qty available]]&gt;Table2[[#This Row],[Qty on hand]],"Check","OK")</f>
        <v>OK</v>
      </c>
    </row>
    <row r="3223" spans="1:24" x14ac:dyDescent="0.3">
      <c r="A3223" t="s">
        <v>329</v>
      </c>
      <c r="B3223" t="s">
        <v>330</v>
      </c>
      <c r="C3223" t="s">
        <v>69</v>
      </c>
      <c r="D3223" t="s">
        <v>70</v>
      </c>
      <c r="E3223" t="s">
        <v>66</v>
      </c>
      <c r="F3223" s="1" t="s">
        <v>34</v>
      </c>
      <c r="G3223" s="2">
        <v>4.57</v>
      </c>
      <c r="H3223">
        <v>4.57</v>
      </c>
      <c r="I3223">
        <v>4.5704269999999996</v>
      </c>
      <c r="J3223">
        <v>6.45</v>
      </c>
      <c r="K3223">
        <v>42</v>
      </c>
      <c r="L3223" s="2">
        <v>70</v>
      </c>
      <c r="M3223">
        <v>1395</v>
      </c>
      <c r="N3223" s="2">
        <v>773</v>
      </c>
      <c r="O3223">
        <v>3532.94</v>
      </c>
      <c r="P3223">
        <v>193</v>
      </c>
      <c r="Q3223">
        <v>580</v>
      </c>
      <c r="R3223">
        <v>3.73</v>
      </c>
      <c r="S3223">
        <v>1</v>
      </c>
      <c r="T3223">
        <v>720</v>
      </c>
      <c r="U3223" s="2">
        <v>4644</v>
      </c>
      <c r="V3223">
        <v>0</v>
      </c>
      <c r="W3223" t="s">
        <v>29</v>
      </c>
      <c r="X3223" t="str">
        <f>IF(Table2[[#This Row],[Qty available]]&gt;Table2[[#This Row],[Qty on hand]],"Check","OK")</f>
        <v>OK</v>
      </c>
    </row>
    <row r="3224" spans="1:24" x14ac:dyDescent="0.3">
      <c r="A3224" t="s">
        <v>329</v>
      </c>
      <c r="B3224" t="s">
        <v>330</v>
      </c>
      <c r="C3224" t="s">
        <v>69</v>
      </c>
      <c r="D3224" t="s">
        <v>70</v>
      </c>
      <c r="E3224" t="s">
        <v>66</v>
      </c>
      <c r="F3224" s="1" t="s">
        <v>35</v>
      </c>
      <c r="G3224" s="2">
        <v>4.53</v>
      </c>
      <c r="H3224">
        <v>4.53</v>
      </c>
      <c r="I3224">
        <v>4.5478459999999998</v>
      </c>
      <c r="J3224">
        <v>6.45</v>
      </c>
      <c r="K3224">
        <v>42</v>
      </c>
      <c r="L3224" s="2">
        <v>41</v>
      </c>
      <c r="M3224">
        <v>978</v>
      </c>
      <c r="N3224" s="2">
        <v>1063</v>
      </c>
      <c r="O3224">
        <v>4834.3599999999997</v>
      </c>
      <c r="P3224">
        <v>275</v>
      </c>
      <c r="Q3224">
        <v>788</v>
      </c>
      <c r="R3224">
        <v>4.99</v>
      </c>
      <c r="S3224">
        <v>0</v>
      </c>
      <c r="T3224">
        <v>688</v>
      </c>
      <c r="U3224" s="2">
        <v>4437.6000000000004</v>
      </c>
      <c r="V3224">
        <v>0</v>
      </c>
      <c r="W3224" t="s">
        <v>29</v>
      </c>
      <c r="X3224" t="str">
        <f>IF(Table2[[#This Row],[Qty available]]&gt;Table2[[#This Row],[Qty on hand]],"Check","OK")</f>
        <v>OK</v>
      </c>
    </row>
    <row r="3225" spans="1:24" x14ac:dyDescent="0.3">
      <c r="A3225" t="s">
        <v>329</v>
      </c>
      <c r="B3225" t="s">
        <v>330</v>
      </c>
      <c r="C3225" t="s">
        <v>69</v>
      </c>
      <c r="D3225" t="s">
        <v>70</v>
      </c>
      <c r="E3225" t="s">
        <v>66</v>
      </c>
      <c r="F3225" s="1" t="s">
        <v>36</v>
      </c>
      <c r="G3225" s="2">
        <v>4.5999999999999996</v>
      </c>
      <c r="H3225">
        <v>4.5999999999999996</v>
      </c>
      <c r="I3225">
        <v>4.5478459999999998</v>
      </c>
      <c r="J3225">
        <v>6.45</v>
      </c>
      <c r="K3225">
        <v>42</v>
      </c>
      <c r="M3225">
        <v>0</v>
      </c>
      <c r="N3225" s="2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1063</v>
      </c>
      <c r="U3225" s="2">
        <v>6856.35</v>
      </c>
      <c r="V3225">
        <v>216</v>
      </c>
      <c r="W3225" t="s">
        <v>59</v>
      </c>
      <c r="X3225" t="str">
        <f>IF(Table2[[#This Row],[Qty available]]&gt;Table2[[#This Row],[Qty on hand]],"Check","OK")</f>
        <v>OK</v>
      </c>
    </row>
    <row r="3226" spans="1:24" x14ac:dyDescent="0.3">
      <c r="A3226" t="s">
        <v>329</v>
      </c>
      <c r="B3226" t="s">
        <v>330</v>
      </c>
      <c r="C3226" t="s">
        <v>69</v>
      </c>
      <c r="D3226" t="s">
        <v>70</v>
      </c>
      <c r="E3226" t="s">
        <v>66</v>
      </c>
      <c r="F3226" s="1" t="s">
        <v>37</v>
      </c>
      <c r="G3226" s="2">
        <v>4.58</v>
      </c>
      <c r="H3226">
        <v>4.58</v>
      </c>
      <c r="I3226">
        <v>4.58</v>
      </c>
      <c r="J3226">
        <v>6.45</v>
      </c>
      <c r="K3226">
        <v>42</v>
      </c>
      <c r="L3226" s="2">
        <v>36</v>
      </c>
      <c r="M3226">
        <v>1881</v>
      </c>
      <c r="N3226" s="2">
        <v>1062</v>
      </c>
      <c r="O3226">
        <v>4863.96</v>
      </c>
      <c r="P3226">
        <v>138</v>
      </c>
      <c r="Q3226">
        <v>924</v>
      </c>
      <c r="R3226">
        <v>5.43</v>
      </c>
      <c r="S3226">
        <v>0</v>
      </c>
      <c r="T3226">
        <v>819</v>
      </c>
      <c r="U3226" s="2">
        <v>5282.55</v>
      </c>
      <c r="V3226">
        <v>0</v>
      </c>
      <c r="W3226" t="s">
        <v>29</v>
      </c>
      <c r="X3226" t="str">
        <f>IF(Table2[[#This Row],[Qty available]]&gt;Table2[[#This Row],[Qty on hand]],"Check","OK")</f>
        <v>OK</v>
      </c>
    </row>
    <row r="3227" spans="1:24" x14ac:dyDescent="0.3">
      <c r="A3227" t="s">
        <v>329</v>
      </c>
      <c r="B3227" t="s">
        <v>330</v>
      </c>
      <c r="C3227" t="s">
        <v>69</v>
      </c>
      <c r="D3227" t="s">
        <v>70</v>
      </c>
      <c r="E3227" t="s">
        <v>66</v>
      </c>
      <c r="F3227" s="1" t="s">
        <v>38</v>
      </c>
      <c r="G3227" s="2">
        <v>4.51</v>
      </c>
      <c r="H3227">
        <v>4.51</v>
      </c>
      <c r="I3227">
        <v>4.58</v>
      </c>
      <c r="J3227">
        <v>6.45</v>
      </c>
      <c r="K3227">
        <v>42</v>
      </c>
      <c r="M3227">
        <v>0</v>
      </c>
      <c r="N3227" s="2">
        <v>92</v>
      </c>
      <c r="O3227">
        <v>421.36</v>
      </c>
      <c r="P3227">
        <v>92</v>
      </c>
      <c r="Q3227">
        <v>0</v>
      </c>
      <c r="R3227">
        <v>0.42</v>
      </c>
      <c r="S3227">
        <v>1</v>
      </c>
      <c r="T3227">
        <v>970</v>
      </c>
      <c r="U3227" s="2">
        <v>6256.5</v>
      </c>
      <c r="V3227">
        <v>0</v>
      </c>
      <c r="W3227" t="s">
        <v>29</v>
      </c>
      <c r="X3227" t="str">
        <f>IF(Table2[[#This Row],[Qty available]]&gt;Table2[[#This Row],[Qty on hand]],"Check","OK")</f>
        <v>OK</v>
      </c>
    </row>
    <row r="3228" spans="1:24" x14ac:dyDescent="0.3">
      <c r="A3228" t="s">
        <v>329</v>
      </c>
      <c r="B3228" t="s">
        <v>330</v>
      </c>
      <c r="C3228" t="s">
        <v>69</v>
      </c>
      <c r="D3228" t="s">
        <v>70</v>
      </c>
      <c r="E3228" t="s">
        <v>66</v>
      </c>
      <c r="F3228" s="1" t="s">
        <v>39</v>
      </c>
      <c r="G3228" s="2">
        <v>4.6100000000000003</v>
      </c>
      <c r="H3228">
        <v>4.6100000000000003</v>
      </c>
      <c r="I3228">
        <v>4.58</v>
      </c>
      <c r="J3228">
        <v>6.45</v>
      </c>
      <c r="K3228">
        <v>42</v>
      </c>
      <c r="M3228">
        <v>0</v>
      </c>
      <c r="N3228" s="2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92</v>
      </c>
      <c r="U3228" s="2">
        <v>593.4</v>
      </c>
      <c r="V3228">
        <v>939</v>
      </c>
      <c r="W3228" t="s">
        <v>59</v>
      </c>
      <c r="X3228" t="str">
        <f>IF(Table2[[#This Row],[Qty available]]&gt;Table2[[#This Row],[Qty on hand]],"Check","OK")</f>
        <v>OK</v>
      </c>
    </row>
    <row r="3229" spans="1:24" x14ac:dyDescent="0.3">
      <c r="A3229" t="s">
        <v>329</v>
      </c>
      <c r="B3229" t="s">
        <v>330</v>
      </c>
      <c r="C3229" t="s">
        <v>69</v>
      </c>
      <c r="D3229" t="s">
        <v>70</v>
      </c>
      <c r="E3229" t="s">
        <v>66</v>
      </c>
      <c r="F3229" s="1" t="s">
        <v>40</v>
      </c>
      <c r="G3229" s="2">
        <v>4.57</v>
      </c>
      <c r="H3229">
        <v>4.57</v>
      </c>
      <c r="I3229">
        <v>4.57</v>
      </c>
      <c r="J3229">
        <v>6.45</v>
      </c>
      <c r="K3229">
        <v>42</v>
      </c>
      <c r="L3229" s="2">
        <v>58</v>
      </c>
      <c r="M3229">
        <v>2695</v>
      </c>
      <c r="N3229" s="2">
        <v>1706</v>
      </c>
      <c r="O3229">
        <v>7796.42</v>
      </c>
      <c r="P3229">
        <v>165</v>
      </c>
      <c r="Q3229">
        <v>1541</v>
      </c>
      <c r="R3229">
        <v>10.93</v>
      </c>
      <c r="S3229">
        <v>0</v>
      </c>
      <c r="T3229">
        <v>989</v>
      </c>
      <c r="U3229" s="2">
        <v>6379.05</v>
      </c>
      <c r="V3229">
        <v>0</v>
      </c>
      <c r="W3229" t="s">
        <v>29</v>
      </c>
      <c r="X3229" t="str">
        <f>IF(Table2[[#This Row],[Qty available]]&gt;Table2[[#This Row],[Qty on hand]],"Check","OK")</f>
        <v>OK</v>
      </c>
    </row>
    <row r="3230" spans="1:24" x14ac:dyDescent="0.3">
      <c r="A3230" t="s">
        <v>329</v>
      </c>
      <c r="B3230" t="s">
        <v>330</v>
      </c>
      <c r="C3230" t="s">
        <v>69</v>
      </c>
      <c r="D3230" t="s">
        <v>70</v>
      </c>
      <c r="E3230" t="s">
        <v>66</v>
      </c>
      <c r="F3230" s="1" t="s">
        <v>41</v>
      </c>
      <c r="G3230" s="2">
        <v>4.6399999999999997</v>
      </c>
      <c r="H3230">
        <v>4.6399999999999997</v>
      </c>
      <c r="I3230">
        <v>4.582643</v>
      </c>
      <c r="J3230">
        <v>6.45</v>
      </c>
      <c r="K3230">
        <v>42</v>
      </c>
      <c r="L3230" s="2">
        <v>54</v>
      </c>
      <c r="M3230">
        <v>376</v>
      </c>
      <c r="N3230" s="2">
        <v>1850</v>
      </c>
      <c r="O3230">
        <v>8477.89</v>
      </c>
      <c r="P3230">
        <v>275</v>
      </c>
      <c r="Q3230">
        <v>1575</v>
      </c>
      <c r="R3230">
        <v>18.52</v>
      </c>
      <c r="S3230">
        <v>1</v>
      </c>
      <c r="T3230">
        <v>232</v>
      </c>
      <c r="U3230" s="2">
        <v>1496.4</v>
      </c>
      <c r="V3230">
        <v>0</v>
      </c>
      <c r="W3230" t="s">
        <v>29</v>
      </c>
      <c r="X3230" t="str">
        <f>IF(Table2[[#This Row],[Qty available]]&gt;Table2[[#This Row],[Qty on hand]],"Check","OK")</f>
        <v>OK</v>
      </c>
    </row>
    <row r="3231" spans="1:24" x14ac:dyDescent="0.3">
      <c r="A3231" t="s">
        <v>329</v>
      </c>
      <c r="B3231" t="s">
        <v>330</v>
      </c>
      <c r="C3231" t="s">
        <v>69</v>
      </c>
      <c r="D3231" t="s">
        <v>70</v>
      </c>
      <c r="E3231" t="s">
        <v>66</v>
      </c>
      <c r="F3231" s="1" t="s">
        <v>42</v>
      </c>
      <c r="G3231" s="2">
        <v>4.63</v>
      </c>
      <c r="H3231">
        <v>4.63</v>
      </c>
      <c r="I3231">
        <v>4.5993750000000002</v>
      </c>
      <c r="J3231">
        <v>6.45</v>
      </c>
      <c r="K3231">
        <v>42</v>
      </c>
      <c r="L3231" s="2">
        <v>39</v>
      </c>
      <c r="M3231">
        <v>1011</v>
      </c>
      <c r="N3231" s="2">
        <v>1680</v>
      </c>
      <c r="O3231">
        <v>7726.95</v>
      </c>
      <c r="P3231">
        <v>193</v>
      </c>
      <c r="Q3231">
        <v>1487</v>
      </c>
      <c r="R3231">
        <v>9.19</v>
      </c>
      <c r="S3231">
        <v>1</v>
      </c>
      <c r="T3231">
        <v>1181</v>
      </c>
      <c r="U3231" s="2">
        <v>7617.45</v>
      </c>
      <c r="V3231">
        <v>0</v>
      </c>
      <c r="W3231" t="s">
        <v>29</v>
      </c>
      <c r="X3231" t="str">
        <f>IF(Table2[[#This Row],[Qty available]]&gt;Table2[[#This Row],[Qty on hand]],"Check","OK")</f>
        <v>OK</v>
      </c>
    </row>
    <row r="3232" spans="1:24" x14ac:dyDescent="0.3">
      <c r="A3232" t="s">
        <v>329</v>
      </c>
      <c r="B3232" t="s">
        <v>330</v>
      </c>
      <c r="C3232" t="s">
        <v>69</v>
      </c>
      <c r="D3232" t="s">
        <v>70</v>
      </c>
      <c r="E3232" t="s">
        <v>66</v>
      </c>
      <c r="F3232" s="1" t="s">
        <v>43</v>
      </c>
      <c r="G3232" s="2">
        <v>4.6500000000000004</v>
      </c>
      <c r="H3232">
        <v>4.6500000000000004</v>
      </c>
      <c r="I3232">
        <v>4.5993750000000002</v>
      </c>
      <c r="J3232">
        <v>6.45</v>
      </c>
      <c r="K3232">
        <v>42</v>
      </c>
      <c r="M3232">
        <v>0</v>
      </c>
      <c r="N3232" s="2">
        <v>1120</v>
      </c>
      <c r="O3232">
        <v>5151.3</v>
      </c>
      <c r="P3232">
        <v>193</v>
      </c>
      <c r="Q3232">
        <v>927</v>
      </c>
      <c r="R3232">
        <v>7.38</v>
      </c>
      <c r="S3232">
        <v>1</v>
      </c>
      <c r="T3232">
        <v>560</v>
      </c>
      <c r="U3232" s="2">
        <v>3612</v>
      </c>
      <c r="V3232">
        <v>0</v>
      </c>
      <c r="W3232" t="s">
        <v>29</v>
      </c>
      <c r="X3232" t="str">
        <f>IF(Table2[[#This Row],[Qty available]]&gt;Table2[[#This Row],[Qty on hand]],"Check","OK")</f>
        <v>OK</v>
      </c>
    </row>
    <row r="3233" spans="1:24" x14ac:dyDescent="0.3">
      <c r="A3233" t="s">
        <v>329</v>
      </c>
      <c r="B3233" t="s">
        <v>330</v>
      </c>
      <c r="C3233" t="s">
        <v>69</v>
      </c>
      <c r="D3233" t="s">
        <v>70</v>
      </c>
      <c r="E3233" t="s">
        <v>66</v>
      </c>
      <c r="F3233" s="1" t="s">
        <v>44</v>
      </c>
      <c r="G3233" s="2">
        <v>4.6500000000000004</v>
      </c>
      <c r="H3233">
        <v>4.6500000000000004</v>
      </c>
      <c r="I3233">
        <v>4.6322539999999996</v>
      </c>
      <c r="J3233">
        <v>6.45</v>
      </c>
      <c r="K3233">
        <v>42</v>
      </c>
      <c r="L3233" s="2">
        <v>39</v>
      </c>
      <c r="M3233">
        <v>2075</v>
      </c>
      <c r="N3233" s="2">
        <v>2045</v>
      </c>
      <c r="O3233">
        <v>9472.9599999999991</v>
      </c>
      <c r="P3233">
        <v>55</v>
      </c>
      <c r="Q3233">
        <v>1990</v>
      </c>
      <c r="R3233">
        <v>9.3000000000000007</v>
      </c>
      <c r="S3233">
        <v>0</v>
      </c>
      <c r="T3233">
        <v>1150</v>
      </c>
      <c r="U3233" s="2">
        <v>7417.5</v>
      </c>
      <c r="V3233">
        <v>0</v>
      </c>
      <c r="W3233" t="s">
        <v>29</v>
      </c>
      <c r="X3233" t="str">
        <f>IF(Table2[[#This Row],[Qty available]]&gt;Table2[[#This Row],[Qty on hand]],"Check","OK")</f>
        <v>OK</v>
      </c>
    </row>
    <row r="3234" spans="1:24" x14ac:dyDescent="0.3">
      <c r="A3234" t="s">
        <v>329</v>
      </c>
      <c r="B3234" t="s">
        <v>330</v>
      </c>
      <c r="C3234" t="s">
        <v>69</v>
      </c>
      <c r="D3234" t="s">
        <v>70</v>
      </c>
      <c r="E3234" t="s">
        <v>66</v>
      </c>
      <c r="F3234" s="1" t="s">
        <v>45</v>
      </c>
      <c r="G3234" s="2">
        <v>4.7</v>
      </c>
      <c r="H3234">
        <v>4.7</v>
      </c>
      <c r="I3234">
        <v>4.6322580000000002</v>
      </c>
      <c r="J3234">
        <v>6.45</v>
      </c>
      <c r="K3234">
        <v>42</v>
      </c>
      <c r="M3234">
        <v>0</v>
      </c>
      <c r="N3234" s="2">
        <v>1125</v>
      </c>
      <c r="O3234">
        <v>5211.29</v>
      </c>
      <c r="P3234">
        <v>275</v>
      </c>
      <c r="Q3234">
        <v>850</v>
      </c>
      <c r="R3234">
        <v>5.62</v>
      </c>
      <c r="S3234">
        <v>0</v>
      </c>
      <c r="T3234">
        <v>920</v>
      </c>
      <c r="U3234" s="2">
        <v>5934</v>
      </c>
      <c r="V3234">
        <v>0</v>
      </c>
      <c r="W3234" t="s">
        <v>29</v>
      </c>
      <c r="X3234" t="str">
        <f>IF(Table2[[#This Row],[Qty available]]&gt;Table2[[#This Row],[Qty on hand]],"Check","OK")</f>
        <v>OK</v>
      </c>
    </row>
    <row r="3235" spans="1:24" x14ac:dyDescent="0.3">
      <c r="A3235" t="s">
        <v>329</v>
      </c>
      <c r="B3235" t="s">
        <v>330</v>
      </c>
      <c r="C3235" t="s">
        <v>69</v>
      </c>
      <c r="D3235" t="s">
        <v>70</v>
      </c>
      <c r="E3235" t="s">
        <v>66</v>
      </c>
      <c r="F3235" s="1" t="s">
        <v>46</v>
      </c>
      <c r="G3235" s="2">
        <v>4.6399999999999997</v>
      </c>
      <c r="H3235">
        <v>4.6399999999999997</v>
      </c>
      <c r="I3235">
        <v>4.6351329999999997</v>
      </c>
      <c r="J3235">
        <v>6.63</v>
      </c>
      <c r="K3235">
        <v>42</v>
      </c>
      <c r="L3235" s="2">
        <v>41</v>
      </c>
      <c r="M3235">
        <v>665</v>
      </c>
      <c r="N3235" s="2">
        <v>1280</v>
      </c>
      <c r="O3235">
        <v>5932.97</v>
      </c>
      <c r="P3235">
        <v>275</v>
      </c>
      <c r="Q3235">
        <v>1005</v>
      </c>
      <c r="R3235">
        <v>6.38</v>
      </c>
      <c r="S3235">
        <v>2</v>
      </c>
      <c r="T3235">
        <v>510</v>
      </c>
      <c r="U3235" s="2">
        <v>3381.3</v>
      </c>
      <c r="V3235">
        <v>0</v>
      </c>
      <c r="W3235" t="s">
        <v>29</v>
      </c>
      <c r="X3235" t="str">
        <f>IF(Table2[[#This Row],[Qty available]]&gt;Table2[[#This Row],[Qty on hand]],"Check","OK")</f>
        <v>OK</v>
      </c>
    </row>
    <row r="3236" spans="1:24" x14ac:dyDescent="0.3">
      <c r="A3236" t="s">
        <v>329</v>
      </c>
      <c r="B3236" t="s">
        <v>330</v>
      </c>
      <c r="C3236" t="s">
        <v>69</v>
      </c>
      <c r="D3236" t="s">
        <v>70</v>
      </c>
      <c r="E3236" t="s">
        <v>66</v>
      </c>
      <c r="F3236" s="1" t="s">
        <v>47</v>
      </c>
      <c r="G3236" s="2">
        <v>4.7300000000000004</v>
      </c>
      <c r="H3236">
        <v>4.7300000000000004</v>
      </c>
      <c r="I3236">
        <v>4.6747009999999998</v>
      </c>
      <c r="J3236">
        <v>6.63</v>
      </c>
      <c r="K3236">
        <v>42</v>
      </c>
      <c r="L3236" s="2">
        <v>37</v>
      </c>
      <c r="M3236">
        <v>916</v>
      </c>
      <c r="N3236" s="2">
        <v>902</v>
      </c>
      <c r="O3236">
        <v>4216.58</v>
      </c>
      <c r="P3236">
        <v>165</v>
      </c>
      <c r="Q3236">
        <v>737</v>
      </c>
      <c r="R3236">
        <v>4.26</v>
      </c>
      <c r="S3236">
        <v>0</v>
      </c>
      <c r="T3236">
        <v>1294</v>
      </c>
      <c r="U3236" s="2">
        <v>8579.2199999999993</v>
      </c>
      <c r="V3236">
        <v>0</v>
      </c>
      <c r="W3236" t="s">
        <v>29</v>
      </c>
      <c r="X3236" t="str">
        <f>IF(Table2[[#This Row],[Qty available]]&gt;Table2[[#This Row],[Qty on hand]],"Check","OK")</f>
        <v>OK</v>
      </c>
    </row>
    <row r="3237" spans="1:24" x14ac:dyDescent="0.3">
      <c r="A3237" t="s">
        <v>329</v>
      </c>
      <c r="B3237" t="s">
        <v>330</v>
      </c>
      <c r="C3237" t="s">
        <v>69</v>
      </c>
      <c r="D3237" t="s">
        <v>70</v>
      </c>
      <c r="E3237" t="s">
        <v>66</v>
      </c>
      <c r="F3237" s="1" t="s">
        <v>48</v>
      </c>
      <c r="G3237" s="2">
        <v>4.7</v>
      </c>
      <c r="H3237">
        <v>4.7</v>
      </c>
      <c r="I3237">
        <v>4.6915139999999997</v>
      </c>
      <c r="J3237">
        <v>6.63</v>
      </c>
      <c r="K3237">
        <v>42</v>
      </c>
      <c r="L3237" s="2">
        <v>53</v>
      </c>
      <c r="M3237">
        <v>1787</v>
      </c>
      <c r="N3237" s="2">
        <v>984</v>
      </c>
      <c r="O3237">
        <v>4616.45</v>
      </c>
      <c r="P3237">
        <v>110</v>
      </c>
      <c r="Q3237">
        <v>874</v>
      </c>
      <c r="R3237">
        <v>3.57</v>
      </c>
      <c r="S3237">
        <v>1</v>
      </c>
      <c r="T3237">
        <v>1705</v>
      </c>
      <c r="U3237" s="2">
        <v>11304.15</v>
      </c>
      <c r="V3237">
        <v>0</v>
      </c>
      <c r="W3237" t="s">
        <v>29</v>
      </c>
      <c r="X3237" t="str">
        <f>IF(Table2[[#This Row],[Qty available]]&gt;Table2[[#This Row],[Qty on hand]],"Check","OK")</f>
        <v>OK</v>
      </c>
    </row>
    <row r="3238" spans="1:24" x14ac:dyDescent="0.3">
      <c r="A3238" t="s">
        <v>329</v>
      </c>
      <c r="B3238" t="s">
        <v>330</v>
      </c>
      <c r="C3238" t="s">
        <v>69</v>
      </c>
      <c r="D3238" t="s">
        <v>70</v>
      </c>
      <c r="E3238" t="s">
        <v>66</v>
      </c>
      <c r="F3238" s="1" t="s">
        <v>49</v>
      </c>
      <c r="G3238" s="2">
        <v>4.74</v>
      </c>
      <c r="H3238">
        <v>4.74</v>
      </c>
      <c r="I3238">
        <v>4.7028470000000002</v>
      </c>
      <c r="J3238">
        <v>6.63</v>
      </c>
      <c r="K3238">
        <v>42</v>
      </c>
      <c r="L3238" s="2">
        <v>61</v>
      </c>
      <c r="M3238">
        <v>300</v>
      </c>
      <c r="N3238" s="2">
        <v>864</v>
      </c>
      <c r="O3238">
        <v>4063.26</v>
      </c>
      <c r="P3238">
        <v>138</v>
      </c>
      <c r="Q3238">
        <v>726</v>
      </c>
      <c r="R3238">
        <v>3.32</v>
      </c>
      <c r="S3238">
        <v>0</v>
      </c>
      <c r="T3238">
        <v>420</v>
      </c>
      <c r="U3238" s="2">
        <v>2784.6</v>
      </c>
      <c r="V3238">
        <v>0</v>
      </c>
      <c r="W3238" t="s">
        <v>29</v>
      </c>
      <c r="X3238" t="str">
        <f>IF(Table2[[#This Row],[Qty available]]&gt;Table2[[#This Row],[Qty on hand]],"Check","OK")</f>
        <v>OK</v>
      </c>
    </row>
    <row r="3239" spans="1:24" x14ac:dyDescent="0.3">
      <c r="A3239" t="s">
        <v>329</v>
      </c>
      <c r="B3239" t="s">
        <v>330</v>
      </c>
      <c r="C3239" t="s">
        <v>69</v>
      </c>
      <c r="D3239" t="s">
        <v>70</v>
      </c>
      <c r="E3239" t="s">
        <v>66</v>
      </c>
      <c r="F3239" s="1" t="s">
        <v>50</v>
      </c>
      <c r="G3239" s="2">
        <v>4.6500000000000004</v>
      </c>
      <c r="H3239">
        <v>4.6500000000000004</v>
      </c>
      <c r="I3239">
        <v>4.6743389999999998</v>
      </c>
      <c r="J3239">
        <v>6.63</v>
      </c>
      <c r="K3239">
        <v>42</v>
      </c>
      <c r="L3239" s="2">
        <v>42</v>
      </c>
      <c r="M3239">
        <v>1012</v>
      </c>
      <c r="N3239" s="2">
        <v>1173</v>
      </c>
      <c r="O3239">
        <v>5483</v>
      </c>
      <c r="P3239">
        <v>83</v>
      </c>
      <c r="Q3239">
        <v>1090</v>
      </c>
      <c r="R3239">
        <v>5.39</v>
      </c>
      <c r="S3239">
        <v>2</v>
      </c>
      <c r="T3239">
        <v>703</v>
      </c>
      <c r="U3239" s="2">
        <v>4660.8900000000003</v>
      </c>
      <c r="V3239">
        <v>0</v>
      </c>
      <c r="W3239" t="s">
        <v>29</v>
      </c>
      <c r="X3239" t="str">
        <f>IF(Table2[[#This Row],[Qty available]]&gt;Table2[[#This Row],[Qty on hand]],"Check","OK")</f>
        <v>OK</v>
      </c>
    </row>
    <row r="3240" spans="1:24" x14ac:dyDescent="0.3">
      <c r="A3240" t="s">
        <v>329</v>
      </c>
      <c r="B3240" t="s">
        <v>330</v>
      </c>
      <c r="C3240" t="s">
        <v>69</v>
      </c>
      <c r="D3240" t="s">
        <v>70</v>
      </c>
      <c r="E3240" t="s">
        <v>66</v>
      </c>
      <c r="F3240" s="1" t="s">
        <v>51</v>
      </c>
      <c r="G3240" s="2">
        <v>4.6100000000000003</v>
      </c>
      <c r="H3240">
        <v>4.6100000000000003</v>
      </c>
      <c r="I3240">
        <v>4.6370129999999996</v>
      </c>
      <c r="J3240">
        <v>6.63</v>
      </c>
      <c r="K3240">
        <v>42</v>
      </c>
      <c r="L3240" s="2">
        <v>40</v>
      </c>
      <c r="M3240">
        <v>1621</v>
      </c>
      <c r="N3240" s="2">
        <v>1995</v>
      </c>
      <c r="O3240">
        <v>9250.84</v>
      </c>
      <c r="P3240">
        <v>248</v>
      </c>
      <c r="Q3240">
        <v>1747</v>
      </c>
      <c r="R3240">
        <v>13.64</v>
      </c>
      <c r="S3240">
        <v>0</v>
      </c>
      <c r="T3240">
        <v>799</v>
      </c>
      <c r="U3240" s="2">
        <v>5297.37</v>
      </c>
      <c r="V3240">
        <v>0</v>
      </c>
      <c r="W3240" t="s">
        <v>29</v>
      </c>
      <c r="X3240" t="str">
        <f>IF(Table2[[#This Row],[Qty available]]&gt;Table2[[#This Row],[Qty on hand]],"Check","OK")</f>
        <v>OK</v>
      </c>
    </row>
    <row r="3241" spans="1:24" x14ac:dyDescent="0.3">
      <c r="A3241" t="s">
        <v>329</v>
      </c>
      <c r="B3241" t="s">
        <v>330</v>
      </c>
      <c r="C3241" t="s">
        <v>69</v>
      </c>
      <c r="D3241" t="s">
        <v>70</v>
      </c>
      <c r="E3241" t="s">
        <v>66</v>
      </c>
      <c r="F3241" s="1" t="s">
        <v>52</v>
      </c>
      <c r="G3241" s="2">
        <v>4.6900000000000004</v>
      </c>
      <c r="H3241">
        <v>4.6900000000000004</v>
      </c>
      <c r="I3241">
        <v>4.6370129999999996</v>
      </c>
      <c r="J3241">
        <v>6.63</v>
      </c>
      <c r="K3241">
        <v>42</v>
      </c>
      <c r="M3241">
        <v>0</v>
      </c>
      <c r="N3241" s="2">
        <v>1995</v>
      </c>
      <c r="O3241">
        <v>9250.84</v>
      </c>
      <c r="P3241">
        <v>138</v>
      </c>
      <c r="Q3241">
        <v>1857</v>
      </c>
      <c r="R3241">
        <v>17.46</v>
      </c>
      <c r="S3241">
        <v>31</v>
      </c>
      <c r="T3241">
        <v>0</v>
      </c>
      <c r="U3241" s="2">
        <v>0</v>
      </c>
      <c r="V3241">
        <v>0</v>
      </c>
      <c r="W3241" t="s">
        <v>29</v>
      </c>
      <c r="X3241" t="str">
        <f>IF(Table2[[#This Row],[Qty available]]&gt;Table2[[#This Row],[Qty on hand]],"Check","OK")</f>
        <v>OK</v>
      </c>
    </row>
    <row r="3242" spans="1:24" x14ac:dyDescent="0.3">
      <c r="A3242" t="s">
        <v>331</v>
      </c>
      <c r="B3242" t="s">
        <v>332</v>
      </c>
      <c r="C3242" t="s">
        <v>91</v>
      </c>
      <c r="D3242" t="s">
        <v>92</v>
      </c>
      <c r="E3242" t="s">
        <v>66</v>
      </c>
      <c r="F3242" s="1" t="s">
        <v>28</v>
      </c>
      <c r="G3242" s="2">
        <v>84.59</v>
      </c>
      <c r="H3242">
        <v>84.59</v>
      </c>
      <c r="I3242">
        <v>84.573158000000006</v>
      </c>
      <c r="J3242">
        <v>113.79</v>
      </c>
      <c r="K3242">
        <v>39</v>
      </c>
      <c r="L3242" s="2">
        <v>34</v>
      </c>
      <c r="M3242">
        <v>44</v>
      </c>
      <c r="N3242" s="2">
        <v>19</v>
      </c>
      <c r="O3242">
        <v>1606.89</v>
      </c>
      <c r="P3242">
        <v>7</v>
      </c>
      <c r="Q3242">
        <v>12</v>
      </c>
      <c r="R3242">
        <v>1.69</v>
      </c>
      <c r="S3242">
        <v>0</v>
      </c>
      <c r="T3242">
        <v>50</v>
      </c>
      <c r="U3242" s="2">
        <v>5689.5</v>
      </c>
      <c r="V3242">
        <v>0</v>
      </c>
      <c r="W3242" t="s">
        <v>29</v>
      </c>
      <c r="X3242" t="str">
        <f>IF(Table2[[#This Row],[Qty available]]&gt;Table2[[#This Row],[Qty on hand]],"Check","OK")</f>
        <v>OK</v>
      </c>
    </row>
    <row r="3243" spans="1:24" x14ac:dyDescent="0.3">
      <c r="A3243" t="s">
        <v>331</v>
      </c>
      <c r="B3243" t="s">
        <v>332</v>
      </c>
      <c r="C3243" t="s">
        <v>91</v>
      </c>
      <c r="D3243" t="s">
        <v>92</v>
      </c>
      <c r="E3243" t="s">
        <v>66</v>
      </c>
      <c r="F3243" s="1" t="s">
        <v>30</v>
      </c>
      <c r="G3243" s="2">
        <v>87.68</v>
      </c>
      <c r="H3243">
        <v>87.68</v>
      </c>
      <c r="I3243">
        <v>86.903447999999997</v>
      </c>
      <c r="J3243">
        <v>113.79</v>
      </c>
      <c r="K3243">
        <v>39</v>
      </c>
      <c r="L3243" s="2">
        <v>51</v>
      </c>
      <c r="M3243">
        <v>57</v>
      </c>
      <c r="N3243" s="2">
        <v>29</v>
      </c>
      <c r="O3243">
        <v>2520.1999999999998</v>
      </c>
      <c r="P3243">
        <v>8</v>
      </c>
      <c r="Q3243">
        <v>21</v>
      </c>
      <c r="R3243">
        <v>2.84</v>
      </c>
      <c r="S3243">
        <v>0</v>
      </c>
      <c r="T3243">
        <v>47</v>
      </c>
      <c r="U3243" s="2">
        <v>5348.13</v>
      </c>
      <c r="V3243">
        <v>0</v>
      </c>
      <c r="W3243" t="s">
        <v>29</v>
      </c>
      <c r="X3243" t="str">
        <f>IF(Table2[[#This Row],[Qty available]]&gt;Table2[[#This Row],[Qty on hand]],"Check","OK")</f>
        <v>OK</v>
      </c>
    </row>
    <row r="3244" spans="1:24" x14ac:dyDescent="0.3">
      <c r="A3244" t="s">
        <v>331</v>
      </c>
      <c r="B3244" t="s">
        <v>332</v>
      </c>
      <c r="C3244" t="s">
        <v>91</v>
      </c>
      <c r="D3244" t="s">
        <v>92</v>
      </c>
      <c r="E3244" t="s">
        <v>66</v>
      </c>
      <c r="F3244" s="1" t="s">
        <v>31</v>
      </c>
      <c r="G3244" s="2">
        <v>89.43</v>
      </c>
      <c r="H3244">
        <v>89.43</v>
      </c>
      <c r="I3244">
        <v>88.453214000000003</v>
      </c>
      <c r="J3244">
        <v>113.79</v>
      </c>
      <c r="K3244">
        <v>39</v>
      </c>
      <c r="L3244" s="2">
        <v>35</v>
      </c>
      <c r="M3244">
        <v>46</v>
      </c>
      <c r="N3244" s="2">
        <v>28</v>
      </c>
      <c r="O3244">
        <v>2476.69</v>
      </c>
      <c r="P3244">
        <v>5</v>
      </c>
      <c r="Q3244">
        <v>23</v>
      </c>
      <c r="R3244">
        <v>2.5299999999999998</v>
      </c>
      <c r="S3244">
        <v>6</v>
      </c>
      <c r="T3244">
        <v>47</v>
      </c>
      <c r="U3244" s="2">
        <v>5348.13</v>
      </c>
      <c r="V3244">
        <v>0</v>
      </c>
      <c r="W3244" t="s">
        <v>29</v>
      </c>
      <c r="X3244" t="str">
        <f>IF(Table2[[#This Row],[Qty available]]&gt;Table2[[#This Row],[Qty on hand]],"Check","OK")</f>
        <v>OK</v>
      </c>
    </row>
    <row r="3245" spans="1:24" x14ac:dyDescent="0.3">
      <c r="A3245" t="s">
        <v>331</v>
      </c>
      <c r="B3245" t="s">
        <v>332</v>
      </c>
      <c r="C3245" t="s">
        <v>91</v>
      </c>
      <c r="D3245" t="s">
        <v>92</v>
      </c>
      <c r="E3245" t="s">
        <v>66</v>
      </c>
      <c r="F3245" s="1" t="s">
        <v>32</v>
      </c>
      <c r="G3245" s="2">
        <v>90.12</v>
      </c>
      <c r="H3245">
        <v>90.12</v>
      </c>
      <c r="I3245">
        <v>89.412666999999999</v>
      </c>
      <c r="J3245">
        <v>113.79</v>
      </c>
      <c r="K3245">
        <v>39</v>
      </c>
      <c r="L3245" s="2">
        <v>36</v>
      </c>
      <c r="M3245">
        <v>38</v>
      </c>
      <c r="N3245" s="2">
        <v>15</v>
      </c>
      <c r="O3245">
        <v>1341.19</v>
      </c>
      <c r="P3245">
        <v>9</v>
      </c>
      <c r="Q3245">
        <v>6</v>
      </c>
      <c r="R3245">
        <v>1.36</v>
      </c>
      <c r="S3245">
        <v>9</v>
      </c>
      <c r="T3245">
        <v>51</v>
      </c>
      <c r="U3245" s="2">
        <v>5803.29</v>
      </c>
      <c r="V3245">
        <v>0</v>
      </c>
      <c r="W3245" t="s">
        <v>29</v>
      </c>
      <c r="X3245" t="str">
        <f>IF(Table2[[#This Row],[Qty available]]&gt;Table2[[#This Row],[Qty on hand]],"Check","OK")</f>
        <v>OK</v>
      </c>
    </row>
    <row r="3246" spans="1:24" x14ac:dyDescent="0.3">
      <c r="A3246" t="s">
        <v>331</v>
      </c>
      <c r="B3246" t="s">
        <v>332</v>
      </c>
      <c r="C3246" t="s">
        <v>91</v>
      </c>
      <c r="D3246" t="s">
        <v>92</v>
      </c>
      <c r="E3246" t="s">
        <v>66</v>
      </c>
      <c r="F3246" s="1" t="s">
        <v>33</v>
      </c>
      <c r="G3246" s="2">
        <v>87.99</v>
      </c>
      <c r="H3246">
        <v>87.99</v>
      </c>
      <c r="I3246">
        <v>88.318147999999994</v>
      </c>
      <c r="J3246">
        <v>113.79</v>
      </c>
      <c r="K3246">
        <v>39</v>
      </c>
      <c r="L3246" s="2">
        <v>34</v>
      </c>
      <c r="M3246">
        <v>50</v>
      </c>
      <c r="N3246" s="2">
        <v>27</v>
      </c>
      <c r="O3246">
        <v>2384.59</v>
      </c>
      <c r="P3246">
        <v>3</v>
      </c>
      <c r="Q3246">
        <v>24</v>
      </c>
      <c r="R3246">
        <v>2.61</v>
      </c>
      <c r="S3246">
        <v>0</v>
      </c>
      <c r="T3246">
        <v>38</v>
      </c>
      <c r="U3246" s="2">
        <v>4324.0200000000004</v>
      </c>
      <c r="V3246">
        <v>0</v>
      </c>
      <c r="W3246" t="s">
        <v>29</v>
      </c>
      <c r="X3246" t="str">
        <f>IF(Table2[[#This Row],[Qty available]]&gt;Table2[[#This Row],[Qty on hand]],"Check","OK")</f>
        <v>OK</v>
      </c>
    </row>
    <row r="3247" spans="1:24" x14ac:dyDescent="0.3">
      <c r="A3247" t="s">
        <v>331</v>
      </c>
      <c r="B3247" t="s">
        <v>332</v>
      </c>
      <c r="C3247" t="s">
        <v>91</v>
      </c>
      <c r="D3247" t="s">
        <v>92</v>
      </c>
      <c r="E3247" t="s">
        <v>66</v>
      </c>
      <c r="F3247" s="1" t="s">
        <v>34</v>
      </c>
      <c r="G3247" s="2">
        <v>90.3</v>
      </c>
      <c r="H3247">
        <v>90.3</v>
      </c>
      <c r="I3247">
        <v>88.318147999999994</v>
      </c>
      <c r="J3247">
        <v>120.52</v>
      </c>
      <c r="K3247">
        <v>39</v>
      </c>
      <c r="M3247">
        <v>0</v>
      </c>
      <c r="N3247" s="2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27</v>
      </c>
      <c r="U3247" s="2">
        <v>3254.04</v>
      </c>
      <c r="V3247">
        <v>19</v>
      </c>
      <c r="W3247" t="s">
        <v>59</v>
      </c>
      <c r="X3247" t="str">
        <f>IF(Table2[[#This Row],[Qty available]]&gt;Table2[[#This Row],[Qty on hand]],"Check","OK")</f>
        <v>OK</v>
      </c>
    </row>
    <row r="3248" spans="1:24" x14ac:dyDescent="0.3">
      <c r="A3248" t="s">
        <v>331</v>
      </c>
      <c r="B3248" t="s">
        <v>332</v>
      </c>
      <c r="C3248" t="s">
        <v>91</v>
      </c>
      <c r="D3248" t="s">
        <v>92</v>
      </c>
      <c r="E3248" t="s">
        <v>66</v>
      </c>
      <c r="F3248" s="1" t="s">
        <v>35</v>
      </c>
      <c r="G3248" s="2">
        <v>87.6</v>
      </c>
      <c r="H3248">
        <v>87.6</v>
      </c>
      <c r="I3248">
        <v>87.6</v>
      </c>
      <c r="J3248">
        <v>120.52</v>
      </c>
      <c r="K3248">
        <v>39</v>
      </c>
      <c r="L3248" s="2">
        <v>38</v>
      </c>
      <c r="M3248">
        <v>63</v>
      </c>
      <c r="N3248" s="2">
        <v>24</v>
      </c>
      <c r="O3248">
        <v>2102.4</v>
      </c>
      <c r="P3248">
        <v>9</v>
      </c>
      <c r="Q3248">
        <v>15</v>
      </c>
      <c r="R3248">
        <v>2.97</v>
      </c>
      <c r="S3248">
        <v>1</v>
      </c>
      <c r="T3248">
        <v>39</v>
      </c>
      <c r="U3248" s="2">
        <v>4700.28</v>
      </c>
      <c r="V3248">
        <v>0</v>
      </c>
      <c r="W3248" t="s">
        <v>29</v>
      </c>
      <c r="X3248" t="str">
        <f>IF(Table2[[#This Row],[Qty available]]&gt;Table2[[#This Row],[Qty on hand]],"Check","OK")</f>
        <v>OK</v>
      </c>
    </row>
    <row r="3249" spans="1:24" x14ac:dyDescent="0.3">
      <c r="A3249" t="s">
        <v>331</v>
      </c>
      <c r="B3249" t="s">
        <v>332</v>
      </c>
      <c r="C3249" t="s">
        <v>91</v>
      </c>
      <c r="D3249" t="s">
        <v>92</v>
      </c>
      <c r="E3249" t="s">
        <v>66</v>
      </c>
      <c r="F3249" s="1" t="s">
        <v>36</v>
      </c>
      <c r="G3249" s="2">
        <v>88.02</v>
      </c>
      <c r="H3249">
        <v>88.02</v>
      </c>
      <c r="I3249">
        <v>87.833500000000001</v>
      </c>
      <c r="J3249">
        <v>120.52</v>
      </c>
      <c r="K3249">
        <v>39</v>
      </c>
      <c r="L3249" s="2">
        <v>34</v>
      </c>
      <c r="M3249">
        <v>30</v>
      </c>
      <c r="N3249" s="2">
        <v>20</v>
      </c>
      <c r="O3249">
        <v>1756.67</v>
      </c>
      <c r="P3249">
        <v>9</v>
      </c>
      <c r="Q3249">
        <v>11</v>
      </c>
      <c r="R3249">
        <v>2.54</v>
      </c>
      <c r="S3249">
        <v>1</v>
      </c>
      <c r="T3249">
        <v>34</v>
      </c>
      <c r="U3249" s="2">
        <v>4097.68</v>
      </c>
      <c r="V3249">
        <v>0</v>
      </c>
      <c r="W3249" t="s">
        <v>29</v>
      </c>
      <c r="X3249" t="str">
        <f>IF(Table2[[#This Row],[Qty available]]&gt;Table2[[#This Row],[Qty on hand]],"Check","OK")</f>
        <v>OK</v>
      </c>
    </row>
    <row r="3250" spans="1:24" x14ac:dyDescent="0.3">
      <c r="A3250" t="s">
        <v>331</v>
      </c>
      <c r="B3250" t="s">
        <v>332</v>
      </c>
      <c r="C3250" t="s">
        <v>91</v>
      </c>
      <c r="D3250" t="s">
        <v>92</v>
      </c>
      <c r="E3250" t="s">
        <v>66</v>
      </c>
      <c r="F3250" s="1" t="s">
        <v>37</v>
      </c>
      <c r="G3250" s="2">
        <v>87.42</v>
      </c>
      <c r="H3250">
        <v>87.42</v>
      </c>
      <c r="I3250">
        <v>87.547143000000005</v>
      </c>
      <c r="J3250">
        <v>120.52</v>
      </c>
      <c r="K3250">
        <v>39</v>
      </c>
      <c r="L3250" s="2">
        <v>35</v>
      </c>
      <c r="M3250">
        <v>45</v>
      </c>
      <c r="N3250" s="2">
        <v>28</v>
      </c>
      <c r="O3250">
        <v>2451.3200000000002</v>
      </c>
      <c r="P3250">
        <v>2</v>
      </c>
      <c r="Q3250">
        <v>26</v>
      </c>
      <c r="R3250">
        <v>3.35</v>
      </c>
      <c r="S3250">
        <v>6</v>
      </c>
      <c r="T3250">
        <v>37</v>
      </c>
      <c r="U3250" s="2">
        <v>4459.24</v>
      </c>
      <c r="V3250">
        <v>0</v>
      </c>
      <c r="W3250" t="s">
        <v>29</v>
      </c>
      <c r="X3250" t="str">
        <f>IF(Table2[[#This Row],[Qty available]]&gt;Table2[[#This Row],[Qty on hand]],"Check","OK")</f>
        <v>OK</v>
      </c>
    </row>
    <row r="3251" spans="1:24" x14ac:dyDescent="0.3">
      <c r="A3251" t="s">
        <v>331</v>
      </c>
      <c r="B3251" t="s">
        <v>332</v>
      </c>
      <c r="C3251" t="s">
        <v>91</v>
      </c>
      <c r="D3251" t="s">
        <v>92</v>
      </c>
      <c r="E3251" t="s">
        <v>66</v>
      </c>
      <c r="F3251" s="1" t="s">
        <v>38</v>
      </c>
      <c r="G3251" s="2">
        <v>87.47</v>
      </c>
      <c r="H3251">
        <v>87.47</v>
      </c>
      <c r="I3251">
        <v>87.490125000000006</v>
      </c>
      <c r="J3251">
        <v>120.52</v>
      </c>
      <c r="K3251">
        <v>39</v>
      </c>
      <c r="L3251" s="2">
        <v>35</v>
      </c>
      <c r="M3251">
        <v>79</v>
      </c>
      <c r="N3251" s="2">
        <v>80</v>
      </c>
      <c r="O3251">
        <v>6999.21</v>
      </c>
      <c r="P3251">
        <v>2</v>
      </c>
      <c r="Q3251">
        <v>78</v>
      </c>
      <c r="R3251">
        <v>10.61</v>
      </c>
      <c r="S3251">
        <v>1</v>
      </c>
      <c r="T3251">
        <v>27</v>
      </c>
      <c r="U3251" s="2">
        <v>3254.04</v>
      </c>
      <c r="V3251">
        <v>0</v>
      </c>
      <c r="W3251" t="s">
        <v>29</v>
      </c>
      <c r="X3251" t="str">
        <f>IF(Table2[[#This Row],[Qty available]]&gt;Table2[[#This Row],[Qty on hand]],"Check","OK")</f>
        <v>OK</v>
      </c>
    </row>
    <row r="3252" spans="1:24" x14ac:dyDescent="0.3">
      <c r="A3252" t="s">
        <v>331</v>
      </c>
      <c r="B3252" t="s">
        <v>332</v>
      </c>
      <c r="C3252" t="s">
        <v>91</v>
      </c>
      <c r="D3252" t="s">
        <v>92</v>
      </c>
      <c r="E3252" t="s">
        <v>66</v>
      </c>
      <c r="F3252" s="1" t="s">
        <v>39</v>
      </c>
      <c r="G3252" s="2">
        <v>89.49</v>
      </c>
      <c r="H3252">
        <v>89.49</v>
      </c>
      <c r="I3252">
        <v>88.035493000000002</v>
      </c>
      <c r="J3252">
        <v>120.52</v>
      </c>
      <c r="K3252">
        <v>39</v>
      </c>
      <c r="L3252" s="2">
        <v>39</v>
      </c>
      <c r="M3252">
        <v>30</v>
      </c>
      <c r="N3252" s="2">
        <v>71</v>
      </c>
      <c r="O3252">
        <v>6250.52</v>
      </c>
      <c r="P3252">
        <v>4</v>
      </c>
      <c r="Q3252">
        <v>67</v>
      </c>
      <c r="R3252">
        <v>9.06</v>
      </c>
      <c r="S3252">
        <v>3</v>
      </c>
      <c r="T3252">
        <v>39</v>
      </c>
      <c r="U3252" s="2">
        <v>4700.28</v>
      </c>
      <c r="V3252">
        <v>0</v>
      </c>
      <c r="W3252" t="s">
        <v>29</v>
      </c>
      <c r="X3252" t="str">
        <f>IF(Table2[[#This Row],[Qty available]]&gt;Table2[[#This Row],[Qty on hand]],"Check","OK")</f>
        <v>OK</v>
      </c>
    </row>
    <row r="3253" spans="1:24" x14ac:dyDescent="0.3">
      <c r="A3253" t="s">
        <v>331</v>
      </c>
      <c r="B3253" t="s">
        <v>332</v>
      </c>
      <c r="C3253" t="s">
        <v>91</v>
      </c>
      <c r="D3253" t="s">
        <v>92</v>
      </c>
      <c r="E3253" t="s">
        <v>66</v>
      </c>
      <c r="F3253" s="1" t="s">
        <v>40</v>
      </c>
      <c r="G3253" s="2">
        <v>89.12</v>
      </c>
      <c r="H3253">
        <v>89.12</v>
      </c>
      <c r="I3253">
        <v>88.035476000000003</v>
      </c>
      <c r="J3253">
        <v>120.52</v>
      </c>
      <c r="K3253">
        <v>39</v>
      </c>
      <c r="M3253">
        <v>0</v>
      </c>
      <c r="N3253" s="2">
        <v>42</v>
      </c>
      <c r="O3253">
        <v>3697.49</v>
      </c>
      <c r="P3253">
        <v>3</v>
      </c>
      <c r="Q3253">
        <v>39</v>
      </c>
      <c r="R3253">
        <v>5.81</v>
      </c>
      <c r="S3253">
        <v>4</v>
      </c>
      <c r="T3253">
        <v>29</v>
      </c>
      <c r="U3253" s="2">
        <v>3495.08</v>
      </c>
      <c r="V3253">
        <v>0</v>
      </c>
      <c r="W3253" t="s">
        <v>29</v>
      </c>
      <c r="X3253" t="str">
        <f>IF(Table2[[#This Row],[Qty available]]&gt;Table2[[#This Row],[Qty on hand]],"Check","OK")</f>
        <v>OK</v>
      </c>
    </row>
    <row r="3254" spans="1:24" x14ac:dyDescent="0.3">
      <c r="A3254" t="s">
        <v>331</v>
      </c>
      <c r="B3254" t="s">
        <v>332</v>
      </c>
      <c r="C3254" t="s">
        <v>91</v>
      </c>
      <c r="D3254" t="s">
        <v>92</v>
      </c>
      <c r="E3254" t="s">
        <v>66</v>
      </c>
      <c r="F3254" s="1" t="s">
        <v>41</v>
      </c>
      <c r="G3254" s="2">
        <v>89.85</v>
      </c>
      <c r="H3254">
        <v>89.85</v>
      </c>
      <c r="I3254">
        <v>88.974091000000001</v>
      </c>
      <c r="J3254">
        <v>120.52</v>
      </c>
      <c r="K3254">
        <v>39</v>
      </c>
      <c r="L3254" s="2">
        <v>35</v>
      </c>
      <c r="M3254">
        <v>45</v>
      </c>
      <c r="N3254" s="2">
        <v>66</v>
      </c>
      <c r="O3254">
        <v>5872.29</v>
      </c>
      <c r="P3254">
        <v>7</v>
      </c>
      <c r="Q3254">
        <v>59</v>
      </c>
      <c r="R3254">
        <v>9.75</v>
      </c>
      <c r="S3254">
        <v>4</v>
      </c>
      <c r="T3254">
        <v>21</v>
      </c>
      <c r="U3254" s="2">
        <v>2530.92</v>
      </c>
      <c r="V3254">
        <v>0</v>
      </c>
      <c r="W3254" t="s">
        <v>29</v>
      </c>
      <c r="X3254" t="str">
        <f>IF(Table2[[#This Row],[Qty available]]&gt;Table2[[#This Row],[Qty on hand]],"Check","OK")</f>
        <v>OK</v>
      </c>
    </row>
    <row r="3255" spans="1:24" x14ac:dyDescent="0.3">
      <c r="A3255" t="s">
        <v>331</v>
      </c>
      <c r="B3255" t="s">
        <v>332</v>
      </c>
      <c r="C3255" t="s">
        <v>91</v>
      </c>
      <c r="D3255" t="s">
        <v>92</v>
      </c>
      <c r="E3255" t="s">
        <v>66</v>
      </c>
      <c r="F3255" s="1" t="s">
        <v>42</v>
      </c>
      <c r="G3255" s="2">
        <v>95.56</v>
      </c>
      <c r="H3255">
        <v>95.56</v>
      </c>
      <c r="I3255">
        <v>91.812832999999998</v>
      </c>
      <c r="J3255">
        <v>120.52</v>
      </c>
      <c r="K3255">
        <v>39</v>
      </c>
      <c r="L3255" s="2">
        <v>38</v>
      </c>
      <c r="M3255">
        <v>50</v>
      </c>
      <c r="N3255" s="2">
        <v>60</v>
      </c>
      <c r="O3255">
        <v>5508.77</v>
      </c>
      <c r="P3255">
        <v>2</v>
      </c>
      <c r="Q3255">
        <v>58</v>
      </c>
      <c r="R3255">
        <v>7.44</v>
      </c>
      <c r="S3255">
        <v>1</v>
      </c>
      <c r="T3255">
        <v>56</v>
      </c>
      <c r="U3255" s="2">
        <v>6749.12</v>
      </c>
      <c r="V3255">
        <v>0</v>
      </c>
      <c r="W3255" t="s">
        <v>29</v>
      </c>
      <c r="X3255" t="str">
        <f>IF(Table2[[#This Row],[Qty available]]&gt;Table2[[#This Row],[Qty on hand]],"Check","OK")</f>
        <v>OK</v>
      </c>
    </row>
    <row r="3256" spans="1:24" x14ac:dyDescent="0.3">
      <c r="A3256" t="s">
        <v>331</v>
      </c>
      <c r="B3256" t="s">
        <v>332</v>
      </c>
      <c r="C3256" t="s">
        <v>91</v>
      </c>
      <c r="D3256" t="s">
        <v>92</v>
      </c>
      <c r="E3256" t="s">
        <v>66</v>
      </c>
      <c r="F3256" s="1" t="s">
        <v>43</v>
      </c>
      <c r="G3256" s="2">
        <v>95.1</v>
      </c>
      <c r="H3256">
        <v>95.1</v>
      </c>
      <c r="I3256">
        <v>91.812856999999994</v>
      </c>
      <c r="J3256">
        <v>120.52</v>
      </c>
      <c r="K3256">
        <v>39</v>
      </c>
      <c r="M3256">
        <v>0</v>
      </c>
      <c r="N3256" s="2">
        <v>35</v>
      </c>
      <c r="O3256">
        <v>3213.45</v>
      </c>
      <c r="P3256">
        <v>4</v>
      </c>
      <c r="Q3256">
        <v>31</v>
      </c>
      <c r="R3256">
        <v>4.46</v>
      </c>
      <c r="S3256">
        <v>2</v>
      </c>
      <c r="T3256">
        <v>25</v>
      </c>
      <c r="U3256" s="2">
        <v>3013</v>
      </c>
      <c r="V3256">
        <v>0</v>
      </c>
      <c r="W3256" t="s">
        <v>29</v>
      </c>
      <c r="X3256" t="str">
        <f>IF(Table2[[#This Row],[Qty available]]&gt;Table2[[#This Row],[Qty on hand]],"Check","OK")</f>
        <v>OK</v>
      </c>
    </row>
    <row r="3257" spans="1:24" x14ac:dyDescent="0.3">
      <c r="A3257" t="s">
        <v>331</v>
      </c>
      <c r="B3257" t="s">
        <v>332</v>
      </c>
      <c r="C3257" t="s">
        <v>91</v>
      </c>
      <c r="D3257" t="s">
        <v>92</v>
      </c>
      <c r="E3257" t="s">
        <v>66</v>
      </c>
      <c r="F3257" s="1" t="s">
        <v>44</v>
      </c>
      <c r="G3257" s="2">
        <v>95.29</v>
      </c>
      <c r="H3257">
        <v>95.29</v>
      </c>
      <c r="I3257">
        <v>91.812856999999994</v>
      </c>
      <c r="J3257">
        <v>120.52</v>
      </c>
      <c r="K3257">
        <v>39</v>
      </c>
      <c r="M3257">
        <v>0</v>
      </c>
      <c r="N3257" s="2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35</v>
      </c>
      <c r="U3257" s="2">
        <v>4218.2</v>
      </c>
      <c r="V3257">
        <v>0</v>
      </c>
      <c r="W3257" t="s">
        <v>29</v>
      </c>
      <c r="X3257" t="str">
        <f>IF(Table2[[#This Row],[Qty available]]&gt;Table2[[#This Row],[Qty on hand]],"Check","OK")</f>
        <v>OK</v>
      </c>
    </row>
    <row r="3258" spans="1:24" x14ac:dyDescent="0.3">
      <c r="A3258" t="s">
        <v>331</v>
      </c>
      <c r="B3258" t="s">
        <v>332</v>
      </c>
      <c r="C3258" t="s">
        <v>91</v>
      </c>
      <c r="D3258" t="s">
        <v>92</v>
      </c>
      <c r="E3258" t="s">
        <v>66</v>
      </c>
      <c r="F3258" s="1" t="s">
        <v>45</v>
      </c>
      <c r="G3258" s="2">
        <v>95.53</v>
      </c>
      <c r="H3258">
        <v>95.53</v>
      </c>
      <c r="I3258">
        <v>95.53</v>
      </c>
      <c r="J3258">
        <v>120.52</v>
      </c>
      <c r="K3258">
        <v>39</v>
      </c>
      <c r="L3258" s="2">
        <v>35</v>
      </c>
      <c r="M3258">
        <v>88</v>
      </c>
      <c r="N3258" s="2">
        <v>62</v>
      </c>
      <c r="O3258">
        <v>5922.86</v>
      </c>
      <c r="P3258">
        <v>4</v>
      </c>
      <c r="Q3258">
        <v>58</v>
      </c>
      <c r="R3258">
        <v>9.48</v>
      </c>
      <c r="S3258">
        <v>2</v>
      </c>
      <c r="T3258">
        <v>26</v>
      </c>
      <c r="U3258" s="2">
        <v>3133.52</v>
      </c>
      <c r="V3258">
        <v>0</v>
      </c>
      <c r="W3258" t="s">
        <v>29</v>
      </c>
      <c r="X3258" t="str">
        <f>IF(Table2[[#This Row],[Qty available]]&gt;Table2[[#This Row],[Qty on hand]],"Check","OK")</f>
        <v>OK</v>
      </c>
    </row>
    <row r="3259" spans="1:24" x14ac:dyDescent="0.3">
      <c r="A3259" t="s">
        <v>331</v>
      </c>
      <c r="B3259" t="s">
        <v>332</v>
      </c>
      <c r="C3259" t="s">
        <v>91</v>
      </c>
      <c r="D3259" t="s">
        <v>92</v>
      </c>
      <c r="E3259" t="s">
        <v>66</v>
      </c>
      <c r="F3259" s="1" t="s">
        <v>46</v>
      </c>
      <c r="G3259" s="2">
        <v>96.08</v>
      </c>
      <c r="H3259">
        <v>96.08</v>
      </c>
      <c r="I3259">
        <v>95.53</v>
      </c>
      <c r="J3259">
        <v>127.65</v>
      </c>
      <c r="K3259">
        <v>39</v>
      </c>
      <c r="M3259">
        <v>0</v>
      </c>
      <c r="N3259" s="2">
        <v>49</v>
      </c>
      <c r="O3259">
        <v>4680.97</v>
      </c>
      <c r="P3259">
        <v>7</v>
      </c>
      <c r="Q3259">
        <v>42</v>
      </c>
      <c r="R3259">
        <v>8.51</v>
      </c>
      <c r="S3259">
        <v>8</v>
      </c>
      <c r="T3259">
        <v>13</v>
      </c>
      <c r="U3259" s="2">
        <v>1659.45</v>
      </c>
      <c r="V3259">
        <v>0</v>
      </c>
      <c r="W3259" t="s">
        <v>29</v>
      </c>
      <c r="X3259" t="str">
        <f>IF(Table2[[#This Row],[Qty available]]&gt;Table2[[#This Row],[Qty on hand]],"Check","OK")</f>
        <v>OK</v>
      </c>
    </row>
    <row r="3260" spans="1:24" x14ac:dyDescent="0.3">
      <c r="A3260" t="s">
        <v>331</v>
      </c>
      <c r="B3260" t="s">
        <v>332</v>
      </c>
      <c r="C3260" t="s">
        <v>91</v>
      </c>
      <c r="D3260" t="s">
        <v>92</v>
      </c>
      <c r="E3260" t="s">
        <v>66</v>
      </c>
      <c r="F3260" s="1" t="s">
        <v>47</v>
      </c>
      <c r="G3260" s="2">
        <v>92.78</v>
      </c>
      <c r="H3260">
        <v>92.78</v>
      </c>
      <c r="I3260">
        <v>94.384137999999993</v>
      </c>
      <c r="J3260">
        <v>127.65</v>
      </c>
      <c r="K3260">
        <v>39</v>
      </c>
      <c r="L3260" s="2">
        <v>35</v>
      </c>
      <c r="M3260">
        <v>35</v>
      </c>
      <c r="N3260" s="2">
        <v>58</v>
      </c>
      <c r="O3260">
        <v>5474.28</v>
      </c>
      <c r="P3260">
        <v>4</v>
      </c>
      <c r="Q3260">
        <v>54</v>
      </c>
      <c r="R3260">
        <v>11.47</v>
      </c>
      <c r="S3260">
        <v>6</v>
      </c>
      <c r="T3260">
        <v>26</v>
      </c>
      <c r="U3260" s="2">
        <v>3318.9</v>
      </c>
      <c r="V3260">
        <v>0</v>
      </c>
      <c r="W3260" t="s">
        <v>29</v>
      </c>
      <c r="X3260" t="str">
        <f>IF(Table2[[#This Row],[Qty available]]&gt;Table2[[#This Row],[Qty on hand]],"Check","OK")</f>
        <v>OK</v>
      </c>
    </row>
    <row r="3261" spans="1:24" x14ac:dyDescent="0.3">
      <c r="A3261" t="s">
        <v>331</v>
      </c>
      <c r="B3261" t="s">
        <v>332</v>
      </c>
      <c r="C3261" t="s">
        <v>91</v>
      </c>
      <c r="D3261" t="s">
        <v>92</v>
      </c>
      <c r="E3261" t="s">
        <v>66</v>
      </c>
      <c r="F3261" s="1" t="s">
        <v>48</v>
      </c>
      <c r="G3261" s="2">
        <v>93.52</v>
      </c>
      <c r="H3261">
        <v>93.52</v>
      </c>
      <c r="I3261">
        <v>94.070727000000005</v>
      </c>
      <c r="J3261">
        <v>127.65</v>
      </c>
      <c r="K3261">
        <v>39</v>
      </c>
      <c r="L3261" s="2">
        <v>34</v>
      </c>
      <c r="M3261">
        <v>33</v>
      </c>
      <c r="N3261" s="2">
        <v>55</v>
      </c>
      <c r="O3261">
        <v>5173.8900000000003</v>
      </c>
      <c r="P3261">
        <v>3</v>
      </c>
      <c r="Q3261">
        <v>52</v>
      </c>
      <c r="R3261">
        <v>9.32</v>
      </c>
      <c r="S3261">
        <v>3</v>
      </c>
      <c r="T3261">
        <v>36</v>
      </c>
      <c r="U3261" s="2">
        <v>4595.3999999999996</v>
      </c>
      <c r="V3261">
        <v>0</v>
      </c>
      <c r="W3261" t="s">
        <v>29</v>
      </c>
      <c r="X3261" t="str">
        <f>IF(Table2[[#This Row],[Qty available]]&gt;Table2[[#This Row],[Qty on hand]],"Check","OK")</f>
        <v>OK</v>
      </c>
    </row>
    <row r="3262" spans="1:24" x14ac:dyDescent="0.3">
      <c r="A3262" t="s">
        <v>331</v>
      </c>
      <c r="B3262" t="s">
        <v>332</v>
      </c>
      <c r="C3262" t="s">
        <v>91</v>
      </c>
      <c r="D3262" t="s">
        <v>92</v>
      </c>
      <c r="E3262" t="s">
        <v>66</v>
      </c>
      <c r="F3262" s="1" t="s">
        <v>49</v>
      </c>
      <c r="G3262" s="2">
        <v>93.22</v>
      </c>
      <c r="H3262">
        <v>93.22</v>
      </c>
      <c r="I3262">
        <v>93.770422999999994</v>
      </c>
      <c r="J3262">
        <v>127.65</v>
      </c>
      <c r="K3262">
        <v>39</v>
      </c>
      <c r="L3262" s="2">
        <v>34</v>
      </c>
      <c r="M3262">
        <v>30</v>
      </c>
      <c r="N3262" s="2">
        <v>71</v>
      </c>
      <c r="O3262">
        <v>6657.7</v>
      </c>
      <c r="P3262">
        <v>6</v>
      </c>
      <c r="Q3262">
        <v>65</v>
      </c>
      <c r="R3262">
        <v>12.28</v>
      </c>
      <c r="S3262">
        <v>13</v>
      </c>
      <c r="T3262">
        <v>14</v>
      </c>
      <c r="U3262" s="2">
        <v>1787.1</v>
      </c>
      <c r="V3262">
        <v>0</v>
      </c>
      <c r="W3262" t="s">
        <v>29</v>
      </c>
      <c r="X3262" t="str">
        <f>IF(Table2[[#This Row],[Qty available]]&gt;Table2[[#This Row],[Qty on hand]],"Check","OK")</f>
        <v>OK</v>
      </c>
    </row>
    <row r="3263" spans="1:24" x14ac:dyDescent="0.3">
      <c r="A3263" t="s">
        <v>331</v>
      </c>
      <c r="B3263" t="s">
        <v>332</v>
      </c>
      <c r="C3263" t="s">
        <v>91</v>
      </c>
      <c r="D3263" t="s">
        <v>92</v>
      </c>
      <c r="E3263" t="s">
        <v>66</v>
      </c>
      <c r="F3263" s="1" t="s">
        <v>50</v>
      </c>
      <c r="G3263" s="2">
        <v>94.14</v>
      </c>
      <c r="H3263">
        <v>94.14</v>
      </c>
      <c r="I3263">
        <v>93.770285999999999</v>
      </c>
      <c r="J3263">
        <v>127.65</v>
      </c>
      <c r="K3263">
        <v>39</v>
      </c>
      <c r="M3263">
        <v>0</v>
      </c>
      <c r="N3263" s="2">
        <v>35</v>
      </c>
      <c r="O3263">
        <v>3281.96</v>
      </c>
      <c r="P3263">
        <v>2</v>
      </c>
      <c r="Q3263">
        <v>33</v>
      </c>
      <c r="R3263">
        <v>5.29</v>
      </c>
      <c r="S3263">
        <v>10</v>
      </c>
      <c r="T3263">
        <v>36</v>
      </c>
      <c r="U3263" s="2">
        <v>4595.3999999999996</v>
      </c>
      <c r="V3263">
        <v>0</v>
      </c>
      <c r="W3263" t="s">
        <v>29</v>
      </c>
      <c r="X3263" t="str">
        <f>IF(Table2[[#This Row],[Qty available]]&gt;Table2[[#This Row],[Qty on hand]],"Check","OK")</f>
        <v>OK</v>
      </c>
    </row>
    <row r="3264" spans="1:24" x14ac:dyDescent="0.3">
      <c r="A3264" t="s">
        <v>331</v>
      </c>
      <c r="B3264" t="s">
        <v>332</v>
      </c>
      <c r="C3264" t="s">
        <v>91</v>
      </c>
      <c r="D3264" t="s">
        <v>92</v>
      </c>
      <c r="E3264" t="s">
        <v>66</v>
      </c>
      <c r="F3264" s="1" t="s">
        <v>51</v>
      </c>
      <c r="G3264" s="2">
        <v>95.59</v>
      </c>
      <c r="H3264">
        <v>95.59</v>
      </c>
      <c r="I3264">
        <v>94.666875000000005</v>
      </c>
      <c r="J3264">
        <v>127.65</v>
      </c>
      <c r="K3264">
        <v>39</v>
      </c>
      <c r="L3264" s="2">
        <v>35</v>
      </c>
      <c r="M3264">
        <v>34</v>
      </c>
      <c r="N3264" s="2">
        <v>48</v>
      </c>
      <c r="O3264">
        <v>4544.01</v>
      </c>
      <c r="P3264">
        <v>6</v>
      </c>
      <c r="Q3264">
        <v>42</v>
      </c>
      <c r="R3264">
        <v>8.89</v>
      </c>
      <c r="S3264">
        <v>0</v>
      </c>
      <c r="T3264">
        <v>21</v>
      </c>
      <c r="U3264" s="2">
        <v>2680.65</v>
      </c>
      <c r="V3264">
        <v>0</v>
      </c>
      <c r="W3264" t="s">
        <v>29</v>
      </c>
      <c r="X3264" t="str">
        <f>IF(Table2[[#This Row],[Qty available]]&gt;Table2[[#This Row],[Qty on hand]],"Check","OK")</f>
        <v>OK</v>
      </c>
    </row>
    <row r="3265" spans="1:24" x14ac:dyDescent="0.3">
      <c r="A3265" t="s">
        <v>331</v>
      </c>
      <c r="B3265" t="s">
        <v>332</v>
      </c>
      <c r="C3265" t="s">
        <v>91</v>
      </c>
      <c r="D3265" t="s">
        <v>92</v>
      </c>
      <c r="E3265" t="s">
        <v>66</v>
      </c>
      <c r="F3265" s="1" t="s">
        <v>52</v>
      </c>
      <c r="G3265" s="2">
        <v>93.89</v>
      </c>
      <c r="H3265">
        <v>93.89</v>
      </c>
      <c r="I3265">
        <v>94.368162999999996</v>
      </c>
      <c r="J3265">
        <v>127.65</v>
      </c>
      <c r="K3265">
        <v>39</v>
      </c>
      <c r="L3265" s="2">
        <v>34</v>
      </c>
      <c r="M3265">
        <v>30</v>
      </c>
      <c r="N3265" s="2">
        <v>49</v>
      </c>
      <c r="O3265">
        <v>4624.04</v>
      </c>
      <c r="P3265">
        <v>10</v>
      </c>
      <c r="Q3265">
        <v>39</v>
      </c>
      <c r="R3265">
        <v>7.49</v>
      </c>
      <c r="S3265">
        <v>1</v>
      </c>
      <c r="T3265">
        <v>29</v>
      </c>
      <c r="U3265" s="2">
        <v>3701.85</v>
      </c>
      <c r="V3265">
        <v>0</v>
      </c>
      <c r="W3265" t="s">
        <v>29</v>
      </c>
      <c r="X3265" t="str">
        <f>IF(Table2[[#This Row],[Qty available]]&gt;Table2[[#This Row],[Qty on hand]],"Check","OK")</f>
        <v>OK</v>
      </c>
    </row>
    <row r="3266" spans="1:24" x14ac:dyDescent="0.3">
      <c r="A3266" t="s">
        <v>333</v>
      </c>
      <c r="B3266" t="s">
        <v>334</v>
      </c>
      <c r="C3266" t="s">
        <v>69</v>
      </c>
      <c r="D3266" t="s">
        <v>70</v>
      </c>
      <c r="E3266" t="s">
        <v>66</v>
      </c>
      <c r="F3266" s="1" t="s">
        <v>28</v>
      </c>
      <c r="G3266" s="2">
        <v>2.56</v>
      </c>
      <c r="H3266">
        <v>2.8</v>
      </c>
      <c r="I3266">
        <v>2.7900740000000002</v>
      </c>
      <c r="J3266">
        <v>4.1100000000000003</v>
      </c>
      <c r="K3266">
        <v>53</v>
      </c>
      <c r="L3266" s="2">
        <v>51</v>
      </c>
      <c r="M3266">
        <v>762</v>
      </c>
      <c r="N3266" s="2">
        <v>945</v>
      </c>
      <c r="O3266">
        <v>2636.62</v>
      </c>
      <c r="P3266">
        <v>16</v>
      </c>
      <c r="Q3266">
        <v>929</v>
      </c>
      <c r="R3266">
        <v>14.82</v>
      </c>
      <c r="S3266">
        <v>1</v>
      </c>
      <c r="T3266">
        <v>297</v>
      </c>
      <c r="U3266" s="2">
        <v>1220.67</v>
      </c>
      <c r="V3266">
        <v>0</v>
      </c>
      <c r="W3266" t="s">
        <v>29</v>
      </c>
      <c r="X3266" t="str">
        <f>IF(Table2[[#This Row],[Qty available]]&gt;Table2[[#This Row],[Qty on hand]],"Check","OK")</f>
        <v>OK</v>
      </c>
    </row>
    <row r="3267" spans="1:24" x14ac:dyDescent="0.3">
      <c r="A3267" t="s">
        <v>333</v>
      </c>
      <c r="B3267" t="s">
        <v>334</v>
      </c>
      <c r="C3267" t="s">
        <v>69</v>
      </c>
      <c r="D3267" t="s">
        <v>70</v>
      </c>
      <c r="E3267" t="s">
        <v>66</v>
      </c>
      <c r="F3267" s="1" t="s">
        <v>30</v>
      </c>
      <c r="G3267" s="2">
        <v>2.6</v>
      </c>
      <c r="H3267">
        <v>2.84</v>
      </c>
      <c r="I3267">
        <v>2.7900710000000002</v>
      </c>
      <c r="J3267">
        <v>4.1100000000000003</v>
      </c>
      <c r="K3267">
        <v>53</v>
      </c>
      <c r="M3267">
        <v>0</v>
      </c>
      <c r="N3267" s="2">
        <v>709</v>
      </c>
      <c r="O3267">
        <v>1978.16</v>
      </c>
      <c r="P3267">
        <v>33</v>
      </c>
      <c r="Q3267">
        <v>676</v>
      </c>
      <c r="R3267">
        <v>11.6</v>
      </c>
      <c r="S3267">
        <v>0</v>
      </c>
      <c r="T3267">
        <v>236</v>
      </c>
      <c r="U3267" s="2">
        <v>969.96</v>
      </c>
      <c r="V3267">
        <v>0</v>
      </c>
      <c r="W3267" t="s">
        <v>29</v>
      </c>
      <c r="X3267" t="str">
        <f>IF(Table2[[#This Row],[Qty available]]&gt;Table2[[#This Row],[Qty on hand]],"Check","OK")</f>
        <v>OK</v>
      </c>
    </row>
    <row r="3268" spans="1:24" x14ac:dyDescent="0.3">
      <c r="A3268" t="s">
        <v>333</v>
      </c>
      <c r="B3268" t="s">
        <v>334</v>
      </c>
      <c r="C3268" t="s">
        <v>69</v>
      </c>
      <c r="D3268" t="s">
        <v>70</v>
      </c>
      <c r="E3268" t="s">
        <v>66</v>
      </c>
      <c r="F3268" s="1" t="s">
        <v>31</v>
      </c>
      <c r="G3268" s="2">
        <v>2.62</v>
      </c>
      <c r="H3268">
        <v>2.86</v>
      </c>
      <c r="I3268">
        <v>2.7987150000000001</v>
      </c>
      <c r="J3268">
        <v>4.1100000000000003</v>
      </c>
      <c r="K3268">
        <v>53</v>
      </c>
      <c r="L3268" s="2">
        <v>51</v>
      </c>
      <c r="M3268">
        <v>100</v>
      </c>
      <c r="N3268" s="2">
        <v>568</v>
      </c>
      <c r="O3268">
        <v>1589.67</v>
      </c>
      <c r="P3268">
        <v>16</v>
      </c>
      <c r="Q3268">
        <v>552</v>
      </c>
      <c r="R3268">
        <v>9.5399999999999991</v>
      </c>
      <c r="S3268">
        <v>0</v>
      </c>
      <c r="T3268">
        <v>241</v>
      </c>
      <c r="U3268" s="2">
        <v>990.51</v>
      </c>
      <c r="V3268">
        <v>0</v>
      </c>
      <c r="W3268" t="s">
        <v>29</v>
      </c>
      <c r="X3268" t="str">
        <f>IF(Table2[[#This Row],[Qty available]]&gt;Table2[[#This Row],[Qty on hand]],"Check","OK")</f>
        <v>OK</v>
      </c>
    </row>
    <row r="3269" spans="1:24" x14ac:dyDescent="0.3">
      <c r="A3269" t="s">
        <v>333</v>
      </c>
      <c r="B3269" t="s">
        <v>334</v>
      </c>
      <c r="C3269" t="s">
        <v>69</v>
      </c>
      <c r="D3269" t="s">
        <v>70</v>
      </c>
      <c r="E3269" t="s">
        <v>66</v>
      </c>
      <c r="F3269" s="1" t="s">
        <v>32</v>
      </c>
      <c r="G3269" s="2">
        <v>2.69</v>
      </c>
      <c r="H3269">
        <v>2.94</v>
      </c>
      <c r="I3269">
        <v>2.7987069999999998</v>
      </c>
      <c r="J3269">
        <v>4.1100000000000003</v>
      </c>
      <c r="K3269">
        <v>53</v>
      </c>
      <c r="M3269">
        <v>0</v>
      </c>
      <c r="N3269" s="2">
        <v>232</v>
      </c>
      <c r="O3269">
        <v>649.29999999999995</v>
      </c>
      <c r="P3269">
        <v>74</v>
      </c>
      <c r="Q3269">
        <v>158</v>
      </c>
      <c r="R3269">
        <v>3.75</v>
      </c>
      <c r="S3269">
        <v>0</v>
      </c>
      <c r="T3269">
        <v>336</v>
      </c>
      <c r="U3269" s="2">
        <v>1380.96</v>
      </c>
      <c r="V3269">
        <v>0</v>
      </c>
      <c r="W3269" t="s">
        <v>29</v>
      </c>
      <c r="X3269" t="str">
        <f>IF(Table2[[#This Row],[Qty available]]&gt;Table2[[#This Row],[Qty on hand]],"Check","OK")</f>
        <v>OK</v>
      </c>
    </row>
    <row r="3270" spans="1:24" x14ac:dyDescent="0.3">
      <c r="A3270" t="s">
        <v>333</v>
      </c>
      <c r="B3270" t="s">
        <v>334</v>
      </c>
      <c r="C3270" t="s">
        <v>69</v>
      </c>
      <c r="D3270" t="s">
        <v>70</v>
      </c>
      <c r="E3270" t="s">
        <v>66</v>
      </c>
      <c r="F3270" s="1" t="s">
        <v>33</v>
      </c>
      <c r="G3270" s="2">
        <v>2.64</v>
      </c>
      <c r="H3270">
        <v>2.89</v>
      </c>
      <c r="I3270">
        <v>2.8658480000000002</v>
      </c>
      <c r="J3270">
        <v>4.1100000000000003</v>
      </c>
      <c r="K3270">
        <v>53</v>
      </c>
      <c r="L3270" s="2">
        <v>48</v>
      </c>
      <c r="M3270">
        <v>645</v>
      </c>
      <c r="N3270" s="2">
        <v>660</v>
      </c>
      <c r="O3270">
        <v>1891.46</v>
      </c>
      <c r="P3270">
        <v>41</v>
      </c>
      <c r="Q3270">
        <v>619</v>
      </c>
      <c r="R3270">
        <v>10.92</v>
      </c>
      <c r="S3270">
        <v>0</v>
      </c>
      <c r="T3270">
        <v>217</v>
      </c>
      <c r="U3270" s="2">
        <v>891.87</v>
      </c>
      <c r="V3270">
        <v>0</v>
      </c>
      <c r="W3270" t="s">
        <v>29</v>
      </c>
      <c r="X3270" t="str">
        <f>IF(Table2[[#This Row],[Qty available]]&gt;Table2[[#This Row],[Qty on hand]],"Check","OK")</f>
        <v>OK</v>
      </c>
    </row>
    <row r="3271" spans="1:24" x14ac:dyDescent="0.3">
      <c r="A3271" t="s">
        <v>333</v>
      </c>
      <c r="B3271" t="s">
        <v>334</v>
      </c>
      <c r="C3271" t="s">
        <v>69</v>
      </c>
      <c r="D3271" t="s">
        <v>70</v>
      </c>
      <c r="E3271" t="s">
        <v>66</v>
      </c>
      <c r="F3271" s="1" t="s">
        <v>34</v>
      </c>
      <c r="G3271" s="2">
        <v>2.66</v>
      </c>
      <c r="H3271">
        <v>2.91</v>
      </c>
      <c r="I3271">
        <v>2.8723130000000001</v>
      </c>
      <c r="J3271">
        <v>4.24</v>
      </c>
      <c r="K3271">
        <v>53</v>
      </c>
      <c r="L3271" s="2">
        <v>51</v>
      </c>
      <c r="M3271">
        <v>113</v>
      </c>
      <c r="N3271" s="2">
        <v>441</v>
      </c>
      <c r="O3271">
        <v>1266.69</v>
      </c>
      <c r="P3271">
        <v>49</v>
      </c>
      <c r="Q3271">
        <v>392</v>
      </c>
      <c r="R3271">
        <v>6.41</v>
      </c>
      <c r="S3271">
        <v>0</v>
      </c>
      <c r="T3271">
        <v>332</v>
      </c>
      <c r="U3271" s="2">
        <v>1407.68</v>
      </c>
      <c r="V3271">
        <v>0</v>
      </c>
      <c r="W3271" t="s">
        <v>29</v>
      </c>
      <c r="X3271" t="str">
        <f>IF(Table2[[#This Row],[Qty available]]&gt;Table2[[#This Row],[Qty on hand]],"Check","OK")</f>
        <v>OK</v>
      </c>
    </row>
    <row r="3272" spans="1:24" x14ac:dyDescent="0.3">
      <c r="A3272" t="s">
        <v>333</v>
      </c>
      <c r="B3272" t="s">
        <v>334</v>
      </c>
      <c r="C3272" t="s">
        <v>69</v>
      </c>
      <c r="D3272" t="s">
        <v>70</v>
      </c>
      <c r="E3272" t="s">
        <v>66</v>
      </c>
      <c r="F3272" s="1" t="s">
        <v>35</v>
      </c>
      <c r="G3272" s="2">
        <v>2.68</v>
      </c>
      <c r="H3272">
        <v>2.93</v>
      </c>
      <c r="I3272">
        <v>2.9080889999999999</v>
      </c>
      <c r="J3272">
        <v>4.24</v>
      </c>
      <c r="K3272">
        <v>53</v>
      </c>
      <c r="L3272" s="2">
        <v>52</v>
      </c>
      <c r="M3272">
        <v>720</v>
      </c>
      <c r="N3272" s="2">
        <v>947</v>
      </c>
      <c r="O3272">
        <v>2753.96</v>
      </c>
      <c r="P3272">
        <v>74</v>
      </c>
      <c r="Q3272">
        <v>873</v>
      </c>
      <c r="R3272">
        <v>15.96</v>
      </c>
      <c r="S3272">
        <v>3</v>
      </c>
      <c r="T3272">
        <v>214</v>
      </c>
      <c r="U3272" s="2">
        <v>907.36</v>
      </c>
      <c r="V3272">
        <v>0</v>
      </c>
      <c r="W3272" t="s">
        <v>29</v>
      </c>
      <c r="X3272" t="str">
        <f>IF(Table2[[#This Row],[Qty available]]&gt;Table2[[#This Row],[Qty on hand]],"Check","OK")</f>
        <v>OK</v>
      </c>
    </row>
    <row r="3273" spans="1:24" x14ac:dyDescent="0.3">
      <c r="A3273" t="s">
        <v>333</v>
      </c>
      <c r="B3273" t="s">
        <v>334</v>
      </c>
      <c r="C3273" t="s">
        <v>69</v>
      </c>
      <c r="D3273" t="s">
        <v>70</v>
      </c>
      <c r="E3273" t="s">
        <v>66</v>
      </c>
      <c r="F3273" s="1" t="s">
        <v>36</v>
      </c>
      <c r="G3273" s="2">
        <v>2.61</v>
      </c>
      <c r="H3273">
        <v>2.85</v>
      </c>
      <c r="I3273">
        <v>2.9080919999999999</v>
      </c>
      <c r="J3273">
        <v>4.24</v>
      </c>
      <c r="K3273">
        <v>53</v>
      </c>
      <c r="M3273">
        <v>0</v>
      </c>
      <c r="N3273" s="2">
        <v>786</v>
      </c>
      <c r="O3273">
        <v>2285.7600000000002</v>
      </c>
      <c r="P3273">
        <v>33</v>
      </c>
      <c r="Q3273">
        <v>753</v>
      </c>
      <c r="R3273">
        <v>14.13</v>
      </c>
      <c r="S3273">
        <v>2</v>
      </c>
      <c r="T3273">
        <v>161</v>
      </c>
      <c r="U3273" s="2">
        <v>682.64</v>
      </c>
      <c r="V3273">
        <v>0</v>
      </c>
      <c r="W3273" t="s">
        <v>29</v>
      </c>
      <c r="X3273" t="str">
        <f>IF(Table2[[#This Row],[Qty available]]&gt;Table2[[#This Row],[Qty on hand]],"Check","OK")</f>
        <v>OK</v>
      </c>
    </row>
    <row r="3274" spans="1:24" x14ac:dyDescent="0.3">
      <c r="A3274" t="s">
        <v>333</v>
      </c>
      <c r="B3274" t="s">
        <v>334</v>
      </c>
      <c r="C3274" t="s">
        <v>69</v>
      </c>
      <c r="D3274" t="s">
        <v>70</v>
      </c>
      <c r="E3274" t="s">
        <v>66</v>
      </c>
      <c r="F3274" s="1" t="s">
        <v>37</v>
      </c>
      <c r="G3274" s="2">
        <v>2.64</v>
      </c>
      <c r="H3274">
        <v>2.89</v>
      </c>
      <c r="I3274">
        <v>2.9021509999999999</v>
      </c>
      <c r="J3274">
        <v>4.24</v>
      </c>
      <c r="K3274">
        <v>53</v>
      </c>
      <c r="L3274" s="2">
        <v>53</v>
      </c>
      <c r="M3274">
        <v>384</v>
      </c>
      <c r="N3274" s="2">
        <v>967</v>
      </c>
      <c r="O3274">
        <v>2806.38</v>
      </c>
      <c r="P3274">
        <v>74</v>
      </c>
      <c r="Q3274">
        <v>893</v>
      </c>
      <c r="R3274">
        <v>21.99</v>
      </c>
      <c r="S3274">
        <v>1</v>
      </c>
      <c r="T3274">
        <v>203</v>
      </c>
      <c r="U3274" s="2">
        <v>860.72</v>
      </c>
      <c r="V3274">
        <v>0</v>
      </c>
      <c r="W3274" t="s">
        <v>29</v>
      </c>
      <c r="X3274" t="str">
        <f>IF(Table2[[#This Row],[Qty available]]&gt;Table2[[#This Row],[Qty on hand]],"Check","OK")</f>
        <v>OK</v>
      </c>
    </row>
    <row r="3275" spans="1:24" x14ac:dyDescent="0.3">
      <c r="A3275" t="s">
        <v>333</v>
      </c>
      <c r="B3275" t="s">
        <v>334</v>
      </c>
      <c r="C3275" t="s">
        <v>69</v>
      </c>
      <c r="D3275" t="s">
        <v>70</v>
      </c>
      <c r="E3275" t="s">
        <v>66</v>
      </c>
      <c r="F3275" s="1" t="s">
        <v>38</v>
      </c>
      <c r="G3275" s="2">
        <v>2.7</v>
      </c>
      <c r="H3275">
        <v>2.95</v>
      </c>
      <c r="I3275">
        <v>2.9101499999999998</v>
      </c>
      <c r="J3275">
        <v>4.24</v>
      </c>
      <c r="K3275">
        <v>53</v>
      </c>
      <c r="L3275" s="2">
        <v>50</v>
      </c>
      <c r="M3275">
        <v>194</v>
      </c>
      <c r="N3275" s="2">
        <v>1069</v>
      </c>
      <c r="O3275">
        <v>3110.95</v>
      </c>
      <c r="P3275">
        <v>25</v>
      </c>
      <c r="Q3275">
        <v>1044</v>
      </c>
      <c r="R3275">
        <v>30.48</v>
      </c>
      <c r="S3275">
        <v>3</v>
      </c>
      <c r="T3275">
        <v>92</v>
      </c>
      <c r="U3275" s="2">
        <v>390.08</v>
      </c>
      <c r="V3275">
        <v>0</v>
      </c>
      <c r="W3275" t="s">
        <v>29</v>
      </c>
      <c r="X3275" t="str">
        <f>IF(Table2[[#This Row],[Qty available]]&gt;Table2[[#This Row],[Qty on hand]],"Check","OK")</f>
        <v>OK</v>
      </c>
    </row>
    <row r="3276" spans="1:24" x14ac:dyDescent="0.3">
      <c r="A3276" t="s">
        <v>333</v>
      </c>
      <c r="B3276" t="s">
        <v>334</v>
      </c>
      <c r="C3276" t="s">
        <v>69</v>
      </c>
      <c r="D3276" t="s">
        <v>70</v>
      </c>
      <c r="E3276" t="s">
        <v>66</v>
      </c>
      <c r="F3276" s="1" t="s">
        <v>39</v>
      </c>
      <c r="G3276" s="2">
        <v>2.7</v>
      </c>
      <c r="H3276">
        <v>2.95</v>
      </c>
      <c r="I3276">
        <v>2.9135599999999999</v>
      </c>
      <c r="J3276">
        <v>4.24</v>
      </c>
      <c r="K3276">
        <v>53</v>
      </c>
      <c r="L3276" s="2">
        <v>52</v>
      </c>
      <c r="M3276">
        <v>100</v>
      </c>
      <c r="N3276" s="2">
        <v>1087</v>
      </c>
      <c r="O3276">
        <v>3167.04</v>
      </c>
      <c r="P3276">
        <v>16</v>
      </c>
      <c r="Q3276">
        <v>1071</v>
      </c>
      <c r="R3276">
        <v>37.89</v>
      </c>
      <c r="S3276">
        <v>2</v>
      </c>
      <c r="T3276">
        <v>82</v>
      </c>
      <c r="U3276" s="2">
        <v>347.68</v>
      </c>
      <c r="V3276">
        <v>0</v>
      </c>
      <c r="W3276" t="s">
        <v>29</v>
      </c>
      <c r="X3276" t="str">
        <f>IF(Table2[[#This Row],[Qty available]]&gt;Table2[[#This Row],[Qty on hand]],"Check","OK")</f>
        <v>OK</v>
      </c>
    </row>
    <row r="3277" spans="1:24" x14ac:dyDescent="0.3">
      <c r="A3277" t="s">
        <v>333</v>
      </c>
      <c r="B3277" t="s">
        <v>334</v>
      </c>
      <c r="C3277" t="s">
        <v>69</v>
      </c>
      <c r="D3277" t="s">
        <v>70</v>
      </c>
      <c r="E3277" t="s">
        <v>66</v>
      </c>
      <c r="F3277" s="1" t="s">
        <v>40</v>
      </c>
      <c r="G3277" s="2">
        <v>2.68</v>
      </c>
      <c r="H3277">
        <v>2.93</v>
      </c>
      <c r="I3277">
        <v>2.9135610000000001</v>
      </c>
      <c r="J3277">
        <v>4.24</v>
      </c>
      <c r="K3277">
        <v>53</v>
      </c>
      <c r="M3277">
        <v>0</v>
      </c>
      <c r="N3277" s="2">
        <v>716</v>
      </c>
      <c r="O3277">
        <v>2086.11</v>
      </c>
      <c r="P3277">
        <v>41</v>
      </c>
      <c r="Q3277">
        <v>675</v>
      </c>
      <c r="R3277">
        <v>17.27</v>
      </c>
      <c r="S3277">
        <v>1</v>
      </c>
      <c r="T3277">
        <v>371</v>
      </c>
      <c r="U3277" s="2">
        <v>1573.04</v>
      </c>
      <c r="V3277">
        <v>0</v>
      </c>
      <c r="W3277" t="s">
        <v>29</v>
      </c>
      <c r="X3277" t="str">
        <f>IF(Table2[[#This Row],[Qty available]]&gt;Table2[[#This Row],[Qty on hand]],"Check","OK")</f>
        <v>OK</v>
      </c>
    </row>
    <row r="3278" spans="1:24" x14ac:dyDescent="0.3">
      <c r="A3278" t="s">
        <v>333</v>
      </c>
      <c r="B3278" t="s">
        <v>334</v>
      </c>
      <c r="C3278" t="s">
        <v>69</v>
      </c>
      <c r="D3278" t="s">
        <v>70</v>
      </c>
      <c r="E3278" t="s">
        <v>66</v>
      </c>
      <c r="F3278" s="1" t="s">
        <v>41</v>
      </c>
      <c r="G3278" s="2">
        <v>2.68</v>
      </c>
      <c r="H3278">
        <v>2.93</v>
      </c>
      <c r="I3278">
        <v>2.9155669999999998</v>
      </c>
      <c r="J3278">
        <v>4.24</v>
      </c>
      <c r="K3278">
        <v>53</v>
      </c>
      <c r="L3278" s="2">
        <v>64</v>
      </c>
      <c r="M3278">
        <v>100</v>
      </c>
      <c r="N3278" s="2">
        <v>494</v>
      </c>
      <c r="O3278">
        <v>1440.29</v>
      </c>
      <c r="P3278">
        <v>33</v>
      </c>
      <c r="Q3278">
        <v>461</v>
      </c>
      <c r="R3278">
        <v>8.3800000000000008</v>
      </c>
      <c r="S3278">
        <v>0</v>
      </c>
      <c r="T3278">
        <v>322</v>
      </c>
      <c r="U3278" s="2">
        <v>1365.28</v>
      </c>
      <c r="V3278">
        <v>0</v>
      </c>
      <c r="W3278" t="s">
        <v>29</v>
      </c>
      <c r="X3278" t="str">
        <f>IF(Table2[[#This Row],[Qty available]]&gt;Table2[[#This Row],[Qty on hand]],"Check","OK")</f>
        <v>OK</v>
      </c>
    </row>
    <row r="3279" spans="1:24" x14ac:dyDescent="0.3">
      <c r="A3279" t="s">
        <v>333</v>
      </c>
      <c r="B3279" t="s">
        <v>334</v>
      </c>
      <c r="C3279" t="s">
        <v>69</v>
      </c>
      <c r="D3279" t="s">
        <v>70</v>
      </c>
      <c r="E3279" t="s">
        <v>66</v>
      </c>
      <c r="F3279" s="1" t="s">
        <v>42</v>
      </c>
      <c r="G3279" s="2">
        <v>2.67</v>
      </c>
      <c r="H3279">
        <v>2.92</v>
      </c>
      <c r="I3279">
        <v>2.9183349999999999</v>
      </c>
      <c r="J3279">
        <v>4.24</v>
      </c>
      <c r="K3279">
        <v>53</v>
      </c>
      <c r="L3279" s="2">
        <v>47</v>
      </c>
      <c r="M3279">
        <v>821</v>
      </c>
      <c r="N3279" s="2">
        <v>949</v>
      </c>
      <c r="O3279">
        <v>2769.5</v>
      </c>
      <c r="P3279">
        <v>82</v>
      </c>
      <c r="Q3279">
        <v>867</v>
      </c>
      <c r="R3279">
        <v>11.78</v>
      </c>
      <c r="S3279">
        <v>0</v>
      </c>
      <c r="T3279">
        <v>366</v>
      </c>
      <c r="U3279" s="2">
        <v>1551.84</v>
      </c>
      <c r="V3279">
        <v>0</v>
      </c>
      <c r="W3279" t="s">
        <v>29</v>
      </c>
      <c r="X3279" t="str">
        <f>IF(Table2[[#This Row],[Qty available]]&gt;Table2[[#This Row],[Qty on hand]],"Check","OK")</f>
        <v>OK</v>
      </c>
    </row>
    <row r="3280" spans="1:24" x14ac:dyDescent="0.3">
      <c r="A3280" t="s">
        <v>333</v>
      </c>
      <c r="B3280" t="s">
        <v>334</v>
      </c>
      <c r="C3280" t="s">
        <v>69</v>
      </c>
      <c r="D3280" t="s">
        <v>70</v>
      </c>
      <c r="E3280" t="s">
        <v>66</v>
      </c>
      <c r="F3280" s="1" t="s">
        <v>43</v>
      </c>
      <c r="G3280" s="2">
        <v>2.7</v>
      </c>
      <c r="H3280">
        <v>2.95</v>
      </c>
      <c r="I3280">
        <v>2.9183379999999999</v>
      </c>
      <c r="J3280">
        <v>4.24</v>
      </c>
      <c r="K3280">
        <v>53</v>
      </c>
      <c r="M3280">
        <v>0</v>
      </c>
      <c r="N3280" s="2">
        <v>662</v>
      </c>
      <c r="O3280">
        <v>1931.94</v>
      </c>
      <c r="P3280">
        <v>41</v>
      </c>
      <c r="Q3280">
        <v>621</v>
      </c>
      <c r="R3280">
        <v>8.83</v>
      </c>
      <c r="S3280">
        <v>3</v>
      </c>
      <c r="T3280">
        <v>287</v>
      </c>
      <c r="U3280" s="2">
        <v>1216.8800000000001</v>
      </c>
      <c r="V3280">
        <v>0</v>
      </c>
      <c r="W3280" t="s">
        <v>29</v>
      </c>
      <c r="X3280" t="str">
        <f>IF(Table2[[#This Row],[Qty available]]&gt;Table2[[#This Row],[Qty on hand]],"Check","OK")</f>
        <v>OK</v>
      </c>
    </row>
    <row r="3281" spans="1:24" x14ac:dyDescent="0.3">
      <c r="A3281" t="s">
        <v>333</v>
      </c>
      <c r="B3281" t="s">
        <v>334</v>
      </c>
      <c r="C3281" t="s">
        <v>69</v>
      </c>
      <c r="D3281" t="s">
        <v>70</v>
      </c>
      <c r="E3281" t="s">
        <v>66</v>
      </c>
      <c r="F3281" s="1" t="s">
        <v>44</v>
      </c>
      <c r="G3281" s="2">
        <v>2.67</v>
      </c>
      <c r="H3281">
        <v>2.92</v>
      </c>
      <c r="I3281">
        <v>2.9185599999999998</v>
      </c>
      <c r="J3281">
        <v>4.24</v>
      </c>
      <c r="K3281">
        <v>53</v>
      </c>
      <c r="L3281" s="2">
        <v>45</v>
      </c>
      <c r="M3281">
        <v>100</v>
      </c>
      <c r="N3281" s="2">
        <v>625</v>
      </c>
      <c r="O3281">
        <v>1824.1</v>
      </c>
      <c r="P3281">
        <v>33</v>
      </c>
      <c r="Q3281">
        <v>592</v>
      </c>
      <c r="R3281">
        <v>10.4</v>
      </c>
      <c r="S3281">
        <v>1</v>
      </c>
      <c r="T3281">
        <v>137</v>
      </c>
      <c r="U3281" s="2">
        <v>580.88</v>
      </c>
      <c r="V3281">
        <v>0</v>
      </c>
      <c r="W3281" t="s">
        <v>29</v>
      </c>
      <c r="X3281" t="str">
        <f>IF(Table2[[#This Row],[Qty available]]&gt;Table2[[#This Row],[Qty on hand]],"Check","OK")</f>
        <v>OK</v>
      </c>
    </row>
    <row r="3282" spans="1:24" x14ac:dyDescent="0.3">
      <c r="A3282" t="s">
        <v>333</v>
      </c>
      <c r="B3282" t="s">
        <v>334</v>
      </c>
      <c r="C3282" t="s">
        <v>69</v>
      </c>
      <c r="D3282" t="s">
        <v>70</v>
      </c>
      <c r="E3282" t="s">
        <v>66</v>
      </c>
      <c r="F3282" s="1" t="s">
        <v>45</v>
      </c>
      <c r="G3282" s="2">
        <v>2.69</v>
      </c>
      <c r="H3282">
        <v>2.94</v>
      </c>
      <c r="I3282">
        <v>2.9185400000000001</v>
      </c>
      <c r="J3282">
        <v>4.24</v>
      </c>
      <c r="K3282">
        <v>53</v>
      </c>
      <c r="M3282">
        <v>0</v>
      </c>
      <c r="N3282" s="2">
        <v>137</v>
      </c>
      <c r="O3282">
        <v>399.84</v>
      </c>
      <c r="P3282">
        <v>16</v>
      </c>
      <c r="Q3282">
        <v>121</v>
      </c>
      <c r="R3282">
        <v>1.97</v>
      </c>
      <c r="S3282">
        <v>0</v>
      </c>
      <c r="T3282">
        <v>488</v>
      </c>
      <c r="U3282" s="2">
        <v>2069.12</v>
      </c>
      <c r="V3282">
        <v>0</v>
      </c>
      <c r="W3282" t="s">
        <v>29</v>
      </c>
      <c r="X3282" t="str">
        <f>IF(Table2[[#This Row],[Qty available]]&gt;Table2[[#This Row],[Qty on hand]],"Check","OK")</f>
        <v>OK</v>
      </c>
    </row>
    <row r="3283" spans="1:24" x14ac:dyDescent="0.3">
      <c r="A3283" t="s">
        <v>333</v>
      </c>
      <c r="B3283" t="s">
        <v>334</v>
      </c>
      <c r="C3283" t="s">
        <v>69</v>
      </c>
      <c r="D3283" t="s">
        <v>70</v>
      </c>
      <c r="E3283" t="s">
        <v>66</v>
      </c>
      <c r="F3283" s="1" t="s">
        <v>46</v>
      </c>
      <c r="G3283" s="2">
        <v>2.71</v>
      </c>
      <c r="H3283">
        <v>2.96</v>
      </c>
      <c r="I3283">
        <v>2.9522680000000001</v>
      </c>
      <c r="J3283">
        <v>4.37</v>
      </c>
      <c r="K3283">
        <v>53</v>
      </c>
      <c r="L3283" s="2">
        <v>59</v>
      </c>
      <c r="M3283">
        <v>597</v>
      </c>
      <c r="N3283" s="2">
        <v>507</v>
      </c>
      <c r="O3283">
        <v>1496.8</v>
      </c>
      <c r="P3283">
        <v>33</v>
      </c>
      <c r="Q3283">
        <v>474</v>
      </c>
      <c r="R3283">
        <v>7.65</v>
      </c>
      <c r="S3283">
        <v>1</v>
      </c>
      <c r="T3283">
        <v>227</v>
      </c>
      <c r="U3283" s="2">
        <v>991.99</v>
      </c>
      <c r="V3283">
        <v>0</v>
      </c>
      <c r="W3283" t="s">
        <v>29</v>
      </c>
      <c r="X3283" t="str">
        <f>IF(Table2[[#This Row],[Qty available]]&gt;Table2[[#This Row],[Qty on hand]],"Check","OK")</f>
        <v>OK</v>
      </c>
    </row>
    <row r="3284" spans="1:24" x14ac:dyDescent="0.3">
      <c r="A3284" t="s">
        <v>333</v>
      </c>
      <c r="B3284" t="s">
        <v>334</v>
      </c>
      <c r="C3284" t="s">
        <v>69</v>
      </c>
      <c r="D3284" t="s">
        <v>70</v>
      </c>
      <c r="E3284" t="s">
        <v>66</v>
      </c>
      <c r="F3284" s="1" t="s">
        <v>47</v>
      </c>
      <c r="G3284" s="2">
        <v>2.72</v>
      </c>
      <c r="H3284">
        <v>2.97</v>
      </c>
      <c r="I3284">
        <v>2.9598140000000002</v>
      </c>
      <c r="J3284">
        <v>4.37</v>
      </c>
      <c r="K3284">
        <v>53</v>
      </c>
      <c r="L3284" s="2">
        <v>52</v>
      </c>
      <c r="M3284">
        <v>376</v>
      </c>
      <c r="N3284" s="2">
        <v>429</v>
      </c>
      <c r="O3284">
        <v>1269.76</v>
      </c>
      <c r="P3284">
        <v>41</v>
      </c>
      <c r="Q3284">
        <v>388</v>
      </c>
      <c r="R3284">
        <v>4.72</v>
      </c>
      <c r="S3284">
        <v>0</v>
      </c>
      <c r="T3284">
        <v>454</v>
      </c>
      <c r="U3284" s="2">
        <v>1983.98</v>
      </c>
      <c r="V3284">
        <v>0</v>
      </c>
      <c r="W3284" t="s">
        <v>29</v>
      </c>
      <c r="X3284" t="str">
        <f>IF(Table2[[#This Row],[Qty available]]&gt;Table2[[#This Row],[Qty on hand]],"Check","OK")</f>
        <v>OK</v>
      </c>
    </row>
    <row r="3285" spans="1:24" x14ac:dyDescent="0.3">
      <c r="A3285" t="s">
        <v>333</v>
      </c>
      <c r="B3285" t="s">
        <v>334</v>
      </c>
      <c r="C3285" t="s">
        <v>69</v>
      </c>
      <c r="D3285" t="s">
        <v>70</v>
      </c>
      <c r="E3285" t="s">
        <v>66</v>
      </c>
      <c r="F3285" s="1" t="s">
        <v>48</v>
      </c>
      <c r="G3285" s="2">
        <v>2.75</v>
      </c>
      <c r="H3285">
        <v>3.01</v>
      </c>
      <c r="I3285">
        <v>2.9597500000000001</v>
      </c>
      <c r="J3285">
        <v>4.37</v>
      </c>
      <c r="K3285">
        <v>53</v>
      </c>
      <c r="M3285">
        <v>0</v>
      </c>
      <c r="N3285" s="2">
        <v>40</v>
      </c>
      <c r="O3285">
        <v>118.39</v>
      </c>
      <c r="P3285">
        <v>40</v>
      </c>
      <c r="Q3285">
        <v>0</v>
      </c>
      <c r="R3285">
        <v>0.48</v>
      </c>
      <c r="S3285">
        <v>1</v>
      </c>
      <c r="T3285">
        <v>389</v>
      </c>
      <c r="U3285" s="2">
        <v>1699.93</v>
      </c>
      <c r="V3285">
        <v>0</v>
      </c>
      <c r="W3285" t="s">
        <v>29</v>
      </c>
      <c r="X3285" t="str">
        <f>IF(Table2[[#This Row],[Qty available]]&gt;Table2[[#This Row],[Qty on hand]],"Check","OK")</f>
        <v>OK</v>
      </c>
    </row>
    <row r="3286" spans="1:24" x14ac:dyDescent="0.3">
      <c r="A3286" t="s">
        <v>333</v>
      </c>
      <c r="B3286" t="s">
        <v>334</v>
      </c>
      <c r="C3286" t="s">
        <v>69</v>
      </c>
      <c r="D3286" t="s">
        <v>70</v>
      </c>
      <c r="E3286" t="s">
        <v>66</v>
      </c>
      <c r="F3286" s="1" t="s">
        <v>49</v>
      </c>
      <c r="G3286" s="2">
        <v>2.75</v>
      </c>
      <c r="H3286">
        <v>3.01</v>
      </c>
      <c r="I3286">
        <v>3.0076510000000001</v>
      </c>
      <c r="J3286">
        <v>4.37</v>
      </c>
      <c r="K3286">
        <v>53</v>
      </c>
      <c r="L3286" s="2">
        <v>48</v>
      </c>
      <c r="M3286">
        <v>817</v>
      </c>
      <c r="N3286" s="2">
        <v>596</v>
      </c>
      <c r="O3286">
        <v>1792.56</v>
      </c>
      <c r="P3286">
        <v>82</v>
      </c>
      <c r="Q3286">
        <v>514</v>
      </c>
      <c r="R3286">
        <v>7.1</v>
      </c>
      <c r="S3286">
        <v>0</v>
      </c>
      <c r="T3286">
        <v>261</v>
      </c>
      <c r="U3286" s="2">
        <v>1140.57</v>
      </c>
      <c r="V3286">
        <v>0</v>
      </c>
      <c r="W3286" t="s">
        <v>29</v>
      </c>
      <c r="X3286" t="str">
        <f>IF(Table2[[#This Row],[Qty available]]&gt;Table2[[#This Row],[Qty on hand]],"Check","OK")</f>
        <v>OK</v>
      </c>
    </row>
    <row r="3287" spans="1:24" x14ac:dyDescent="0.3">
      <c r="A3287" t="s">
        <v>333</v>
      </c>
      <c r="B3287" t="s">
        <v>334</v>
      </c>
      <c r="C3287" t="s">
        <v>69</v>
      </c>
      <c r="D3287" t="s">
        <v>70</v>
      </c>
      <c r="E3287" t="s">
        <v>66</v>
      </c>
      <c r="F3287" s="1" t="s">
        <v>50</v>
      </c>
      <c r="G3287" s="2">
        <v>2.74</v>
      </c>
      <c r="H3287">
        <v>2.99</v>
      </c>
      <c r="I3287">
        <v>3.0076610000000001</v>
      </c>
      <c r="J3287">
        <v>4.37</v>
      </c>
      <c r="K3287">
        <v>53</v>
      </c>
      <c r="M3287">
        <v>0</v>
      </c>
      <c r="N3287" s="2">
        <v>342</v>
      </c>
      <c r="O3287">
        <v>1028.6199999999999</v>
      </c>
      <c r="P3287">
        <v>65</v>
      </c>
      <c r="Q3287">
        <v>277</v>
      </c>
      <c r="R3287">
        <v>4.92</v>
      </c>
      <c r="S3287">
        <v>1</v>
      </c>
      <c r="T3287">
        <v>254</v>
      </c>
      <c r="U3287" s="2">
        <v>1109.98</v>
      </c>
      <c r="V3287">
        <v>0</v>
      </c>
      <c r="W3287" t="s">
        <v>29</v>
      </c>
      <c r="X3287" t="str">
        <f>IF(Table2[[#This Row],[Qty available]]&gt;Table2[[#This Row],[Qty on hand]],"Check","OK")</f>
        <v>OK</v>
      </c>
    </row>
    <row r="3288" spans="1:24" x14ac:dyDescent="0.3">
      <c r="A3288" t="s">
        <v>333</v>
      </c>
      <c r="B3288" t="s">
        <v>334</v>
      </c>
      <c r="C3288" t="s">
        <v>69</v>
      </c>
      <c r="D3288" t="s">
        <v>70</v>
      </c>
      <c r="E3288" t="s">
        <v>66</v>
      </c>
      <c r="F3288" s="1" t="s">
        <v>51</v>
      </c>
      <c r="G3288" s="2">
        <v>2.77</v>
      </c>
      <c r="H3288">
        <v>3.03</v>
      </c>
      <c r="I3288">
        <v>3.020651</v>
      </c>
      <c r="J3288">
        <v>4.37</v>
      </c>
      <c r="K3288">
        <v>53</v>
      </c>
      <c r="L3288" s="2">
        <v>48</v>
      </c>
      <c r="M3288">
        <v>475</v>
      </c>
      <c r="N3288" s="2">
        <v>630</v>
      </c>
      <c r="O3288">
        <v>1903.01</v>
      </c>
      <c r="P3288">
        <v>33</v>
      </c>
      <c r="Q3288">
        <v>597</v>
      </c>
      <c r="R3288">
        <v>11.79</v>
      </c>
      <c r="S3288">
        <v>0</v>
      </c>
      <c r="T3288">
        <v>187</v>
      </c>
      <c r="U3288" s="2">
        <v>817.19</v>
      </c>
      <c r="V3288">
        <v>0</v>
      </c>
      <c r="W3288" t="s">
        <v>29</v>
      </c>
      <c r="X3288" t="str">
        <f>IF(Table2[[#This Row],[Qty available]]&gt;Table2[[#This Row],[Qty on hand]],"Check","OK")</f>
        <v>OK</v>
      </c>
    </row>
    <row r="3289" spans="1:24" x14ac:dyDescent="0.3">
      <c r="A3289" t="s">
        <v>333</v>
      </c>
      <c r="B3289" t="s">
        <v>334</v>
      </c>
      <c r="C3289" t="s">
        <v>69</v>
      </c>
      <c r="D3289" t="s">
        <v>70</v>
      </c>
      <c r="E3289" t="s">
        <v>66</v>
      </c>
      <c r="F3289" s="1" t="s">
        <v>52</v>
      </c>
      <c r="G3289" s="2">
        <v>2.76</v>
      </c>
      <c r="H3289">
        <v>3.02</v>
      </c>
      <c r="I3289">
        <v>3.0204900000000001</v>
      </c>
      <c r="J3289">
        <v>4.37</v>
      </c>
      <c r="K3289">
        <v>53</v>
      </c>
      <c r="L3289" s="2">
        <v>49</v>
      </c>
      <c r="M3289">
        <v>212</v>
      </c>
      <c r="N3289" s="2">
        <v>714</v>
      </c>
      <c r="O3289">
        <v>2156.63</v>
      </c>
      <c r="P3289">
        <v>41</v>
      </c>
      <c r="Q3289">
        <v>673</v>
      </c>
      <c r="R3289">
        <v>16.489999999999998</v>
      </c>
      <c r="S3289">
        <v>2</v>
      </c>
      <c r="T3289">
        <v>128</v>
      </c>
      <c r="U3289" s="2">
        <v>559.36</v>
      </c>
      <c r="V3289">
        <v>0</v>
      </c>
      <c r="W3289" t="s">
        <v>29</v>
      </c>
      <c r="X3289" t="str">
        <f>IF(Table2[[#This Row],[Qty available]]&gt;Table2[[#This Row],[Qty on hand]],"Check","OK")</f>
        <v>OK</v>
      </c>
    </row>
    <row r="3290" spans="1:24" x14ac:dyDescent="0.3">
      <c r="A3290" t="s">
        <v>335</v>
      </c>
      <c r="B3290" t="s">
        <v>336</v>
      </c>
      <c r="C3290" t="s">
        <v>25</v>
      </c>
      <c r="D3290" t="s">
        <v>26</v>
      </c>
      <c r="E3290" t="s">
        <v>27</v>
      </c>
      <c r="F3290" s="1" t="s">
        <v>28</v>
      </c>
      <c r="G3290" s="2">
        <v>64.09</v>
      </c>
      <c r="H3290">
        <v>64.09</v>
      </c>
      <c r="I3290">
        <v>63.724249999999998</v>
      </c>
      <c r="J3290">
        <v>84.31</v>
      </c>
      <c r="K3290">
        <v>35</v>
      </c>
      <c r="L3290" s="2">
        <v>58</v>
      </c>
      <c r="M3290">
        <v>68</v>
      </c>
      <c r="N3290" s="2">
        <v>40</v>
      </c>
      <c r="O3290">
        <v>2548.9699999999998</v>
      </c>
      <c r="P3290">
        <v>17</v>
      </c>
      <c r="Q3290">
        <v>23</v>
      </c>
      <c r="R3290">
        <v>2.75</v>
      </c>
      <c r="S3290">
        <v>5</v>
      </c>
      <c r="T3290">
        <v>56</v>
      </c>
      <c r="U3290" s="2">
        <v>4721.3599999999997</v>
      </c>
      <c r="V3290">
        <v>0</v>
      </c>
      <c r="W3290" t="s">
        <v>29</v>
      </c>
      <c r="X3290" t="str">
        <f>IF(Table2[[#This Row],[Qty available]]&gt;Table2[[#This Row],[Qty on hand]],"Check","OK")</f>
        <v>OK</v>
      </c>
    </row>
    <row r="3291" spans="1:24" x14ac:dyDescent="0.3">
      <c r="A3291" t="s">
        <v>335</v>
      </c>
      <c r="B3291" t="s">
        <v>336</v>
      </c>
      <c r="C3291" t="s">
        <v>25</v>
      </c>
      <c r="D3291" t="s">
        <v>26</v>
      </c>
      <c r="E3291" t="s">
        <v>27</v>
      </c>
      <c r="F3291" s="1" t="s">
        <v>30</v>
      </c>
      <c r="G3291" s="2">
        <v>62.86</v>
      </c>
      <c r="H3291">
        <v>62.86</v>
      </c>
      <c r="I3291">
        <v>63.005876000000001</v>
      </c>
      <c r="J3291">
        <v>84.31</v>
      </c>
      <c r="K3291">
        <v>35</v>
      </c>
      <c r="L3291" s="2">
        <v>34</v>
      </c>
      <c r="M3291">
        <v>197</v>
      </c>
      <c r="N3291" s="2">
        <v>194</v>
      </c>
      <c r="O3291">
        <v>12223.14</v>
      </c>
      <c r="P3291">
        <v>17</v>
      </c>
      <c r="Q3291">
        <v>177</v>
      </c>
      <c r="R3291">
        <v>16.14</v>
      </c>
      <c r="S3291">
        <v>5</v>
      </c>
      <c r="T3291">
        <v>43</v>
      </c>
      <c r="U3291" s="2">
        <v>3625.33</v>
      </c>
      <c r="V3291">
        <v>0</v>
      </c>
      <c r="W3291" t="s">
        <v>29</v>
      </c>
      <c r="X3291" t="str">
        <f>IF(Table2[[#This Row],[Qty available]]&gt;Table2[[#This Row],[Qty on hand]],"Check","OK")</f>
        <v>OK</v>
      </c>
    </row>
    <row r="3292" spans="1:24" x14ac:dyDescent="0.3">
      <c r="A3292" t="s">
        <v>335</v>
      </c>
      <c r="B3292" t="s">
        <v>336</v>
      </c>
      <c r="C3292" t="s">
        <v>25</v>
      </c>
      <c r="D3292" t="s">
        <v>26</v>
      </c>
      <c r="E3292" t="s">
        <v>27</v>
      </c>
      <c r="F3292" s="1" t="s">
        <v>31</v>
      </c>
      <c r="G3292" s="2">
        <v>64.08</v>
      </c>
      <c r="H3292">
        <v>64.08</v>
      </c>
      <c r="I3292">
        <v>63.005859000000001</v>
      </c>
      <c r="J3292">
        <v>84.31</v>
      </c>
      <c r="K3292">
        <v>35</v>
      </c>
      <c r="M3292">
        <v>0</v>
      </c>
      <c r="N3292" s="2">
        <v>128</v>
      </c>
      <c r="O3292">
        <v>8064.75</v>
      </c>
      <c r="P3292">
        <v>19</v>
      </c>
      <c r="Q3292">
        <v>109</v>
      </c>
      <c r="R3292">
        <v>10.08</v>
      </c>
      <c r="S3292">
        <v>4</v>
      </c>
      <c r="T3292">
        <v>66</v>
      </c>
      <c r="U3292" s="2">
        <v>5564.46</v>
      </c>
      <c r="V3292">
        <v>0</v>
      </c>
      <c r="W3292" t="s">
        <v>29</v>
      </c>
      <c r="X3292" t="str">
        <f>IF(Table2[[#This Row],[Qty available]]&gt;Table2[[#This Row],[Qty on hand]],"Check","OK")</f>
        <v>OK</v>
      </c>
    </row>
    <row r="3293" spans="1:24" x14ac:dyDescent="0.3">
      <c r="A3293" t="s">
        <v>335</v>
      </c>
      <c r="B3293" t="s">
        <v>336</v>
      </c>
      <c r="C3293" t="s">
        <v>25</v>
      </c>
      <c r="D3293" t="s">
        <v>26</v>
      </c>
      <c r="E3293" t="s">
        <v>27</v>
      </c>
      <c r="F3293" s="1" t="s">
        <v>32</v>
      </c>
      <c r="G3293" s="2">
        <v>64.760000000000005</v>
      </c>
      <c r="H3293">
        <v>64.760000000000005</v>
      </c>
      <c r="I3293">
        <v>63.695891000000003</v>
      </c>
      <c r="J3293">
        <v>84.31</v>
      </c>
      <c r="K3293">
        <v>35</v>
      </c>
      <c r="L3293" s="2">
        <v>30</v>
      </c>
      <c r="M3293">
        <v>83</v>
      </c>
      <c r="N3293" s="2">
        <v>202</v>
      </c>
      <c r="O3293">
        <v>12866.57</v>
      </c>
      <c r="P3293">
        <v>6</v>
      </c>
      <c r="Q3293">
        <v>196</v>
      </c>
      <c r="R3293">
        <v>22.5</v>
      </c>
      <c r="S3293">
        <v>5</v>
      </c>
      <c r="T3293">
        <v>9</v>
      </c>
      <c r="U3293" s="2">
        <v>758.79</v>
      </c>
      <c r="V3293">
        <v>0</v>
      </c>
      <c r="W3293" t="s">
        <v>29</v>
      </c>
      <c r="X3293" t="str">
        <f>IF(Table2[[#This Row],[Qty available]]&gt;Table2[[#This Row],[Qty on hand]],"Check","OK")</f>
        <v>OK</v>
      </c>
    </row>
    <row r="3294" spans="1:24" x14ac:dyDescent="0.3">
      <c r="A3294" t="s">
        <v>335</v>
      </c>
      <c r="B3294" t="s">
        <v>336</v>
      </c>
      <c r="C3294" t="s">
        <v>25</v>
      </c>
      <c r="D3294" t="s">
        <v>26</v>
      </c>
      <c r="E3294" t="s">
        <v>27</v>
      </c>
      <c r="F3294" s="1" t="s">
        <v>33</v>
      </c>
      <c r="G3294" s="2">
        <v>63.14</v>
      </c>
      <c r="H3294">
        <v>63.14</v>
      </c>
      <c r="I3294">
        <v>63.695867</v>
      </c>
      <c r="J3294">
        <v>84.31</v>
      </c>
      <c r="K3294">
        <v>35</v>
      </c>
      <c r="M3294">
        <v>0</v>
      </c>
      <c r="N3294" s="2">
        <v>150</v>
      </c>
      <c r="O3294">
        <v>9554.3799999999992</v>
      </c>
      <c r="P3294">
        <v>4</v>
      </c>
      <c r="Q3294">
        <v>146</v>
      </c>
      <c r="R3294">
        <v>15.52</v>
      </c>
      <c r="S3294">
        <v>13</v>
      </c>
      <c r="T3294">
        <v>52</v>
      </c>
      <c r="U3294" s="2">
        <v>4384.12</v>
      </c>
      <c r="V3294">
        <v>0</v>
      </c>
      <c r="W3294" t="s">
        <v>29</v>
      </c>
      <c r="X3294" t="str">
        <f>IF(Table2[[#This Row],[Qty available]]&gt;Table2[[#This Row],[Qty on hand]],"Check","OK")</f>
        <v>OK</v>
      </c>
    </row>
    <row r="3295" spans="1:24" x14ac:dyDescent="0.3">
      <c r="A3295" t="s">
        <v>335</v>
      </c>
      <c r="B3295" t="s">
        <v>336</v>
      </c>
      <c r="C3295" t="s">
        <v>25</v>
      </c>
      <c r="D3295" t="s">
        <v>26</v>
      </c>
      <c r="E3295" t="s">
        <v>27</v>
      </c>
      <c r="F3295" s="1" t="s">
        <v>34</v>
      </c>
      <c r="G3295" s="2">
        <v>64.900000000000006</v>
      </c>
      <c r="H3295">
        <v>64.900000000000006</v>
      </c>
      <c r="I3295">
        <v>63.695900000000002</v>
      </c>
      <c r="J3295">
        <v>88.06</v>
      </c>
      <c r="K3295">
        <v>35</v>
      </c>
      <c r="M3295">
        <v>0</v>
      </c>
      <c r="N3295" s="2">
        <v>100</v>
      </c>
      <c r="O3295">
        <v>6369.59</v>
      </c>
      <c r="P3295">
        <v>4</v>
      </c>
      <c r="Q3295">
        <v>96</v>
      </c>
      <c r="R3295">
        <v>11.58</v>
      </c>
      <c r="S3295">
        <v>7</v>
      </c>
      <c r="T3295">
        <v>50</v>
      </c>
      <c r="U3295" s="2">
        <v>4403</v>
      </c>
      <c r="V3295">
        <v>0</v>
      </c>
      <c r="W3295" t="s">
        <v>29</v>
      </c>
      <c r="X3295" t="str">
        <f>IF(Table2[[#This Row],[Qty available]]&gt;Table2[[#This Row],[Qty on hand]],"Check","OK")</f>
        <v>OK</v>
      </c>
    </row>
    <row r="3296" spans="1:24" x14ac:dyDescent="0.3">
      <c r="A3296" t="s">
        <v>335</v>
      </c>
      <c r="B3296" t="s">
        <v>336</v>
      </c>
      <c r="C3296" t="s">
        <v>25</v>
      </c>
      <c r="D3296" t="s">
        <v>26</v>
      </c>
      <c r="E3296" t="s">
        <v>27</v>
      </c>
      <c r="F3296" s="1" t="s">
        <v>35</v>
      </c>
      <c r="G3296" s="2">
        <v>62.57</v>
      </c>
      <c r="H3296">
        <v>62.57</v>
      </c>
      <c r="I3296">
        <v>63.240226999999997</v>
      </c>
      <c r="J3296">
        <v>88.06</v>
      </c>
      <c r="K3296">
        <v>35</v>
      </c>
      <c r="L3296" s="2">
        <v>32</v>
      </c>
      <c r="M3296">
        <v>68</v>
      </c>
      <c r="N3296" s="2">
        <v>88</v>
      </c>
      <c r="O3296">
        <v>5565.14</v>
      </c>
      <c r="P3296">
        <v>11</v>
      </c>
      <c r="Q3296">
        <v>77</v>
      </c>
      <c r="R3296">
        <v>6.22</v>
      </c>
      <c r="S3296">
        <v>1</v>
      </c>
      <c r="T3296">
        <v>80</v>
      </c>
      <c r="U3296" s="2">
        <v>7044.8</v>
      </c>
      <c r="V3296">
        <v>0</v>
      </c>
      <c r="W3296" t="s">
        <v>29</v>
      </c>
      <c r="X3296" t="str">
        <f>IF(Table2[[#This Row],[Qty available]]&gt;Table2[[#This Row],[Qty on hand]],"Check","OK")</f>
        <v>OK</v>
      </c>
    </row>
    <row r="3297" spans="1:24" x14ac:dyDescent="0.3">
      <c r="A3297" t="s">
        <v>335</v>
      </c>
      <c r="B3297" t="s">
        <v>336</v>
      </c>
      <c r="C3297" t="s">
        <v>25</v>
      </c>
      <c r="D3297" t="s">
        <v>26</v>
      </c>
      <c r="E3297" t="s">
        <v>27</v>
      </c>
      <c r="F3297" s="1" t="s">
        <v>36</v>
      </c>
      <c r="G3297" s="2">
        <v>64.95</v>
      </c>
      <c r="H3297">
        <v>64.95</v>
      </c>
      <c r="I3297">
        <v>63.278182000000001</v>
      </c>
      <c r="J3297">
        <v>88.06</v>
      </c>
      <c r="K3297">
        <v>35</v>
      </c>
      <c r="L3297" s="2">
        <v>61</v>
      </c>
      <c r="M3297">
        <v>2</v>
      </c>
      <c r="N3297" s="2">
        <v>33</v>
      </c>
      <c r="O3297">
        <v>2088.1799999999998</v>
      </c>
      <c r="P3297">
        <v>13</v>
      </c>
      <c r="Q3297">
        <v>20</v>
      </c>
      <c r="R3297">
        <v>2.2400000000000002</v>
      </c>
      <c r="S3297">
        <v>1</v>
      </c>
      <c r="T3297">
        <v>57</v>
      </c>
      <c r="U3297" s="2">
        <v>5019.42</v>
      </c>
      <c r="V3297">
        <v>0</v>
      </c>
      <c r="W3297" t="s">
        <v>29</v>
      </c>
      <c r="X3297" t="str">
        <f>IF(Table2[[#This Row],[Qty available]]&gt;Table2[[#This Row],[Qty on hand]],"Check","OK")</f>
        <v>OK</v>
      </c>
    </row>
    <row r="3298" spans="1:24" x14ac:dyDescent="0.3">
      <c r="A3298" t="s">
        <v>335</v>
      </c>
      <c r="B3298" t="s">
        <v>336</v>
      </c>
      <c r="C3298" t="s">
        <v>25</v>
      </c>
      <c r="D3298" t="s">
        <v>26</v>
      </c>
      <c r="E3298" t="s">
        <v>27</v>
      </c>
      <c r="F3298" s="1" t="s">
        <v>37</v>
      </c>
      <c r="G3298" s="2">
        <v>66.39</v>
      </c>
      <c r="H3298">
        <v>66.39</v>
      </c>
      <c r="I3298">
        <v>65.803178000000003</v>
      </c>
      <c r="J3298">
        <v>88.06</v>
      </c>
      <c r="K3298">
        <v>35</v>
      </c>
      <c r="L3298" s="2">
        <v>31</v>
      </c>
      <c r="M3298">
        <v>142</v>
      </c>
      <c r="N3298" s="2">
        <v>107</v>
      </c>
      <c r="O3298">
        <v>7040.94</v>
      </c>
      <c r="P3298">
        <v>19</v>
      </c>
      <c r="Q3298">
        <v>88</v>
      </c>
      <c r="R3298">
        <v>6.86</v>
      </c>
      <c r="S3298">
        <v>7</v>
      </c>
      <c r="T3298">
        <v>68</v>
      </c>
      <c r="U3298" s="2">
        <v>5988.08</v>
      </c>
      <c r="V3298">
        <v>0</v>
      </c>
      <c r="W3298" t="s">
        <v>29</v>
      </c>
      <c r="X3298" t="str">
        <f>IF(Table2[[#This Row],[Qty available]]&gt;Table2[[#This Row],[Qty on hand]],"Check","OK")</f>
        <v>OK</v>
      </c>
    </row>
    <row r="3299" spans="1:24" x14ac:dyDescent="0.3">
      <c r="A3299" t="s">
        <v>335</v>
      </c>
      <c r="B3299" t="s">
        <v>336</v>
      </c>
      <c r="C3299" t="s">
        <v>25</v>
      </c>
      <c r="D3299" t="s">
        <v>26</v>
      </c>
      <c r="E3299" t="s">
        <v>27</v>
      </c>
      <c r="F3299" s="1" t="s">
        <v>38</v>
      </c>
      <c r="G3299" s="2">
        <v>65.33</v>
      </c>
      <c r="H3299">
        <v>65.33</v>
      </c>
      <c r="I3299">
        <v>65.689138</v>
      </c>
      <c r="J3299">
        <v>88.06</v>
      </c>
      <c r="K3299">
        <v>35</v>
      </c>
      <c r="L3299" s="2">
        <v>61</v>
      </c>
      <c r="M3299">
        <v>34</v>
      </c>
      <c r="N3299" s="2">
        <v>58</v>
      </c>
      <c r="O3299">
        <v>3809.97</v>
      </c>
      <c r="P3299">
        <v>8</v>
      </c>
      <c r="Q3299">
        <v>50</v>
      </c>
      <c r="R3299">
        <v>3.63</v>
      </c>
      <c r="S3299">
        <v>3</v>
      </c>
      <c r="T3299">
        <v>83</v>
      </c>
      <c r="U3299" s="2">
        <v>7308.98</v>
      </c>
      <c r="V3299">
        <v>0</v>
      </c>
      <c r="W3299" t="s">
        <v>29</v>
      </c>
      <c r="X3299" t="str">
        <f>IF(Table2[[#This Row],[Qty available]]&gt;Table2[[#This Row],[Qty on hand]],"Check","OK")</f>
        <v>OK</v>
      </c>
    </row>
    <row r="3300" spans="1:24" x14ac:dyDescent="0.3">
      <c r="A3300" t="s">
        <v>335</v>
      </c>
      <c r="B3300" t="s">
        <v>336</v>
      </c>
      <c r="C3300" t="s">
        <v>25</v>
      </c>
      <c r="D3300" t="s">
        <v>26</v>
      </c>
      <c r="E3300" t="s">
        <v>27</v>
      </c>
      <c r="F3300" s="1" t="s">
        <v>39</v>
      </c>
      <c r="G3300" s="2">
        <v>66.349999999999994</v>
      </c>
      <c r="H3300">
        <v>66.349999999999994</v>
      </c>
      <c r="I3300">
        <v>65.924091000000004</v>
      </c>
      <c r="J3300">
        <v>88.06</v>
      </c>
      <c r="K3300">
        <v>35</v>
      </c>
      <c r="L3300" s="2">
        <v>34</v>
      </c>
      <c r="M3300">
        <v>32</v>
      </c>
      <c r="N3300" s="2">
        <v>44</v>
      </c>
      <c r="O3300">
        <v>2900.66</v>
      </c>
      <c r="P3300">
        <v>15</v>
      </c>
      <c r="Q3300">
        <v>29</v>
      </c>
      <c r="R3300">
        <v>2.94</v>
      </c>
      <c r="S3300">
        <v>5</v>
      </c>
      <c r="T3300">
        <v>46</v>
      </c>
      <c r="U3300" s="2">
        <v>4050.76</v>
      </c>
      <c r="V3300">
        <v>0</v>
      </c>
      <c r="W3300" t="s">
        <v>29</v>
      </c>
      <c r="X3300" t="str">
        <f>IF(Table2[[#This Row],[Qty available]]&gt;Table2[[#This Row],[Qty on hand]],"Check","OK")</f>
        <v>OK</v>
      </c>
    </row>
    <row r="3301" spans="1:24" x14ac:dyDescent="0.3">
      <c r="A3301" t="s">
        <v>335</v>
      </c>
      <c r="B3301" t="s">
        <v>336</v>
      </c>
      <c r="C3301" t="s">
        <v>25</v>
      </c>
      <c r="D3301" t="s">
        <v>26</v>
      </c>
      <c r="E3301" t="s">
        <v>27</v>
      </c>
      <c r="F3301" s="1" t="s">
        <v>40</v>
      </c>
      <c r="G3301" s="2">
        <v>64.5</v>
      </c>
      <c r="H3301">
        <v>64.5</v>
      </c>
      <c r="I3301">
        <v>64.974705999999998</v>
      </c>
      <c r="J3301">
        <v>88.06</v>
      </c>
      <c r="K3301">
        <v>35</v>
      </c>
      <c r="L3301" s="2">
        <v>33</v>
      </c>
      <c r="M3301">
        <v>88</v>
      </c>
      <c r="N3301" s="2">
        <v>119</v>
      </c>
      <c r="O3301">
        <v>7731.99</v>
      </c>
      <c r="P3301">
        <v>19</v>
      </c>
      <c r="Q3301">
        <v>100</v>
      </c>
      <c r="R3301">
        <v>11.01</v>
      </c>
      <c r="S3301">
        <v>1</v>
      </c>
      <c r="T3301">
        <v>13</v>
      </c>
      <c r="U3301" s="2">
        <v>1144.78</v>
      </c>
      <c r="V3301">
        <v>0</v>
      </c>
      <c r="W3301" t="s">
        <v>29</v>
      </c>
      <c r="X3301" t="str">
        <f>IF(Table2[[#This Row],[Qty available]]&gt;Table2[[#This Row],[Qty on hand]],"Check","OK")</f>
        <v>OK</v>
      </c>
    </row>
    <row r="3302" spans="1:24" x14ac:dyDescent="0.3">
      <c r="A3302" t="s">
        <v>335</v>
      </c>
      <c r="B3302" t="s">
        <v>336</v>
      </c>
      <c r="C3302" t="s">
        <v>25</v>
      </c>
      <c r="D3302" t="s">
        <v>26</v>
      </c>
      <c r="E3302" t="s">
        <v>27</v>
      </c>
      <c r="F3302" s="1" t="s">
        <v>41</v>
      </c>
      <c r="G3302" s="2">
        <v>66.38</v>
      </c>
      <c r="H3302">
        <v>66.38</v>
      </c>
      <c r="I3302">
        <v>65.579868000000005</v>
      </c>
      <c r="J3302">
        <v>88.06</v>
      </c>
      <c r="K3302">
        <v>35</v>
      </c>
      <c r="L3302" s="2">
        <v>33</v>
      </c>
      <c r="M3302">
        <v>90</v>
      </c>
      <c r="N3302" s="2">
        <v>151</v>
      </c>
      <c r="O3302">
        <v>9902.56</v>
      </c>
      <c r="P3302">
        <v>19</v>
      </c>
      <c r="Q3302">
        <v>132</v>
      </c>
      <c r="R3302">
        <v>16.96</v>
      </c>
      <c r="S3302">
        <v>8</v>
      </c>
      <c r="T3302">
        <v>58</v>
      </c>
      <c r="U3302" s="2">
        <v>5107.4799999999996</v>
      </c>
      <c r="V3302">
        <v>0</v>
      </c>
      <c r="W3302" t="s">
        <v>29</v>
      </c>
      <c r="X3302" t="str">
        <f>IF(Table2[[#This Row],[Qty available]]&gt;Table2[[#This Row],[Qty on hand]],"Check","OK")</f>
        <v>OK</v>
      </c>
    </row>
    <row r="3303" spans="1:24" x14ac:dyDescent="0.3">
      <c r="A3303" t="s">
        <v>335</v>
      </c>
      <c r="B3303" t="s">
        <v>336</v>
      </c>
      <c r="C3303" t="s">
        <v>25</v>
      </c>
      <c r="D3303" t="s">
        <v>26</v>
      </c>
      <c r="E3303" t="s">
        <v>27</v>
      </c>
      <c r="F3303" s="1" t="s">
        <v>42</v>
      </c>
      <c r="G3303" s="2">
        <v>65.61</v>
      </c>
      <c r="H3303">
        <v>65.61</v>
      </c>
      <c r="I3303">
        <v>65.58</v>
      </c>
      <c r="J3303">
        <v>88.06</v>
      </c>
      <c r="K3303">
        <v>35</v>
      </c>
      <c r="L3303" s="2">
        <v>35</v>
      </c>
      <c r="M3303">
        <v>1</v>
      </c>
      <c r="N3303" s="2">
        <v>49</v>
      </c>
      <c r="O3303">
        <v>3213.42</v>
      </c>
      <c r="P3303">
        <v>17</v>
      </c>
      <c r="Q3303">
        <v>32</v>
      </c>
      <c r="R3303">
        <v>3.7</v>
      </c>
      <c r="S3303">
        <v>0</v>
      </c>
      <c r="T3303">
        <v>103</v>
      </c>
      <c r="U3303" s="2">
        <v>9070.18</v>
      </c>
      <c r="V3303">
        <v>0</v>
      </c>
      <c r="W3303" t="s">
        <v>29</v>
      </c>
      <c r="X3303" t="str">
        <f>IF(Table2[[#This Row],[Qty available]]&gt;Table2[[#This Row],[Qty on hand]],"Check","OK")</f>
        <v>OK</v>
      </c>
    </row>
    <row r="3304" spans="1:24" x14ac:dyDescent="0.3">
      <c r="A3304" t="s">
        <v>335</v>
      </c>
      <c r="B3304" t="s">
        <v>336</v>
      </c>
      <c r="C3304" t="s">
        <v>25</v>
      </c>
      <c r="D3304" t="s">
        <v>26</v>
      </c>
      <c r="E3304" t="s">
        <v>27</v>
      </c>
      <c r="F3304" s="1" t="s">
        <v>43</v>
      </c>
      <c r="G3304" s="2">
        <v>64.760000000000005</v>
      </c>
      <c r="H3304">
        <v>64.760000000000005</v>
      </c>
      <c r="I3304">
        <v>65.378249999999994</v>
      </c>
      <c r="J3304">
        <v>88.06</v>
      </c>
      <c r="K3304">
        <v>35</v>
      </c>
      <c r="L3304" s="2">
        <v>34</v>
      </c>
      <c r="M3304">
        <v>16</v>
      </c>
      <c r="N3304" s="2">
        <v>40</v>
      </c>
      <c r="O3304">
        <v>2615.13</v>
      </c>
      <c r="P3304">
        <v>11</v>
      </c>
      <c r="Q3304">
        <v>29</v>
      </c>
      <c r="R3304">
        <v>2.8</v>
      </c>
      <c r="S3304">
        <v>2</v>
      </c>
      <c r="T3304">
        <v>25</v>
      </c>
      <c r="U3304" s="2">
        <v>2201.5</v>
      </c>
      <c r="V3304">
        <v>0</v>
      </c>
      <c r="W3304" t="s">
        <v>29</v>
      </c>
      <c r="X3304" t="str">
        <f>IF(Table2[[#This Row],[Qty available]]&gt;Table2[[#This Row],[Qty on hand]],"Check","OK")</f>
        <v>OK</v>
      </c>
    </row>
    <row r="3305" spans="1:24" x14ac:dyDescent="0.3">
      <c r="A3305" t="s">
        <v>335</v>
      </c>
      <c r="B3305" t="s">
        <v>336</v>
      </c>
      <c r="C3305" t="s">
        <v>25</v>
      </c>
      <c r="D3305" t="s">
        <v>26</v>
      </c>
      <c r="E3305" t="s">
        <v>27</v>
      </c>
      <c r="F3305" s="1" t="s">
        <v>44</v>
      </c>
      <c r="G3305" s="2">
        <v>65.400000000000006</v>
      </c>
      <c r="H3305">
        <v>65.400000000000006</v>
      </c>
      <c r="I3305">
        <v>65.394653000000005</v>
      </c>
      <c r="J3305">
        <v>88.06</v>
      </c>
      <c r="K3305">
        <v>35</v>
      </c>
      <c r="L3305" s="2">
        <v>34</v>
      </c>
      <c r="M3305">
        <v>124</v>
      </c>
      <c r="N3305" s="2">
        <v>101</v>
      </c>
      <c r="O3305">
        <v>6604.86</v>
      </c>
      <c r="P3305">
        <v>19</v>
      </c>
      <c r="Q3305">
        <v>82</v>
      </c>
      <c r="R3305">
        <v>6.95</v>
      </c>
      <c r="S3305">
        <v>8</v>
      </c>
      <c r="T3305">
        <v>63</v>
      </c>
      <c r="U3305" s="2">
        <v>5547.78</v>
      </c>
      <c r="V3305">
        <v>0</v>
      </c>
      <c r="W3305" t="s">
        <v>29</v>
      </c>
      <c r="X3305" t="str">
        <f>IF(Table2[[#This Row],[Qty available]]&gt;Table2[[#This Row],[Qty on hand]],"Check","OK")</f>
        <v>OK</v>
      </c>
    </row>
    <row r="3306" spans="1:24" x14ac:dyDescent="0.3">
      <c r="A3306" t="s">
        <v>335</v>
      </c>
      <c r="B3306" t="s">
        <v>336</v>
      </c>
      <c r="C3306" t="s">
        <v>25</v>
      </c>
      <c r="D3306" t="s">
        <v>26</v>
      </c>
      <c r="E3306" t="s">
        <v>27</v>
      </c>
      <c r="F3306" s="1" t="s">
        <v>45</v>
      </c>
      <c r="G3306" s="2">
        <v>65.7</v>
      </c>
      <c r="H3306">
        <v>65.7</v>
      </c>
      <c r="I3306">
        <v>65.394615000000002</v>
      </c>
      <c r="J3306">
        <v>88.06</v>
      </c>
      <c r="K3306">
        <v>35</v>
      </c>
      <c r="M3306">
        <v>0</v>
      </c>
      <c r="N3306" s="2">
        <v>26</v>
      </c>
      <c r="O3306">
        <v>1700.26</v>
      </c>
      <c r="P3306">
        <v>19</v>
      </c>
      <c r="Q3306">
        <v>7</v>
      </c>
      <c r="R3306">
        <v>2.1</v>
      </c>
      <c r="S3306">
        <v>1</v>
      </c>
      <c r="T3306">
        <v>75</v>
      </c>
      <c r="U3306" s="2">
        <v>6604.5</v>
      </c>
      <c r="V3306">
        <v>0</v>
      </c>
      <c r="W3306" t="s">
        <v>29</v>
      </c>
      <c r="X3306" t="str">
        <f>IF(Table2[[#This Row],[Qty available]]&gt;Table2[[#This Row],[Qty on hand]],"Check","OK")</f>
        <v>OK</v>
      </c>
    </row>
    <row r="3307" spans="1:24" x14ac:dyDescent="0.3">
      <c r="A3307" t="s">
        <v>335</v>
      </c>
      <c r="B3307" t="s">
        <v>336</v>
      </c>
      <c r="C3307" t="s">
        <v>25</v>
      </c>
      <c r="D3307" t="s">
        <v>26</v>
      </c>
      <c r="E3307" t="s">
        <v>27</v>
      </c>
      <c r="F3307" s="1" t="s">
        <v>46</v>
      </c>
      <c r="G3307" s="2">
        <v>65.599999999999994</v>
      </c>
      <c r="H3307">
        <v>65.599999999999994</v>
      </c>
      <c r="I3307">
        <v>65.556897000000006</v>
      </c>
      <c r="J3307">
        <v>91.98</v>
      </c>
      <c r="K3307">
        <v>35</v>
      </c>
      <c r="L3307" s="2">
        <v>45</v>
      </c>
      <c r="M3307">
        <v>98</v>
      </c>
      <c r="N3307" s="2">
        <v>58</v>
      </c>
      <c r="O3307">
        <v>3802.3</v>
      </c>
      <c r="P3307">
        <v>15</v>
      </c>
      <c r="Q3307">
        <v>43</v>
      </c>
      <c r="R3307">
        <v>3.66</v>
      </c>
      <c r="S3307">
        <v>2</v>
      </c>
      <c r="T3307">
        <v>66</v>
      </c>
      <c r="U3307" s="2">
        <v>6070.68</v>
      </c>
      <c r="V3307">
        <v>0</v>
      </c>
      <c r="W3307" t="s">
        <v>29</v>
      </c>
      <c r="X3307" t="str">
        <f>IF(Table2[[#This Row],[Qty available]]&gt;Table2[[#This Row],[Qty on hand]],"Check","OK")</f>
        <v>OK</v>
      </c>
    </row>
    <row r="3308" spans="1:24" x14ac:dyDescent="0.3">
      <c r="A3308" t="s">
        <v>335</v>
      </c>
      <c r="B3308" t="s">
        <v>336</v>
      </c>
      <c r="C3308" t="s">
        <v>25</v>
      </c>
      <c r="D3308" t="s">
        <v>26</v>
      </c>
      <c r="E3308" t="s">
        <v>27</v>
      </c>
      <c r="F3308" s="1" t="s">
        <v>47</v>
      </c>
      <c r="G3308" s="2">
        <v>65.3</v>
      </c>
      <c r="H3308">
        <v>65.3</v>
      </c>
      <c r="I3308">
        <v>65.378815000000003</v>
      </c>
      <c r="J3308">
        <v>91.98</v>
      </c>
      <c r="K3308">
        <v>35</v>
      </c>
      <c r="L3308" s="2">
        <v>30</v>
      </c>
      <c r="M3308">
        <v>131</v>
      </c>
      <c r="N3308" s="2">
        <v>135</v>
      </c>
      <c r="O3308">
        <v>8826.14</v>
      </c>
      <c r="P3308">
        <v>10</v>
      </c>
      <c r="Q3308">
        <v>125</v>
      </c>
      <c r="R3308">
        <v>8.9</v>
      </c>
      <c r="S3308">
        <v>0</v>
      </c>
      <c r="T3308">
        <v>54</v>
      </c>
      <c r="U3308" s="2">
        <v>4966.92</v>
      </c>
      <c r="V3308">
        <v>0</v>
      </c>
      <c r="W3308" t="s">
        <v>29</v>
      </c>
      <c r="X3308" t="str">
        <f>IF(Table2[[#This Row],[Qty available]]&gt;Table2[[#This Row],[Qty on hand]],"Check","OK")</f>
        <v>OK</v>
      </c>
    </row>
    <row r="3309" spans="1:24" x14ac:dyDescent="0.3">
      <c r="A3309" t="s">
        <v>335</v>
      </c>
      <c r="B3309" t="s">
        <v>336</v>
      </c>
      <c r="C3309" t="s">
        <v>25</v>
      </c>
      <c r="D3309" t="s">
        <v>26</v>
      </c>
      <c r="E3309" t="s">
        <v>27</v>
      </c>
      <c r="F3309" s="1" t="s">
        <v>48</v>
      </c>
      <c r="G3309" s="2">
        <v>67.319999999999993</v>
      </c>
      <c r="H3309">
        <v>67.319999999999993</v>
      </c>
      <c r="I3309">
        <v>65.378780000000006</v>
      </c>
      <c r="J3309">
        <v>91.98</v>
      </c>
      <c r="K3309">
        <v>35</v>
      </c>
      <c r="M3309">
        <v>0</v>
      </c>
      <c r="N3309" s="2">
        <v>82</v>
      </c>
      <c r="O3309">
        <v>5361.06</v>
      </c>
      <c r="P3309">
        <v>15</v>
      </c>
      <c r="Q3309">
        <v>67</v>
      </c>
      <c r="R3309">
        <v>6.03</v>
      </c>
      <c r="S3309">
        <v>0</v>
      </c>
      <c r="T3309">
        <v>53</v>
      </c>
      <c r="U3309" s="2">
        <v>4874.9399999999996</v>
      </c>
      <c r="V3309">
        <v>0</v>
      </c>
      <c r="W3309" t="s">
        <v>29</v>
      </c>
      <c r="X3309" t="str">
        <f>IF(Table2[[#This Row],[Qty available]]&gt;Table2[[#This Row],[Qty on hand]],"Check","OK")</f>
        <v>OK</v>
      </c>
    </row>
    <row r="3310" spans="1:24" x14ac:dyDescent="0.3">
      <c r="A3310" t="s">
        <v>335</v>
      </c>
      <c r="B3310" t="s">
        <v>336</v>
      </c>
      <c r="C3310" t="s">
        <v>25</v>
      </c>
      <c r="D3310" t="s">
        <v>26</v>
      </c>
      <c r="E3310" t="s">
        <v>27</v>
      </c>
      <c r="F3310" s="1" t="s">
        <v>49</v>
      </c>
      <c r="G3310" s="2">
        <v>68.19</v>
      </c>
      <c r="H3310">
        <v>68.19</v>
      </c>
      <c r="I3310">
        <v>66.825984000000005</v>
      </c>
      <c r="J3310">
        <v>91.98</v>
      </c>
      <c r="K3310">
        <v>35</v>
      </c>
      <c r="L3310" s="2">
        <v>33</v>
      </c>
      <c r="M3310">
        <v>87</v>
      </c>
      <c r="N3310" s="2">
        <v>127</v>
      </c>
      <c r="O3310">
        <v>8486.9</v>
      </c>
      <c r="P3310">
        <v>11</v>
      </c>
      <c r="Q3310">
        <v>116</v>
      </c>
      <c r="R3310">
        <v>11.2</v>
      </c>
      <c r="S3310">
        <v>11</v>
      </c>
      <c r="T3310">
        <v>42</v>
      </c>
      <c r="U3310" s="2">
        <v>3863.16</v>
      </c>
      <c r="V3310">
        <v>0</v>
      </c>
      <c r="W3310" t="s">
        <v>29</v>
      </c>
      <c r="X3310" t="str">
        <f>IF(Table2[[#This Row],[Qty available]]&gt;Table2[[#This Row],[Qty on hand]],"Check","OK")</f>
        <v>OK</v>
      </c>
    </row>
    <row r="3311" spans="1:24" x14ac:dyDescent="0.3">
      <c r="A3311" t="s">
        <v>335</v>
      </c>
      <c r="B3311" t="s">
        <v>336</v>
      </c>
      <c r="C3311" t="s">
        <v>25</v>
      </c>
      <c r="D3311" t="s">
        <v>26</v>
      </c>
      <c r="E3311" t="s">
        <v>27</v>
      </c>
      <c r="F3311" s="1" t="s">
        <v>50</v>
      </c>
      <c r="G3311" s="2">
        <v>67.459999999999994</v>
      </c>
      <c r="H3311">
        <v>67.459999999999994</v>
      </c>
      <c r="I3311">
        <v>66.825979000000004</v>
      </c>
      <c r="J3311">
        <v>91.98</v>
      </c>
      <c r="K3311">
        <v>35</v>
      </c>
      <c r="M3311">
        <v>0</v>
      </c>
      <c r="N3311" s="2">
        <v>97</v>
      </c>
      <c r="O3311">
        <v>6482.12</v>
      </c>
      <c r="P3311">
        <v>10</v>
      </c>
      <c r="Q3311">
        <v>87</v>
      </c>
      <c r="R3311">
        <v>10.09</v>
      </c>
      <c r="S3311">
        <v>0</v>
      </c>
      <c r="T3311">
        <v>30</v>
      </c>
      <c r="U3311" s="2">
        <v>2759.4</v>
      </c>
      <c r="V3311">
        <v>0</v>
      </c>
      <c r="W3311" t="s">
        <v>29</v>
      </c>
      <c r="X3311" t="str">
        <f>IF(Table2[[#This Row],[Qty available]]&gt;Table2[[#This Row],[Qty on hand]],"Check","OK")</f>
        <v>OK</v>
      </c>
    </row>
    <row r="3312" spans="1:24" x14ac:dyDescent="0.3">
      <c r="A3312" t="s">
        <v>335</v>
      </c>
      <c r="B3312" t="s">
        <v>336</v>
      </c>
      <c r="C3312" t="s">
        <v>25</v>
      </c>
      <c r="D3312" t="s">
        <v>26</v>
      </c>
      <c r="E3312" t="s">
        <v>27</v>
      </c>
      <c r="F3312" s="1" t="s">
        <v>51</v>
      </c>
      <c r="G3312" s="2">
        <v>66.33</v>
      </c>
      <c r="H3312">
        <v>66.33</v>
      </c>
      <c r="I3312">
        <v>66.825833000000003</v>
      </c>
      <c r="J3312">
        <v>91.98</v>
      </c>
      <c r="K3312">
        <v>35</v>
      </c>
      <c r="M3312">
        <v>0</v>
      </c>
      <c r="N3312" s="2">
        <v>12</v>
      </c>
      <c r="O3312">
        <v>801.91</v>
      </c>
      <c r="P3312">
        <v>4</v>
      </c>
      <c r="Q3312">
        <v>8</v>
      </c>
      <c r="R3312">
        <v>1</v>
      </c>
      <c r="S3312">
        <v>5</v>
      </c>
      <c r="T3312">
        <v>85</v>
      </c>
      <c r="U3312" s="2">
        <v>7818.3</v>
      </c>
      <c r="V3312">
        <v>0</v>
      </c>
      <c r="W3312" t="s">
        <v>29</v>
      </c>
      <c r="X3312" t="str">
        <f>IF(Table2[[#This Row],[Qty available]]&gt;Table2[[#This Row],[Qty on hand]],"Check","OK")</f>
        <v>OK</v>
      </c>
    </row>
    <row r="3313" spans="1:24" x14ac:dyDescent="0.3">
      <c r="A3313" t="s">
        <v>335</v>
      </c>
      <c r="B3313" t="s">
        <v>336</v>
      </c>
      <c r="C3313" t="s">
        <v>25</v>
      </c>
      <c r="D3313" t="s">
        <v>26</v>
      </c>
      <c r="E3313" t="s">
        <v>27</v>
      </c>
      <c r="F3313" s="1" t="s">
        <v>52</v>
      </c>
      <c r="G3313" s="2">
        <v>67.77</v>
      </c>
      <c r="H3313">
        <v>67.77</v>
      </c>
      <c r="I3313">
        <v>67.691905000000006</v>
      </c>
      <c r="J3313">
        <v>91.98</v>
      </c>
      <c r="K3313">
        <v>35</v>
      </c>
      <c r="L3313" s="2">
        <v>31</v>
      </c>
      <c r="M3313">
        <v>133</v>
      </c>
      <c r="N3313" s="2">
        <v>84</v>
      </c>
      <c r="O3313">
        <v>5686.12</v>
      </c>
      <c r="P3313">
        <v>4</v>
      </c>
      <c r="Q3313">
        <v>80</v>
      </c>
      <c r="R3313">
        <v>6.27</v>
      </c>
      <c r="S3313">
        <v>1</v>
      </c>
      <c r="T3313">
        <v>61</v>
      </c>
      <c r="U3313" s="2">
        <v>5610.78</v>
      </c>
      <c r="V3313">
        <v>0</v>
      </c>
      <c r="W3313" t="s">
        <v>29</v>
      </c>
      <c r="X3313" t="str">
        <f>IF(Table2[[#This Row],[Qty available]]&gt;Table2[[#This Row],[Qty on hand]],"Check","OK")</f>
        <v>OK</v>
      </c>
    </row>
    <row r="3314" spans="1:24" x14ac:dyDescent="0.3">
      <c r="A3314" t="s">
        <v>337</v>
      </c>
      <c r="B3314" t="s">
        <v>338</v>
      </c>
      <c r="C3314" t="s">
        <v>77</v>
      </c>
      <c r="D3314" t="s">
        <v>78</v>
      </c>
      <c r="E3314" t="s">
        <v>27</v>
      </c>
      <c r="F3314" s="1" t="s">
        <v>28</v>
      </c>
      <c r="G3314" s="2">
        <v>423.01</v>
      </c>
      <c r="H3314">
        <v>423.01</v>
      </c>
      <c r="I3314">
        <v>430.34500000000003</v>
      </c>
      <c r="J3314">
        <v>613.96</v>
      </c>
      <c r="K3314">
        <v>17</v>
      </c>
      <c r="M3314">
        <v>0</v>
      </c>
      <c r="N3314" s="2">
        <v>4</v>
      </c>
      <c r="O3314">
        <v>1721.38</v>
      </c>
      <c r="P3314">
        <v>0</v>
      </c>
      <c r="Q3314">
        <v>4</v>
      </c>
      <c r="R3314">
        <v>5.26</v>
      </c>
      <c r="S3314">
        <v>12</v>
      </c>
      <c r="T3314">
        <v>5</v>
      </c>
      <c r="U3314" s="2">
        <v>3069.8</v>
      </c>
      <c r="V3314">
        <v>0</v>
      </c>
      <c r="W3314" t="s">
        <v>29</v>
      </c>
      <c r="X3314" t="str">
        <f>IF(Table2[[#This Row],[Qty available]]&gt;Table2[[#This Row],[Qty on hand]],"Check","OK")</f>
        <v>OK</v>
      </c>
    </row>
    <row r="3315" spans="1:24" x14ac:dyDescent="0.3">
      <c r="A3315" t="s">
        <v>337</v>
      </c>
      <c r="B3315" t="s">
        <v>338</v>
      </c>
      <c r="C3315" t="s">
        <v>77</v>
      </c>
      <c r="D3315" t="s">
        <v>78</v>
      </c>
      <c r="E3315" t="s">
        <v>27</v>
      </c>
      <c r="F3315" s="1" t="s">
        <v>30</v>
      </c>
      <c r="G3315" s="2">
        <v>428.18</v>
      </c>
      <c r="H3315">
        <v>428.18</v>
      </c>
      <c r="I3315">
        <v>429.04666700000001</v>
      </c>
      <c r="J3315">
        <v>613.96</v>
      </c>
      <c r="K3315">
        <v>17</v>
      </c>
      <c r="L3315" s="2">
        <v>16</v>
      </c>
      <c r="M3315">
        <v>6</v>
      </c>
      <c r="N3315" s="2">
        <v>6</v>
      </c>
      <c r="O3315">
        <v>2574.2800000000002</v>
      </c>
      <c r="P3315">
        <v>1</v>
      </c>
      <c r="Q3315">
        <v>5</v>
      </c>
      <c r="R3315">
        <v>6.57</v>
      </c>
      <c r="S3315">
        <v>19</v>
      </c>
      <c r="T3315">
        <v>4</v>
      </c>
      <c r="U3315" s="2">
        <v>2455.84</v>
      </c>
      <c r="V3315">
        <v>0</v>
      </c>
      <c r="W3315" t="s">
        <v>29</v>
      </c>
      <c r="X3315" t="str">
        <f>IF(Table2[[#This Row],[Qty available]]&gt;Table2[[#This Row],[Qty on hand]],"Check","OK")</f>
        <v>OK</v>
      </c>
    </row>
    <row r="3316" spans="1:24" x14ac:dyDescent="0.3">
      <c r="A3316" t="s">
        <v>337</v>
      </c>
      <c r="B3316" t="s">
        <v>338</v>
      </c>
      <c r="C3316" t="s">
        <v>77</v>
      </c>
      <c r="D3316" t="s">
        <v>78</v>
      </c>
      <c r="E3316" t="s">
        <v>27</v>
      </c>
      <c r="F3316" s="1" t="s">
        <v>31</v>
      </c>
      <c r="G3316" s="2">
        <v>425.45</v>
      </c>
      <c r="H3316">
        <v>425.45</v>
      </c>
      <c r="I3316">
        <v>427.411429</v>
      </c>
      <c r="J3316">
        <v>613.96</v>
      </c>
      <c r="K3316">
        <v>17</v>
      </c>
      <c r="L3316" s="2">
        <v>15</v>
      </c>
      <c r="M3316">
        <v>5</v>
      </c>
      <c r="N3316" s="2">
        <v>7</v>
      </c>
      <c r="O3316">
        <v>2991.88</v>
      </c>
      <c r="P3316">
        <v>0</v>
      </c>
      <c r="Q3316">
        <v>7</v>
      </c>
      <c r="R3316">
        <v>7</v>
      </c>
      <c r="S3316">
        <v>4</v>
      </c>
      <c r="T3316">
        <v>4</v>
      </c>
      <c r="U3316" s="2">
        <v>2455.84</v>
      </c>
      <c r="V3316">
        <v>0</v>
      </c>
      <c r="W3316" t="s">
        <v>29</v>
      </c>
      <c r="X3316" t="str">
        <f>IF(Table2[[#This Row],[Qty available]]&gt;Table2[[#This Row],[Qty on hand]],"Check","OK")</f>
        <v>OK</v>
      </c>
    </row>
    <row r="3317" spans="1:24" x14ac:dyDescent="0.3">
      <c r="A3317" t="s">
        <v>337</v>
      </c>
      <c r="B3317" t="s">
        <v>338</v>
      </c>
      <c r="C3317" t="s">
        <v>77</v>
      </c>
      <c r="D3317" t="s">
        <v>78</v>
      </c>
      <c r="E3317" t="s">
        <v>27</v>
      </c>
      <c r="F3317" s="1" t="s">
        <v>32</v>
      </c>
      <c r="G3317" s="2">
        <v>434.06</v>
      </c>
      <c r="H3317">
        <v>434.06</v>
      </c>
      <c r="I3317">
        <v>429.828889</v>
      </c>
      <c r="J3317">
        <v>613.96</v>
      </c>
      <c r="K3317">
        <v>17</v>
      </c>
      <c r="L3317" s="2">
        <v>15</v>
      </c>
      <c r="M3317">
        <v>4</v>
      </c>
      <c r="N3317" s="2">
        <v>9</v>
      </c>
      <c r="O3317">
        <v>3868.46</v>
      </c>
      <c r="P3317">
        <v>1</v>
      </c>
      <c r="Q3317">
        <v>8</v>
      </c>
      <c r="R3317">
        <v>11.83</v>
      </c>
      <c r="S3317">
        <v>30</v>
      </c>
      <c r="T3317">
        <v>2</v>
      </c>
      <c r="U3317" s="2">
        <v>1227.92</v>
      </c>
      <c r="V3317">
        <v>0</v>
      </c>
      <c r="W3317" t="s">
        <v>29</v>
      </c>
      <c r="X3317" t="str">
        <f>IF(Table2[[#This Row],[Qty available]]&gt;Table2[[#This Row],[Qty on hand]],"Check","OK")</f>
        <v>OK</v>
      </c>
    </row>
    <row r="3318" spans="1:24" x14ac:dyDescent="0.3">
      <c r="A3318" t="s">
        <v>337</v>
      </c>
      <c r="B3318" t="s">
        <v>338</v>
      </c>
      <c r="C3318" t="s">
        <v>77</v>
      </c>
      <c r="D3318" t="s">
        <v>78</v>
      </c>
      <c r="E3318" t="s">
        <v>27</v>
      </c>
      <c r="F3318" s="1" t="s">
        <v>33</v>
      </c>
      <c r="G3318" s="2">
        <v>426.28</v>
      </c>
      <c r="H3318">
        <v>426.28</v>
      </c>
      <c r="I3318">
        <v>428.94200000000001</v>
      </c>
      <c r="J3318">
        <v>613.96</v>
      </c>
      <c r="K3318">
        <v>17</v>
      </c>
      <c r="L3318" s="2">
        <v>15</v>
      </c>
      <c r="M3318">
        <v>3</v>
      </c>
      <c r="N3318" s="2">
        <v>10</v>
      </c>
      <c r="O3318">
        <v>4289.42</v>
      </c>
      <c r="P3318">
        <v>0</v>
      </c>
      <c r="Q3318">
        <v>10</v>
      </c>
      <c r="R3318">
        <v>16.43</v>
      </c>
      <c r="S3318">
        <v>4</v>
      </c>
      <c r="T3318">
        <v>2</v>
      </c>
      <c r="U3318" s="2">
        <v>1227.92</v>
      </c>
      <c r="V3318">
        <v>0</v>
      </c>
      <c r="W3318" t="s">
        <v>29</v>
      </c>
      <c r="X3318" t="str">
        <f>IF(Table2[[#This Row],[Qty available]]&gt;Table2[[#This Row],[Qty on hand]],"Check","OK")</f>
        <v>OK</v>
      </c>
    </row>
    <row r="3319" spans="1:24" x14ac:dyDescent="0.3">
      <c r="A3319" t="s">
        <v>337</v>
      </c>
      <c r="B3319" t="s">
        <v>338</v>
      </c>
      <c r="C3319" t="s">
        <v>77</v>
      </c>
      <c r="D3319" t="s">
        <v>78</v>
      </c>
      <c r="E3319" t="s">
        <v>27</v>
      </c>
      <c r="F3319" s="1" t="s">
        <v>34</v>
      </c>
      <c r="G3319" s="2">
        <v>425.41</v>
      </c>
      <c r="H3319">
        <v>425.41</v>
      </c>
      <c r="I3319">
        <v>428.126667</v>
      </c>
      <c r="J3319">
        <v>643.20000000000005</v>
      </c>
      <c r="K3319">
        <v>17</v>
      </c>
      <c r="L3319" s="2">
        <v>27</v>
      </c>
      <c r="M3319">
        <v>3</v>
      </c>
      <c r="N3319" s="2">
        <v>9</v>
      </c>
      <c r="O3319">
        <v>3853.14</v>
      </c>
      <c r="P3319">
        <v>1</v>
      </c>
      <c r="Q3319">
        <v>8</v>
      </c>
      <c r="R3319">
        <v>14.46</v>
      </c>
      <c r="S3319">
        <v>3</v>
      </c>
      <c r="T3319">
        <v>4</v>
      </c>
      <c r="U3319" s="2">
        <v>2572.8000000000002</v>
      </c>
      <c r="V3319">
        <v>0</v>
      </c>
      <c r="W3319" t="s">
        <v>29</v>
      </c>
      <c r="X3319" t="str">
        <f>IF(Table2[[#This Row],[Qty available]]&gt;Table2[[#This Row],[Qty on hand]],"Check","OK")</f>
        <v>OK</v>
      </c>
    </row>
    <row r="3320" spans="1:24" x14ac:dyDescent="0.3">
      <c r="A3320" t="s">
        <v>337</v>
      </c>
      <c r="B3320" t="s">
        <v>338</v>
      </c>
      <c r="C3320" t="s">
        <v>77</v>
      </c>
      <c r="D3320" t="s">
        <v>78</v>
      </c>
      <c r="E3320" t="s">
        <v>27</v>
      </c>
      <c r="F3320" s="1" t="s">
        <v>35</v>
      </c>
      <c r="G3320" s="2">
        <v>462.94</v>
      </c>
      <c r="H3320">
        <v>462.94</v>
      </c>
      <c r="I3320">
        <v>428.12625000000003</v>
      </c>
      <c r="J3320">
        <v>643.20000000000005</v>
      </c>
      <c r="K3320">
        <v>17</v>
      </c>
      <c r="M3320">
        <v>0</v>
      </c>
      <c r="N3320" s="2">
        <v>8</v>
      </c>
      <c r="O3320">
        <v>3425.01</v>
      </c>
      <c r="P3320">
        <v>1</v>
      </c>
      <c r="Q3320">
        <v>7</v>
      </c>
      <c r="R3320">
        <v>14.69</v>
      </c>
      <c r="S3320">
        <v>14</v>
      </c>
      <c r="T3320">
        <v>1</v>
      </c>
      <c r="U3320" s="2">
        <v>643.20000000000005</v>
      </c>
      <c r="V3320">
        <v>0</v>
      </c>
      <c r="W3320" t="s">
        <v>29</v>
      </c>
      <c r="X3320" t="str">
        <f>IF(Table2[[#This Row],[Qty available]]&gt;Table2[[#This Row],[Qty on hand]],"Check","OK")</f>
        <v>OK</v>
      </c>
    </row>
    <row r="3321" spans="1:24" x14ac:dyDescent="0.3">
      <c r="A3321" t="s">
        <v>337</v>
      </c>
      <c r="B3321" t="s">
        <v>338</v>
      </c>
      <c r="C3321" t="s">
        <v>77</v>
      </c>
      <c r="D3321" t="s">
        <v>78</v>
      </c>
      <c r="E3321" t="s">
        <v>27</v>
      </c>
      <c r="F3321" s="1" t="s">
        <v>36</v>
      </c>
      <c r="G3321" s="2">
        <v>462.3</v>
      </c>
      <c r="H3321">
        <v>462.3</v>
      </c>
      <c r="I3321">
        <v>437.44571400000001</v>
      </c>
      <c r="J3321">
        <v>643.20000000000005</v>
      </c>
      <c r="K3321">
        <v>17</v>
      </c>
      <c r="L3321" s="2">
        <v>15</v>
      </c>
      <c r="M3321">
        <v>3</v>
      </c>
      <c r="N3321" s="2">
        <v>7</v>
      </c>
      <c r="O3321">
        <v>3062.12</v>
      </c>
      <c r="P3321">
        <v>1</v>
      </c>
      <c r="Q3321">
        <v>6</v>
      </c>
      <c r="R3321">
        <v>9.89</v>
      </c>
      <c r="S3321">
        <v>2</v>
      </c>
      <c r="T3321">
        <v>4</v>
      </c>
      <c r="U3321" s="2">
        <v>2572.8000000000002</v>
      </c>
      <c r="V3321">
        <v>0</v>
      </c>
      <c r="W3321" t="s">
        <v>29</v>
      </c>
      <c r="X3321" t="str">
        <f>IF(Table2[[#This Row],[Qty available]]&gt;Table2[[#This Row],[Qty on hand]],"Check","OK")</f>
        <v>OK</v>
      </c>
    </row>
    <row r="3322" spans="1:24" x14ac:dyDescent="0.3">
      <c r="A3322" t="s">
        <v>337</v>
      </c>
      <c r="B3322" t="s">
        <v>338</v>
      </c>
      <c r="C3322" t="s">
        <v>77</v>
      </c>
      <c r="D3322" t="s">
        <v>78</v>
      </c>
      <c r="E3322" t="s">
        <v>27</v>
      </c>
      <c r="F3322" s="1" t="s">
        <v>37</v>
      </c>
      <c r="G3322" s="2">
        <v>457.71</v>
      </c>
      <c r="H3322">
        <v>457.71</v>
      </c>
      <c r="I3322">
        <v>445.88900000000001</v>
      </c>
      <c r="J3322">
        <v>643.20000000000005</v>
      </c>
      <c r="K3322">
        <v>17</v>
      </c>
      <c r="L3322" s="2">
        <v>15</v>
      </c>
      <c r="M3322">
        <v>5</v>
      </c>
      <c r="N3322" s="2">
        <v>10</v>
      </c>
      <c r="O3322">
        <v>4458.8900000000003</v>
      </c>
      <c r="P3322">
        <v>1</v>
      </c>
      <c r="Q3322">
        <v>9</v>
      </c>
      <c r="R3322">
        <v>18.78</v>
      </c>
      <c r="S3322">
        <v>21</v>
      </c>
      <c r="T3322">
        <v>2</v>
      </c>
      <c r="U3322" s="2">
        <v>1286.4000000000001</v>
      </c>
      <c r="V3322">
        <v>0</v>
      </c>
      <c r="W3322" t="s">
        <v>29</v>
      </c>
      <c r="X3322" t="str">
        <f>IF(Table2[[#This Row],[Qty available]]&gt;Table2[[#This Row],[Qty on hand]],"Check","OK")</f>
        <v>OK</v>
      </c>
    </row>
    <row r="3323" spans="1:24" x14ac:dyDescent="0.3">
      <c r="A3323" t="s">
        <v>337</v>
      </c>
      <c r="B3323" t="s">
        <v>338</v>
      </c>
      <c r="C3323" t="s">
        <v>77</v>
      </c>
      <c r="D3323" t="s">
        <v>78</v>
      </c>
      <c r="E3323" t="s">
        <v>27</v>
      </c>
      <c r="F3323" s="1" t="s">
        <v>38</v>
      </c>
      <c r="G3323" s="2">
        <v>460.64</v>
      </c>
      <c r="H3323">
        <v>460.64</v>
      </c>
      <c r="I3323">
        <v>445.88857100000001</v>
      </c>
      <c r="J3323">
        <v>643.20000000000005</v>
      </c>
      <c r="K3323">
        <v>17</v>
      </c>
      <c r="M3323">
        <v>0</v>
      </c>
      <c r="N3323" s="2">
        <v>7</v>
      </c>
      <c r="O3323">
        <v>3121.22</v>
      </c>
      <c r="P3323">
        <v>0</v>
      </c>
      <c r="Q3323">
        <v>7</v>
      </c>
      <c r="R3323">
        <v>10.11</v>
      </c>
      <c r="S3323">
        <v>6</v>
      </c>
      <c r="T3323">
        <v>3</v>
      </c>
      <c r="U3323" s="2">
        <v>1929.6</v>
      </c>
      <c r="V3323">
        <v>0</v>
      </c>
      <c r="W3323" t="s">
        <v>29</v>
      </c>
      <c r="X3323" t="str">
        <f>IF(Table2[[#This Row],[Qty available]]&gt;Table2[[#This Row],[Qty on hand]],"Check","OK")</f>
        <v>OK</v>
      </c>
    </row>
    <row r="3324" spans="1:24" x14ac:dyDescent="0.3">
      <c r="A3324" t="s">
        <v>337</v>
      </c>
      <c r="B3324" t="s">
        <v>338</v>
      </c>
      <c r="C3324" t="s">
        <v>77</v>
      </c>
      <c r="D3324" t="s">
        <v>78</v>
      </c>
      <c r="E3324" t="s">
        <v>27</v>
      </c>
      <c r="F3324" s="1" t="s">
        <v>39</v>
      </c>
      <c r="G3324" s="2">
        <v>462.77</v>
      </c>
      <c r="H3324">
        <v>462.77</v>
      </c>
      <c r="I3324">
        <v>452.92222199999998</v>
      </c>
      <c r="J3324">
        <v>643.20000000000005</v>
      </c>
      <c r="K3324">
        <v>17</v>
      </c>
      <c r="L3324" s="2">
        <v>17</v>
      </c>
      <c r="M3324">
        <v>5</v>
      </c>
      <c r="N3324" s="2">
        <v>9</v>
      </c>
      <c r="O3324">
        <v>4076.3</v>
      </c>
      <c r="P3324">
        <v>1</v>
      </c>
      <c r="Q3324">
        <v>8</v>
      </c>
      <c r="R3324">
        <v>14.79</v>
      </c>
      <c r="S3324">
        <v>12</v>
      </c>
      <c r="T3324">
        <v>3</v>
      </c>
      <c r="U3324" s="2">
        <v>1929.6</v>
      </c>
      <c r="V3324">
        <v>0</v>
      </c>
      <c r="W3324" t="s">
        <v>29</v>
      </c>
      <c r="X3324" t="str">
        <f>IF(Table2[[#This Row],[Qty available]]&gt;Table2[[#This Row],[Qty on hand]],"Check","OK")</f>
        <v>OK</v>
      </c>
    </row>
    <row r="3325" spans="1:24" x14ac:dyDescent="0.3">
      <c r="A3325" t="s">
        <v>337</v>
      </c>
      <c r="B3325" t="s">
        <v>338</v>
      </c>
      <c r="C3325" t="s">
        <v>77</v>
      </c>
      <c r="D3325" t="s">
        <v>78</v>
      </c>
      <c r="E3325" t="s">
        <v>27</v>
      </c>
      <c r="F3325" s="1" t="s">
        <v>40</v>
      </c>
      <c r="G3325" s="2">
        <v>454.49</v>
      </c>
      <c r="H3325">
        <v>454.49</v>
      </c>
      <c r="I3325">
        <v>452.92200000000003</v>
      </c>
      <c r="J3325">
        <v>643.20000000000005</v>
      </c>
      <c r="K3325">
        <v>17</v>
      </c>
      <c r="M3325">
        <v>0</v>
      </c>
      <c r="N3325" s="2">
        <v>5</v>
      </c>
      <c r="O3325">
        <v>2264.61</v>
      </c>
      <c r="P3325">
        <v>1</v>
      </c>
      <c r="Q3325">
        <v>4</v>
      </c>
      <c r="R3325">
        <v>6.57</v>
      </c>
      <c r="S3325">
        <v>11</v>
      </c>
      <c r="T3325">
        <v>4</v>
      </c>
      <c r="U3325" s="2">
        <v>2572.8000000000002</v>
      </c>
      <c r="V3325">
        <v>0</v>
      </c>
      <c r="W3325" t="s">
        <v>29</v>
      </c>
      <c r="X3325" t="str">
        <f>IF(Table2[[#This Row],[Qty available]]&gt;Table2[[#This Row],[Qty on hand]],"Check","OK")</f>
        <v>OK</v>
      </c>
    </row>
    <row r="3326" spans="1:24" x14ac:dyDescent="0.3">
      <c r="A3326" t="s">
        <v>337</v>
      </c>
      <c r="B3326" t="s">
        <v>338</v>
      </c>
      <c r="C3326" t="s">
        <v>77</v>
      </c>
      <c r="D3326" t="s">
        <v>78</v>
      </c>
      <c r="E3326" t="s">
        <v>27</v>
      </c>
      <c r="F3326" s="1" t="s">
        <v>41</v>
      </c>
      <c r="G3326" s="2">
        <v>452</v>
      </c>
      <c r="H3326">
        <v>452</v>
      </c>
      <c r="I3326">
        <v>452.38444399999997</v>
      </c>
      <c r="J3326">
        <v>643.20000000000005</v>
      </c>
      <c r="K3326">
        <v>17</v>
      </c>
      <c r="L3326" s="2">
        <v>16</v>
      </c>
      <c r="M3326">
        <v>7</v>
      </c>
      <c r="N3326" s="2">
        <v>9</v>
      </c>
      <c r="O3326">
        <v>4071.46</v>
      </c>
      <c r="P3326">
        <v>1</v>
      </c>
      <c r="Q3326">
        <v>8</v>
      </c>
      <c r="R3326">
        <v>11.83</v>
      </c>
      <c r="S3326">
        <v>1</v>
      </c>
      <c r="T3326">
        <v>3</v>
      </c>
      <c r="U3326" s="2">
        <v>1929.6</v>
      </c>
      <c r="V3326">
        <v>0</v>
      </c>
      <c r="W3326" t="s">
        <v>29</v>
      </c>
      <c r="X3326" t="str">
        <f>IF(Table2[[#This Row],[Qty available]]&gt;Table2[[#This Row],[Qty on hand]],"Check","OK")</f>
        <v>OK</v>
      </c>
    </row>
    <row r="3327" spans="1:24" x14ac:dyDescent="0.3">
      <c r="A3327" t="s">
        <v>337</v>
      </c>
      <c r="B3327" t="s">
        <v>338</v>
      </c>
      <c r="C3327" t="s">
        <v>77</v>
      </c>
      <c r="D3327" t="s">
        <v>78</v>
      </c>
      <c r="E3327" t="s">
        <v>27</v>
      </c>
      <c r="F3327" s="1" t="s">
        <v>42</v>
      </c>
      <c r="G3327" s="2">
        <v>452.14</v>
      </c>
      <c r="H3327">
        <v>452.14</v>
      </c>
      <c r="I3327">
        <v>452.38400000000001</v>
      </c>
      <c r="J3327">
        <v>643.20000000000005</v>
      </c>
      <c r="K3327">
        <v>17</v>
      </c>
      <c r="M3327">
        <v>0</v>
      </c>
      <c r="N3327" s="2">
        <v>5</v>
      </c>
      <c r="O3327">
        <v>2261.92</v>
      </c>
      <c r="P3327">
        <v>1</v>
      </c>
      <c r="Q3327">
        <v>4</v>
      </c>
      <c r="R3327">
        <v>5.97</v>
      </c>
      <c r="S3327">
        <v>2</v>
      </c>
      <c r="T3327">
        <v>4</v>
      </c>
      <c r="U3327" s="2">
        <v>2572.8000000000002</v>
      </c>
      <c r="V3327">
        <v>0</v>
      </c>
      <c r="W3327" t="s">
        <v>29</v>
      </c>
      <c r="X3327" t="str">
        <f>IF(Table2[[#This Row],[Qty available]]&gt;Table2[[#This Row],[Qty on hand]],"Check","OK")</f>
        <v>OK</v>
      </c>
    </row>
    <row r="3328" spans="1:24" x14ac:dyDescent="0.3">
      <c r="A3328" t="s">
        <v>337</v>
      </c>
      <c r="B3328" t="s">
        <v>338</v>
      </c>
      <c r="C3328" t="s">
        <v>77</v>
      </c>
      <c r="D3328" t="s">
        <v>78</v>
      </c>
      <c r="E3328" t="s">
        <v>27</v>
      </c>
      <c r="F3328" s="1" t="s">
        <v>43</v>
      </c>
      <c r="G3328" s="2">
        <v>449.2</v>
      </c>
      <c r="H3328">
        <v>449.2</v>
      </c>
      <c r="I3328">
        <v>451.19</v>
      </c>
      <c r="J3328">
        <v>643.20000000000005</v>
      </c>
      <c r="K3328">
        <v>17</v>
      </c>
      <c r="L3328" s="2">
        <v>16</v>
      </c>
      <c r="M3328">
        <v>3</v>
      </c>
      <c r="N3328" s="2">
        <v>4</v>
      </c>
      <c r="O3328">
        <v>1804.76</v>
      </c>
      <c r="P3328">
        <v>1</v>
      </c>
      <c r="Q3328">
        <v>3</v>
      </c>
      <c r="R3328">
        <v>4.7300000000000004</v>
      </c>
      <c r="S3328">
        <v>1</v>
      </c>
      <c r="T3328">
        <v>4</v>
      </c>
      <c r="U3328" s="2">
        <v>2572.8000000000002</v>
      </c>
      <c r="V3328">
        <v>0</v>
      </c>
      <c r="W3328" t="s">
        <v>29</v>
      </c>
      <c r="X3328" t="str">
        <f>IF(Table2[[#This Row],[Qty available]]&gt;Table2[[#This Row],[Qty on hand]],"Check","OK")</f>
        <v>OK</v>
      </c>
    </row>
    <row r="3329" spans="1:24" x14ac:dyDescent="0.3">
      <c r="A3329" t="s">
        <v>337</v>
      </c>
      <c r="B3329" t="s">
        <v>338</v>
      </c>
      <c r="C3329" t="s">
        <v>77</v>
      </c>
      <c r="D3329" t="s">
        <v>78</v>
      </c>
      <c r="E3329" t="s">
        <v>27</v>
      </c>
      <c r="F3329" s="1" t="s">
        <v>44</v>
      </c>
      <c r="G3329" s="2">
        <v>447.11</v>
      </c>
      <c r="H3329">
        <v>447.11</v>
      </c>
      <c r="I3329">
        <v>448.92285700000002</v>
      </c>
      <c r="J3329">
        <v>643.20000000000005</v>
      </c>
      <c r="K3329">
        <v>17</v>
      </c>
      <c r="L3329" s="2">
        <v>17</v>
      </c>
      <c r="M3329">
        <v>5</v>
      </c>
      <c r="N3329" s="2">
        <v>7</v>
      </c>
      <c r="O3329">
        <v>3142.46</v>
      </c>
      <c r="P3329">
        <v>1</v>
      </c>
      <c r="Q3329">
        <v>6</v>
      </c>
      <c r="R3329">
        <v>9.1999999999999993</v>
      </c>
      <c r="S3329">
        <v>9</v>
      </c>
      <c r="T3329">
        <v>2</v>
      </c>
      <c r="U3329" s="2">
        <v>1286.4000000000001</v>
      </c>
      <c r="V3329">
        <v>0</v>
      </c>
      <c r="W3329" t="s">
        <v>29</v>
      </c>
      <c r="X3329" t="str">
        <f>IF(Table2[[#This Row],[Qty available]]&gt;Table2[[#This Row],[Qty on hand]],"Check","OK")</f>
        <v>OK</v>
      </c>
    </row>
    <row r="3330" spans="1:24" x14ac:dyDescent="0.3">
      <c r="A3330" t="s">
        <v>337</v>
      </c>
      <c r="B3330" t="s">
        <v>338</v>
      </c>
      <c r="C3330" t="s">
        <v>77</v>
      </c>
      <c r="D3330" t="s">
        <v>78</v>
      </c>
      <c r="E3330" t="s">
        <v>27</v>
      </c>
      <c r="F3330" s="1" t="s">
        <v>45</v>
      </c>
      <c r="G3330" s="2">
        <v>459.29</v>
      </c>
      <c r="H3330">
        <v>459.29</v>
      </c>
      <c r="I3330">
        <v>453.70749999999998</v>
      </c>
      <c r="J3330">
        <v>643.20000000000005</v>
      </c>
      <c r="K3330">
        <v>17</v>
      </c>
      <c r="L3330" s="2">
        <v>16</v>
      </c>
      <c r="M3330">
        <v>6</v>
      </c>
      <c r="N3330" s="2">
        <v>8</v>
      </c>
      <c r="O3330">
        <v>3629.66</v>
      </c>
      <c r="P3330">
        <v>1</v>
      </c>
      <c r="Q3330">
        <v>7</v>
      </c>
      <c r="R3330">
        <v>9.56</v>
      </c>
      <c r="S3330">
        <v>2</v>
      </c>
      <c r="T3330">
        <v>5</v>
      </c>
      <c r="U3330" s="2">
        <v>3216</v>
      </c>
      <c r="V3330">
        <v>0</v>
      </c>
      <c r="W3330" t="s">
        <v>29</v>
      </c>
      <c r="X3330" t="str">
        <f>IF(Table2[[#This Row],[Qty available]]&gt;Table2[[#This Row],[Qty on hand]],"Check","OK")</f>
        <v>OK</v>
      </c>
    </row>
    <row r="3331" spans="1:24" x14ac:dyDescent="0.3">
      <c r="A3331" t="s">
        <v>337</v>
      </c>
      <c r="B3331" t="s">
        <v>338</v>
      </c>
      <c r="C3331" t="s">
        <v>77</v>
      </c>
      <c r="D3331" t="s">
        <v>78</v>
      </c>
      <c r="E3331" t="s">
        <v>27</v>
      </c>
      <c r="F3331" s="1" t="s">
        <v>46</v>
      </c>
      <c r="G3331" s="2">
        <v>450.68</v>
      </c>
      <c r="H3331">
        <v>450.68</v>
      </c>
      <c r="I3331">
        <v>453.70666699999998</v>
      </c>
      <c r="J3331">
        <v>673.84</v>
      </c>
      <c r="K3331">
        <v>17</v>
      </c>
      <c r="M3331">
        <v>0</v>
      </c>
      <c r="N3331" s="2">
        <v>6</v>
      </c>
      <c r="O3331">
        <v>2722.24</v>
      </c>
      <c r="P3331">
        <v>1</v>
      </c>
      <c r="Q3331">
        <v>5</v>
      </c>
      <c r="R3331">
        <v>8.57</v>
      </c>
      <c r="S3331">
        <v>22</v>
      </c>
      <c r="T3331">
        <v>2</v>
      </c>
      <c r="U3331" s="2">
        <v>1347.68</v>
      </c>
      <c r="V3331">
        <v>0</v>
      </c>
      <c r="W3331" t="s">
        <v>29</v>
      </c>
      <c r="X3331" t="str">
        <f>IF(Table2[[#This Row],[Qty available]]&gt;Table2[[#This Row],[Qty on hand]],"Check","OK")</f>
        <v>OK</v>
      </c>
    </row>
    <row r="3332" spans="1:24" x14ac:dyDescent="0.3">
      <c r="A3332" t="s">
        <v>337</v>
      </c>
      <c r="B3332" t="s">
        <v>338</v>
      </c>
      <c r="C3332" t="s">
        <v>77</v>
      </c>
      <c r="D3332" t="s">
        <v>78</v>
      </c>
      <c r="E3332" t="s">
        <v>27</v>
      </c>
      <c r="F3332" s="1" t="s">
        <v>47</v>
      </c>
      <c r="G3332" s="2">
        <v>487.85</v>
      </c>
      <c r="H3332">
        <v>487.85</v>
      </c>
      <c r="I3332">
        <v>470.77875</v>
      </c>
      <c r="J3332">
        <v>673.84</v>
      </c>
      <c r="K3332">
        <v>17</v>
      </c>
      <c r="L3332" s="2">
        <v>29</v>
      </c>
      <c r="M3332">
        <v>6</v>
      </c>
      <c r="N3332" s="2">
        <v>8</v>
      </c>
      <c r="O3332">
        <v>3766.23</v>
      </c>
      <c r="P3332">
        <v>1</v>
      </c>
      <c r="Q3332">
        <v>7</v>
      </c>
      <c r="R3332">
        <v>9.35</v>
      </c>
      <c r="S3332">
        <v>5</v>
      </c>
      <c r="T3332">
        <v>4</v>
      </c>
      <c r="U3332" s="2">
        <v>2695.36</v>
      </c>
      <c r="V3332">
        <v>0</v>
      </c>
      <c r="W3332" t="s">
        <v>29</v>
      </c>
      <c r="X3332" t="str">
        <f>IF(Table2[[#This Row],[Qty available]]&gt;Table2[[#This Row],[Qty on hand]],"Check","OK")</f>
        <v>OK</v>
      </c>
    </row>
    <row r="3333" spans="1:24" x14ac:dyDescent="0.3">
      <c r="A3333" t="s">
        <v>337</v>
      </c>
      <c r="B3333" t="s">
        <v>338</v>
      </c>
      <c r="C3333" t="s">
        <v>77</v>
      </c>
      <c r="D3333" t="s">
        <v>78</v>
      </c>
      <c r="E3333" t="s">
        <v>27</v>
      </c>
      <c r="F3333" s="1" t="s">
        <v>48</v>
      </c>
      <c r="G3333" s="2">
        <v>483.19</v>
      </c>
      <c r="H3333">
        <v>483.19</v>
      </c>
      <c r="I3333">
        <v>475.55200000000002</v>
      </c>
      <c r="J3333">
        <v>673.84</v>
      </c>
      <c r="K3333">
        <v>17</v>
      </c>
      <c r="L3333" s="2">
        <v>15</v>
      </c>
      <c r="M3333">
        <v>5</v>
      </c>
      <c r="N3333" s="2">
        <v>10</v>
      </c>
      <c r="O3333">
        <v>4755.5200000000004</v>
      </c>
      <c r="P3333">
        <v>1</v>
      </c>
      <c r="Q3333">
        <v>9</v>
      </c>
      <c r="R3333">
        <v>14.13</v>
      </c>
      <c r="S3333">
        <v>14</v>
      </c>
      <c r="T3333">
        <v>3</v>
      </c>
      <c r="U3333" s="2">
        <v>2021.52</v>
      </c>
      <c r="V3333">
        <v>0</v>
      </c>
      <c r="W3333" t="s">
        <v>29</v>
      </c>
      <c r="X3333" t="str">
        <f>IF(Table2[[#This Row],[Qty available]]&gt;Table2[[#This Row],[Qty on hand]],"Check","OK")</f>
        <v>OK</v>
      </c>
    </row>
    <row r="3334" spans="1:24" x14ac:dyDescent="0.3">
      <c r="A3334" t="s">
        <v>337</v>
      </c>
      <c r="B3334" t="s">
        <v>338</v>
      </c>
      <c r="C3334" t="s">
        <v>77</v>
      </c>
      <c r="D3334" t="s">
        <v>78</v>
      </c>
      <c r="E3334" t="s">
        <v>27</v>
      </c>
      <c r="F3334" s="1" t="s">
        <v>49</v>
      </c>
      <c r="G3334" s="2">
        <v>475.85</v>
      </c>
      <c r="H3334">
        <v>475.85</v>
      </c>
      <c r="I3334">
        <v>475.637</v>
      </c>
      <c r="J3334">
        <v>673.84</v>
      </c>
      <c r="K3334">
        <v>17</v>
      </c>
      <c r="L3334" s="2">
        <v>16</v>
      </c>
      <c r="M3334">
        <v>4</v>
      </c>
      <c r="N3334" s="2">
        <v>10</v>
      </c>
      <c r="O3334">
        <v>4756.37</v>
      </c>
      <c r="P3334">
        <v>0</v>
      </c>
      <c r="Q3334">
        <v>10</v>
      </c>
      <c r="R3334">
        <v>11.95</v>
      </c>
      <c r="S3334">
        <v>4</v>
      </c>
      <c r="T3334">
        <v>4</v>
      </c>
      <c r="U3334" s="2">
        <v>2695.36</v>
      </c>
      <c r="V3334">
        <v>0</v>
      </c>
      <c r="W3334" t="s">
        <v>29</v>
      </c>
      <c r="X3334" t="str">
        <f>IF(Table2[[#This Row],[Qty available]]&gt;Table2[[#This Row],[Qty on hand]],"Check","OK")</f>
        <v>OK</v>
      </c>
    </row>
    <row r="3335" spans="1:24" x14ac:dyDescent="0.3">
      <c r="A3335" t="s">
        <v>337</v>
      </c>
      <c r="B3335" t="s">
        <v>338</v>
      </c>
      <c r="C3335" t="s">
        <v>77</v>
      </c>
      <c r="D3335" t="s">
        <v>78</v>
      </c>
      <c r="E3335" t="s">
        <v>27</v>
      </c>
      <c r="F3335" s="1" t="s">
        <v>50</v>
      </c>
      <c r="G3335" s="2">
        <v>478.35</v>
      </c>
      <c r="H3335">
        <v>478.35</v>
      </c>
      <c r="I3335">
        <v>476.26307700000001</v>
      </c>
      <c r="J3335">
        <v>673.84</v>
      </c>
      <c r="K3335">
        <v>17</v>
      </c>
      <c r="L3335" s="2">
        <v>15</v>
      </c>
      <c r="M3335">
        <v>3</v>
      </c>
      <c r="N3335" s="2">
        <v>13</v>
      </c>
      <c r="O3335">
        <v>6191.42</v>
      </c>
      <c r="P3335">
        <v>0</v>
      </c>
      <c r="Q3335">
        <v>13</v>
      </c>
      <c r="R3335">
        <v>24.14</v>
      </c>
      <c r="S3335">
        <v>34</v>
      </c>
      <c r="T3335">
        <v>0</v>
      </c>
      <c r="U3335" s="2">
        <v>0</v>
      </c>
      <c r="V3335">
        <v>0</v>
      </c>
      <c r="W3335" t="s">
        <v>29</v>
      </c>
      <c r="X3335" t="str">
        <f>IF(Table2[[#This Row],[Qty available]]&gt;Table2[[#This Row],[Qty on hand]],"Check","OK")</f>
        <v>OK</v>
      </c>
    </row>
    <row r="3336" spans="1:24" x14ac:dyDescent="0.3">
      <c r="A3336" t="s">
        <v>337</v>
      </c>
      <c r="B3336" t="s">
        <v>338</v>
      </c>
      <c r="C3336" t="s">
        <v>77</v>
      </c>
      <c r="D3336" t="s">
        <v>78</v>
      </c>
      <c r="E3336" t="s">
        <v>27</v>
      </c>
      <c r="F3336" s="1" t="s">
        <v>51</v>
      </c>
      <c r="G3336" s="2">
        <v>484.43</v>
      </c>
      <c r="H3336">
        <v>484.43</v>
      </c>
      <c r="I3336">
        <v>476.26249999999999</v>
      </c>
      <c r="J3336">
        <v>673.84</v>
      </c>
      <c r="K3336">
        <v>17</v>
      </c>
      <c r="M3336">
        <v>0</v>
      </c>
      <c r="N3336" s="2">
        <v>8</v>
      </c>
      <c r="O3336">
        <v>3810.1</v>
      </c>
      <c r="P3336">
        <v>1</v>
      </c>
      <c r="Q3336">
        <v>7</v>
      </c>
      <c r="R3336">
        <v>11.68</v>
      </c>
      <c r="S3336">
        <v>2</v>
      </c>
      <c r="T3336">
        <v>5</v>
      </c>
      <c r="U3336" s="2">
        <v>3369.2</v>
      </c>
      <c r="V3336">
        <v>0</v>
      </c>
      <c r="W3336" t="s">
        <v>29</v>
      </c>
      <c r="X3336" t="str">
        <f>IF(Table2[[#This Row],[Qty available]]&gt;Table2[[#This Row],[Qty on hand]],"Check","OK")</f>
        <v>OK</v>
      </c>
    </row>
    <row r="3337" spans="1:24" x14ac:dyDescent="0.3">
      <c r="A3337" t="s">
        <v>337</v>
      </c>
      <c r="B3337" t="s">
        <v>338</v>
      </c>
      <c r="C3337" t="s">
        <v>77</v>
      </c>
      <c r="D3337" t="s">
        <v>78</v>
      </c>
      <c r="E3337" t="s">
        <v>27</v>
      </c>
      <c r="F3337" s="1" t="s">
        <v>52</v>
      </c>
      <c r="G3337" s="2">
        <v>477.79</v>
      </c>
      <c r="H3337">
        <v>477.79</v>
      </c>
      <c r="I3337">
        <v>476.77111100000002</v>
      </c>
      <c r="J3337">
        <v>673.84</v>
      </c>
      <c r="K3337">
        <v>17</v>
      </c>
      <c r="L3337" s="2">
        <v>15</v>
      </c>
      <c r="M3337">
        <v>4</v>
      </c>
      <c r="N3337" s="2">
        <v>9</v>
      </c>
      <c r="O3337">
        <v>4290.9399999999996</v>
      </c>
      <c r="P3337">
        <v>0</v>
      </c>
      <c r="Q3337">
        <v>9</v>
      </c>
      <c r="R3337">
        <v>14.79</v>
      </c>
      <c r="S3337">
        <v>7</v>
      </c>
      <c r="T3337">
        <v>3</v>
      </c>
      <c r="U3337" s="2">
        <v>2021.52</v>
      </c>
      <c r="V3337">
        <v>0</v>
      </c>
      <c r="W3337" t="s">
        <v>29</v>
      </c>
      <c r="X3337" t="str">
        <f>IF(Table2[[#This Row],[Qty available]]&gt;Table2[[#This Row],[Qty on hand]],"Check","OK")</f>
        <v>OK</v>
      </c>
    </row>
    <row r="3338" spans="1:24" x14ac:dyDescent="0.3">
      <c r="A3338" t="s">
        <v>339</v>
      </c>
      <c r="B3338" t="s">
        <v>340</v>
      </c>
      <c r="C3338" t="s">
        <v>91</v>
      </c>
      <c r="D3338" t="s">
        <v>92</v>
      </c>
      <c r="E3338" t="s">
        <v>66</v>
      </c>
      <c r="F3338" s="1" t="s">
        <v>28</v>
      </c>
      <c r="G3338" s="2">
        <v>210.39</v>
      </c>
      <c r="H3338">
        <v>210.39</v>
      </c>
      <c r="I3338">
        <v>210.88833299999999</v>
      </c>
      <c r="J3338">
        <v>293.47000000000003</v>
      </c>
      <c r="K3338">
        <v>14</v>
      </c>
      <c r="L3338" s="2">
        <v>23</v>
      </c>
      <c r="M3338">
        <v>6</v>
      </c>
      <c r="N3338" s="2">
        <v>6</v>
      </c>
      <c r="O3338">
        <v>1265.33</v>
      </c>
      <c r="P3338">
        <v>1</v>
      </c>
      <c r="Q3338">
        <v>5</v>
      </c>
      <c r="R3338">
        <v>7.89</v>
      </c>
      <c r="S3338">
        <v>29</v>
      </c>
      <c r="T3338">
        <v>2</v>
      </c>
      <c r="U3338" s="2">
        <v>586.94000000000005</v>
      </c>
      <c r="V3338">
        <v>0</v>
      </c>
      <c r="W3338" t="s">
        <v>29</v>
      </c>
      <c r="X3338" t="str">
        <f>IF(Table2[[#This Row],[Qty available]]&gt;Table2[[#This Row],[Qty on hand]],"Check","OK")</f>
        <v>OK</v>
      </c>
    </row>
    <row r="3339" spans="1:24" x14ac:dyDescent="0.3">
      <c r="A3339" t="s">
        <v>339</v>
      </c>
      <c r="B3339" t="s">
        <v>340</v>
      </c>
      <c r="C3339" t="s">
        <v>91</v>
      </c>
      <c r="D3339" t="s">
        <v>92</v>
      </c>
      <c r="E3339" t="s">
        <v>66</v>
      </c>
      <c r="F3339" s="1" t="s">
        <v>30</v>
      </c>
      <c r="G3339" s="2">
        <v>231.02</v>
      </c>
      <c r="H3339">
        <v>231.02</v>
      </c>
      <c r="I3339">
        <v>210.89</v>
      </c>
      <c r="J3339">
        <v>293.47000000000003</v>
      </c>
      <c r="K3339">
        <v>14</v>
      </c>
      <c r="M3339">
        <v>0</v>
      </c>
      <c r="N3339" s="2">
        <v>2</v>
      </c>
      <c r="O3339">
        <v>421.78</v>
      </c>
      <c r="P3339">
        <v>0</v>
      </c>
      <c r="Q3339">
        <v>2</v>
      </c>
      <c r="R3339">
        <v>2.63</v>
      </c>
      <c r="S3339">
        <v>11</v>
      </c>
      <c r="T3339">
        <v>4</v>
      </c>
      <c r="U3339" s="2">
        <v>1173.8800000000001</v>
      </c>
      <c r="V3339">
        <v>0</v>
      </c>
      <c r="W3339" t="s">
        <v>29</v>
      </c>
      <c r="X3339" t="str">
        <f>IF(Table2[[#This Row],[Qty available]]&gt;Table2[[#This Row],[Qty on hand]],"Check","OK")</f>
        <v>OK</v>
      </c>
    </row>
    <row r="3340" spans="1:24" x14ac:dyDescent="0.3">
      <c r="A3340" t="s">
        <v>339</v>
      </c>
      <c r="B3340" t="s">
        <v>340</v>
      </c>
      <c r="C3340" t="s">
        <v>91</v>
      </c>
      <c r="D3340" t="s">
        <v>92</v>
      </c>
      <c r="E3340" t="s">
        <v>66</v>
      </c>
      <c r="F3340" s="1" t="s">
        <v>31</v>
      </c>
      <c r="G3340" s="2">
        <v>227.42</v>
      </c>
      <c r="H3340">
        <v>227.42</v>
      </c>
      <c r="I3340">
        <v>223.28666699999999</v>
      </c>
      <c r="J3340">
        <v>293.47000000000003</v>
      </c>
      <c r="K3340">
        <v>14</v>
      </c>
      <c r="L3340" s="2">
        <v>25</v>
      </c>
      <c r="M3340">
        <v>6</v>
      </c>
      <c r="N3340" s="2">
        <v>6</v>
      </c>
      <c r="O3340">
        <v>1339.72</v>
      </c>
      <c r="P3340">
        <v>1</v>
      </c>
      <c r="Q3340">
        <v>5</v>
      </c>
      <c r="R3340">
        <v>9.75</v>
      </c>
      <c r="S3340">
        <v>20</v>
      </c>
      <c r="T3340">
        <v>2</v>
      </c>
      <c r="U3340" s="2">
        <v>586.94000000000005</v>
      </c>
      <c r="V3340">
        <v>0</v>
      </c>
      <c r="W3340" t="s">
        <v>29</v>
      </c>
      <c r="X3340" t="str">
        <f>IF(Table2[[#This Row],[Qty available]]&gt;Table2[[#This Row],[Qty on hand]],"Check","OK")</f>
        <v>OK</v>
      </c>
    </row>
    <row r="3341" spans="1:24" x14ac:dyDescent="0.3">
      <c r="A3341" t="s">
        <v>339</v>
      </c>
      <c r="B3341" t="s">
        <v>340</v>
      </c>
      <c r="C3341" t="s">
        <v>91</v>
      </c>
      <c r="D3341" t="s">
        <v>92</v>
      </c>
      <c r="E3341" t="s">
        <v>66</v>
      </c>
      <c r="F3341" s="1" t="s">
        <v>32</v>
      </c>
      <c r="G3341" s="2">
        <v>222.7</v>
      </c>
      <c r="H3341">
        <v>222.7</v>
      </c>
      <c r="I3341">
        <v>223.09142900000001</v>
      </c>
      <c r="J3341">
        <v>293.47000000000003</v>
      </c>
      <c r="K3341">
        <v>14</v>
      </c>
      <c r="L3341" s="2">
        <v>18</v>
      </c>
      <c r="M3341">
        <v>3</v>
      </c>
      <c r="N3341" s="2">
        <v>7</v>
      </c>
      <c r="O3341">
        <v>1561.64</v>
      </c>
      <c r="P3341">
        <v>1</v>
      </c>
      <c r="Q3341">
        <v>6</v>
      </c>
      <c r="R3341">
        <v>11.5</v>
      </c>
      <c r="S3341">
        <v>6</v>
      </c>
      <c r="T3341">
        <v>2</v>
      </c>
      <c r="U3341" s="2">
        <v>586.94000000000005</v>
      </c>
      <c r="V3341">
        <v>0</v>
      </c>
      <c r="W3341" t="s">
        <v>29</v>
      </c>
      <c r="X3341" t="str">
        <f>IF(Table2[[#This Row],[Qty available]]&gt;Table2[[#This Row],[Qty on hand]],"Check","OK")</f>
        <v>OK</v>
      </c>
    </row>
    <row r="3342" spans="1:24" x14ac:dyDescent="0.3">
      <c r="A3342" t="s">
        <v>339</v>
      </c>
      <c r="B3342" t="s">
        <v>340</v>
      </c>
      <c r="C3342" t="s">
        <v>91</v>
      </c>
      <c r="D3342" t="s">
        <v>92</v>
      </c>
      <c r="E3342" t="s">
        <v>66</v>
      </c>
      <c r="F3342" s="1" t="s">
        <v>33</v>
      </c>
      <c r="G3342" s="2">
        <v>223.21</v>
      </c>
      <c r="H3342">
        <v>223.21</v>
      </c>
      <c r="I3342">
        <v>223.0925</v>
      </c>
      <c r="J3342">
        <v>293.47000000000003</v>
      </c>
      <c r="K3342">
        <v>14</v>
      </c>
      <c r="M3342">
        <v>0</v>
      </c>
      <c r="N3342" s="2">
        <v>4</v>
      </c>
      <c r="O3342">
        <v>892.37</v>
      </c>
      <c r="P3342">
        <v>1</v>
      </c>
      <c r="Q3342">
        <v>3</v>
      </c>
      <c r="R3342">
        <v>7.51</v>
      </c>
      <c r="S3342">
        <v>14</v>
      </c>
      <c r="T3342">
        <v>3</v>
      </c>
      <c r="U3342" s="2">
        <v>880.41</v>
      </c>
      <c r="V3342">
        <v>0</v>
      </c>
      <c r="W3342" t="s">
        <v>29</v>
      </c>
      <c r="X3342" t="str">
        <f>IF(Table2[[#This Row],[Qty available]]&gt;Table2[[#This Row],[Qty on hand]],"Check","OK")</f>
        <v>OK</v>
      </c>
    </row>
    <row r="3343" spans="1:24" x14ac:dyDescent="0.3">
      <c r="A3343" t="s">
        <v>339</v>
      </c>
      <c r="B3343" t="s">
        <v>340</v>
      </c>
      <c r="C3343" t="s">
        <v>91</v>
      </c>
      <c r="D3343" t="s">
        <v>92</v>
      </c>
      <c r="E3343" t="s">
        <v>66</v>
      </c>
      <c r="F3343" s="1" t="s">
        <v>34</v>
      </c>
      <c r="G3343" s="2">
        <v>230.61</v>
      </c>
      <c r="H3343">
        <v>230.61</v>
      </c>
      <c r="I3343">
        <v>226.315</v>
      </c>
      <c r="J3343">
        <v>304.93</v>
      </c>
      <c r="K3343">
        <v>14</v>
      </c>
      <c r="L3343" s="2">
        <v>12</v>
      </c>
      <c r="M3343">
        <v>3</v>
      </c>
      <c r="N3343" s="2">
        <v>2</v>
      </c>
      <c r="O3343">
        <v>452.63</v>
      </c>
      <c r="P3343">
        <v>1</v>
      </c>
      <c r="Q3343">
        <v>1</v>
      </c>
      <c r="R3343">
        <v>2.57</v>
      </c>
      <c r="S3343">
        <v>11</v>
      </c>
      <c r="T3343">
        <v>5</v>
      </c>
      <c r="U3343" s="2">
        <v>1524.65</v>
      </c>
      <c r="V3343">
        <v>0</v>
      </c>
      <c r="W3343" t="s">
        <v>29</v>
      </c>
      <c r="X3343" t="str">
        <f>IF(Table2[[#This Row],[Qty available]]&gt;Table2[[#This Row],[Qty on hand]],"Check","OK")</f>
        <v>OK</v>
      </c>
    </row>
    <row r="3344" spans="1:24" x14ac:dyDescent="0.3">
      <c r="A3344" t="s">
        <v>339</v>
      </c>
      <c r="B3344" t="s">
        <v>340</v>
      </c>
      <c r="C3344" t="s">
        <v>91</v>
      </c>
      <c r="D3344" t="s">
        <v>92</v>
      </c>
      <c r="E3344" t="s">
        <v>66</v>
      </c>
      <c r="F3344" s="1" t="s">
        <v>35</v>
      </c>
      <c r="G3344" s="2">
        <v>230.33</v>
      </c>
      <c r="H3344">
        <v>230.33</v>
      </c>
      <c r="I3344">
        <v>229.32599999999999</v>
      </c>
      <c r="J3344">
        <v>304.93</v>
      </c>
      <c r="K3344">
        <v>14</v>
      </c>
      <c r="L3344" s="2">
        <v>12</v>
      </c>
      <c r="M3344">
        <v>6</v>
      </c>
      <c r="N3344" s="2">
        <v>5</v>
      </c>
      <c r="O3344">
        <v>1146.6300000000001</v>
      </c>
      <c r="P3344">
        <v>1</v>
      </c>
      <c r="Q3344">
        <v>4</v>
      </c>
      <c r="R3344">
        <v>5.84</v>
      </c>
      <c r="S3344">
        <v>5</v>
      </c>
      <c r="T3344">
        <v>3</v>
      </c>
      <c r="U3344" s="2">
        <v>914.79</v>
      </c>
      <c r="V3344">
        <v>0</v>
      </c>
      <c r="W3344" t="s">
        <v>29</v>
      </c>
      <c r="X3344" t="str">
        <f>IF(Table2[[#This Row],[Qty available]]&gt;Table2[[#This Row],[Qty on hand]],"Check","OK")</f>
        <v>OK</v>
      </c>
    </row>
    <row r="3345" spans="1:24" x14ac:dyDescent="0.3">
      <c r="A3345" t="s">
        <v>339</v>
      </c>
      <c r="B3345" t="s">
        <v>340</v>
      </c>
      <c r="C3345" t="s">
        <v>91</v>
      </c>
      <c r="D3345" t="s">
        <v>92</v>
      </c>
      <c r="E3345" t="s">
        <v>66</v>
      </c>
      <c r="F3345" s="1" t="s">
        <v>36</v>
      </c>
      <c r="G3345" s="2">
        <v>226.89</v>
      </c>
      <c r="H3345">
        <v>226.89</v>
      </c>
      <c r="I3345">
        <v>229.33</v>
      </c>
      <c r="J3345">
        <v>304.93</v>
      </c>
      <c r="K3345">
        <v>14</v>
      </c>
      <c r="M3345">
        <v>0</v>
      </c>
      <c r="N3345" s="2">
        <v>1</v>
      </c>
      <c r="O3345">
        <v>229.33</v>
      </c>
      <c r="P3345">
        <v>1</v>
      </c>
      <c r="Q3345">
        <v>0</v>
      </c>
      <c r="R3345">
        <v>1.06</v>
      </c>
      <c r="S3345">
        <v>14</v>
      </c>
      <c r="T3345">
        <v>4</v>
      </c>
      <c r="U3345" s="2">
        <v>1219.72</v>
      </c>
      <c r="V3345">
        <v>0</v>
      </c>
      <c r="W3345" t="s">
        <v>29</v>
      </c>
      <c r="X3345" t="str">
        <f>IF(Table2[[#This Row],[Qty available]]&gt;Table2[[#This Row],[Qty on hand]],"Check","OK")</f>
        <v>OK</v>
      </c>
    </row>
    <row r="3346" spans="1:24" x14ac:dyDescent="0.3">
      <c r="A3346" t="s">
        <v>339</v>
      </c>
      <c r="B3346" t="s">
        <v>340</v>
      </c>
      <c r="C3346" t="s">
        <v>91</v>
      </c>
      <c r="D3346" t="s">
        <v>92</v>
      </c>
      <c r="E3346" t="s">
        <v>66</v>
      </c>
      <c r="F3346" s="1" t="s">
        <v>37</v>
      </c>
      <c r="G3346" s="2">
        <v>224.5</v>
      </c>
      <c r="H3346">
        <v>224.5</v>
      </c>
      <c r="I3346">
        <v>225.465</v>
      </c>
      <c r="J3346">
        <v>304.93</v>
      </c>
      <c r="K3346">
        <v>14</v>
      </c>
      <c r="L3346" s="2">
        <v>19</v>
      </c>
      <c r="M3346">
        <v>4</v>
      </c>
      <c r="N3346" s="2">
        <v>2</v>
      </c>
      <c r="O3346">
        <v>450.93</v>
      </c>
      <c r="P3346">
        <v>0</v>
      </c>
      <c r="Q3346">
        <v>2</v>
      </c>
      <c r="R3346">
        <v>2.63</v>
      </c>
      <c r="S3346">
        <v>1</v>
      </c>
      <c r="T3346">
        <v>3</v>
      </c>
      <c r="U3346" s="2">
        <v>914.79</v>
      </c>
      <c r="V3346">
        <v>0</v>
      </c>
      <c r="W3346" t="s">
        <v>29</v>
      </c>
      <c r="X3346" t="str">
        <f>IF(Table2[[#This Row],[Qty available]]&gt;Table2[[#This Row],[Qty on hand]],"Check","OK")</f>
        <v>OK</v>
      </c>
    </row>
    <row r="3347" spans="1:24" x14ac:dyDescent="0.3">
      <c r="A3347" t="s">
        <v>339</v>
      </c>
      <c r="B3347" t="s">
        <v>340</v>
      </c>
      <c r="C3347" t="s">
        <v>91</v>
      </c>
      <c r="D3347" t="s">
        <v>92</v>
      </c>
      <c r="E3347" t="s">
        <v>66</v>
      </c>
      <c r="F3347" s="1" t="s">
        <v>38</v>
      </c>
      <c r="G3347" s="2">
        <v>228.31</v>
      </c>
      <c r="H3347">
        <v>228.31</v>
      </c>
      <c r="I3347">
        <v>227.172</v>
      </c>
      <c r="J3347">
        <v>304.93</v>
      </c>
      <c r="K3347">
        <v>14</v>
      </c>
      <c r="L3347" s="2">
        <v>12</v>
      </c>
      <c r="M3347">
        <v>3</v>
      </c>
      <c r="N3347" s="2">
        <v>0</v>
      </c>
      <c r="O3347">
        <v>0</v>
      </c>
      <c r="P3347">
        <v>0</v>
      </c>
      <c r="Q3347">
        <v>0</v>
      </c>
      <c r="R3347">
        <v>0</v>
      </c>
      <c r="S3347">
        <v>13</v>
      </c>
      <c r="T3347">
        <v>5</v>
      </c>
      <c r="U3347" s="2">
        <v>1524.65</v>
      </c>
      <c r="V3347">
        <v>0</v>
      </c>
      <c r="W3347" t="s">
        <v>29</v>
      </c>
      <c r="X3347" t="str">
        <f>IF(Table2[[#This Row],[Qty available]]&gt;Table2[[#This Row],[Qty on hand]],"Check","OK")</f>
        <v>OK</v>
      </c>
    </row>
    <row r="3348" spans="1:24" x14ac:dyDescent="0.3">
      <c r="A3348" t="s">
        <v>339</v>
      </c>
      <c r="B3348" t="s">
        <v>340</v>
      </c>
      <c r="C3348" t="s">
        <v>91</v>
      </c>
      <c r="D3348" t="s">
        <v>92</v>
      </c>
      <c r="E3348" t="s">
        <v>66</v>
      </c>
      <c r="F3348" s="1" t="s">
        <v>39</v>
      </c>
      <c r="G3348" s="2">
        <v>229.42</v>
      </c>
      <c r="H3348">
        <v>229.42</v>
      </c>
      <c r="I3348">
        <v>229.42</v>
      </c>
      <c r="J3348">
        <v>304.93</v>
      </c>
      <c r="K3348">
        <v>14</v>
      </c>
      <c r="L3348" s="2">
        <v>14</v>
      </c>
      <c r="M3348">
        <v>8</v>
      </c>
      <c r="N3348" s="2">
        <v>4</v>
      </c>
      <c r="O3348">
        <v>917.68</v>
      </c>
      <c r="P3348">
        <v>1</v>
      </c>
      <c r="Q3348">
        <v>3</v>
      </c>
      <c r="R3348">
        <v>4.38</v>
      </c>
      <c r="S3348">
        <v>3</v>
      </c>
      <c r="T3348">
        <v>4</v>
      </c>
      <c r="U3348" s="2">
        <v>1219.72</v>
      </c>
      <c r="V3348">
        <v>0</v>
      </c>
      <c r="W3348" t="s">
        <v>29</v>
      </c>
      <c r="X3348" t="str">
        <f>IF(Table2[[#This Row],[Qty available]]&gt;Table2[[#This Row],[Qty on hand]],"Check","OK")</f>
        <v>OK</v>
      </c>
    </row>
    <row r="3349" spans="1:24" x14ac:dyDescent="0.3">
      <c r="A3349" t="s">
        <v>339</v>
      </c>
      <c r="B3349" t="s">
        <v>340</v>
      </c>
      <c r="C3349" t="s">
        <v>91</v>
      </c>
      <c r="D3349" t="s">
        <v>92</v>
      </c>
      <c r="E3349" t="s">
        <v>66</v>
      </c>
      <c r="F3349" s="1" t="s">
        <v>40</v>
      </c>
      <c r="G3349" s="2">
        <v>226.74</v>
      </c>
      <c r="H3349">
        <v>226.74</v>
      </c>
      <c r="I3349">
        <v>228.27</v>
      </c>
      <c r="J3349">
        <v>304.93</v>
      </c>
      <c r="K3349">
        <v>14</v>
      </c>
      <c r="L3349" s="2">
        <v>13</v>
      </c>
      <c r="M3349">
        <v>3</v>
      </c>
      <c r="N3349" s="2">
        <v>1</v>
      </c>
      <c r="O3349">
        <v>228.27</v>
      </c>
      <c r="P3349">
        <v>0</v>
      </c>
      <c r="Q3349">
        <v>1</v>
      </c>
      <c r="R3349">
        <v>0.88</v>
      </c>
      <c r="S3349">
        <v>8</v>
      </c>
      <c r="T3349">
        <v>6</v>
      </c>
      <c r="U3349" s="2">
        <v>1829.58</v>
      </c>
      <c r="V3349">
        <v>0</v>
      </c>
      <c r="W3349" t="s">
        <v>29</v>
      </c>
      <c r="X3349" t="str">
        <f>IF(Table2[[#This Row],[Qty available]]&gt;Table2[[#This Row],[Qty on hand]],"Check","OK")</f>
        <v>OK</v>
      </c>
    </row>
    <row r="3350" spans="1:24" x14ac:dyDescent="0.3">
      <c r="A3350" t="s">
        <v>339</v>
      </c>
      <c r="B3350" t="s">
        <v>340</v>
      </c>
      <c r="C3350" t="s">
        <v>91</v>
      </c>
      <c r="D3350" t="s">
        <v>92</v>
      </c>
      <c r="E3350" t="s">
        <v>66</v>
      </c>
      <c r="F3350" s="1" t="s">
        <v>41</v>
      </c>
      <c r="G3350" s="2">
        <v>223.94</v>
      </c>
      <c r="H3350">
        <v>223.94</v>
      </c>
      <c r="I3350">
        <v>224.421111</v>
      </c>
      <c r="J3350">
        <v>304.93</v>
      </c>
      <c r="K3350">
        <v>14</v>
      </c>
      <c r="L3350" s="2">
        <v>14</v>
      </c>
      <c r="M3350">
        <v>8</v>
      </c>
      <c r="N3350" s="2">
        <v>9</v>
      </c>
      <c r="O3350">
        <v>2019.79</v>
      </c>
      <c r="P3350">
        <v>1</v>
      </c>
      <c r="Q3350">
        <v>8</v>
      </c>
      <c r="R3350">
        <v>11.83</v>
      </c>
      <c r="S3350">
        <v>38</v>
      </c>
      <c r="T3350">
        <v>0</v>
      </c>
      <c r="U3350" s="2">
        <v>0</v>
      </c>
      <c r="V3350">
        <v>0</v>
      </c>
      <c r="W3350" t="s">
        <v>29</v>
      </c>
      <c r="X3350" t="str">
        <f>IF(Table2[[#This Row],[Qty available]]&gt;Table2[[#This Row],[Qty on hand]],"Check","OK")</f>
        <v>OK</v>
      </c>
    </row>
    <row r="3351" spans="1:24" x14ac:dyDescent="0.3">
      <c r="A3351" t="s">
        <v>339</v>
      </c>
      <c r="B3351" t="s">
        <v>340</v>
      </c>
      <c r="C3351" t="s">
        <v>91</v>
      </c>
      <c r="D3351" t="s">
        <v>92</v>
      </c>
      <c r="E3351" t="s">
        <v>66</v>
      </c>
      <c r="F3351" s="1" t="s">
        <v>42</v>
      </c>
      <c r="G3351" s="2">
        <v>240.61</v>
      </c>
      <c r="H3351">
        <v>240.61</v>
      </c>
      <c r="I3351">
        <v>224.42142899999999</v>
      </c>
      <c r="J3351">
        <v>304.93</v>
      </c>
      <c r="K3351">
        <v>14</v>
      </c>
      <c r="M3351">
        <v>0</v>
      </c>
      <c r="N3351" s="2">
        <v>7</v>
      </c>
      <c r="O3351">
        <v>1570.95</v>
      </c>
      <c r="P3351">
        <v>1</v>
      </c>
      <c r="Q3351">
        <v>6</v>
      </c>
      <c r="R3351">
        <v>11.5</v>
      </c>
      <c r="S3351">
        <v>19</v>
      </c>
      <c r="T3351">
        <v>2</v>
      </c>
      <c r="U3351" s="2">
        <v>609.86</v>
      </c>
      <c r="V3351">
        <v>0</v>
      </c>
      <c r="W3351" t="s">
        <v>29</v>
      </c>
      <c r="X3351" t="str">
        <f>IF(Table2[[#This Row],[Qty available]]&gt;Table2[[#This Row],[Qty on hand]],"Check","OK")</f>
        <v>OK</v>
      </c>
    </row>
    <row r="3352" spans="1:24" x14ac:dyDescent="0.3">
      <c r="A3352" t="s">
        <v>339</v>
      </c>
      <c r="B3352" t="s">
        <v>340</v>
      </c>
      <c r="C3352" t="s">
        <v>91</v>
      </c>
      <c r="D3352" t="s">
        <v>92</v>
      </c>
      <c r="E3352" t="s">
        <v>66</v>
      </c>
      <c r="F3352" s="1" t="s">
        <v>43</v>
      </c>
      <c r="G3352" s="2">
        <v>236.04</v>
      </c>
      <c r="H3352">
        <v>236.04</v>
      </c>
      <c r="I3352">
        <v>227.90600000000001</v>
      </c>
      <c r="J3352">
        <v>304.93</v>
      </c>
      <c r="K3352">
        <v>14</v>
      </c>
      <c r="L3352" s="2">
        <v>13</v>
      </c>
      <c r="M3352">
        <v>3</v>
      </c>
      <c r="N3352" s="2">
        <v>5</v>
      </c>
      <c r="O3352">
        <v>1139.53</v>
      </c>
      <c r="P3352">
        <v>0</v>
      </c>
      <c r="Q3352">
        <v>5</v>
      </c>
      <c r="R3352">
        <v>9.2899999999999991</v>
      </c>
      <c r="S3352">
        <v>7</v>
      </c>
      <c r="T3352">
        <v>5</v>
      </c>
      <c r="U3352" s="2">
        <v>1524.65</v>
      </c>
      <c r="V3352">
        <v>0</v>
      </c>
      <c r="W3352" t="s">
        <v>29</v>
      </c>
      <c r="X3352" t="str">
        <f>IF(Table2[[#This Row],[Qty available]]&gt;Table2[[#This Row],[Qty on hand]],"Check","OK")</f>
        <v>OK</v>
      </c>
    </row>
    <row r="3353" spans="1:24" x14ac:dyDescent="0.3">
      <c r="A3353" t="s">
        <v>339</v>
      </c>
      <c r="B3353" t="s">
        <v>340</v>
      </c>
      <c r="C3353" t="s">
        <v>91</v>
      </c>
      <c r="D3353" t="s">
        <v>92</v>
      </c>
      <c r="E3353" t="s">
        <v>66</v>
      </c>
      <c r="F3353" s="1" t="s">
        <v>44</v>
      </c>
      <c r="G3353" s="2">
        <v>235.12</v>
      </c>
      <c r="H3353">
        <v>235.12</v>
      </c>
      <c r="I3353">
        <v>230.61166700000001</v>
      </c>
      <c r="J3353">
        <v>304.93</v>
      </c>
      <c r="K3353">
        <v>14</v>
      </c>
      <c r="L3353" s="2">
        <v>12</v>
      </c>
      <c r="M3353">
        <v>3</v>
      </c>
      <c r="N3353" s="2">
        <v>6</v>
      </c>
      <c r="O3353">
        <v>1383.67</v>
      </c>
      <c r="P3353">
        <v>1</v>
      </c>
      <c r="Q3353">
        <v>5</v>
      </c>
      <c r="R3353">
        <v>8.76</v>
      </c>
      <c r="S3353">
        <v>14</v>
      </c>
      <c r="T3353">
        <v>2</v>
      </c>
      <c r="U3353" s="2">
        <v>609.86</v>
      </c>
      <c r="V3353">
        <v>0</v>
      </c>
      <c r="W3353" t="s">
        <v>29</v>
      </c>
      <c r="X3353" t="str">
        <f>IF(Table2[[#This Row],[Qty available]]&gt;Table2[[#This Row],[Qty on hand]],"Check","OK")</f>
        <v>OK</v>
      </c>
    </row>
    <row r="3354" spans="1:24" x14ac:dyDescent="0.3">
      <c r="A3354" t="s">
        <v>339</v>
      </c>
      <c r="B3354" t="s">
        <v>340</v>
      </c>
      <c r="C3354" t="s">
        <v>91</v>
      </c>
      <c r="D3354" t="s">
        <v>92</v>
      </c>
      <c r="E3354" t="s">
        <v>66</v>
      </c>
      <c r="F3354" s="1" t="s">
        <v>45</v>
      </c>
      <c r="G3354" s="2">
        <v>238.51</v>
      </c>
      <c r="H3354">
        <v>238.51</v>
      </c>
      <c r="I3354">
        <v>230.61</v>
      </c>
      <c r="J3354">
        <v>304.93</v>
      </c>
      <c r="K3354">
        <v>14</v>
      </c>
      <c r="M3354">
        <v>0</v>
      </c>
      <c r="N3354" s="2">
        <v>2</v>
      </c>
      <c r="O3354">
        <v>461.22</v>
      </c>
      <c r="P3354">
        <v>1</v>
      </c>
      <c r="Q3354">
        <v>1</v>
      </c>
      <c r="R3354">
        <v>2.39</v>
      </c>
      <c r="S3354">
        <v>23</v>
      </c>
      <c r="T3354">
        <v>4</v>
      </c>
      <c r="U3354" s="2">
        <v>1219.72</v>
      </c>
      <c r="V3354">
        <v>0</v>
      </c>
      <c r="W3354" t="s">
        <v>29</v>
      </c>
      <c r="X3354" t="str">
        <f>IF(Table2[[#This Row],[Qty available]]&gt;Table2[[#This Row],[Qty on hand]],"Check","OK")</f>
        <v>OK</v>
      </c>
    </row>
    <row r="3355" spans="1:24" x14ac:dyDescent="0.3">
      <c r="A3355" t="s">
        <v>339</v>
      </c>
      <c r="B3355" t="s">
        <v>340</v>
      </c>
      <c r="C3355" t="s">
        <v>91</v>
      </c>
      <c r="D3355" t="s">
        <v>92</v>
      </c>
      <c r="E3355" t="s">
        <v>66</v>
      </c>
      <c r="F3355" s="1" t="s">
        <v>46</v>
      </c>
      <c r="G3355" s="2">
        <v>243.1</v>
      </c>
      <c r="H3355">
        <v>243.1</v>
      </c>
      <c r="I3355">
        <v>238.935</v>
      </c>
      <c r="J3355">
        <v>316.83</v>
      </c>
      <c r="K3355">
        <v>14</v>
      </c>
      <c r="L3355" s="2">
        <v>13</v>
      </c>
      <c r="M3355">
        <v>4</v>
      </c>
      <c r="N3355" s="2">
        <v>2</v>
      </c>
      <c r="O3355">
        <v>477.87</v>
      </c>
      <c r="P3355">
        <v>1</v>
      </c>
      <c r="Q3355">
        <v>1</v>
      </c>
      <c r="R3355">
        <v>2.57</v>
      </c>
      <c r="S3355">
        <v>15</v>
      </c>
      <c r="T3355">
        <v>4</v>
      </c>
      <c r="U3355" s="2">
        <v>1267.32</v>
      </c>
      <c r="V3355">
        <v>0</v>
      </c>
      <c r="W3355" t="s">
        <v>29</v>
      </c>
      <c r="X3355" t="str">
        <f>IF(Table2[[#This Row],[Qty available]]&gt;Table2[[#This Row],[Qty on hand]],"Check","OK")</f>
        <v>OK</v>
      </c>
    </row>
    <row r="3356" spans="1:24" x14ac:dyDescent="0.3">
      <c r="A3356" t="s">
        <v>339</v>
      </c>
      <c r="B3356" t="s">
        <v>340</v>
      </c>
      <c r="C3356" t="s">
        <v>91</v>
      </c>
      <c r="D3356" t="s">
        <v>92</v>
      </c>
      <c r="E3356" t="s">
        <v>66</v>
      </c>
      <c r="F3356" s="1" t="s">
        <v>47</v>
      </c>
      <c r="G3356" s="2">
        <v>238.99</v>
      </c>
      <c r="H3356">
        <v>238.99</v>
      </c>
      <c r="I3356">
        <v>238.97</v>
      </c>
      <c r="J3356">
        <v>316.83</v>
      </c>
      <c r="K3356">
        <v>14</v>
      </c>
      <c r="L3356" s="2">
        <v>13</v>
      </c>
      <c r="M3356">
        <v>4</v>
      </c>
      <c r="N3356" s="2">
        <v>2</v>
      </c>
      <c r="O3356">
        <v>477.94</v>
      </c>
      <c r="P3356">
        <v>1</v>
      </c>
      <c r="Q3356">
        <v>1</v>
      </c>
      <c r="R3356">
        <v>2.14</v>
      </c>
      <c r="S3356">
        <v>27</v>
      </c>
      <c r="T3356">
        <v>4</v>
      </c>
      <c r="U3356" s="2">
        <v>1267.32</v>
      </c>
      <c r="V3356">
        <v>0</v>
      </c>
      <c r="W3356" t="s">
        <v>29</v>
      </c>
      <c r="X3356" t="str">
        <f>IF(Table2[[#This Row],[Qty available]]&gt;Table2[[#This Row],[Qty on hand]],"Check","OK")</f>
        <v>OK</v>
      </c>
    </row>
    <row r="3357" spans="1:24" x14ac:dyDescent="0.3">
      <c r="A3357" t="s">
        <v>339</v>
      </c>
      <c r="B3357" t="s">
        <v>340</v>
      </c>
      <c r="C3357" t="s">
        <v>91</v>
      </c>
      <c r="D3357" t="s">
        <v>92</v>
      </c>
      <c r="E3357" t="s">
        <v>66</v>
      </c>
      <c r="F3357" s="1" t="s">
        <v>48</v>
      </c>
      <c r="G3357" s="2">
        <v>237.67</v>
      </c>
      <c r="H3357">
        <v>237.67</v>
      </c>
      <c r="I3357">
        <v>238.04249999999999</v>
      </c>
      <c r="J3357">
        <v>316.83</v>
      </c>
      <c r="K3357">
        <v>14</v>
      </c>
      <c r="L3357" s="2">
        <v>13</v>
      </c>
      <c r="M3357">
        <v>5</v>
      </c>
      <c r="N3357" s="2">
        <v>4</v>
      </c>
      <c r="O3357">
        <v>952.17</v>
      </c>
      <c r="P3357">
        <v>0</v>
      </c>
      <c r="Q3357">
        <v>4</v>
      </c>
      <c r="R3357">
        <v>4.62</v>
      </c>
      <c r="S3357">
        <v>1</v>
      </c>
      <c r="T3357">
        <v>3</v>
      </c>
      <c r="U3357" s="2">
        <v>950.49</v>
      </c>
      <c r="V3357">
        <v>0</v>
      </c>
      <c r="W3357" t="s">
        <v>29</v>
      </c>
      <c r="X3357" t="str">
        <f>IF(Table2[[#This Row],[Qty available]]&gt;Table2[[#This Row],[Qty on hand]],"Check","OK")</f>
        <v>OK</v>
      </c>
    </row>
    <row r="3358" spans="1:24" x14ac:dyDescent="0.3">
      <c r="A3358" t="s">
        <v>339</v>
      </c>
      <c r="B3358" t="s">
        <v>340</v>
      </c>
      <c r="C3358" t="s">
        <v>91</v>
      </c>
      <c r="D3358" t="s">
        <v>92</v>
      </c>
      <c r="E3358" t="s">
        <v>66</v>
      </c>
      <c r="F3358" s="1" t="s">
        <v>49</v>
      </c>
      <c r="G3358" s="2">
        <v>238.85</v>
      </c>
      <c r="H3358">
        <v>238.85</v>
      </c>
      <c r="I3358">
        <v>238.39</v>
      </c>
      <c r="J3358">
        <v>316.83</v>
      </c>
      <c r="K3358">
        <v>14</v>
      </c>
      <c r="L3358" s="2">
        <v>12</v>
      </c>
      <c r="M3358">
        <v>3</v>
      </c>
      <c r="N3358" s="2">
        <v>3</v>
      </c>
      <c r="O3358">
        <v>715.17</v>
      </c>
      <c r="P3358">
        <v>1</v>
      </c>
      <c r="Q3358">
        <v>2</v>
      </c>
      <c r="R3358">
        <v>3.58</v>
      </c>
      <c r="S3358">
        <v>12</v>
      </c>
      <c r="T3358">
        <v>4</v>
      </c>
      <c r="U3358" s="2">
        <v>1267.32</v>
      </c>
      <c r="V3358">
        <v>0</v>
      </c>
      <c r="W3358" t="s">
        <v>29</v>
      </c>
      <c r="X3358" t="str">
        <f>IF(Table2[[#This Row],[Qty available]]&gt;Table2[[#This Row],[Qty on hand]],"Check","OK")</f>
        <v>OK</v>
      </c>
    </row>
    <row r="3359" spans="1:24" x14ac:dyDescent="0.3">
      <c r="A3359" t="s">
        <v>339</v>
      </c>
      <c r="B3359" t="s">
        <v>340</v>
      </c>
      <c r="C3359" t="s">
        <v>91</v>
      </c>
      <c r="D3359" t="s">
        <v>92</v>
      </c>
      <c r="E3359" t="s">
        <v>66</v>
      </c>
      <c r="F3359" s="1" t="s">
        <v>50</v>
      </c>
      <c r="G3359" s="2">
        <v>241.21</v>
      </c>
      <c r="H3359">
        <v>241.21</v>
      </c>
      <c r="I3359">
        <v>239.8</v>
      </c>
      <c r="J3359">
        <v>316.83</v>
      </c>
      <c r="K3359">
        <v>14</v>
      </c>
      <c r="L3359" s="2">
        <v>25</v>
      </c>
      <c r="M3359">
        <v>3</v>
      </c>
      <c r="N3359" s="2">
        <v>5</v>
      </c>
      <c r="O3359">
        <v>1199</v>
      </c>
      <c r="P3359">
        <v>1</v>
      </c>
      <c r="Q3359">
        <v>4</v>
      </c>
      <c r="R3359">
        <v>8.1300000000000008</v>
      </c>
      <c r="S3359">
        <v>8</v>
      </c>
      <c r="T3359">
        <v>1</v>
      </c>
      <c r="U3359" s="2">
        <v>316.83</v>
      </c>
      <c r="V3359">
        <v>0</v>
      </c>
      <c r="W3359" t="s">
        <v>29</v>
      </c>
      <c r="X3359" t="str">
        <f>IF(Table2[[#This Row],[Qty available]]&gt;Table2[[#This Row],[Qty on hand]],"Check","OK")</f>
        <v>OK</v>
      </c>
    </row>
    <row r="3360" spans="1:24" x14ac:dyDescent="0.3">
      <c r="A3360" t="s">
        <v>339</v>
      </c>
      <c r="B3360" t="s">
        <v>340</v>
      </c>
      <c r="C3360" t="s">
        <v>91</v>
      </c>
      <c r="D3360" t="s">
        <v>92</v>
      </c>
      <c r="E3360" t="s">
        <v>66</v>
      </c>
      <c r="F3360" s="1" t="s">
        <v>51</v>
      </c>
      <c r="G3360" s="2">
        <v>240.47</v>
      </c>
      <c r="H3360">
        <v>240.47</v>
      </c>
      <c r="I3360">
        <v>240.05142900000001</v>
      </c>
      <c r="J3360">
        <v>316.83</v>
      </c>
      <c r="K3360">
        <v>14</v>
      </c>
      <c r="L3360" s="2">
        <v>13</v>
      </c>
      <c r="M3360">
        <v>3</v>
      </c>
      <c r="N3360" s="2">
        <v>7</v>
      </c>
      <c r="O3360">
        <v>1680.36</v>
      </c>
      <c r="P3360">
        <v>1</v>
      </c>
      <c r="Q3360">
        <v>6</v>
      </c>
      <c r="R3360">
        <v>15.33</v>
      </c>
      <c r="S3360">
        <v>2</v>
      </c>
      <c r="T3360">
        <v>1</v>
      </c>
      <c r="U3360" s="2">
        <v>316.83</v>
      </c>
      <c r="V3360">
        <v>0</v>
      </c>
      <c r="W3360" t="s">
        <v>29</v>
      </c>
      <c r="X3360" t="str">
        <f>IF(Table2[[#This Row],[Qty available]]&gt;Table2[[#This Row],[Qty on hand]],"Check","OK")</f>
        <v>OK</v>
      </c>
    </row>
    <row r="3361" spans="1:24" x14ac:dyDescent="0.3">
      <c r="A3361" t="s">
        <v>339</v>
      </c>
      <c r="B3361" t="s">
        <v>340</v>
      </c>
      <c r="C3361" t="s">
        <v>91</v>
      </c>
      <c r="D3361" t="s">
        <v>92</v>
      </c>
      <c r="E3361" t="s">
        <v>66</v>
      </c>
      <c r="F3361" s="1" t="s">
        <v>52</v>
      </c>
      <c r="G3361" s="2">
        <v>243.76</v>
      </c>
      <c r="H3361">
        <v>243.76</v>
      </c>
      <c r="I3361">
        <v>240.05</v>
      </c>
      <c r="J3361">
        <v>316.83</v>
      </c>
      <c r="K3361">
        <v>14</v>
      </c>
      <c r="M3361">
        <v>0</v>
      </c>
      <c r="N3361" s="2">
        <v>3</v>
      </c>
      <c r="O3361">
        <v>720.15</v>
      </c>
      <c r="P3361">
        <v>0</v>
      </c>
      <c r="Q3361">
        <v>3</v>
      </c>
      <c r="R3361">
        <v>6.57</v>
      </c>
      <c r="S3361">
        <v>11</v>
      </c>
      <c r="T3361">
        <v>4</v>
      </c>
      <c r="U3361" s="2">
        <v>1267.32</v>
      </c>
      <c r="V3361">
        <v>0</v>
      </c>
      <c r="W3361" t="s">
        <v>29</v>
      </c>
      <c r="X3361" t="str">
        <f>IF(Table2[[#This Row],[Qty available]]&gt;Table2[[#This Row],[Qty on hand]],"Check","OK")</f>
        <v>OK</v>
      </c>
    </row>
    <row r="3362" spans="1:24" x14ac:dyDescent="0.3">
      <c r="A3362" t="s">
        <v>341</v>
      </c>
      <c r="B3362" t="s">
        <v>342</v>
      </c>
      <c r="C3362" t="s">
        <v>91</v>
      </c>
      <c r="D3362" t="s">
        <v>92</v>
      </c>
      <c r="E3362" t="s">
        <v>66</v>
      </c>
      <c r="F3362" s="1" t="s">
        <v>28</v>
      </c>
      <c r="G3362" s="2">
        <v>51.29</v>
      </c>
      <c r="H3362">
        <v>51.29</v>
      </c>
      <c r="I3362">
        <v>52.726067999999998</v>
      </c>
      <c r="J3362">
        <v>74.569999999999993</v>
      </c>
      <c r="K3362">
        <v>40</v>
      </c>
      <c r="M3362">
        <v>0</v>
      </c>
      <c r="N3362" s="2">
        <v>295</v>
      </c>
      <c r="O3362">
        <v>15554.19</v>
      </c>
      <c r="P3362">
        <v>30</v>
      </c>
      <c r="Q3362">
        <v>265</v>
      </c>
      <c r="R3362">
        <v>10.62</v>
      </c>
      <c r="S3362">
        <v>1</v>
      </c>
      <c r="T3362">
        <v>156</v>
      </c>
      <c r="U3362" s="2">
        <v>11632.92</v>
      </c>
      <c r="V3362">
        <v>0</v>
      </c>
      <c r="W3362" t="s">
        <v>29</v>
      </c>
      <c r="X3362" t="str">
        <f>IF(Table2[[#This Row],[Qty available]]&gt;Table2[[#This Row],[Qty on hand]],"Check","OK")</f>
        <v>OK</v>
      </c>
    </row>
    <row r="3363" spans="1:24" x14ac:dyDescent="0.3">
      <c r="A3363" t="s">
        <v>341</v>
      </c>
      <c r="B3363" t="s">
        <v>342</v>
      </c>
      <c r="C3363" t="s">
        <v>91</v>
      </c>
      <c r="D3363" t="s">
        <v>92</v>
      </c>
      <c r="E3363" t="s">
        <v>66</v>
      </c>
      <c r="F3363" s="1" t="s">
        <v>30</v>
      </c>
      <c r="G3363" s="2">
        <v>54.86</v>
      </c>
      <c r="H3363">
        <v>54.86</v>
      </c>
      <c r="I3363">
        <v>53.172314</v>
      </c>
      <c r="J3363">
        <v>74.569999999999993</v>
      </c>
      <c r="K3363">
        <v>40</v>
      </c>
      <c r="L3363" s="2">
        <v>36</v>
      </c>
      <c r="M3363">
        <v>78</v>
      </c>
      <c r="N3363" s="2">
        <v>229</v>
      </c>
      <c r="O3363">
        <v>12176.46</v>
      </c>
      <c r="P3363">
        <v>15</v>
      </c>
      <c r="Q3363">
        <v>214</v>
      </c>
      <c r="R3363">
        <v>7.07</v>
      </c>
      <c r="S3363">
        <v>1</v>
      </c>
      <c r="T3363">
        <v>144</v>
      </c>
      <c r="U3363" s="2">
        <v>10738.08</v>
      </c>
      <c r="V3363">
        <v>0</v>
      </c>
      <c r="W3363" t="s">
        <v>29</v>
      </c>
      <c r="X3363" t="str">
        <f>IF(Table2[[#This Row],[Qty available]]&gt;Table2[[#This Row],[Qty on hand]],"Check","OK")</f>
        <v>OK</v>
      </c>
    </row>
    <row r="3364" spans="1:24" x14ac:dyDescent="0.3">
      <c r="A3364" t="s">
        <v>341</v>
      </c>
      <c r="B3364" t="s">
        <v>342</v>
      </c>
      <c r="C3364" t="s">
        <v>91</v>
      </c>
      <c r="D3364" t="s">
        <v>92</v>
      </c>
      <c r="E3364" t="s">
        <v>66</v>
      </c>
      <c r="F3364" s="1" t="s">
        <v>31</v>
      </c>
      <c r="G3364" s="2">
        <v>55.84</v>
      </c>
      <c r="H3364">
        <v>55.84</v>
      </c>
      <c r="I3364">
        <v>54.435626999999997</v>
      </c>
      <c r="J3364">
        <v>74.569999999999993</v>
      </c>
      <c r="K3364">
        <v>40</v>
      </c>
      <c r="L3364" s="2">
        <v>35</v>
      </c>
      <c r="M3364">
        <v>206</v>
      </c>
      <c r="N3364" s="2">
        <v>375</v>
      </c>
      <c r="O3364">
        <v>20413.36</v>
      </c>
      <c r="P3364">
        <v>35</v>
      </c>
      <c r="Q3364">
        <v>340</v>
      </c>
      <c r="R3364">
        <v>13.54</v>
      </c>
      <c r="S3364">
        <v>0</v>
      </c>
      <c r="T3364">
        <v>60</v>
      </c>
      <c r="U3364" s="2">
        <v>4474.2</v>
      </c>
      <c r="V3364">
        <v>0</v>
      </c>
      <c r="W3364" t="s">
        <v>29</v>
      </c>
      <c r="X3364" t="str">
        <f>IF(Table2[[#This Row],[Qty available]]&gt;Table2[[#This Row],[Qty on hand]],"Check","OK")</f>
        <v>OK</v>
      </c>
    </row>
    <row r="3365" spans="1:24" x14ac:dyDescent="0.3">
      <c r="A3365" t="s">
        <v>341</v>
      </c>
      <c r="B3365" t="s">
        <v>342</v>
      </c>
      <c r="C3365" t="s">
        <v>91</v>
      </c>
      <c r="D3365" t="s">
        <v>92</v>
      </c>
      <c r="E3365" t="s">
        <v>66</v>
      </c>
      <c r="F3365" s="1" t="s">
        <v>32</v>
      </c>
      <c r="G3365" s="2">
        <v>55.46</v>
      </c>
      <c r="H3365">
        <v>55.46</v>
      </c>
      <c r="I3365">
        <v>54.918962000000001</v>
      </c>
      <c r="J3365">
        <v>74.569999999999993</v>
      </c>
      <c r="K3365">
        <v>40</v>
      </c>
      <c r="L3365" s="2">
        <v>36</v>
      </c>
      <c r="M3365">
        <v>335</v>
      </c>
      <c r="N3365" s="2">
        <v>549</v>
      </c>
      <c r="O3365">
        <v>30150.51</v>
      </c>
      <c r="P3365">
        <v>10</v>
      </c>
      <c r="Q3365">
        <v>539</v>
      </c>
      <c r="R3365">
        <v>19.77</v>
      </c>
      <c r="S3365">
        <v>0</v>
      </c>
      <c r="T3365">
        <v>161</v>
      </c>
      <c r="U3365" s="2">
        <v>12005.77</v>
      </c>
      <c r="V3365">
        <v>0</v>
      </c>
      <c r="W3365" t="s">
        <v>29</v>
      </c>
      <c r="X3365" t="str">
        <f>IF(Table2[[#This Row],[Qty available]]&gt;Table2[[#This Row],[Qty on hand]],"Check","OK")</f>
        <v>OK</v>
      </c>
    </row>
    <row r="3366" spans="1:24" x14ac:dyDescent="0.3">
      <c r="A3366" t="s">
        <v>341</v>
      </c>
      <c r="B3366" t="s">
        <v>342</v>
      </c>
      <c r="C3366" t="s">
        <v>91</v>
      </c>
      <c r="D3366" t="s">
        <v>92</v>
      </c>
      <c r="E3366" t="s">
        <v>66</v>
      </c>
      <c r="F3366" s="1" t="s">
        <v>33</v>
      </c>
      <c r="G3366" s="2">
        <v>54.35</v>
      </c>
      <c r="H3366">
        <v>54.35</v>
      </c>
      <c r="I3366">
        <v>54.918959999999998</v>
      </c>
      <c r="J3366">
        <v>74.569999999999993</v>
      </c>
      <c r="K3366">
        <v>40</v>
      </c>
      <c r="M3366">
        <v>0</v>
      </c>
      <c r="N3366" s="2">
        <v>519</v>
      </c>
      <c r="O3366">
        <v>28502.94</v>
      </c>
      <c r="P3366">
        <v>25</v>
      </c>
      <c r="Q3366">
        <v>494</v>
      </c>
      <c r="R3366">
        <v>27.18</v>
      </c>
      <c r="S3366">
        <v>6</v>
      </c>
      <c r="T3366">
        <v>30</v>
      </c>
      <c r="U3366" s="2">
        <v>2237.1</v>
      </c>
      <c r="V3366">
        <v>0</v>
      </c>
      <c r="W3366" t="s">
        <v>29</v>
      </c>
      <c r="X3366" t="str">
        <f>IF(Table2[[#This Row],[Qty available]]&gt;Table2[[#This Row],[Qty on hand]],"Check","OK")</f>
        <v>OK</v>
      </c>
    </row>
    <row r="3367" spans="1:24" x14ac:dyDescent="0.3">
      <c r="A3367" t="s">
        <v>341</v>
      </c>
      <c r="B3367" t="s">
        <v>342</v>
      </c>
      <c r="C3367" t="s">
        <v>91</v>
      </c>
      <c r="D3367" t="s">
        <v>92</v>
      </c>
      <c r="E3367" t="s">
        <v>66</v>
      </c>
      <c r="F3367" s="1" t="s">
        <v>34</v>
      </c>
      <c r="G3367" s="2">
        <v>54.26</v>
      </c>
      <c r="H3367">
        <v>54.26</v>
      </c>
      <c r="I3367">
        <v>54.894511999999999</v>
      </c>
      <c r="J3367">
        <v>78.63</v>
      </c>
      <c r="K3367">
        <v>40</v>
      </c>
      <c r="L3367" s="2">
        <v>47</v>
      </c>
      <c r="M3367">
        <v>20</v>
      </c>
      <c r="N3367" s="2">
        <v>410</v>
      </c>
      <c r="O3367">
        <v>22506.75</v>
      </c>
      <c r="P3367">
        <v>20</v>
      </c>
      <c r="Q3367">
        <v>390</v>
      </c>
      <c r="R3367">
        <v>16.47</v>
      </c>
      <c r="S3367">
        <v>2</v>
      </c>
      <c r="T3367">
        <v>129</v>
      </c>
      <c r="U3367" s="2">
        <v>10143.27</v>
      </c>
      <c r="V3367">
        <v>0</v>
      </c>
      <c r="W3367" t="s">
        <v>29</v>
      </c>
      <c r="X3367" t="str">
        <f>IF(Table2[[#This Row],[Qty available]]&gt;Table2[[#This Row],[Qty on hand]],"Check","OK")</f>
        <v>OK</v>
      </c>
    </row>
    <row r="3368" spans="1:24" x14ac:dyDescent="0.3">
      <c r="A3368" t="s">
        <v>341</v>
      </c>
      <c r="B3368" t="s">
        <v>342</v>
      </c>
      <c r="C3368" t="s">
        <v>91</v>
      </c>
      <c r="D3368" t="s">
        <v>92</v>
      </c>
      <c r="E3368" t="s">
        <v>66</v>
      </c>
      <c r="F3368" s="1" t="s">
        <v>35</v>
      </c>
      <c r="G3368" s="2">
        <v>55.64</v>
      </c>
      <c r="H3368">
        <v>55.64</v>
      </c>
      <c r="I3368">
        <v>54.894509999999997</v>
      </c>
      <c r="J3368">
        <v>78.63</v>
      </c>
      <c r="K3368">
        <v>40</v>
      </c>
      <c r="M3368">
        <v>0</v>
      </c>
      <c r="N3368" s="2">
        <v>204</v>
      </c>
      <c r="O3368">
        <v>11198.48</v>
      </c>
      <c r="P3368">
        <v>30</v>
      </c>
      <c r="Q3368">
        <v>174</v>
      </c>
      <c r="R3368">
        <v>7.19</v>
      </c>
      <c r="S3368">
        <v>1</v>
      </c>
      <c r="T3368">
        <v>206</v>
      </c>
      <c r="U3368" s="2">
        <v>16197.78</v>
      </c>
      <c r="V3368">
        <v>0</v>
      </c>
      <c r="W3368" t="s">
        <v>29</v>
      </c>
      <c r="X3368" t="str">
        <f>IF(Table2[[#This Row],[Qty available]]&gt;Table2[[#This Row],[Qty on hand]],"Check","OK")</f>
        <v>OK</v>
      </c>
    </row>
    <row r="3369" spans="1:24" x14ac:dyDescent="0.3">
      <c r="A3369" t="s">
        <v>341</v>
      </c>
      <c r="B3369" t="s">
        <v>342</v>
      </c>
      <c r="C3369" t="s">
        <v>91</v>
      </c>
      <c r="D3369" t="s">
        <v>92</v>
      </c>
      <c r="E3369" t="s">
        <v>66</v>
      </c>
      <c r="F3369" s="1" t="s">
        <v>36</v>
      </c>
      <c r="G3369" s="2">
        <v>54.6</v>
      </c>
      <c r="H3369">
        <v>54.6</v>
      </c>
      <c r="I3369">
        <v>54.698172</v>
      </c>
      <c r="J3369">
        <v>78.63</v>
      </c>
      <c r="K3369">
        <v>40</v>
      </c>
      <c r="L3369" s="2">
        <v>56</v>
      </c>
      <c r="M3369">
        <v>408</v>
      </c>
      <c r="N3369" s="2">
        <v>580</v>
      </c>
      <c r="O3369">
        <v>31724.94</v>
      </c>
      <c r="P3369">
        <v>10</v>
      </c>
      <c r="Q3369">
        <v>570</v>
      </c>
      <c r="R3369">
        <v>20.09</v>
      </c>
      <c r="S3369">
        <v>4</v>
      </c>
      <c r="T3369">
        <v>32</v>
      </c>
      <c r="U3369" s="2">
        <v>2516.16</v>
      </c>
      <c r="V3369">
        <v>0</v>
      </c>
      <c r="W3369" t="s">
        <v>29</v>
      </c>
      <c r="X3369" t="str">
        <f>IF(Table2[[#This Row],[Qty available]]&gt;Table2[[#This Row],[Qty on hand]],"Check","OK")</f>
        <v>OK</v>
      </c>
    </row>
    <row r="3370" spans="1:24" x14ac:dyDescent="0.3">
      <c r="A3370" t="s">
        <v>341</v>
      </c>
      <c r="B3370" t="s">
        <v>342</v>
      </c>
      <c r="C3370" t="s">
        <v>91</v>
      </c>
      <c r="D3370" t="s">
        <v>92</v>
      </c>
      <c r="E3370" t="s">
        <v>66</v>
      </c>
      <c r="F3370" s="1" t="s">
        <v>37</v>
      </c>
      <c r="G3370" s="2">
        <v>55.7</v>
      </c>
      <c r="H3370">
        <v>55.7</v>
      </c>
      <c r="I3370">
        <v>54.698169999999998</v>
      </c>
      <c r="J3370">
        <v>78.63</v>
      </c>
      <c r="K3370">
        <v>40</v>
      </c>
      <c r="M3370">
        <v>0</v>
      </c>
      <c r="N3370" s="2">
        <v>388</v>
      </c>
      <c r="O3370">
        <v>21222.89</v>
      </c>
      <c r="P3370">
        <v>20</v>
      </c>
      <c r="Q3370">
        <v>368</v>
      </c>
      <c r="R3370">
        <v>11.86</v>
      </c>
      <c r="S3370">
        <v>0</v>
      </c>
      <c r="T3370">
        <v>192</v>
      </c>
      <c r="U3370" s="2">
        <v>15096.96</v>
      </c>
      <c r="V3370">
        <v>0</v>
      </c>
      <c r="W3370" t="s">
        <v>29</v>
      </c>
      <c r="X3370" t="str">
        <f>IF(Table2[[#This Row],[Qty available]]&gt;Table2[[#This Row],[Qty on hand]],"Check","OK")</f>
        <v>OK</v>
      </c>
    </row>
    <row r="3371" spans="1:24" x14ac:dyDescent="0.3">
      <c r="A3371" t="s">
        <v>341</v>
      </c>
      <c r="B3371" t="s">
        <v>342</v>
      </c>
      <c r="C3371" t="s">
        <v>91</v>
      </c>
      <c r="D3371" t="s">
        <v>92</v>
      </c>
      <c r="E3371" t="s">
        <v>66</v>
      </c>
      <c r="F3371" s="1" t="s">
        <v>38</v>
      </c>
      <c r="G3371" s="2">
        <v>54.3</v>
      </c>
      <c r="H3371">
        <v>54.3</v>
      </c>
      <c r="I3371">
        <v>54.698152999999998</v>
      </c>
      <c r="J3371">
        <v>78.63</v>
      </c>
      <c r="K3371">
        <v>40</v>
      </c>
      <c r="M3371">
        <v>0</v>
      </c>
      <c r="N3371" s="2">
        <v>287</v>
      </c>
      <c r="O3371">
        <v>15698.37</v>
      </c>
      <c r="P3371">
        <v>50</v>
      </c>
      <c r="Q3371">
        <v>237</v>
      </c>
      <c r="R3371">
        <v>11.48</v>
      </c>
      <c r="S3371">
        <v>0</v>
      </c>
      <c r="T3371">
        <v>101</v>
      </c>
      <c r="U3371" s="2">
        <v>7941.63</v>
      </c>
      <c r="V3371">
        <v>0</v>
      </c>
      <c r="W3371" t="s">
        <v>29</v>
      </c>
      <c r="X3371" t="str">
        <f>IF(Table2[[#This Row],[Qty available]]&gt;Table2[[#This Row],[Qty on hand]],"Check","OK")</f>
        <v>OK</v>
      </c>
    </row>
    <row r="3372" spans="1:24" x14ac:dyDescent="0.3">
      <c r="A3372" t="s">
        <v>341</v>
      </c>
      <c r="B3372" t="s">
        <v>342</v>
      </c>
      <c r="C3372" t="s">
        <v>91</v>
      </c>
      <c r="D3372" t="s">
        <v>92</v>
      </c>
      <c r="E3372" t="s">
        <v>66</v>
      </c>
      <c r="F3372" s="1" t="s">
        <v>39</v>
      </c>
      <c r="G3372" s="2">
        <v>54.5</v>
      </c>
      <c r="H3372">
        <v>54.5</v>
      </c>
      <c r="I3372">
        <v>54.698148000000003</v>
      </c>
      <c r="J3372">
        <v>78.63</v>
      </c>
      <c r="K3372">
        <v>40</v>
      </c>
      <c r="M3372">
        <v>0</v>
      </c>
      <c r="N3372" s="2">
        <v>162</v>
      </c>
      <c r="O3372">
        <v>8861.1</v>
      </c>
      <c r="P3372">
        <v>25</v>
      </c>
      <c r="Q3372">
        <v>137</v>
      </c>
      <c r="R3372">
        <v>5.09</v>
      </c>
      <c r="S3372">
        <v>0</v>
      </c>
      <c r="T3372">
        <v>125</v>
      </c>
      <c r="U3372" s="2">
        <v>9828.75</v>
      </c>
      <c r="V3372">
        <v>0</v>
      </c>
      <c r="W3372" t="s">
        <v>29</v>
      </c>
      <c r="X3372" t="str">
        <f>IF(Table2[[#This Row],[Qty available]]&gt;Table2[[#This Row],[Qty on hand]],"Check","OK")</f>
        <v>OK</v>
      </c>
    </row>
    <row r="3373" spans="1:24" x14ac:dyDescent="0.3">
      <c r="A3373" t="s">
        <v>341</v>
      </c>
      <c r="B3373" t="s">
        <v>342</v>
      </c>
      <c r="C3373" t="s">
        <v>91</v>
      </c>
      <c r="D3373" t="s">
        <v>92</v>
      </c>
      <c r="E3373" t="s">
        <v>66</v>
      </c>
      <c r="F3373" s="1" t="s">
        <v>40</v>
      </c>
      <c r="G3373" s="2">
        <v>54.98</v>
      </c>
      <c r="H3373">
        <v>54.98</v>
      </c>
      <c r="I3373">
        <v>54.805056999999998</v>
      </c>
      <c r="J3373">
        <v>78.63</v>
      </c>
      <c r="K3373">
        <v>40</v>
      </c>
      <c r="L3373" s="2">
        <v>39</v>
      </c>
      <c r="M3373">
        <v>99</v>
      </c>
      <c r="N3373" s="2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261</v>
      </c>
      <c r="U3373" s="2">
        <v>20522.43</v>
      </c>
      <c r="V3373">
        <v>27</v>
      </c>
      <c r="W3373" t="s">
        <v>59</v>
      </c>
      <c r="X3373" t="str">
        <f>IF(Table2[[#This Row],[Qty available]]&gt;Table2[[#This Row],[Qty on hand]],"Check","OK")</f>
        <v>OK</v>
      </c>
    </row>
    <row r="3374" spans="1:24" x14ac:dyDescent="0.3">
      <c r="A3374" t="s">
        <v>341</v>
      </c>
      <c r="B3374" t="s">
        <v>342</v>
      </c>
      <c r="C3374" t="s">
        <v>91</v>
      </c>
      <c r="D3374" t="s">
        <v>92</v>
      </c>
      <c r="E3374" t="s">
        <v>66</v>
      </c>
      <c r="F3374" s="1" t="s">
        <v>41</v>
      </c>
      <c r="G3374" s="2">
        <v>55.49</v>
      </c>
      <c r="H3374">
        <v>55.49</v>
      </c>
      <c r="I3374">
        <v>55.49</v>
      </c>
      <c r="J3374">
        <v>78.63</v>
      </c>
      <c r="K3374">
        <v>40</v>
      </c>
      <c r="L3374" s="2">
        <v>36</v>
      </c>
      <c r="M3374">
        <v>226</v>
      </c>
      <c r="N3374" s="2">
        <v>8</v>
      </c>
      <c r="O3374">
        <v>443.92</v>
      </c>
      <c r="P3374">
        <v>8</v>
      </c>
      <c r="Q3374">
        <v>0</v>
      </c>
      <c r="R3374">
        <v>0.17</v>
      </c>
      <c r="S3374">
        <v>0</v>
      </c>
      <c r="T3374">
        <v>218</v>
      </c>
      <c r="U3374" s="2">
        <v>17141.34</v>
      </c>
      <c r="V3374">
        <v>0</v>
      </c>
      <c r="W3374" t="s">
        <v>29</v>
      </c>
      <c r="X3374" t="str">
        <f>IF(Table2[[#This Row],[Qty available]]&gt;Table2[[#This Row],[Qty on hand]],"Check","OK")</f>
        <v>OK</v>
      </c>
    </row>
    <row r="3375" spans="1:24" x14ac:dyDescent="0.3">
      <c r="A3375" t="s">
        <v>341</v>
      </c>
      <c r="B3375" t="s">
        <v>342</v>
      </c>
      <c r="C3375" t="s">
        <v>91</v>
      </c>
      <c r="D3375" t="s">
        <v>92</v>
      </c>
      <c r="E3375" t="s">
        <v>66</v>
      </c>
      <c r="F3375" s="1" t="s">
        <v>42</v>
      </c>
      <c r="G3375" s="2">
        <v>57.74</v>
      </c>
      <c r="H3375">
        <v>57.74</v>
      </c>
      <c r="I3375">
        <v>57.676628000000001</v>
      </c>
      <c r="J3375">
        <v>78.63</v>
      </c>
      <c r="K3375">
        <v>40</v>
      </c>
      <c r="L3375" s="2">
        <v>34</v>
      </c>
      <c r="M3375">
        <v>276</v>
      </c>
      <c r="N3375" s="2">
        <v>172</v>
      </c>
      <c r="O3375">
        <v>9920.3799999999992</v>
      </c>
      <c r="P3375">
        <v>30</v>
      </c>
      <c r="Q3375">
        <v>142</v>
      </c>
      <c r="R3375">
        <v>3.82</v>
      </c>
      <c r="S3375">
        <v>3</v>
      </c>
      <c r="T3375">
        <v>112</v>
      </c>
      <c r="U3375" s="2">
        <v>8806.56</v>
      </c>
      <c r="V3375">
        <v>0</v>
      </c>
      <c r="W3375" t="s">
        <v>29</v>
      </c>
      <c r="X3375" t="str">
        <f>IF(Table2[[#This Row],[Qty available]]&gt;Table2[[#This Row],[Qty on hand]],"Check","OK")</f>
        <v>OK</v>
      </c>
    </row>
    <row r="3376" spans="1:24" x14ac:dyDescent="0.3">
      <c r="A3376" t="s">
        <v>341</v>
      </c>
      <c r="B3376" t="s">
        <v>342</v>
      </c>
      <c r="C3376" t="s">
        <v>91</v>
      </c>
      <c r="D3376" t="s">
        <v>92</v>
      </c>
      <c r="E3376" t="s">
        <v>66</v>
      </c>
      <c r="F3376" s="1" t="s">
        <v>43</v>
      </c>
      <c r="G3376" s="2">
        <v>57.36</v>
      </c>
      <c r="H3376">
        <v>57.36</v>
      </c>
      <c r="I3376">
        <v>57.676628000000001</v>
      </c>
      <c r="J3376">
        <v>78.63</v>
      </c>
      <c r="K3376">
        <v>40</v>
      </c>
      <c r="M3376">
        <v>0</v>
      </c>
      <c r="N3376" s="2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172</v>
      </c>
      <c r="U3376" s="2">
        <v>13524.36</v>
      </c>
      <c r="V3376">
        <v>74</v>
      </c>
      <c r="W3376" t="s">
        <v>59</v>
      </c>
      <c r="X3376" t="str">
        <f>IF(Table2[[#This Row],[Qty available]]&gt;Table2[[#This Row],[Qty on hand]],"Check","OK")</f>
        <v>OK</v>
      </c>
    </row>
    <row r="3377" spans="1:24" x14ac:dyDescent="0.3">
      <c r="A3377" t="s">
        <v>341</v>
      </c>
      <c r="B3377" t="s">
        <v>342</v>
      </c>
      <c r="C3377" t="s">
        <v>91</v>
      </c>
      <c r="D3377" t="s">
        <v>92</v>
      </c>
      <c r="E3377" t="s">
        <v>66</v>
      </c>
      <c r="F3377" s="1" t="s">
        <v>44</v>
      </c>
      <c r="G3377" s="2">
        <v>57.87</v>
      </c>
      <c r="H3377">
        <v>57.87</v>
      </c>
      <c r="I3377">
        <v>57.87</v>
      </c>
      <c r="J3377">
        <v>78.63</v>
      </c>
      <c r="K3377">
        <v>40</v>
      </c>
      <c r="L3377" s="2">
        <v>64</v>
      </c>
      <c r="M3377">
        <v>212</v>
      </c>
      <c r="N3377" s="2">
        <v>64</v>
      </c>
      <c r="O3377">
        <v>3703.68</v>
      </c>
      <c r="P3377">
        <v>30</v>
      </c>
      <c r="Q3377">
        <v>34</v>
      </c>
      <c r="R3377">
        <v>1.95</v>
      </c>
      <c r="S3377">
        <v>6</v>
      </c>
      <c r="T3377">
        <v>148</v>
      </c>
      <c r="U3377" s="2">
        <v>11637.24</v>
      </c>
      <c r="V3377">
        <v>0</v>
      </c>
      <c r="W3377" t="s">
        <v>29</v>
      </c>
      <c r="X3377" t="str">
        <f>IF(Table2[[#This Row],[Qty available]]&gt;Table2[[#This Row],[Qty on hand]],"Check","OK")</f>
        <v>OK</v>
      </c>
    </row>
    <row r="3378" spans="1:24" x14ac:dyDescent="0.3">
      <c r="A3378" t="s">
        <v>341</v>
      </c>
      <c r="B3378" t="s">
        <v>342</v>
      </c>
      <c r="C3378" t="s">
        <v>91</v>
      </c>
      <c r="D3378" t="s">
        <v>92</v>
      </c>
      <c r="E3378" t="s">
        <v>66</v>
      </c>
      <c r="F3378" s="1" t="s">
        <v>45</v>
      </c>
      <c r="G3378" s="2">
        <v>58.77</v>
      </c>
      <c r="H3378">
        <v>58.77</v>
      </c>
      <c r="I3378">
        <v>58.592222</v>
      </c>
      <c r="J3378">
        <v>78.63</v>
      </c>
      <c r="K3378">
        <v>40</v>
      </c>
      <c r="L3378" s="2">
        <v>66</v>
      </c>
      <c r="M3378">
        <v>260</v>
      </c>
      <c r="N3378" s="2">
        <v>324</v>
      </c>
      <c r="O3378">
        <v>18983.88</v>
      </c>
      <c r="P3378">
        <v>10</v>
      </c>
      <c r="Q3378">
        <v>314</v>
      </c>
      <c r="R3378">
        <v>13.31</v>
      </c>
      <c r="S3378">
        <v>37</v>
      </c>
      <c r="T3378">
        <v>0</v>
      </c>
      <c r="U3378" s="2">
        <v>0</v>
      </c>
      <c r="V3378">
        <v>0</v>
      </c>
      <c r="W3378" t="s">
        <v>29</v>
      </c>
      <c r="X3378" t="str">
        <f>IF(Table2[[#This Row],[Qty available]]&gt;Table2[[#This Row],[Qty on hand]],"Check","OK")</f>
        <v>OK</v>
      </c>
    </row>
    <row r="3379" spans="1:24" x14ac:dyDescent="0.3">
      <c r="A3379" t="s">
        <v>341</v>
      </c>
      <c r="B3379" t="s">
        <v>342</v>
      </c>
      <c r="C3379" t="s">
        <v>91</v>
      </c>
      <c r="D3379" t="s">
        <v>92</v>
      </c>
      <c r="E3379" t="s">
        <v>66</v>
      </c>
      <c r="F3379" s="1" t="s">
        <v>46</v>
      </c>
      <c r="G3379" s="2">
        <v>58.38</v>
      </c>
      <c r="H3379">
        <v>58.38</v>
      </c>
      <c r="I3379">
        <v>58.531453999999997</v>
      </c>
      <c r="J3379">
        <v>82.91</v>
      </c>
      <c r="K3379">
        <v>40</v>
      </c>
      <c r="L3379" s="2">
        <v>34</v>
      </c>
      <c r="M3379">
        <v>130</v>
      </c>
      <c r="N3379" s="2">
        <v>454</v>
      </c>
      <c r="O3379">
        <v>26573.279999999999</v>
      </c>
      <c r="P3379">
        <v>30</v>
      </c>
      <c r="Q3379">
        <v>424</v>
      </c>
      <c r="R3379">
        <v>39.44</v>
      </c>
      <c r="S3379">
        <v>65</v>
      </c>
      <c r="T3379">
        <v>0</v>
      </c>
      <c r="U3379" s="2">
        <v>0</v>
      </c>
      <c r="V3379">
        <v>0</v>
      </c>
      <c r="W3379" t="s">
        <v>29</v>
      </c>
      <c r="X3379" t="str">
        <f>IF(Table2[[#This Row],[Qty available]]&gt;Table2[[#This Row],[Qty on hand]],"Check","OK")</f>
        <v>OK</v>
      </c>
    </row>
    <row r="3380" spans="1:24" x14ac:dyDescent="0.3">
      <c r="A3380" t="s">
        <v>341</v>
      </c>
      <c r="B3380" t="s">
        <v>342</v>
      </c>
      <c r="C3380" t="s">
        <v>91</v>
      </c>
      <c r="D3380" t="s">
        <v>92</v>
      </c>
      <c r="E3380" t="s">
        <v>66</v>
      </c>
      <c r="F3380" s="1" t="s">
        <v>47</v>
      </c>
      <c r="G3380" s="2">
        <v>59.28</v>
      </c>
      <c r="H3380">
        <v>59.28</v>
      </c>
      <c r="I3380">
        <v>58.641202999999997</v>
      </c>
      <c r="J3380">
        <v>82.91</v>
      </c>
      <c r="K3380">
        <v>40</v>
      </c>
      <c r="L3380" s="2">
        <v>40</v>
      </c>
      <c r="M3380">
        <v>78</v>
      </c>
      <c r="N3380" s="2">
        <v>532</v>
      </c>
      <c r="O3380">
        <v>31197.119999999999</v>
      </c>
      <c r="P3380">
        <v>25</v>
      </c>
      <c r="Q3380">
        <v>507</v>
      </c>
      <c r="S3380">
        <v>96</v>
      </c>
      <c r="T3380">
        <v>0</v>
      </c>
      <c r="U3380" s="2">
        <v>0</v>
      </c>
      <c r="V3380">
        <v>0</v>
      </c>
      <c r="W3380" t="s">
        <v>29</v>
      </c>
      <c r="X3380" t="str">
        <f>IF(Table2[[#This Row],[Qty available]]&gt;Table2[[#This Row],[Qty on hand]],"Check","OK")</f>
        <v>OK</v>
      </c>
    </row>
    <row r="3381" spans="1:24" x14ac:dyDescent="0.3">
      <c r="A3381" t="s">
        <v>341</v>
      </c>
      <c r="B3381" t="s">
        <v>342</v>
      </c>
      <c r="C3381" t="s">
        <v>91</v>
      </c>
      <c r="D3381" t="s">
        <v>92</v>
      </c>
      <c r="E3381" t="s">
        <v>66</v>
      </c>
      <c r="F3381" s="1" t="s">
        <v>48</v>
      </c>
      <c r="G3381" s="2">
        <v>58.87</v>
      </c>
      <c r="H3381">
        <v>58.87</v>
      </c>
      <c r="I3381">
        <v>58.688057000000001</v>
      </c>
      <c r="J3381">
        <v>82.91</v>
      </c>
      <c r="K3381">
        <v>40</v>
      </c>
      <c r="L3381" s="2">
        <v>34</v>
      </c>
      <c r="M3381">
        <v>137</v>
      </c>
      <c r="N3381" s="2">
        <v>669</v>
      </c>
      <c r="O3381">
        <v>39262.31</v>
      </c>
      <c r="P3381">
        <v>10</v>
      </c>
      <c r="Q3381">
        <v>659</v>
      </c>
      <c r="S3381">
        <v>126</v>
      </c>
      <c r="T3381">
        <v>0</v>
      </c>
      <c r="U3381" s="2">
        <v>0</v>
      </c>
      <c r="V3381">
        <v>0</v>
      </c>
      <c r="W3381" t="s">
        <v>29</v>
      </c>
      <c r="X3381" t="str">
        <f>IF(Table2[[#This Row],[Qty available]]&gt;Table2[[#This Row],[Qty on hand]],"Check","OK")</f>
        <v>OK</v>
      </c>
    </row>
    <row r="3382" spans="1:24" x14ac:dyDescent="0.3">
      <c r="A3382" t="s">
        <v>341</v>
      </c>
      <c r="B3382" t="s">
        <v>342</v>
      </c>
      <c r="C3382" t="s">
        <v>91</v>
      </c>
      <c r="D3382" t="s">
        <v>92</v>
      </c>
      <c r="E3382" t="s">
        <v>66</v>
      </c>
      <c r="F3382" s="1" t="s">
        <v>49</v>
      </c>
      <c r="G3382" s="2">
        <v>59.26</v>
      </c>
      <c r="H3382">
        <v>59.26</v>
      </c>
      <c r="I3382">
        <v>58.688057000000001</v>
      </c>
      <c r="J3382">
        <v>82.91</v>
      </c>
      <c r="K3382">
        <v>40</v>
      </c>
      <c r="M3382">
        <v>0</v>
      </c>
      <c r="N3382" s="2">
        <v>669</v>
      </c>
      <c r="O3382">
        <v>39262.31</v>
      </c>
      <c r="P3382">
        <v>50</v>
      </c>
      <c r="Q3382">
        <v>619</v>
      </c>
      <c r="S3382">
        <v>157</v>
      </c>
      <c r="T3382">
        <v>0</v>
      </c>
      <c r="U3382" s="2">
        <v>0</v>
      </c>
      <c r="V3382">
        <v>0</v>
      </c>
      <c r="W3382" t="s">
        <v>29</v>
      </c>
      <c r="X3382" t="str">
        <f>IF(Table2[[#This Row],[Qty available]]&gt;Table2[[#This Row],[Qty on hand]],"Check","OK")</f>
        <v>OK</v>
      </c>
    </row>
    <row r="3383" spans="1:24" x14ac:dyDescent="0.3">
      <c r="A3383" t="s">
        <v>341</v>
      </c>
      <c r="B3383" t="s">
        <v>342</v>
      </c>
      <c r="C3383" t="s">
        <v>91</v>
      </c>
      <c r="D3383" t="s">
        <v>92</v>
      </c>
      <c r="E3383" t="s">
        <v>66</v>
      </c>
      <c r="F3383" s="1" t="s">
        <v>50</v>
      </c>
      <c r="G3383" s="2">
        <v>58.71</v>
      </c>
      <c r="H3383">
        <v>58.71</v>
      </c>
      <c r="I3383">
        <v>58.688057000000001</v>
      </c>
      <c r="J3383">
        <v>82.91</v>
      </c>
      <c r="K3383">
        <v>40</v>
      </c>
      <c r="M3383">
        <v>0</v>
      </c>
      <c r="N3383" s="2">
        <v>669</v>
      </c>
      <c r="O3383">
        <v>39262.31</v>
      </c>
      <c r="P3383">
        <v>20</v>
      </c>
      <c r="Q3383">
        <v>649</v>
      </c>
      <c r="S3383">
        <v>187</v>
      </c>
      <c r="T3383">
        <v>0</v>
      </c>
      <c r="U3383" s="2">
        <v>0</v>
      </c>
      <c r="V3383">
        <v>0</v>
      </c>
      <c r="W3383" t="s">
        <v>29</v>
      </c>
      <c r="X3383" t="str">
        <f>IF(Table2[[#This Row],[Qty available]]&gt;Table2[[#This Row],[Qty on hand]],"Check","OK")</f>
        <v>OK</v>
      </c>
    </row>
    <row r="3384" spans="1:24" x14ac:dyDescent="0.3">
      <c r="A3384" t="s">
        <v>341</v>
      </c>
      <c r="B3384" t="s">
        <v>342</v>
      </c>
      <c r="C3384" t="s">
        <v>91</v>
      </c>
      <c r="D3384" t="s">
        <v>92</v>
      </c>
      <c r="E3384" t="s">
        <v>66</v>
      </c>
      <c r="F3384" s="1" t="s">
        <v>51</v>
      </c>
      <c r="G3384" s="2">
        <v>58.65</v>
      </c>
      <c r="H3384">
        <v>58.65</v>
      </c>
      <c r="I3384">
        <v>58.688057000000001</v>
      </c>
      <c r="J3384">
        <v>82.91</v>
      </c>
      <c r="K3384">
        <v>40</v>
      </c>
      <c r="M3384">
        <v>0</v>
      </c>
      <c r="N3384" s="2">
        <v>669</v>
      </c>
      <c r="O3384">
        <v>39262.31</v>
      </c>
      <c r="P3384">
        <v>15</v>
      </c>
      <c r="Q3384">
        <v>654</v>
      </c>
      <c r="S3384">
        <v>218</v>
      </c>
      <c r="T3384">
        <v>0</v>
      </c>
      <c r="U3384" s="2">
        <v>0</v>
      </c>
      <c r="V3384">
        <v>0</v>
      </c>
      <c r="W3384" t="s">
        <v>29</v>
      </c>
      <c r="X3384" t="str">
        <f>IF(Table2[[#This Row],[Qty available]]&gt;Table2[[#This Row],[Qty on hand]],"Check","OK")</f>
        <v>OK</v>
      </c>
    </row>
    <row r="3385" spans="1:24" x14ac:dyDescent="0.3">
      <c r="A3385" t="s">
        <v>341</v>
      </c>
      <c r="B3385" t="s">
        <v>342</v>
      </c>
      <c r="C3385" t="s">
        <v>91</v>
      </c>
      <c r="D3385" t="s">
        <v>92</v>
      </c>
      <c r="E3385" t="s">
        <v>66</v>
      </c>
      <c r="F3385" s="1" t="s">
        <v>52</v>
      </c>
      <c r="G3385" s="2">
        <v>59.38</v>
      </c>
      <c r="H3385">
        <v>59.38</v>
      </c>
      <c r="I3385">
        <v>58.688057000000001</v>
      </c>
      <c r="J3385">
        <v>82.91</v>
      </c>
      <c r="K3385">
        <v>40</v>
      </c>
      <c r="M3385">
        <v>0</v>
      </c>
      <c r="N3385" s="2">
        <v>669</v>
      </c>
      <c r="O3385">
        <v>39262.31</v>
      </c>
      <c r="P3385">
        <v>30</v>
      </c>
      <c r="Q3385">
        <v>639</v>
      </c>
      <c r="S3385">
        <v>249</v>
      </c>
      <c r="T3385">
        <v>0</v>
      </c>
      <c r="U3385" s="2">
        <v>0</v>
      </c>
      <c r="V3385">
        <v>0</v>
      </c>
      <c r="W3385" t="s">
        <v>29</v>
      </c>
      <c r="X3385" t="str">
        <f>IF(Table2[[#This Row],[Qty available]]&gt;Table2[[#This Row],[Qty on hand]],"Check","OK")</f>
        <v>OK</v>
      </c>
    </row>
    <row r="3386" spans="1:24" x14ac:dyDescent="0.3">
      <c r="A3386" t="s">
        <v>343</v>
      </c>
      <c r="B3386" t="s">
        <v>344</v>
      </c>
      <c r="C3386" t="s">
        <v>25</v>
      </c>
      <c r="D3386" t="s">
        <v>26</v>
      </c>
      <c r="E3386" t="s">
        <v>27</v>
      </c>
      <c r="F3386" s="1" t="s">
        <v>28</v>
      </c>
      <c r="G3386" s="2">
        <v>9.07</v>
      </c>
      <c r="H3386">
        <v>9.07</v>
      </c>
      <c r="I3386">
        <v>9.0242210000000007</v>
      </c>
      <c r="J3386">
        <v>11.89</v>
      </c>
      <c r="K3386">
        <v>41</v>
      </c>
      <c r="L3386" s="2">
        <v>36</v>
      </c>
      <c r="M3386">
        <v>396</v>
      </c>
      <c r="N3386" s="2">
        <v>398</v>
      </c>
      <c r="O3386">
        <v>3591.64</v>
      </c>
      <c r="P3386">
        <v>48</v>
      </c>
      <c r="Q3386">
        <v>350</v>
      </c>
      <c r="R3386">
        <v>10.36</v>
      </c>
      <c r="S3386">
        <v>3</v>
      </c>
      <c r="T3386">
        <v>88</v>
      </c>
      <c r="U3386" s="2">
        <v>1046.32</v>
      </c>
      <c r="V3386">
        <v>0</v>
      </c>
      <c r="W3386" t="s">
        <v>29</v>
      </c>
      <c r="X3386" t="str">
        <f>IF(Table2[[#This Row],[Qty available]]&gt;Table2[[#This Row],[Qty on hand]],"Check","OK")</f>
        <v>OK</v>
      </c>
    </row>
    <row r="3387" spans="1:24" x14ac:dyDescent="0.3">
      <c r="A3387" t="s">
        <v>343</v>
      </c>
      <c r="B3387" t="s">
        <v>344</v>
      </c>
      <c r="C3387" t="s">
        <v>25</v>
      </c>
      <c r="D3387" t="s">
        <v>26</v>
      </c>
      <c r="E3387" t="s">
        <v>27</v>
      </c>
      <c r="F3387" s="1" t="s">
        <v>30</v>
      </c>
      <c r="G3387" s="2">
        <v>9.08</v>
      </c>
      <c r="H3387">
        <v>9.08</v>
      </c>
      <c r="I3387">
        <v>9.0242159999999991</v>
      </c>
      <c r="J3387">
        <v>11.89</v>
      </c>
      <c r="K3387">
        <v>41</v>
      </c>
      <c r="M3387">
        <v>0</v>
      </c>
      <c r="N3387" s="2">
        <v>185</v>
      </c>
      <c r="O3387">
        <v>1669.48</v>
      </c>
      <c r="P3387">
        <v>12</v>
      </c>
      <c r="Q3387">
        <v>173</v>
      </c>
      <c r="R3387">
        <v>5.12</v>
      </c>
      <c r="S3387">
        <v>5</v>
      </c>
      <c r="T3387">
        <v>213</v>
      </c>
      <c r="U3387" s="2">
        <v>2532.5700000000002</v>
      </c>
      <c r="V3387">
        <v>0</v>
      </c>
      <c r="W3387" t="s">
        <v>29</v>
      </c>
      <c r="X3387" t="str">
        <f>IF(Table2[[#This Row],[Qty available]]&gt;Table2[[#This Row],[Qty on hand]],"Check","OK")</f>
        <v>OK</v>
      </c>
    </row>
    <row r="3388" spans="1:24" x14ac:dyDescent="0.3">
      <c r="A3388" t="s">
        <v>343</v>
      </c>
      <c r="B3388" t="s">
        <v>344</v>
      </c>
      <c r="C3388" t="s">
        <v>25</v>
      </c>
      <c r="D3388" t="s">
        <v>26</v>
      </c>
      <c r="E3388" t="s">
        <v>27</v>
      </c>
      <c r="F3388" s="1" t="s">
        <v>31</v>
      </c>
      <c r="G3388" s="2">
        <v>8.9700000000000006</v>
      </c>
      <c r="H3388">
        <v>8.9700000000000006</v>
      </c>
      <c r="I3388">
        <v>9.0242159999999991</v>
      </c>
      <c r="J3388">
        <v>11.89</v>
      </c>
      <c r="K3388">
        <v>41</v>
      </c>
      <c r="M3388">
        <v>0</v>
      </c>
      <c r="N3388" s="2">
        <v>0</v>
      </c>
      <c r="O3388">
        <v>0</v>
      </c>
      <c r="P3388">
        <v>0</v>
      </c>
      <c r="Q3388">
        <v>0</v>
      </c>
      <c r="R3388">
        <v>0</v>
      </c>
      <c r="S3388">
        <v>2</v>
      </c>
      <c r="T3388">
        <v>185</v>
      </c>
      <c r="U3388" s="2">
        <v>2199.65</v>
      </c>
      <c r="V3388">
        <v>38</v>
      </c>
      <c r="W3388" t="s">
        <v>59</v>
      </c>
      <c r="X3388" t="str">
        <f>IF(Table2[[#This Row],[Qty available]]&gt;Table2[[#This Row],[Qty on hand]],"Check","OK")</f>
        <v>OK</v>
      </c>
    </row>
    <row r="3389" spans="1:24" x14ac:dyDescent="0.3">
      <c r="A3389" t="s">
        <v>343</v>
      </c>
      <c r="B3389" t="s">
        <v>344</v>
      </c>
      <c r="C3389" t="s">
        <v>25</v>
      </c>
      <c r="D3389" t="s">
        <v>26</v>
      </c>
      <c r="E3389" t="s">
        <v>27</v>
      </c>
      <c r="F3389" s="1" t="s">
        <v>32</v>
      </c>
      <c r="G3389" s="2">
        <v>8.7799999999999994</v>
      </c>
      <c r="H3389">
        <v>8.7799999999999994</v>
      </c>
      <c r="I3389">
        <v>8.7799999999999994</v>
      </c>
      <c r="J3389">
        <v>11.89</v>
      </c>
      <c r="K3389">
        <v>41</v>
      </c>
      <c r="L3389" s="2">
        <v>37</v>
      </c>
      <c r="M3389">
        <v>361</v>
      </c>
      <c r="N3389" s="2">
        <v>115</v>
      </c>
      <c r="O3389">
        <v>1009.7</v>
      </c>
      <c r="P3389">
        <v>61</v>
      </c>
      <c r="Q3389">
        <v>54</v>
      </c>
      <c r="R3389">
        <v>2.35</v>
      </c>
      <c r="S3389">
        <v>0</v>
      </c>
      <c r="T3389">
        <v>246</v>
      </c>
      <c r="U3389" s="2">
        <v>2924.94</v>
      </c>
      <c r="V3389">
        <v>0</v>
      </c>
      <c r="W3389" t="s">
        <v>29</v>
      </c>
      <c r="X3389" t="str">
        <f>IF(Table2[[#This Row],[Qty available]]&gt;Table2[[#This Row],[Qty on hand]],"Check","OK")</f>
        <v>OK</v>
      </c>
    </row>
    <row r="3390" spans="1:24" x14ac:dyDescent="0.3">
      <c r="A3390" t="s">
        <v>343</v>
      </c>
      <c r="B3390" t="s">
        <v>344</v>
      </c>
      <c r="C3390" t="s">
        <v>25</v>
      </c>
      <c r="D3390" t="s">
        <v>26</v>
      </c>
      <c r="E3390" t="s">
        <v>27</v>
      </c>
      <c r="F3390" s="1" t="s">
        <v>33</v>
      </c>
      <c r="G3390" s="2">
        <v>8.85</v>
      </c>
      <c r="H3390">
        <v>8.85</v>
      </c>
      <c r="I3390">
        <v>8.8172890000000006</v>
      </c>
      <c r="J3390">
        <v>11.89</v>
      </c>
      <c r="K3390">
        <v>41</v>
      </c>
      <c r="L3390" s="2">
        <v>53</v>
      </c>
      <c r="M3390">
        <v>131</v>
      </c>
      <c r="N3390" s="2">
        <v>225</v>
      </c>
      <c r="O3390">
        <v>1983.89</v>
      </c>
      <c r="P3390">
        <v>61</v>
      </c>
      <c r="Q3390">
        <v>164</v>
      </c>
      <c r="R3390">
        <v>6.54</v>
      </c>
      <c r="S3390">
        <v>3</v>
      </c>
      <c r="T3390">
        <v>21</v>
      </c>
      <c r="U3390" s="2">
        <v>249.69</v>
      </c>
      <c r="V3390">
        <v>0</v>
      </c>
      <c r="W3390" t="s">
        <v>29</v>
      </c>
      <c r="X3390" t="str">
        <f>IF(Table2[[#This Row],[Qty available]]&gt;Table2[[#This Row],[Qty on hand]],"Check","OK")</f>
        <v>OK</v>
      </c>
    </row>
    <row r="3391" spans="1:24" x14ac:dyDescent="0.3">
      <c r="A3391" t="s">
        <v>343</v>
      </c>
      <c r="B3391" t="s">
        <v>344</v>
      </c>
      <c r="C3391" t="s">
        <v>25</v>
      </c>
      <c r="D3391" t="s">
        <v>26</v>
      </c>
      <c r="E3391" t="s">
        <v>27</v>
      </c>
      <c r="F3391" s="1" t="s">
        <v>34</v>
      </c>
      <c r="G3391" s="2">
        <v>8.85</v>
      </c>
      <c r="H3391">
        <v>8.85</v>
      </c>
      <c r="I3391">
        <v>8.8376009999999994</v>
      </c>
      <c r="J3391">
        <v>12.22</v>
      </c>
      <c r="K3391">
        <v>41</v>
      </c>
      <c r="L3391" s="2">
        <v>54</v>
      </c>
      <c r="M3391">
        <v>369</v>
      </c>
      <c r="N3391" s="2">
        <v>496</v>
      </c>
      <c r="O3391">
        <v>4383.45</v>
      </c>
      <c r="P3391">
        <v>24</v>
      </c>
      <c r="Q3391">
        <v>472</v>
      </c>
      <c r="R3391">
        <v>17.47</v>
      </c>
      <c r="S3391">
        <v>0</v>
      </c>
      <c r="T3391">
        <v>98</v>
      </c>
      <c r="U3391" s="2">
        <v>1197.56</v>
      </c>
      <c r="V3391">
        <v>0</v>
      </c>
      <c r="W3391" t="s">
        <v>29</v>
      </c>
      <c r="X3391" t="str">
        <f>IF(Table2[[#This Row],[Qty available]]&gt;Table2[[#This Row],[Qty on hand]],"Check","OK")</f>
        <v>OK</v>
      </c>
    </row>
    <row r="3392" spans="1:24" x14ac:dyDescent="0.3">
      <c r="A3392" t="s">
        <v>343</v>
      </c>
      <c r="B3392" t="s">
        <v>344</v>
      </c>
      <c r="C3392" t="s">
        <v>25</v>
      </c>
      <c r="D3392" t="s">
        <v>26</v>
      </c>
      <c r="E3392" t="s">
        <v>27</v>
      </c>
      <c r="F3392" s="1" t="s">
        <v>35</v>
      </c>
      <c r="G3392" s="2">
        <v>8.94</v>
      </c>
      <c r="H3392">
        <v>8.94</v>
      </c>
      <c r="I3392">
        <v>8.8376070000000002</v>
      </c>
      <c r="J3392">
        <v>12.22</v>
      </c>
      <c r="K3392">
        <v>41</v>
      </c>
      <c r="M3392">
        <v>0</v>
      </c>
      <c r="N3392" s="2">
        <v>280</v>
      </c>
      <c r="O3392">
        <v>2474.5300000000002</v>
      </c>
      <c r="P3392">
        <v>18</v>
      </c>
      <c r="Q3392">
        <v>262</v>
      </c>
      <c r="R3392">
        <v>10.75</v>
      </c>
      <c r="S3392">
        <v>0</v>
      </c>
      <c r="T3392">
        <v>216</v>
      </c>
      <c r="U3392" s="2">
        <v>2639.52</v>
      </c>
      <c r="V3392">
        <v>0</v>
      </c>
      <c r="W3392" t="s">
        <v>29</v>
      </c>
      <c r="X3392" t="str">
        <f>IF(Table2[[#This Row],[Qty available]]&gt;Table2[[#This Row],[Qty on hand]],"Check","OK")</f>
        <v>OK</v>
      </c>
    </row>
    <row r="3393" spans="1:24" x14ac:dyDescent="0.3">
      <c r="A3393" t="s">
        <v>343</v>
      </c>
      <c r="B3393" t="s">
        <v>344</v>
      </c>
      <c r="C3393" t="s">
        <v>25</v>
      </c>
      <c r="D3393" t="s">
        <v>26</v>
      </c>
      <c r="E3393" t="s">
        <v>27</v>
      </c>
      <c r="F3393" s="1" t="s">
        <v>36</v>
      </c>
      <c r="G3393" s="2">
        <v>9.08</v>
      </c>
      <c r="H3393">
        <v>9.08</v>
      </c>
      <c r="I3393">
        <v>8.9661310000000007</v>
      </c>
      <c r="J3393">
        <v>12.22</v>
      </c>
      <c r="K3393">
        <v>41</v>
      </c>
      <c r="L3393" s="2">
        <v>39</v>
      </c>
      <c r="M3393">
        <v>316</v>
      </c>
      <c r="N3393" s="2">
        <v>566</v>
      </c>
      <c r="O3393">
        <v>5074.83</v>
      </c>
      <c r="P3393">
        <v>54</v>
      </c>
      <c r="Q3393">
        <v>512</v>
      </c>
      <c r="R3393">
        <v>20.92</v>
      </c>
      <c r="S3393">
        <v>14</v>
      </c>
      <c r="T3393">
        <v>30</v>
      </c>
      <c r="U3393" s="2">
        <v>366.6</v>
      </c>
      <c r="V3393">
        <v>0</v>
      </c>
      <c r="W3393" t="s">
        <v>29</v>
      </c>
      <c r="X3393" t="str">
        <f>IF(Table2[[#This Row],[Qty available]]&gt;Table2[[#This Row],[Qty on hand]],"Check","OK")</f>
        <v>OK</v>
      </c>
    </row>
    <row r="3394" spans="1:24" x14ac:dyDescent="0.3">
      <c r="A3394" t="s">
        <v>343</v>
      </c>
      <c r="B3394" t="s">
        <v>344</v>
      </c>
      <c r="C3394" t="s">
        <v>25</v>
      </c>
      <c r="D3394" t="s">
        <v>26</v>
      </c>
      <c r="E3394" t="s">
        <v>27</v>
      </c>
      <c r="F3394" s="1" t="s">
        <v>37</v>
      </c>
      <c r="G3394" s="2">
        <v>9.25</v>
      </c>
      <c r="H3394">
        <v>9.25</v>
      </c>
      <c r="I3394">
        <v>8.9661179999999998</v>
      </c>
      <c r="J3394">
        <v>12.22</v>
      </c>
      <c r="K3394">
        <v>41</v>
      </c>
      <c r="M3394">
        <v>0</v>
      </c>
      <c r="N3394" s="2">
        <v>304</v>
      </c>
      <c r="O3394">
        <v>2725.7</v>
      </c>
      <c r="P3394">
        <v>30</v>
      </c>
      <c r="Q3394">
        <v>274</v>
      </c>
      <c r="R3394">
        <v>7.87</v>
      </c>
      <c r="S3394">
        <v>1</v>
      </c>
      <c r="T3394">
        <v>262</v>
      </c>
      <c r="U3394" s="2">
        <v>3201.64</v>
      </c>
      <c r="V3394">
        <v>0</v>
      </c>
      <c r="W3394" t="s">
        <v>29</v>
      </c>
      <c r="X3394" t="str">
        <f>IF(Table2[[#This Row],[Qty available]]&gt;Table2[[#This Row],[Qty on hand]],"Check","OK")</f>
        <v>OK</v>
      </c>
    </row>
    <row r="3395" spans="1:24" x14ac:dyDescent="0.3">
      <c r="A3395" t="s">
        <v>343</v>
      </c>
      <c r="B3395" t="s">
        <v>344</v>
      </c>
      <c r="C3395" t="s">
        <v>25</v>
      </c>
      <c r="D3395" t="s">
        <v>26</v>
      </c>
      <c r="E3395" t="s">
        <v>27</v>
      </c>
      <c r="F3395" s="1" t="s">
        <v>38</v>
      </c>
      <c r="G3395" s="2">
        <v>9.31</v>
      </c>
      <c r="H3395">
        <v>9.31</v>
      </c>
      <c r="I3395">
        <v>8.9661469999999994</v>
      </c>
      <c r="J3395">
        <v>12.22</v>
      </c>
      <c r="K3395">
        <v>41</v>
      </c>
      <c r="M3395">
        <v>0</v>
      </c>
      <c r="N3395" s="2">
        <v>109</v>
      </c>
      <c r="O3395">
        <v>977.31</v>
      </c>
      <c r="P3395">
        <v>24</v>
      </c>
      <c r="Q3395">
        <v>85</v>
      </c>
      <c r="R3395">
        <v>2.91</v>
      </c>
      <c r="S3395">
        <v>0</v>
      </c>
      <c r="T3395">
        <v>195</v>
      </c>
      <c r="U3395" s="2">
        <v>2382.9</v>
      </c>
      <c r="V3395">
        <v>0</v>
      </c>
      <c r="W3395" t="s">
        <v>29</v>
      </c>
      <c r="X3395" t="str">
        <f>IF(Table2[[#This Row],[Qty available]]&gt;Table2[[#This Row],[Qty on hand]],"Check","OK")</f>
        <v>OK</v>
      </c>
    </row>
    <row r="3396" spans="1:24" x14ac:dyDescent="0.3">
      <c r="A3396" t="s">
        <v>343</v>
      </c>
      <c r="B3396" t="s">
        <v>344</v>
      </c>
      <c r="C3396" t="s">
        <v>25</v>
      </c>
      <c r="D3396" t="s">
        <v>26</v>
      </c>
      <c r="E3396" t="s">
        <v>27</v>
      </c>
      <c r="F3396" s="1" t="s">
        <v>39</v>
      </c>
      <c r="G3396" s="2">
        <v>9.07</v>
      </c>
      <c r="H3396">
        <v>9.07</v>
      </c>
      <c r="I3396">
        <v>9.0317530000000001</v>
      </c>
      <c r="J3396">
        <v>12.22</v>
      </c>
      <c r="K3396">
        <v>41</v>
      </c>
      <c r="L3396" s="2">
        <v>47</v>
      </c>
      <c r="M3396">
        <v>187</v>
      </c>
      <c r="N3396" s="2">
        <v>97</v>
      </c>
      <c r="O3396">
        <v>876.08</v>
      </c>
      <c r="P3396">
        <v>48</v>
      </c>
      <c r="Q3396">
        <v>49</v>
      </c>
      <c r="R3396">
        <v>1.94</v>
      </c>
      <c r="S3396">
        <v>2</v>
      </c>
      <c r="T3396">
        <v>199</v>
      </c>
      <c r="U3396" s="2">
        <v>2431.7800000000002</v>
      </c>
      <c r="V3396">
        <v>0</v>
      </c>
      <c r="W3396" t="s">
        <v>29</v>
      </c>
      <c r="X3396" t="str">
        <f>IF(Table2[[#This Row],[Qty available]]&gt;Table2[[#This Row],[Qty on hand]],"Check","OK")</f>
        <v>OK</v>
      </c>
    </row>
    <row r="3397" spans="1:24" x14ac:dyDescent="0.3">
      <c r="A3397" t="s">
        <v>343</v>
      </c>
      <c r="B3397" t="s">
        <v>344</v>
      </c>
      <c r="C3397" t="s">
        <v>25</v>
      </c>
      <c r="D3397" t="s">
        <v>26</v>
      </c>
      <c r="E3397" t="s">
        <v>27</v>
      </c>
      <c r="F3397" s="1" t="s">
        <v>40</v>
      </c>
      <c r="G3397" s="2">
        <v>9.25</v>
      </c>
      <c r="H3397">
        <v>9.25</v>
      </c>
      <c r="I3397">
        <v>9.2145340000000004</v>
      </c>
      <c r="J3397">
        <v>12.22</v>
      </c>
      <c r="K3397">
        <v>41</v>
      </c>
      <c r="L3397" s="2">
        <v>39</v>
      </c>
      <c r="M3397">
        <v>500</v>
      </c>
      <c r="N3397" s="2">
        <v>536</v>
      </c>
      <c r="O3397">
        <v>4938.99</v>
      </c>
      <c r="P3397">
        <v>48</v>
      </c>
      <c r="Q3397">
        <v>488</v>
      </c>
      <c r="R3397">
        <v>15.48</v>
      </c>
      <c r="S3397">
        <v>2</v>
      </c>
      <c r="T3397">
        <v>61</v>
      </c>
      <c r="U3397" s="2">
        <v>745.42</v>
      </c>
      <c r="V3397">
        <v>0</v>
      </c>
      <c r="W3397" t="s">
        <v>29</v>
      </c>
      <c r="X3397" t="str">
        <f>IF(Table2[[#This Row],[Qty available]]&gt;Table2[[#This Row],[Qty on hand]],"Check","OK")</f>
        <v>OK</v>
      </c>
    </row>
    <row r="3398" spans="1:24" x14ac:dyDescent="0.3">
      <c r="A3398" t="s">
        <v>343</v>
      </c>
      <c r="B3398" t="s">
        <v>344</v>
      </c>
      <c r="C3398" t="s">
        <v>25</v>
      </c>
      <c r="D3398" t="s">
        <v>26</v>
      </c>
      <c r="E3398" t="s">
        <v>27</v>
      </c>
      <c r="F3398" s="1" t="s">
        <v>41</v>
      </c>
      <c r="G3398" s="2">
        <v>9.1199999999999992</v>
      </c>
      <c r="H3398">
        <v>9.1199999999999992</v>
      </c>
      <c r="I3398">
        <v>9.2037619999999993</v>
      </c>
      <c r="J3398">
        <v>12.22</v>
      </c>
      <c r="K3398">
        <v>41</v>
      </c>
      <c r="L3398" s="2">
        <v>40</v>
      </c>
      <c r="M3398">
        <v>69</v>
      </c>
      <c r="N3398" s="2">
        <v>319</v>
      </c>
      <c r="O3398">
        <v>2936</v>
      </c>
      <c r="P3398">
        <v>48</v>
      </c>
      <c r="Q3398">
        <v>271</v>
      </c>
      <c r="R3398">
        <v>7.68</v>
      </c>
      <c r="S3398">
        <v>1</v>
      </c>
      <c r="T3398">
        <v>286</v>
      </c>
      <c r="U3398" s="2">
        <v>3494.92</v>
      </c>
      <c r="V3398">
        <v>0</v>
      </c>
      <c r="W3398" t="s">
        <v>29</v>
      </c>
      <c r="X3398" t="str">
        <f>IF(Table2[[#This Row],[Qty available]]&gt;Table2[[#This Row],[Qty on hand]],"Check","OK")</f>
        <v>OK</v>
      </c>
    </row>
    <row r="3399" spans="1:24" x14ac:dyDescent="0.3">
      <c r="A3399" t="s">
        <v>343</v>
      </c>
      <c r="B3399" t="s">
        <v>344</v>
      </c>
      <c r="C3399" t="s">
        <v>25</v>
      </c>
      <c r="D3399" t="s">
        <v>26</v>
      </c>
      <c r="E3399" t="s">
        <v>27</v>
      </c>
      <c r="F3399" s="1" t="s">
        <v>42</v>
      </c>
      <c r="G3399" s="2">
        <v>9.32</v>
      </c>
      <c r="H3399">
        <v>9.32</v>
      </c>
      <c r="I3399">
        <v>9.2425940000000004</v>
      </c>
      <c r="J3399">
        <v>12.22</v>
      </c>
      <c r="K3399">
        <v>41</v>
      </c>
      <c r="L3399" s="2">
        <v>39</v>
      </c>
      <c r="M3399">
        <v>160</v>
      </c>
      <c r="N3399" s="2">
        <v>320</v>
      </c>
      <c r="O3399">
        <v>2957.63</v>
      </c>
      <c r="P3399">
        <v>24</v>
      </c>
      <c r="Q3399">
        <v>296</v>
      </c>
      <c r="R3399">
        <v>8.31</v>
      </c>
      <c r="S3399">
        <v>1</v>
      </c>
      <c r="T3399">
        <v>159</v>
      </c>
      <c r="U3399" s="2">
        <v>1942.98</v>
      </c>
      <c r="V3399">
        <v>0</v>
      </c>
      <c r="W3399" t="s">
        <v>29</v>
      </c>
      <c r="X3399" t="str">
        <f>IF(Table2[[#This Row],[Qty available]]&gt;Table2[[#This Row],[Qty on hand]],"Check","OK")</f>
        <v>OK</v>
      </c>
    </row>
    <row r="3400" spans="1:24" x14ac:dyDescent="0.3">
      <c r="A3400" t="s">
        <v>343</v>
      </c>
      <c r="B3400" t="s">
        <v>344</v>
      </c>
      <c r="C3400" t="s">
        <v>25</v>
      </c>
      <c r="D3400" t="s">
        <v>26</v>
      </c>
      <c r="E3400" t="s">
        <v>27</v>
      </c>
      <c r="F3400" s="1" t="s">
        <v>43</v>
      </c>
      <c r="G3400" s="2">
        <v>9.1</v>
      </c>
      <c r="H3400">
        <v>9.1</v>
      </c>
      <c r="I3400">
        <v>9.212961</v>
      </c>
      <c r="J3400">
        <v>12.22</v>
      </c>
      <c r="K3400">
        <v>41</v>
      </c>
      <c r="L3400" s="2">
        <v>36</v>
      </c>
      <c r="M3400">
        <v>84</v>
      </c>
      <c r="N3400" s="2">
        <v>179</v>
      </c>
      <c r="O3400">
        <v>1649.12</v>
      </c>
      <c r="P3400">
        <v>30</v>
      </c>
      <c r="Q3400">
        <v>149</v>
      </c>
      <c r="R3400">
        <v>3.47</v>
      </c>
      <c r="S3400">
        <v>0</v>
      </c>
      <c r="T3400">
        <v>225</v>
      </c>
      <c r="U3400" s="2">
        <v>2749.5</v>
      </c>
      <c r="V3400">
        <v>0</v>
      </c>
      <c r="W3400" t="s">
        <v>29</v>
      </c>
      <c r="X3400" t="str">
        <f>IF(Table2[[#This Row],[Qty available]]&gt;Table2[[#This Row],[Qty on hand]],"Check","OK")</f>
        <v>OK</v>
      </c>
    </row>
    <row r="3401" spans="1:24" x14ac:dyDescent="0.3">
      <c r="A3401" t="s">
        <v>343</v>
      </c>
      <c r="B3401" t="s">
        <v>344</v>
      </c>
      <c r="C3401" t="s">
        <v>25</v>
      </c>
      <c r="D3401" t="s">
        <v>26</v>
      </c>
      <c r="E3401" t="s">
        <v>27</v>
      </c>
      <c r="F3401" s="1" t="s">
        <v>44</v>
      </c>
      <c r="G3401" s="2">
        <v>9.2899999999999991</v>
      </c>
      <c r="H3401">
        <v>9.2899999999999991</v>
      </c>
      <c r="I3401">
        <v>9.2130299999999998</v>
      </c>
      <c r="J3401">
        <v>12.22</v>
      </c>
      <c r="K3401">
        <v>41</v>
      </c>
      <c r="M3401">
        <v>0</v>
      </c>
      <c r="N3401" s="2">
        <v>33</v>
      </c>
      <c r="O3401">
        <v>304.02999999999997</v>
      </c>
      <c r="P3401">
        <v>12</v>
      </c>
      <c r="Q3401">
        <v>21</v>
      </c>
      <c r="R3401">
        <v>0.82</v>
      </c>
      <c r="S3401">
        <v>3</v>
      </c>
      <c r="T3401">
        <v>146</v>
      </c>
      <c r="U3401" s="2">
        <v>1784.12</v>
      </c>
      <c r="V3401">
        <v>0</v>
      </c>
      <c r="W3401" t="s">
        <v>29</v>
      </c>
      <c r="X3401" t="str">
        <f>IF(Table2[[#This Row],[Qty available]]&gt;Table2[[#This Row],[Qty on hand]],"Check","OK")</f>
        <v>OK</v>
      </c>
    </row>
    <row r="3402" spans="1:24" x14ac:dyDescent="0.3">
      <c r="A3402" t="s">
        <v>343</v>
      </c>
      <c r="B3402" t="s">
        <v>344</v>
      </c>
      <c r="C3402" t="s">
        <v>25</v>
      </c>
      <c r="D3402" t="s">
        <v>26</v>
      </c>
      <c r="E3402" t="s">
        <v>27</v>
      </c>
      <c r="F3402" s="1" t="s">
        <v>45</v>
      </c>
      <c r="G3402" s="2">
        <v>9.16</v>
      </c>
      <c r="H3402">
        <v>9.16</v>
      </c>
      <c r="I3402">
        <v>9.1641980000000007</v>
      </c>
      <c r="J3402">
        <v>12.22</v>
      </c>
      <c r="K3402">
        <v>41</v>
      </c>
      <c r="L3402" s="2">
        <v>58</v>
      </c>
      <c r="M3402">
        <v>385</v>
      </c>
      <c r="N3402" s="2">
        <v>243</v>
      </c>
      <c r="O3402">
        <v>2226.9</v>
      </c>
      <c r="P3402">
        <v>42</v>
      </c>
      <c r="Q3402">
        <v>201</v>
      </c>
      <c r="R3402">
        <v>5.85</v>
      </c>
      <c r="S3402">
        <v>2</v>
      </c>
      <c r="T3402">
        <v>175</v>
      </c>
      <c r="U3402" s="2">
        <v>2138.5</v>
      </c>
      <c r="V3402">
        <v>0</v>
      </c>
      <c r="W3402" t="s">
        <v>29</v>
      </c>
      <c r="X3402" t="str">
        <f>IF(Table2[[#This Row],[Qty available]]&gt;Table2[[#This Row],[Qty on hand]],"Check","OK")</f>
        <v>OK</v>
      </c>
    </row>
    <row r="3403" spans="1:24" x14ac:dyDescent="0.3">
      <c r="A3403" t="s">
        <v>343</v>
      </c>
      <c r="B3403" t="s">
        <v>344</v>
      </c>
      <c r="C3403" t="s">
        <v>25</v>
      </c>
      <c r="D3403" t="s">
        <v>26</v>
      </c>
      <c r="E3403" t="s">
        <v>27</v>
      </c>
      <c r="F3403" s="1" t="s">
        <v>46</v>
      </c>
      <c r="G3403" s="2">
        <v>9.3699999999999992</v>
      </c>
      <c r="H3403">
        <v>9.3699999999999992</v>
      </c>
      <c r="I3403">
        <v>9.2430719999999997</v>
      </c>
      <c r="J3403">
        <v>12.56</v>
      </c>
      <c r="K3403">
        <v>41</v>
      </c>
      <c r="L3403" s="2">
        <v>37</v>
      </c>
      <c r="M3403">
        <v>151</v>
      </c>
      <c r="N3403" s="2">
        <v>153</v>
      </c>
      <c r="O3403">
        <v>1414.19</v>
      </c>
      <c r="P3403">
        <v>48</v>
      </c>
      <c r="Q3403">
        <v>105</v>
      </c>
      <c r="R3403">
        <v>3.5</v>
      </c>
      <c r="S3403">
        <v>1</v>
      </c>
      <c r="T3403">
        <v>241</v>
      </c>
      <c r="U3403" s="2">
        <v>3026.96</v>
      </c>
      <c r="V3403">
        <v>0</v>
      </c>
      <c r="W3403" t="s">
        <v>29</v>
      </c>
      <c r="X3403" t="str">
        <f>IF(Table2[[#This Row],[Qty available]]&gt;Table2[[#This Row],[Qty on hand]],"Check","OK")</f>
        <v>OK</v>
      </c>
    </row>
    <row r="3404" spans="1:24" x14ac:dyDescent="0.3">
      <c r="A3404" t="s">
        <v>343</v>
      </c>
      <c r="B3404" t="s">
        <v>344</v>
      </c>
      <c r="C3404" t="s">
        <v>25</v>
      </c>
      <c r="D3404" t="s">
        <v>26</v>
      </c>
      <c r="E3404" t="s">
        <v>27</v>
      </c>
      <c r="F3404" s="1" t="s">
        <v>47</v>
      </c>
      <c r="G3404" s="2">
        <v>9.16</v>
      </c>
      <c r="H3404">
        <v>9.16</v>
      </c>
      <c r="I3404">
        <v>9.1997020000000003</v>
      </c>
      <c r="J3404">
        <v>12.56</v>
      </c>
      <c r="K3404">
        <v>41</v>
      </c>
      <c r="L3404" s="2">
        <v>38</v>
      </c>
      <c r="M3404">
        <v>167</v>
      </c>
      <c r="N3404" s="2">
        <v>235</v>
      </c>
      <c r="O3404">
        <v>2161.9299999999998</v>
      </c>
      <c r="P3404">
        <v>61</v>
      </c>
      <c r="Q3404">
        <v>174</v>
      </c>
      <c r="R3404">
        <v>6.03</v>
      </c>
      <c r="S3404">
        <v>1</v>
      </c>
      <c r="T3404">
        <v>85</v>
      </c>
      <c r="U3404" s="2">
        <v>1067.5999999999999</v>
      </c>
      <c r="V3404">
        <v>0</v>
      </c>
      <c r="W3404" t="s">
        <v>29</v>
      </c>
      <c r="X3404" t="str">
        <f>IF(Table2[[#This Row],[Qty available]]&gt;Table2[[#This Row],[Qty on hand]],"Check","OK")</f>
        <v>OK</v>
      </c>
    </row>
    <row r="3405" spans="1:24" x14ac:dyDescent="0.3">
      <c r="A3405" t="s">
        <v>343</v>
      </c>
      <c r="B3405" t="s">
        <v>344</v>
      </c>
      <c r="C3405" t="s">
        <v>25</v>
      </c>
      <c r="D3405" t="s">
        <v>26</v>
      </c>
      <c r="E3405" t="s">
        <v>27</v>
      </c>
      <c r="F3405" s="1" t="s">
        <v>48</v>
      </c>
      <c r="G3405" s="2">
        <v>9.56</v>
      </c>
      <c r="H3405">
        <v>9.56</v>
      </c>
      <c r="I3405">
        <v>9.3962389999999996</v>
      </c>
      <c r="J3405">
        <v>12.56</v>
      </c>
      <c r="K3405">
        <v>41</v>
      </c>
      <c r="L3405" s="2">
        <v>56</v>
      </c>
      <c r="M3405">
        <v>282</v>
      </c>
      <c r="N3405" s="2">
        <v>234</v>
      </c>
      <c r="O3405">
        <v>2198.7199999999998</v>
      </c>
      <c r="P3405">
        <v>30</v>
      </c>
      <c r="Q3405">
        <v>204</v>
      </c>
      <c r="R3405">
        <v>4.8899999999999997</v>
      </c>
      <c r="S3405">
        <v>0</v>
      </c>
      <c r="T3405">
        <v>283</v>
      </c>
      <c r="U3405" s="2">
        <v>3554.48</v>
      </c>
      <c r="V3405">
        <v>0</v>
      </c>
      <c r="W3405" t="s">
        <v>29</v>
      </c>
      <c r="X3405" t="str">
        <f>IF(Table2[[#This Row],[Qty available]]&gt;Table2[[#This Row],[Qty on hand]],"Check","OK")</f>
        <v>OK</v>
      </c>
    </row>
    <row r="3406" spans="1:24" x14ac:dyDescent="0.3">
      <c r="A3406" t="s">
        <v>343</v>
      </c>
      <c r="B3406" t="s">
        <v>344</v>
      </c>
      <c r="C3406" t="s">
        <v>25</v>
      </c>
      <c r="D3406" t="s">
        <v>26</v>
      </c>
      <c r="E3406" t="s">
        <v>27</v>
      </c>
      <c r="F3406" s="1" t="s">
        <v>49</v>
      </c>
      <c r="G3406" s="2">
        <v>9.3699999999999992</v>
      </c>
      <c r="H3406">
        <v>9.3699999999999992</v>
      </c>
      <c r="I3406">
        <v>9.3962310000000002</v>
      </c>
      <c r="J3406">
        <v>12.56</v>
      </c>
      <c r="K3406">
        <v>41</v>
      </c>
      <c r="M3406">
        <v>0</v>
      </c>
      <c r="N3406" s="2">
        <v>130</v>
      </c>
      <c r="O3406">
        <v>1221.51</v>
      </c>
      <c r="P3406">
        <v>24</v>
      </c>
      <c r="Q3406">
        <v>106</v>
      </c>
      <c r="R3406">
        <v>3.62</v>
      </c>
      <c r="S3406">
        <v>4</v>
      </c>
      <c r="T3406">
        <v>104</v>
      </c>
      <c r="U3406" s="2">
        <v>1306.24</v>
      </c>
      <c r="V3406">
        <v>0</v>
      </c>
      <c r="W3406" t="s">
        <v>29</v>
      </c>
      <c r="X3406" t="str">
        <f>IF(Table2[[#This Row],[Qty available]]&gt;Table2[[#This Row],[Qty on hand]],"Check","OK")</f>
        <v>OK</v>
      </c>
    </row>
    <row r="3407" spans="1:24" x14ac:dyDescent="0.3">
      <c r="A3407" t="s">
        <v>343</v>
      </c>
      <c r="B3407" t="s">
        <v>344</v>
      </c>
      <c r="C3407" t="s">
        <v>25</v>
      </c>
      <c r="D3407" t="s">
        <v>26</v>
      </c>
      <c r="E3407" t="s">
        <v>27</v>
      </c>
      <c r="F3407" s="1" t="s">
        <v>50</v>
      </c>
      <c r="G3407" s="2">
        <v>9.36</v>
      </c>
      <c r="H3407">
        <v>9.36</v>
      </c>
      <c r="I3407">
        <v>9.3667060000000006</v>
      </c>
      <c r="J3407">
        <v>12.56</v>
      </c>
      <c r="K3407">
        <v>41</v>
      </c>
      <c r="L3407" s="2">
        <v>37</v>
      </c>
      <c r="M3407">
        <v>572</v>
      </c>
      <c r="N3407" s="2">
        <v>513</v>
      </c>
      <c r="O3407">
        <v>4805.12</v>
      </c>
      <c r="P3407">
        <v>42</v>
      </c>
      <c r="Q3407">
        <v>471</v>
      </c>
      <c r="R3407">
        <v>11.58</v>
      </c>
      <c r="S3407">
        <v>3</v>
      </c>
      <c r="T3407">
        <v>189</v>
      </c>
      <c r="U3407" s="2">
        <v>2373.84</v>
      </c>
      <c r="V3407">
        <v>0</v>
      </c>
      <c r="W3407" t="s">
        <v>29</v>
      </c>
      <c r="X3407" t="str">
        <f>IF(Table2[[#This Row],[Qty available]]&gt;Table2[[#This Row],[Qty on hand]],"Check","OK")</f>
        <v>OK</v>
      </c>
    </row>
    <row r="3408" spans="1:24" x14ac:dyDescent="0.3">
      <c r="A3408" t="s">
        <v>343</v>
      </c>
      <c r="B3408" t="s">
        <v>344</v>
      </c>
      <c r="C3408" t="s">
        <v>25</v>
      </c>
      <c r="D3408" t="s">
        <v>26</v>
      </c>
      <c r="E3408" t="s">
        <v>27</v>
      </c>
      <c r="F3408" s="1" t="s">
        <v>51</v>
      </c>
      <c r="G3408" s="2">
        <v>9.4700000000000006</v>
      </c>
      <c r="H3408">
        <v>9.4700000000000006</v>
      </c>
      <c r="I3408">
        <v>9.3773490000000006</v>
      </c>
      <c r="J3408">
        <v>12.56</v>
      </c>
      <c r="K3408">
        <v>41</v>
      </c>
      <c r="L3408" s="2">
        <v>39</v>
      </c>
      <c r="M3408">
        <v>59</v>
      </c>
      <c r="N3408" s="2">
        <v>415</v>
      </c>
      <c r="O3408">
        <v>3891.6</v>
      </c>
      <c r="P3408">
        <v>61</v>
      </c>
      <c r="Q3408">
        <v>354</v>
      </c>
      <c r="R3408">
        <v>12.12</v>
      </c>
      <c r="S3408">
        <v>0</v>
      </c>
      <c r="T3408">
        <v>157</v>
      </c>
      <c r="U3408" s="2">
        <v>1971.92</v>
      </c>
      <c r="V3408">
        <v>0</v>
      </c>
      <c r="W3408" t="s">
        <v>29</v>
      </c>
      <c r="X3408" t="str">
        <f>IF(Table2[[#This Row],[Qty available]]&gt;Table2[[#This Row],[Qty on hand]],"Check","OK")</f>
        <v>OK</v>
      </c>
    </row>
    <row r="3409" spans="1:24" x14ac:dyDescent="0.3">
      <c r="A3409" t="s">
        <v>343</v>
      </c>
      <c r="B3409" t="s">
        <v>344</v>
      </c>
      <c r="C3409" t="s">
        <v>25</v>
      </c>
      <c r="D3409" t="s">
        <v>26</v>
      </c>
      <c r="E3409" t="s">
        <v>27</v>
      </c>
      <c r="F3409" s="1" t="s">
        <v>52</v>
      </c>
      <c r="G3409" s="2">
        <v>9.57</v>
      </c>
      <c r="H3409">
        <v>9.57</v>
      </c>
      <c r="I3409">
        <v>9.377364</v>
      </c>
      <c r="J3409">
        <v>12.56</v>
      </c>
      <c r="K3409">
        <v>41</v>
      </c>
      <c r="M3409">
        <v>0</v>
      </c>
      <c r="N3409" s="2">
        <v>239</v>
      </c>
      <c r="O3409">
        <v>2241.19</v>
      </c>
      <c r="P3409">
        <v>12</v>
      </c>
      <c r="Q3409">
        <v>227</v>
      </c>
      <c r="R3409">
        <v>6.02</v>
      </c>
      <c r="S3409">
        <v>3</v>
      </c>
      <c r="T3409">
        <v>176</v>
      </c>
      <c r="U3409" s="2">
        <v>2210.56</v>
      </c>
      <c r="V3409">
        <v>0</v>
      </c>
      <c r="W3409" t="s">
        <v>29</v>
      </c>
      <c r="X3409" t="str">
        <f>IF(Table2[[#This Row],[Qty available]]&gt;Table2[[#This Row],[Qty on hand]],"Check","OK")</f>
        <v>OK</v>
      </c>
    </row>
    <row r="3410" spans="1:24" x14ac:dyDescent="0.3">
      <c r="A3410" t="s">
        <v>345</v>
      </c>
      <c r="B3410" t="s">
        <v>346</v>
      </c>
      <c r="C3410" t="s">
        <v>91</v>
      </c>
      <c r="D3410" t="s">
        <v>92</v>
      </c>
      <c r="E3410" t="s">
        <v>66</v>
      </c>
      <c r="F3410" s="1" t="s">
        <v>28</v>
      </c>
      <c r="G3410" s="2">
        <v>2.68</v>
      </c>
      <c r="H3410">
        <v>2.68</v>
      </c>
      <c r="I3410">
        <v>2.7109220000000001</v>
      </c>
      <c r="J3410">
        <v>3.74</v>
      </c>
      <c r="K3410">
        <v>32</v>
      </c>
      <c r="L3410" s="2">
        <v>53</v>
      </c>
      <c r="M3410">
        <v>825</v>
      </c>
      <c r="N3410" s="2">
        <v>1682</v>
      </c>
      <c r="O3410">
        <v>4559.7700000000004</v>
      </c>
      <c r="P3410">
        <v>83</v>
      </c>
      <c r="Q3410">
        <v>1599</v>
      </c>
      <c r="R3410">
        <v>8.8699999999999992</v>
      </c>
      <c r="S3410">
        <v>0</v>
      </c>
      <c r="T3410">
        <v>1014</v>
      </c>
      <c r="U3410" s="2">
        <v>3792.36</v>
      </c>
      <c r="V3410">
        <v>0</v>
      </c>
      <c r="W3410" t="s">
        <v>29</v>
      </c>
      <c r="X3410" t="str">
        <f>IF(Table2[[#This Row],[Qty available]]&gt;Table2[[#This Row],[Qty on hand]],"Check","OK")</f>
        <v>OK</v>
      </c>
    </row>
    <row r="3411" spans="1:24" x14ac:dyDescent="0.3">
      <c r="A3411" t="s">
        <v>345</v>
      </c>
      <c r="B3411" t="s">
        <v>346</v>
      </c>
      <c r="C3411" t="s">
        <v>91</v>
      </c>
      <c r="D3411" t="s">
        <v>92</v>
      </c>
      <c r="E3411" t="s">
        <v>66</v>
      </c>
      <c r="F3411" s="1" t="s">
        <v>30</v>
      </c>
      <c r="G3411" s="2">
        <v>2.84</v>
      </c>
      <c r="H3411">
        <v>2.84</v>
      </c>
      <c r="I3411">
        <v>2.7109139999999998</v>
      </c>
      <c r="J3411">
        <v>3.74</v>
      </c>
      <c r="K3411">
        <v>32</v>
      </c>
      <c r="M3411">
        <v>0</v>
      </c>
      <c r="N3411" s="2">
        <v>678</v>
      </c>
      <c r="O3411">
        <v>1838</v>
      </c>
      <c r="P3411">
        <v>111</v>
      </c>
      <c r="Q3411">
        <v>567</v>
      </c>
      <c r="R3411">
        <v>3.08</v>
      </c>
      <c r="S3411">
        <v>0</v>
      </c>
      <c r="T3411">
        <v>1004</v>
      </c>
      <c r="U3411" s="2">
        <v>3754.96</v>
      </c>
      <c r="V3411">
        <v>0</v>
      </c>
      <c r="W3411" t="s">
        <v>29</v>
      </c>
      <c r="X3411" t="str">
        <f>IF(Table2[[#This Row],[Qty available]]&gt;Table2[[#This Row],[Qty on hand]],"Check","OK")</f>
        <v>OK</v>
      </c>
    </row>
    <row r="3412" spans="1:24" x14ac:dyDescent="0.3">
      <c r="A3412" t="s">
        <v>345</v>
      </c>
      <c r="B3412" t="s">
        <v>346</v>
      </c>
      <c r="C3412" t="s">
        <v>91</v>
      </c>
      <c r="D3412" t="s">
        <v>92</v>
      </c>
      <c r="E3412" t="s">
        <v>66</v>
      </c>
      <c r="F3412" s="1" t="s">
        <v>31</v>
      </c>
      <c r="G3412" s="2">
        <v>2.83</v>
      </c>
      <c r="H3412">
        <v>2.83</v>
      </c>
      <c r="I3412">
        <v>2.795731</v>
      </c>
      <c r="J3412">
        <v>3.74</v>
      </c>
      <c r="K3412">
        <v>32</v>
      </c>
      <c r="L3412" s="2">
        <v>42</v>
      </c>
      <c r="M3412">
        <v>1678</v>
      </c>
      <c r="N3412" s="2">
        <v>1996</v>
      </c>
      <c r="O3412">
        <v>5580.28</v>
      </c>
      <c r="P3412">
        <v>111</v>
      </c>
      <c r="Q3412">
        <v>1885</v>
      </c>
      <c r="R3412">
        <v>10.91</v>
      </c>
      <c r="S3412">
        <v>2</v>
      </c>
      <c r="T3412">
        <v>360</v>
      </c>
      <c r="U3412" s="2">
        <v>1346.4</v>
      </c>
      <c r="V3412">
        <v>0</v>
      </c>
      <c r="W3412" t="s">
        <v>29</v>
      </c>
      <c r="X3412" t="str">
        <f>IF(Table2[[#This Row],[Qty available]]&gt;Table2[[#This Row],[Qty on hand]],"Check","OK")</f>
        <v>OK</v>
      </c>
    </row>
    <row r="3413" spans="1:24" x14ac:dyDescent="0.3">
      <c r="A3413" t="s">
        <v>345</v>
      </c>
      <c r="B3413" t="s">
        <v>346</v>
      </c>
      <c r="C3413" t="s">
        <v>91</v>
      </c>
      <c r="D3413" t="s">
        <v>92</v>
      </c>
      <c r="E3413" t="s">
        <v>66</v>
      </c>
      <c r="F3413" s="1" t="s">
        <v>32</v>
      </c>
      <c r="G3413" s="2">
        <v>2.81</v>
      </c>
      <c r="H3413">
        <v>2.81</v>
      </c>
      <c r="I3413">
        <v>2.7996569999999998</v>
      </c>
      <c r="J3413">
        <v>3.74</v>
      </c>
      <c r="K3413">
        <v>32</v>
      </c>
      <c r="L3413" s="2">
        <v>29</v>
      </c>
      <c r="M3413">
        <v>757</v>
      </c>
      <c r="N3413" s="2">
        <v>1283</v>
      </c>
      <c r="O3413">
        <v>3591.96</v>
      </c>
      <c r="P3413">
        <v>111</v>
      </c>
      <c r="Q3413">
        <v>1172</v>
      </c>
      <c r="R3413">
        <v>5.95</v>
      </c>
      <c r="S3413">
        <v>0</v>
      </c>
      <c r="T3413">
        <v>1470</v>
      </c>
      <c r="U3413" s="2">
        <v>5497.8</v>
      </c>
      <c r="V3413">
        <v>0</v>
      </c>
      <c r="W3413" t="s">
        <v>29</v>
      </c>
      <c r="X3413" t="str">
        <f>IF(Table2[[#This Row],[Qty available]]&gt;Table2[[#This Row],[Qty on hand]],"Check","OK")</f>
        <v>OK</v>
      </c>
    </row>
    <row r="3414" spans="1:24" x14ac:dyDescent="0.3">
      <c r="A3414" t="s">
        <v>345</v>
      </c>
      <c r="B3414" t="s">
        <v>346</v>
      </c>
      <c r="C3414" t="s">
        <v>91</v>
      </c>
      <c r="D3414" t="s">
        <v>92</v>
      </c>
      <c r="E3414" t="s">
        <v>66</v>
      </c>
      <c r="F3414" s="1" t="s">
        <v>33</v>
      </c>
      <c r="G3414" s="2">
        <v>2.9</v>
      </c>
      <c r="H3414">
        <v>2.9</v>
      </c>
      <c r="I3414">
        <v>2.7996460000000001</v>
      </c>
      <c r="J3414">
        <v>3.74</v>
      </c>
      <c r="K3414">
        <v>32</v>
      </c>
      <c r="M3414">
        <v>0</v>
      </c>
      <c r="N3414" s="2">
        <v>395</v>
      </c>
      <c r="O3414">
        <v>1105.8599999999999</v>
      </c>
      <c r="P3414">
        <v>194</v>
      </c>
      <c r="Q3414">
        <v>201</v>
      </c>
      <c r="R3414">
        <v>1.91</v>
      </c>
      <c r="S3414">
        <v>2</v>
      </c>
      <c r="T3414">
        <v>888</v>
      </c>
      <c r="U3414" s="2">
        <v>3321.12</v>
      </c>
      <c r="V3414">
        <v>0</v>
      </c>
      <c r="W3414" t="s">
        <v>29</v>
      </c>
      <c r="X3414" t="str">
        <f>IF(Table2[[#This Row],[Qty available]]&gt;Table2[[#This Row],[Qty on hand]],"Check","OK")</f>
        <v>OK</v>
      </c>
    </row>
    <row r="3415" spans="1:24" x14ac:dyDescent="0.3">
      <c r="A3415" t="s">
        <v>345</v>
      </c>
      <c r="B3415" t="s">
        <v>346</v>
      </c>
      <c r="C3415" t="s">
        <v>91</v>
      </c>
      <c r="D3415" t="s">
        <v>92</v>
      </c>
      <c r="E3415" t="s">
        <v>66</v>
      </c>
      <c r="F3415" s="1" t="s">
        <v>34</v>
      </c>
      <c r="G3415" s="2">
        <v>2.89</v>
      </c>
      <c r="H3415">
        <v>2.89</v>
      </c>
      <c r="I3415">
        <v>2.877399</v>
      </c>
      <c r="J3415">
        <v>3.94</v>
      </c>
      <c r="K3415">
        <v>32</v>
      </c>
      <c r="L3415" s="2">
        <v>28</v>
      </c>
      <c r="M3415">
        <v>2437</v>
      </c>
      <c r="N3415" s="2">
        <v>2111</v>
      </c>
      <c r="O3415">
        <v>6074.19</v>
      </c>
      <c r="P3415">
        <v>166</v>
      </c>
      <c r="Q3415">
        <v>1945</v>
      </c>
      <c r="R3415">
        <v>8.82</v>
      </c>
      <c r="S3415">
        <v>0</v>
      </c>
      <c r="T3415">
        <v>721</v>
      </c>
      <c r="U3415" s="2">
        <v>2840.74</v>
      </c>
      <c r="V3415">
        <v>0</v>
      </c>
      <c r="W3415" t="s">
        <v>29</v>
      </c>
      <c r="X3415" t="str">
        <f>IF(Table2[[#This Row],[Qty available]]&gt;Table2[[#This Row],[Qty on hand]],"Check","OK")</f>
        <v>OK</v>
      </c>
    </row>
    <row r="3416" spans="1:24" x14ac:dyDescent="0.3">
      <c r="A3416" t="s">
        <v>345</v>
      </c>
      <c r="B3416" t="s">
        <v>346</v>
      </c>
      <c r="C3416" t="s">
        <v>91</v>
      </c>
      <c r="D3416" t="s">
        <v>92</v>
      </c>
      <c r="E3416" t="s">
        <v>66</v>
      </c>
      <c r="F3416" s="1" t="s">
        <v>35</v>
      </c>
      <c r="G3416" s="2">
        <v>2.85</v>
      </c>
      <c r="H3416">
        <v>2.85</v>
      </c>
      <c r="I3416">
        <v>2.8660359999999998</v>
      </c>
      <c r="J3416">
        <v>3.94</v>
      </c>
      <c r="K3416">
        <v>32</v>
      </c>
      <c r="L3416" s="2">
        <v>29</v>
      </c>
      <c r="M3416">
        <v>1496</v>
      </c>
      <c r="N3416" s="2">
        <v>3055</v>
      </c>
      <c r="O3416">
        <v>8755.74</v>
      </c>
      <c r="P3416">
        <v>111</v>
      </c>
      <c r="Q3416">
        <v>2944</v>
      </c>
      <c r="R3416">
        <v>18.18</v>
      </c>
      <c r="S3416">
        <v>1</v>
      </c>
      <c r="T3416">
        <v>552</v>
      </c>
      <c r="U3416" s="2">
        <v>2174.88</v>
      </c>
      <c r="V3416">
        <v>0</v>
      </c>
      <c r="W3416" t="s">
        <v>29</v>
      </c>
      <c r="X3416" t="str">
        <f>IF(Table2[[#This Row],[Qty available]]&gt;Table2[[#This Row],[Qty on hand]],"Check","OK")</f>
        <v>OK</v>
      </c>
    </row>
    <row r="3417" spans="1:24" x14ac:dyDescent="0.3">
      <c r="A3417" t="s">
        <v>345</v>
      </c>
      <c r="B3417" t="s">
        <v>346</v>
      </c>
      <c r="C3417" t="s">
        <v>91</v>
      </c>
      <c r="D3417" t="s">
        <v>92</v>
      </c>
      <c r="E3417" t="s">
        <v>66</v>
      </c>
      <c r="F3417" s="1" t="s">
        <v>36</v>
      </c>
      <c r="G3417" s="2">
        <v>2.9</v>
      </c>
      <c r="H3417">
        <v>2.9</v>
      </c>
      <c r="I3417">
        <v>2.8660380000000001</v>
      </c>
      <c r="J3417">
        <v>3.94</v>
      </c>
      <c r="K3417">
        <v>32</v>
      </c>
      <c r="M3417">
        <v>0</v>
      </c>
      <c r="N3417" s="2">
        <v>1931</v>
      </c>
      <c r="O3417">
        <v>5534.32</v>
      </c>
      <c r="P3417">
        <v>166</v>
      </c>
      <c r="Q3417">
        <v>1765</v>
      </c>
      <c r="R3417">
        <v>10.24</v>
      </c>
      <c r="S3417">
        <v>1</v>
      </c>
      <c r="T3417">
        <v>1124</v>
      </c>
      <c r="U3417" s="2">
        <v>4428.5600000000004</v>
      </c>
      <c r="V3417">
        <v>0</v>
      </c>
      <c r="W3417" t="s">
        <v>29</v>
      </c>
      <c r="X3417" t="str">
        <f>IF(Table2[[#This Row],[Qty available]]&gt;Table2[[#This Row],[Qty on hand]],"Check","OK")</f>
        <v>OK</v>
      </c>
    </row>
    <row r="3418" spans="1:24" x14ac:dyDescent="0.3">
      <c r="A3418" t="s">
        <v>345</v>
      </c>
      <c r="B3418" t="s">
        <v>346</v>
      </c>
      <c r="C3418" t="s">
        <v>91</v>
      </c>
      <c r="D3418" t="s">
        <v>92</v>
      </c>
      <c r="E3418" t="s">
        <v>66</v>
      </c>
      <c r="F3418" s="1" t="s">
        <v>37</v>
      </c>
      <c r="G3418" s="2">
        <v>2.92</v>
      </c>
      <c r="H3418">
        <v>2.92</v>
      </c>
      <c r="I3418">
        <v>2.8660399999999999</v>
      </c>
      <c r="J3418">
        <v>3.94</v>
      </c>
      <c r="K3418">
        <v>32</v>
      </c>
      <c r="M3418">
        <v>0</v>
      </c>
      <c r="N3418" s="2">
        <v>1058</v>
      </c>
      <c r="O3418">
        <v>3032.27</v>
      </c>
      <c r="P3418">
        <v>222</v>
      </c>
      <c r="Q3418">
        <v>836</v>
      </c>
      <c r="R3418">
        <v>5.46</v>
      </c>
      <c r="S3418">
        <v>1</v>
      </c>
      <c r="T3418">
        <v>873</v>
      </c>
      <c r="U3418" s="2">
        <v>3439.62</v>
      </c>
      <c r="V3418">
        <v>0</v>
      </c>
      <c r="W3418" t="s">
        <v>29</v>
      </c>
      <c r="X3418" t="str">
        <f>IF(Table2[[#This Row],[Qty available]]&gt;Table2[[#This Row],[Qty on hand]],"Check","OK")</f>
        <v>OK</v>
      </c>
    </row>
    <row r="3419" spans="1:24" x14ac:dyDescent="0.3">
      <c r="A3419" t="s">
        <v>345</v>
      </c>
      <c r="B3419" t="s">
        <v>346</v>
      </c>
      <c r="C3419" t="s">
        <v>91</v>
      </c>
      <c r="D3419" t="s">
        <v>92</v>
      </c>
      <c r="E3419" t="s">
        <v>66</v>
      </c>
      <c r="F3419" s="1" t="s">
        <v>38</v>
      </c>
      <c r="G3419" s="2">
        <v>2.88</v>
      </c>
      <c r="H3419">
        <v>2.88</v>
      </c>
      <c r="I3419">
        <v>2.8738419999999998</v>
      </c>
      <c r="J3419">
        <v>3.94</v>
      </c>
      <c r="K3419">
        <v>32</v>
      </c>
      <c r="L3419" s="2">
        <v>50</v>
      </c>
      <c r="M3419">
        <v>1341</v>
      </c>
      <c r="N3419" s="2">
        <v>1697</v>
      </c>
      <c r="O3419">
        <v>4876.91</v>
      </c>
      <c r="P3419">
        <v>83</v>
      </c>
      <c r="Q3419">
        <v>1614</v>
      </c>
      <c r="R3419">
        <v>8.17</v>
      </c>
      <c r="S3419">
        <v>3</v>
      </c>
      <c r="T3419">
        <v>702</v>
      </c>
      <c r="U3419" s="2">
        <v>2765.88</v>
      </c>
      <c r="V3419">
        <v>0</v>
      </c>
      <c r="W3419" t="s">
        <v>29</v>
      </c>
      <c r="X3419" t="str">
        <f>IF(Table2[[#This Row],[Qty available]]&gt;Table2[[#This Row],[Qty on hand]],"Check","OK")</f>
        <v>OK</v>
      </c>
    </row>
    <row r="3420" spans="1:24" x14ac:dyDescent="0.3">
      <c r="A3420" t="s">
        <v>345</v>
      </c>
      <c r="B3420" t="s">
        <v>346</v>
      </c>
      <c r="C3420" t="s">
        <v>91</v>
      </c>
      <c r="D3420" t="s">
        <v>92</v>
      </c>
      <c r="E3420" t="s">
        <v>66</v>
      </c>
      <c r="F3420" s="1" t="s">
        <v>39</v>
      </c>
      <c r="G3420" s="2">
        <v>2.86</v>
      </c>
      <c r="H3420">
        <v>2.86</v>
      </c>
      <c r="I3420">
        <v>2.8671799999999998</v>
      </c>
      <c r="J3420">
        <v>3.94</v>
      </c>
      <c r="K3420">
        <v>32</v>
      </c>
      <c r="L3420" s="2">
        <v>31</v>
      </c>
      <c r="M3420">
        <v>1574</v>
      </c>
      <c r="N3420" s="2">
        <v>2053</v>
      </c>
      <c r="O3420">
        <v>5886.32</v>
      </c>
      <c r="P3420">
        <v>250</v>
      </c>
      <c r="Q3420">
        <v>1803</v>
      </c>
      <c r="R3420">
        <v>9.66</v>
      </c>
      <c r="S3420">
        <v>0</v>
      </c>
      <c r="T3420">
        <v>1218</v>
      </c>
      <c r="U3420" s="2">
        <v>4798.92</v>
      </c>
      <c r="V3420">
        <v>0</v>
      </c>
      <c r="W3420" t="s">
        <v>29</v>
      </c>
      <c r="X3420" t="str">
        <f>IF(Table2[[#This Row],[Qty available]]&gt;Table2[[#This Row],[Qty on hand]],"Check","OK")</f>
        <v>OK</v>
      </c>
    </row>
    <row r="3421" spans="1:24" x14ac:dyDescent="0.3">
      <c r="A3421" t="s">
        <v>345</v>
      </c>
      <c r="B3421" t="s">
        <v>346</v>
      </c>
      <c r="C3421" t="s">
        <v>91</v>
      </c>
      <c r="D3421" t="s">
        <v>92</v>
      </c>
      <c r="E3421" t="s">
        <v>66</v>
      </c>
      <c r="F3421" s="1" t="s">
        <v>40</v>
      </c>
      <c r="G3421" s="2">
        <v>2.92</v>
      </c>
      <c r="H3421">
        <v>2.92</v>
      </c>
      <c r="I3421">
        <v>2.8740489999999999</v>
      </c>
      <c r="J3421">
        <v>3.94</v>
      </c>
      <c r="K3421">
        <v>32</v>
      </c>
      <c r="L3421" s="2">
        <v>28</v>
      </c>
      <c r="M3421">
        <v>307</v>
      </c>
      <c r="N3421" s="2">
        <v>1277</v>
      </c>
      <c r="O3421">
        <v>3670.16</v>
      </c>
      <c r="P3421">
        <v>277</v>
      </c>
      <c r="Q3421">
        <v>1000</v>
      </c>
      <c r="R3421">
        <v>5.59</v>
      </c>
      <c r="S3421">
        <v>1</v>
      </c>
      <c r="T3421">
        <v>1083</v>
      </c>
      <c r="U3421" s="2">
        <v>4267.0200000000004</v>
      </c>
      <c r="V3421">
        <v>0</v>
      </c>
      <c r="W3421" t="s">
        <v>29</v>
      </c>
      <c r="X3421" t="str">
        <f>IF(Table2[[#This Row],[Qty available]]&gt;Table2[[#This Row],[Qty on hand]],"Check","OK")</f>
        <v>OK</v>
      </c>
    </row>
    <row r="3422" spans="1:24" x14ac:dyDescent="0.3">
      <c r="A3422" t="s">
        <v>345</v>
      </c>
      <c r="B3422" t="s">
        <v>346</v>
      </c>
      <c r="C3422" t="s">
        <v>91</v>
      </c>
      <c r="D3422" t="s">
        <v>92</v>
      </c>
      <c r="E3422" t="s">
        <v>66</v>
      </c>
      <c r="F3422" s="1" t="s">
        <v>41</v>
      </c>
      <c r="G3422" s="2">
        <v>2.87</v>
      </c>
      <c r="H3422">
        <v>2.87</v>
      </c>
      <c r="I3422">
        <v>2.8740429999999999</v>
      </c>
      <c r="J3422">
        <v>3.94</v>
      </c>
      <c r="K3422">
        <v>32</v>
      </c>
      <c r="M3422">
        <v>0</v>
      </c>
      <c r="N3422" s="2">
        <v>695</v>
      </c>
      <c r="O3422">
        <v>1997.46</v>
      </c>
      <c r="P3422">
        <v>250</v>
      </c>
      <c r="Q3422">
        <v>445</v>
      </c>
      <c r="R3422">
        <v>3.17</v>
      </c>
      <c r="S3422">
        <v>1</v>
      </c>
      <c r="T3422">
        <v>582</v>
      </c>
      <c r="U3422" s="2">
        <v>2293.08</v>
      </c>
      <c r="V3422">
        <v>0</v>
      </c>
      <c r="W3422" t="s">
        <v>29</v>
      </c>
      <c r="X3422" t="str">
        <f>IF(Table2[[#This Row],[Qty available]]&gt;Table2[[#This Row],[Qty on hand]],"Check","OK")</f>
        <v>OK</v>
      </c>
    </row>
    <row r="3423" spans="1:24" x14ac:dyDescent="0.3">
      <c r="A3423" t="s">
        <v>345</v>
      </c>
      <c r="B3423" t="s">
        <v>346</v>
      </c>
      <c r="C3423" t="s">
        <v>91</v>
      </c>
      <c r="D3423" t="s">
        <v>92</v>
      </c>
      <c r="E3423" t="s">
        <v>66</v>
      </c>
      <c r="F3423" s="1" t="s">
        <v>42</v>
      </c>
      <c r="G3423" s="2">
        <v>3.1</v>
      </c>
      <c r="H3423">
        <v>3.1</v>
      </c>
      <c r="I3423">
        <v>3.061585</v>
      </c>
      <c r="J3423">
        <v>3.94</v>
      </c>
      <c r="K3423">
        <v>32</v>
      </c>
      <c r="L3423" s="2">
        <v>28</v>
      </c>
      <c r="M3423">
        <v>3393</v>
      </c>
      <c r="N3423" s="2">
        <v>3016</v>
      </c>
      <c r="O3423">
        <v>9233.74</v>
      </c>
      <c r="P3423">
        <v>194</v>
      </c>
      <c r="Q3423">
        <v>2822</v>
      </c>
      <c r="R3423">
        <v>14.48</v>
      </c>
      <c r="S3423">
        <v>0</v>
      </c>
      <c r="T3423">
        <v>1072</v>
      </c>
      <c r="U3423" s="2">
        <v>4223.68</v>
      </c>
      <c r="V3423">
        <v>0</v>
      </c>
      <c r="W3423" t="s">
        <v>29</v>
      </c>
      <c r="X3423" t="str">
        <f>IF(Table2[[#This Row],[Qty available]]&gt;Table2[[#This Row],[Qty on hand]],"Check","OK")</f>
        <v>OK</v>
      </c>
    </row>
    <row r="3424" spans="1:24" x14ac:dyDescent="0.3">
      <c r="A3424" t="s">
        <v>345</v>
      </c>
      <c r="B3424" t="s">
        <v>346</v>
      </c>
      <c r="C3424" t="s">
        <v>91</v>
      </c>
      <c r="D3424" t="s">
        <v>92</v>
      </c>
      <c r="E3424" t="s">
        <v>66</v>
      </c>
      <c r="F3424" s="1" t="s">
        <v>43</v>
      </c>
      <c r="G3424" s="2">
        <v>3.09</v>
      </c>
      <c r="H3424">
        <v>3.09</v>
      </c>
      <c r="I3424">
        <v>3.0615839999999999</v>
      </c>
      <c r="J3424">
        <v>3.94</v>
      </c>
      <c r="K3424">
        <v>32</v>
      </c>
      <c r="M3424">
        <v>0</v>
      </c>
      <c r="N3424" s="2">
        <v>1913</v>
      </c>
      <c r="O3424">
        <v>5856.81</v>
      </c>
      <c r="P3424">
        <v>222</v>
      </c>
      <c r="Q3424">
        <v>1691</v>
      </c>
      <c r="R3424">
        <v>9.02</v>
      </c>
      <c r="S3424">
        <v>3</v>
      </c>
      <c r="T3424">
        <v>1103</v>
      </c>
      <c r="U3424" s="2">
        <v>4345.82</v>
      </c>
      <c r="V3424">
        <v>0</v>
      </c>
      <c r="W3424" t="s">
        <v>29</v>
      </c>
      <c r="X3424" t="str">
        <f>IF(Table2[[#This Row],[Qty available]]&gt;Table2[[#This Row],[Qty on hand]],"Check","OK")</f>
        <v>OK</v>
      </c>
    </row>
    <row r="3425" spans="1:24" x14ac:dyDescent="0.3">
      <c r="A3425" t="s">
        <v>345</v>
      </c>
      <c r="B3425" t="s">
        <v>346</v>
      </c>
      <c r="C3425" t="s">
        <v>91</v>
      </c>
      <c r="D3425" t="s">
        <v>92</v>
      </c>
      <c r="E3425" t="s">
        <v>66</v>
      </c>
      <c r="F3425" s="1" t="s">
        <v>44</v>
      </c>
      <c r="G3425" s="2">
        <v>3.07</v>
      </c>
      <c r="H3425">
        <v>3.07</v>
      </c>
      <c r="I3425">
        <v>3.0646879999999999</v>
      </c>
      <c r="J3425">
        <v>3.94</v>
      </c>
      <c r="K3425">
        <v>32</v>
      </c>
      <c r="L3425" s="2">
        <v>29</v>
      </c>
      <c r="M3425">
        <v>1117</v>
      </c>
      <c r="N3425" s="2">
        <v>2289</v>
      </c>
      <c r="O3425">
        <v>7015.07</v>
      </c>
      <c r="P3425">
        <v>55</v>
      </c>
      <c r="Q3425">
        <v>2234</v>
      </c>
      <c r="R3425">
        <v>10.32</v>
      </c>
      <c r="S3425">
        <v>0</v>
      </c>
      <c r="T3425">
        <v>741</v>
      </c>
      <c r="U3425" s="2">
        <v>2919.54</v>
      </c>
      <c r="V3425">
        <v>0</v>
      </c>
      <c r="W3425" t="s">
        <v>29</v>
      </c>
      <c r="X3425" t="str">
        <f>IF(Table2[[#This Row],[Qty available]]&gt;Table2[[#This Row],[Qty on hand]],"Check","OK")</f>
        <v>OK</v>
      </c>
    </row>
    <row r="3426" spans="1:24" x14ac:dyDescent="0.3">
      <c r="A3426" t="s">
        <v>345</v>
      </c>
      <c r="B3426" t="s">
        <v>346</v>
      </c>
      <c r="C3426" t="s">
        <v>91</v>
      </c>
      <c r="D3426" t="s">
        <v>92</v>
      </c>
      <c r="E3426" t="s">
        <v>66</v>
      </c>
      <c r="F3426" s="1" t="s">
        <v>45</v>
      </c>
      <c r="G3426" s="2">
        <v>3.06</v>
      </c>
      <c r="H3426">
        <v>3.06</v>
      </c>
      <c r="I3426">
        <v>3.0643980000000002</v>
      </c>
      <c r="J3426">
        <v>3.94</v>
      </c>
      <c r="K3426">
        <v>32</v>
      </c>
      <c r="L3426" s="2">
        <v>28</v>
      </c>
      <c r="M3426">
        <v>152</v>
      </c>
      <c r="N3426" s="2">
        <v>1421</v>
      </c>
      <c r="O3426">
        <v>4354.51</v>
      </c>
      <c r="P3426">
        <v>55</v>
      </c>
      <c r="Q3426">
        <v>1366</v>
      </c>
      <c r="R3426">
        <v>6.52</v>
      </c>
      <c r="S3426">
        <v>0</v>
      </c>
      <c r="T3426">
        <v>1020</v>
      </c>
      <c r="U3426" s="2">
        <v>4018.8</v>
      </c>
      <c r="V3426">
        <v>0</v>
      </c>
      <c r="W3426" t="s">
        <v>29</v>
      </c>
      <c r="X3426" t="str">
        <f>IF(Table2[[#This Row],[Qty available]]&gt;Table2[[#This Row],[Qty on hand]],"Check","OK")</f>
        <v>OK</v>
      </c>
    </row>
    <row r="3427" spans="1:24" x14ac:dyDescent="0.3">
      <c r="A3427" t="s">
        <v>345</v>
      </c>
      <c r="B3427" t="s">
        <v>346</v>
      </c>
      <c r="C3427" t="s">
        <v>91</v>
      </c>
      <c r="D3427" t="s">
        <v>92</v>
      </c>
      <c r="E3427" t="s">
        <v>66</v>
      </c>
      <c r="F3427" s="1" t="s">
        <v>46</v>
      </c>
      <c r="G3427" s="2">
        <v>2.99</v>
      </c>
      <c r="H3427">
        <v>2.99</v>
      </c>
      <c r="I3427">
        <v>3.0251709999999998</v>
      </c>
      <c r="J3427">
        <v>4.16</v>
      </c>
      <c r="K3427">
        <v>32</v>
      </c>
      <c r="L3427" s="2">
        <v>28</v>
      </c>
      <c r="M3427">
        <v>1585</v>
      </c>
      <c r="N3427" s="2">
        <v>2218</v>
      </c>
      <c r="O3427">
        <v>6709.83</v>
      </c>
      <c r="P3427">
        <v>250</v>
      </c>
      <c r="Q3427">
        <v>1968</v>
      </c>
      <c r="R3427">
        <v>11.19</v>
      </c>
      <c r="S3427">
        <v>0</v>
      </c>
      <c r="T3427">
        <v>788</v>
      </c>
      <c r="U3427" s="2">
        <v>3278.08</v>
      </c>
      <c r="V3427">
        <v>0</v>
      </c>
      <c r="W3427" t="s">
        <v>29</v>
      </c>
      <c r="X3427" t="str">
        <f>IF(Table2[[#This Row],[Qty available]]&gt;Table2[[#This Row],[Qty on hand]],"Check","OK")</f>
        <v>OK</v>
      </c>
    </row>
    <row r="3428" spans="1:24" x14ac:dyDescent="0.3">
      <c r="A3428" t="s">
        <v>345</v>
      </c>
      <c r="B3428" t="s">
        <v>346</v>
      </c>
      <c r="C3428" t="s">
        <v>91</v>
      </c>
      <c r="D3428" t="s">
        <v>92</v>
      </c>
      <c r="E3428" t="s">
        <v>66</v>
      </c>
      <c r="F3428" s="1" t="s">
        <v>47</v>
      </c>
      <c r="G3428" s="2">
        <v>3.07</v>
      </c>
      <c r="H3428">
        <v>3.07</v>
      </c>
      <c r="I3428">
        <v>3.0375380000000001</v>
      </c>
      <c r="J3428">
        <v>4.16</v>
      </c>
      <c r="K3428">
        <v>32</v>
      </c>
      <c r="L3428" s="2">
        <v>30</v>
      </c>
      <c r="M3428">
        <v>845</v>
      </c>
      <c r="N3428" s="2">
        <v>2632</v>
      </c>
      <c r="O3428">
        <v>7994.8</v>
      </c>
      <c r="P3428">
        <v>111</v>
      </c>
      <c r="Q3428">
        <v>2521</v>
      </c>
      <c r="R3428">
        <v>15.11</v>
      </c>
      <c r="S3428">
        <v>1</v>
      </c>
      <c r="T3428">
        <v>431</v>
      </c>
      <c r="U3428" s="2">
        <v>1792.96</v>
      </c>
      <c r="V3428">
        <v>0</v>
      </c>
      <c r="W3428" t="s">
        <v>29</v>
      </c>
      <c r="X3428" t="str">
        <f>IF(Table2[[#This Row],[Qty available]]&gt;Table2[[#This Row],[Qty on hand]],"Check","OK")</f>
        <v>OK</v>
      </c>
    </row>
    <row r="3429" spans="1:24" x14ac:dyDescent="0.3">
      <c r="A3429" t="s">
        <v>345</v>
      </c>
      <c r="B3429" t="s">
        <v>346</v>
      </c>
      <c r="C3429" t="s">
        <v>91</v>
      </c>
      <c r="D3429" t="s">
        <v>92</v>
      </c>
      <c r="E3429" t="s">
        <v>66</v>
      </c>
      <c r="F3429" s="1" t="s">
        <v>48</v>
      </c>
      <c r="G3429" s="2">
        <v>3.04</v>
      </c>
      <c r="H3429">
        <v>3.04</v>
      </c>
      <c r="I3429">
        <v>3.0375359999999998</v>
      </c>
      <c r="J3429">
        <v>4.16</v>
      </c>
      <c r="K3429">
        <v>32</v>
      </c>
      <c r="M3429">
        <v>0</v>
      </c>
      <c r="N3429" s="2">
        <v>1782</v>
      </c>
      <c r="O3429">
        <v>5412.89</v>
      </c>
      <c r="P3429">
        <v>83</v>
      </c>
      <c r="Q3429">
        <v>1699</v>
      </c>
      <c r="R3429">
        <v>10.95</v>
      </c>
      <c r="S3429">
        <v>0</v>
      </c>
      <c r="T3429">
        <v>850</v>
      </c>
      <c r="U3429" s="2">
        <v>3536</v>
      </c>
      <c r="V3429">
        <v>0</v>
      </c>
      <c r="W3429" t="s">
        <v>29</v>
      </c>
      <c r="X3429" t="str">
        <f>IF(Table2[[#This Row],[Qty available]]&gt;Table2[[#This Row],[Qty on hand]],"Check","OK")</f>
        <v>OK</v>
      </c>
    </row>
    <row r="3430" spans="1:24" x14ac:dyDescent="0.3">
      <c r="A3430" t="s">
        <v>345</v>
      </c>
      <c r="B3430" t="s">
        <v>346</v>
      </c>
      <c r="C3430" t="s">
        <v>91</v>
      </c>
      <c r="D3430" t="s">
        <v>92</v>
      </c>
      <c r="E3430" t="s">
        <v>66</v>
      </c>
      <c r="F3430" s="1" t="s">
        <v>49</v>
      </c>
      <c r="G3430" s="2">
        <v>2.99</v>
      </c>
      <c r="H3430">
        <v>2.99</v>
      </c>
      <c r="I3430">
        <v>3.0333549999999998</v>
      </c>
      <c r="J3430">
        <v>4.16</v>
      </c>
      <c r="K3430">
        <v>32</v>
      </c>
      <c r="L3430" s="2">
        <v>56</v>
      </c>
      <c r="M3430">
        <v>172</v>
      </c>
      <c r="N3430" s="2">
        <v>927</v>
      </c>
      <c r="O3430">
        <v>2811.92</v>
      </c>
      <c r="P3430">
        <v>83</v>
      </c>
      <c r="Q3430">
        <v>844</v>
      </c>
      <c r="R3430">
        <v>5.28</v>
      </c>
      <c r="S3430">
        <v>1</v>
      </c>
      <c r="T3430">
        <v>1027</v>
      </c>
      <c r="U3430" s="2">
        <v>4272.32</v>
      </c>
      <c r="V3430">
        <v>0</v>
      </c>
      <c r="W3430" t="s">
        <v>29</v>
      </c>
      <c r="X3430" t="str">
        <f>IF(Table2[[#This Row],[Qty available]]&gt;Table2[[#This Row],[Qty on hand]],"Check","OK")</f>
        <v>OK</v>
      </c>
    </row>
    <row r="3431" spans="1:24" x14ac:dyDescent="0.3">
      <c r="A3431" t="s">
        <v>345</v>
      </c>
      <c r="B3431" t="s">
        <v>346</v>
      </c>
      <c r="C3431" t="s">
        <v>91</v>
      </c>
      <c r="D3431" t="s">
        <v>92</v>
      </c>
      <c r="E3431" t="s">
        <v>66</v>
      </c>
      <c r="F3431" s="1" t="s">
        <v>50</v>
      </c>
      <c r="G3431" s="2">
        <v>3.08</v>
      </c>
      <c r="H3431">
        <v>3.08</v>
      </c>
      <c r="I3431">
        <v>3.061458</v>
      </c>
      <c r="J3431">
        <v>4.16</v>
      </c>
      <c r="K3431">
        <v>32</v>
      </c>
      <c r="L3431" s="2">
        <v>41</v>
      </c>
      <c r="M3431">
        <v>1405</v>
      </c>
      <c r="N3431" s="2">
        <v>1845</v>
      </c>
      <c r="O3431">
        <v>5648.39</v>
      </c>
      <c r="P3431">
        <v>83</v>
      </c>
      <c r="Q3431">
        <v>1762</v>
      </c>
      <c r="R3431">
        <v>10.15</v>
      </c>
      <c r="S3431">
        <v>0</v>
      </c>
      <c r="T3431">
        <v>487</v>
      </c>
      <c r="U3431" s="2">
        <v>2025.92</v>
      </c>
      <c r="V3431">
        <v>0</v>
      </c>
      <c r="W3431" t="s">
        <v>29</v>
      </c>
      <c r="X3431" t="str">
        <f>IF(Table2[[#This Row],[Qty available]]&gt;Table2[[#This Row],[Qty on hand]],"Check","OK")</f>
        <v>OK</v>
      </c>
    </row>
    <row r="3432" spans="1:24" x14ac:dyDescent="0.3">
      <c r="A3432" t="s">
        <v>345</v>
      </c>
      <c r="B3432" t="s">
        <v>346</v>
      </c>
      <c r="C3432" t="s">
        <v>91</v>
      </c>
      <c r="D3432" t="s">
        <v>92</v>
      </c>
      <c r="E3432" t="s">
        <v>66</v>
      </c>
      <c r="F3432" s="1" t="s">
        <v>51</v>
      </c>
      <c r="G3432" s="2">
        <v>3.05</v>
      </c>
      <c r="H3432">
        <v>3.05</v>
      </c>
      <c r="I3432">
        <v>3.0559180000000001</v>
      </c>
      <c r="J3432">
        <v>4.16</v>
      </c>
      <c r="K3432">
        <v>32</v>
      </c>
      <c r="L3432" s="2">
        <v>39</v>
      </c>
      <c r="M3432">
        <v>1728</v>
      </c>
      <c r="N3432" s="2">
        <v>3094</v>
      </c>
      <c r="O3432">
        <v>9455.01</v>
      </c>
      <c r="P3432">
        <v>277</v>
      </c>
      <c r="Q3432">
        <v>2817</v>
      </c>
      <c r="R3432">
        <v>20.399999999999999</v>
      </c>
      <c r="S3432">
        <v>0</v>
      </c>
      <c r="T3432">
        <v>479</v>
      </c>
      <c r="U3432" s="2">
        <v>1992.64</v>
      </c>
      <c r="V3432">
        <v>0</v>
      </c>
      <c r="W3432" t="s">
        <v>29</v>
      </c>
      <c r="X3432" t="str">
        <f>IF(Table2[[#This Row],[Qty available]]&gt;Table2[[#This Row],[Qty on hand]],"Check","OK")</f>
        <v>OK</v>
      </c>
    </row>
    <row r="3433" spans="1:24" x14ac:dyDescent="0.3">
      <c r="A3433" t="s">
        <v>345</v>
      </c>
      <c r="B3433" t="s">
        <v>346</v>
      </c>
      <c r="C3433" t="s">
        <v>91</v>
      </c>
      <c r="D3433" t="s">
        <v>92</v>
      </c>
      <c r="E3433" t="s">
        <v>66</v>
      </c>
      <c r="F3433" s="1" t="s">
        <v>52</v>
      </c>
      <c r="G3433" s="2">
        <v>3.09</v>
      </c>
      <c r="H3433">
        <v>3.09</v>
      </c>
      <c r="I3433">
        <v>3.055917</v>
      </c>
      <c r="J3433">
        <v>4.16</v>
      </c>
      <c r="K3433">
        <v>32</v>
      </c>
      <c r="M3433">
        <v>0</v>
      </c>
      <c r="N3433" s="2">
        <v>2400</v>
      </c>
      <c r="O3433">
        <v>7334.2</v>
      </c>
      <c r="P3433">
        <v>55</v>
      </c>
      <c r="Q3433">
        <v>2345</v>
      </c>
      <c r="R3433">
        <v>19</v>
      </c>
      <c r="S3433">
        <v>0</v>
      </c>
      <c r="T3433">
        <v>694</v>
      </c>
      <c r="U3433" s="2">
        <v>2887.04</v>
      </c>
      <c r="V3433">
        <v>0</v>
      </c>
      <c r="W3433" t="s">
        <v>29</v>
      </c>
      <c r="X3433" t="str">
        <f>IF(Table2[[#This Row],[Qty available]]&gt;Table2[[#This Row],[Qty on hand]],"Check","OK")</f>
        <v>OK</v>
      </c>
    </row>
    <row r="3434" spans="1:24" x14ac:dyDescent="0.3">
      <c r="A3434" t="s">
        <v>347</v>
      </c>
      <c r="B3434" t="s">
        <v>348</v>
      </c>
      <c r="C3434" t="s">
        <v>57</v>
      </c>
      <c r="D3434" t="s">
        <v>58</v>
      </c>
      <c r="E3434" t="s">
        <v>27</v>
      </c>
      <c r="F3434" s="1" t="s">
        <v>28</v>
      </c>
      <c r="G3434" s="2">
        <v>20.7</v>
      </c>
      <c r="H3434">
        <v>20.7</v>
      </c>
      <c r="I3434">
        <v>20.849146999999999</v>
      </c>
      <c r="J3434">
        <v>27.95</v>
      </c>
      <c r="K3434">
        <v>56</v>
      </c>
      <c r="M3434">
        <v>0</v>
      </c>
      <c r="N3434" s="2">
        <v>739</v>
      </c>
      <c r="O3434">
        <v>15407.52</v>
      </c>
      <c r="P3434">
        <v>41</v>
      </c>
      <c r="Q3434">
        <v>698</v>
      </c>
      <c r="R3434">
        <v>14.94</v>
      </c>
      <c r="S3434">
        <v>0</v>
      </c>
      <c r="T3434">
        <v>204</v>
      </c>
      <c r="U3434" s="2">
        <v>5701.8</v>
      </c>
      <c r="V3434">
        <v>0</v>
      </c>
      <c r="W3434" t="s">
        <v>29</v>
      </c>
      <c r="X3434" t="str">
        <f>IF(Table2[[#This Row],[Qty available]]&gt;Table2[[#This Row],[Qty on hand]],"Check","OK")</f>
        <v>OK</v>
      </c>
    </row>
    <row r="3435" spans="1:24" x14ac:dyDescent="0.3">
      <c r="A3435" t="s">
        <v>347</v>
      </c>
      <c r="B3435" t="s">
        <v>348</v>
      </c>
      <c r="C3435" t="s">
        <v>57</v>
      </c>
      <c r="D3435" t="s">
        <v>58</v>
      </c>
      <c r="E3435" t="s">
        <v>27</v>
      </c>
      <c r="F3435" s="1" t="s">
        <v>30</v>
      </c>
      <c r="G3435" s="2">
        <v>20.46</v>
      </c>
      <c r="H3435">
        <v>20.46</v>
      </c>
      <c r="I3435">
        <v>20.849138</v>
      </c>
      <c r="J3435">
        <v>27.95</v>
      </c>
      <c r="K3435">
        <v>56</v>
      </c>
      <c r="M3435">
        <v>0</v>
      </c>
      <c r="N3435" s="2">
        <v>383</v>
      </c>
      <c r="O3435">
        <v>7985.22</v>
      </c>
      <c r="P3435">
        <v>58</v>
      </c>
      <c r="Q3435">
        <v>325</v>
      </c>
      <c r="R3435">
        <v>6.36</v>
      </c>
      <c r="S3435">
        <v>0</v>
      </c>
      <c r="T3435">
        <v>356</v>
      </c>
      <c r="U3435" s="2">
        <v>9950.2000000000007</v>
      </c>
      <c r="V3435">
        <v>0</v>
      </c>
      <c r="W3435" t="s">
        <v>29</v>
      </c>
      <c r="X3435" t="str">
        <f>IF(Table2[[#This Row],[Qty available]]&gt;Table2[[#This Row],[Qty on hand]],"Check","OK")</f>
        <v>OK</v>
      </c>
    </row>
    <row r="3436" spans="1:24" x14ac:dyDescent="0.3">
      <c r="A3436" t="s">
        <v>347</v>
      </c>
      <c r="B3436" t="s">
        <v>348</v>
      </c>
      <c r="C3436" t="s">
        <v>57</v>
      </c>
      <c r="D3436" t="s">
        <v>58</v>
      </c>
      <c r="E3436" t="s">
        <v>27</v>
      </c>
      <c r="F3436" s="1" t="s">
        <v>31</v>
      </c>
      <c r="G3436" s="2">
        <v>20.93</v>
      </c>
      <c r="H3436">
        <v>20.93</v>
      </c>
      <c r="I3436">
        <v>20.881986000000001</v>
      </c>
      <c r="J3436">
        <v>27.95</v>
      </c>
      <c r="K3436">
        <v>56</v>
      </c>
      <c r="L3436" s="2">
        <v>68</v>
      </c>
      <c r="M3436">
        <v>262</v>
      </c>
      <c r="N3436" s="2">
        <v>282</v>
      </c>
      <c r="O3436">
        <v>5888.72</v>
      </c>
      <c r="P3436">
        <v>33</v>
      </c>
      <c r="Q3436">
        <v>249</v>
      </c>
      <c r="R3436">
        <v>3.97</v>
      </c>
      <c r="S3436">
        <v>0</v>
      </c>
      <c r="T3436">
        <v>363</v>
      </c>
      <c r="U3436" s="2">
        <v>10145.85</v>
      </c>
      <c r="V3436">
        <v>0</v>
      </c>
      <c r="W3436" t="s">
        <v>29</v>
      </c>
      <c r="X3436" t="str">
        <f>IF(Table2[[#This Row],[Qty available]]&gt;Table2[[#This Row],[Qty on hand]],"Check","OK")</f>
        <v>OK</v>
      </c>
    </row>
    <row r="3437" spans="1:24" x14ac:dyDescent="0.3">
      <c r="A3437" t="s">
        <v>347</v>
      </c>
      <c r="B3437" t="s">
        <v>348</v>
      </c>
      <c r="C3437" t="s">
        <v>57</v>
      </c>
      <c r="D3437" t="s">
        <v>58</v>
      </c>
      <c r="E3437" t="s">
        <v>27</v>
      </c>
      <c r="F3437" s="1" t="s">
        <v>32</v>
      </c>
      <c r="G3437" s="2">
        <v>20.64</v>
      </c>
      <c r="H3437">
        <v>20.64</v>
      </c>
      <c r="I3437">
        <v>20.725296</v>
      </c>
      <c r="J3437">
        <v>27.95</v>
      </c>
      <c r="K3437">
        <v>56</v>
      </c>
      <c r="L3437" s="2">
        <v>52</v>
      </c>
      <c r="M3437">
        <v>518</v>
      </c>
      <c r="N3437" s="2">
        <v>608</v>
      </c>
      <c r="O3437">
        <v>12600.98</v>
      </c>
      <c r="P3437">
        <v>17</v>
      </c>
      <c r="Q3437">
        <v>591</v>
      </c>
      <c r="R3437">
        <v>8.77</v>
      </c>
      <c r="S3437">
        <v>1</v>
      </c>
      <c r="T3437">
        <v>192</v>
      </c>
      <c r="U3437" s="2">
        <v>5366.4</v>
      </c>
      <c r="V3437">
        <v>0</v>
      </c>
      <c r="W3437" t="s">
        <v>29</v>
      </c>
      <c r="X3437" t="str">
        <f>IF(Table2[[#This Row],[Qty available]]&gt;Table2[[#This Row],[Qty on hand]],"Check","OK")</f>
        <v>OK</v>
      </c>
    </row>
    <row r="3438" spans="1:24" x14ac:dyDescent="0.3">
      <c r="A3438" t="s">
        <v>347</v>
      </c>
      <c r="B3438" t="s">
        <v>348</v>
      </c>
      <c r="C3438" t="s">
        <v>57</v>
      </c>
      <c r="D3438" t="s">
        <v>58</v>
      </c>
      <c r="E3438" t="s">
        <v>27</v>
      </c>
      <c r="F3438" s="1" t="s">
        <v>33</v>
      </c>
      <c r="G3438" s="2">
        <v>21.69</v>
      </c>
      <c r="H3438">
        <v>21.69</v>
      </c>
      <c r="I3438">
        <v>20.725287999999999</v>
      </c>
      <c r="J3438">
        <v>27.95</v>
      </c>
      <c r="K3438">
        <v>56</v>
      </c>
      <c r="M3438">
        <v>0</v>
      </c>
      <c r="N3438" s="2">
        <v>312</v>
      </c>
      <c r="O3438">
        <v>6466.29</v>
      </c>
      <c r="P3438">
        <v>58</v>
      </c>
      <c r="Q3438">
        <v>254</v>
      </c>
      <c r="R3438">
        <v>4.82</v>
      </c>
      <c r="S3438">
        <v>0</v>
      </c>
      <c r="T3438">
        <v>296</v>
      </c>
      <c r="U3438" s="2">
        <v>8273.2000000000007</v>
      </c>
      <c r="V3438">
        <v>0</v>
      </c>
      <c r="W3438" t="s">
        <v>29</v>
      </c>
      <c r="X3438" t="str">
        <f>IF(Table2[[#This Row],[Qty available]]&gt;Table2[[#This Row],[Qty on hand]],"Check","OK")</f>
        <v>OK</v>
      </c>
    </row>
    <row r="3439" spans="1:24" x14ac:dyDescent="0.3">
      <c r="A3439" t="s">
        <v>347</v>
      </c>
      <c r="B3439" t="s">
        <v>348</v>
      </c>
      <c r="C3439" t="s">
        <v>57</v>
      </c>
      <c r="D3439" t="s">
        <v>58</v>
      </c>
      <c r="E3439" t="s">
        <v>27</v>
      </c>
      <c r="F3439" s="1" t="s">
        <v>34</v>
      </c>
      <c r="G3439" s="2">
        <v>21.62</v>
      </c>
      <c r="H3439">
        <v>21.62</v>
      </c>
      <c r="I3439">
        <v>21.239678999999999</v>
      </c>
      <c r="J3439">
        <v>29.45</v>
      </c>
      <c r="K3439">
        <v>56</v>
      </c>
      <c r="L3439" s="2">
        <v>71</v>
      </c>
      <c r="M3439">
        <v>422</v>
      </c>
      <c r="N3439" s="2">
        <v>498</v>
      </c>
      <c r="O3439">
        <v>10577.36</v>
      </c>
      <c r="P3439">
        <v>41</v>
      </c>
      <c r="Q3439">
        <v>457</v>
      </c>
      <c r="R3439">
        <v>8.84</v>
      </c>
      <c r="S3439">
        <v>2</v>
      </c>
      <c r="T3439">
        <v>236</v>
      </c>
      <c r="U3439" s="2">
        <v>6950.2</v>
      </c>
      <c r="V3439">
        <v>0</v>
      </c>
      <c r="W3439" t="s">
        <v>29</v>
      </c>
      <c r="X3439" t="str">
        <f>IF(Table2[[#This Row],[Qty available]]&gt;Table2[[#This Row],[Qty on hand]],"Check","OK")</f>
        <v>OK</v>
      </c>
    </row>
    <row r="3440" spans="1:24" x14ac:dyDescent="0.3">
      <c r="A3440" t="s">
        <v>347</v>
      </c>
      <c r="B3440" t="s">
        <v>348</v>
      </c>
      <c r="C3440" t="s">
        <v>57</v>
      </c>
      <c r="D3440" t="s">
        <v>58</v>
      </c>
      <c r="E3440" t="s">
        <v>27</v>
      </c>
      <c r="F3440" s="1" t="s">
        <v>35</v>
      </c>
      <c r="G3440" s="2">
        <v>21.7</v>
      </c>
      <c r="H3440">
        <v>21.7</v>
      </c>
      <c r="I3440">
        <v>21.239692999999999</v>
      </c>
      <c r="J3440">
        <v>29.45</v>
      </c>
      <c r="K3440">
        <v>56</v>
      </c>
      <c r="M3440">
        <v>0</v>
      </c>
      <c r="N3440" s="2">
        <v>228</v>
      </c>
      <c r="O3440">
        <v>4842.6499999999996</v>
      </c>
      <c r="P3440">
        <v>50</v>
      </c>
      <c r="Q3440">
        <v>178</v>
      </c>
      <c r="R3440">
        <v>3.66</v>
      </c>
      <c r="S3440">
        <v>2</v>
      </c>
      <c r="T3440">
        <v>270</v>
      </c>
      <c r="U3440" s="2">
        <v>7951.5</v>
      </c>
      <c r="V3440">
        <v>0</v>
      </c>
      <c r="W3440" t="s">
        <v>29</v>
      </c>
      <c r="X3440" t="str">
        <f>IF(Table2[[#This Row],[Qty available]]&gt;Table2[[#This Row],[Qty on hand]],"Check","OK")</f>
        <v>OK</v>
      </c>
    </row>
    <row r="3441" spans="1:24" x14ac:dyDescent="0.3">
      <c r="A3441" t="s">
        <v>347</v>
      </c>
      <c r="B3441" t="s">
        <v>348</v>
      </c>
      <c r="C3441" t="s">
        <v>57</v>
      </c>
      <c r="D3441" t="s">
        <v>58</v>
      </c>
      <c r="E3441" t="s">
        <v>27</v>
      </c>
      <c r="F3441" s="1" t="s">
        <v>36</v>
      </c>
      <c r="G3441" s="2">
        <v>21.07</v>
      </c>
      <c r="H3441">
        <v>21.07</v>
      </c>
      <c r="I3441">
        <v>21.110468999999998</v>
      </c>
      <c r="J3441">
        <v>29.45</v>
      </c>
      <c r="K3441">
        <v>56</v>
      </c>
      <c r="L3441" s="2">
        <v>49</v>
      </c>
      <c r="M3441">
        <v>728</v>
      </c>
      <c r="N3441" s="2">
        <v>683</v>
      </c>
      <c r="O3441">
        <v>14418.45</v>
      </c>
      <c r="P3441">
        <v>25</v>
      </c>
      <c r="Q3441">
        <v>658</v>
      </c>
      <c r="R3441">
        <v>11.15</v>
      </c>
      <c r="S3441">
        <v>1</v>
      </c>
      <c r="T3441">
        <v>273</v>
      </c>
      <c r="U3441" s="2">
        <v>8039.85</v>
      </c>
      <c r="V3441">
        <v>0</v>
      </c>
      <c r="W3441" t="s">
        <v>29</v>
      </c>
      <c r="X3441" t="str">
        <f>IF(Table2[[#This Row],[Qty available]]&gt;Table2[[#This Row],[Qty on hand]],"Check","OK")</f>
        <v>OK</v>
      </c>
    </row>
    <row r="3442" spans="1:24" x14ac:dyDescent="0.3">
      <c r="A3442" t="s">
        <v>347</v>
      </c>
      <c r="B3442" t="s">
        <v>348</v>
      </c>
      <c r="C3442" t="s">
        <v>57</v>
      </c>
      <c r="D3442" t="s">
        <v>58</v>
      </c>
      <c r="E3442" t="s">
        <v>27</v>
      </c>
      <c r="F3442" s="1" t="s">
        <v>37</v>
      </c>
      <c r="G3442" s="2">
        <v>21.14</v>
      </c>
      <c r="H3442">
        <v>21.14</v>
      </c>
      <c r="I3442">
        <v>21.119332</v>
      </c>
      <c r="J3442">
        <v>29.45</v>
      </c>
      <c r="K3442">
        <v>56</v>
      </c>
      <c r="L3442" s="2">
        <v>49</v>
      </c>
      <c r="M3442">
        <v>293</v>
      </c>
      <c r="N3442" s="2">
        <v>509</v>
      </c>
      <c r="O3442">
        <v>10749.74</v>
      </c>
      <c r="P3442">
        <v>58</v>
      </c>
      <c r="Q3442">
        <v>451</v>
      </c>
      <c r="R3442">
        <v>6.62</v>
      </c>
      <c r="S3442">
        <v>1</v>
      </c>
      <c r="T3442">
        <v>467</v>
      </c>
      <c r="U3442" s="2">
        <v>13753.15</v>
      </c>
      <c r="V3442">
        <v>0</v>
      </c>
      <c r="W3442" t="s">
        <v>29</v>
      </c>
      <c r="X3442" t="str">
        <f>IF(Table2[[#This Row],[Qty available]]&gt;Table2[[#This Row],[Qty on hand]],"Check","OK")</f>
        <v>OK</v>
      </c>
    </row>
    <row r="3443" spans="1:24" x14ac:dyDescent="0.3">
      <c r="A3443" t="s">
        <v>347</v>
      </c>
      <c r="B3443" t="s">
        <v>348</v>
      </c>
      <c r="C3443" t="s">
        <v>57</v>
      </c>
      <c r="D3443" t="s">
        <v>58</v>
      </c>
      <c r="E3443" t="s">
        <v>27</v>
      </c>
      <c r="F3443" s="1" t="s">
        <v>38</v>
      </c>
      <c r="G3443" s="2">
        <v>21.75</v>
      </c>
      <c r="H3443">
        <v>21.75</v>
      </c>
      <c r="I3443">
        <v>21.346212000000001</v>
      </c>
      <c r="J3443">
        <v>29.45</v>
      </c>
      <c r="K3443">
        <v>56</v>
      </c>
      <c r="L3443" s="2">
        <v>49</v>
      </c>
      <c r="M3443">
        <v>286</v>
      </c>
      <c r="N3443" s="2">
        <v>594</v>
      </c>
      <c r="O3443">
        <v>12679.65</v>
      </c>
      <c r="P3443">
        <v>25</v>
      </c>
      <c r="Q3443">
        <v>569</v>
      </c>
      <c r="R3443">
        <v>8.2100000000000009</v>
      </c>
      <c r="S3443">
        <v>1</v>
      </c>
      <c r="T3443">
        <v>201</v>
      </c>
      <c r="U3443" s="2">
        <v>5919.45</v>
      </c>
      <c r="V3443">
        <v>0</v>
      </c>
      <c r="W3443" t="s">
        <v>29</v>
      </c>
      <c r="X3443" t="str">
        <f>IF(Table2[[#This Row],[Qty available]]&gt;Table2[[#This Row],[Qty on hand]],"Check","OK")</f>
        <v>OK</v>
      </c>
    </row>
    <row r="3444" spans="1:24" x14ac:dyDescent="0.3">
      <c r="A3444" t="s">
        <v>347</v>
      </c>
      <c r="B3444" t="s">
        <v>348</v>
      </c>
      <c r="C3444" t="s">
        <v>57</v>
      </c>
      <c r="D3444" t="s">
        <v>58</v>
      </c>
      <c r="E3444" t="s">
        <v>27</v>
      </c>
      <c r="F3444" s="1" t="s">
        <v>39</v>
      </c>
      <c r="G3444" s="2">
        <v>21.76</v>
      </c>
      <c r="H3444">
        <v>21.76</v>
      </c>
      <c r="I3444">
        <v>21.449659</v>
      </c>
      <c r="J3444">
        <v>29.45</v>
      </c>
      <c r="K3444">
        <v>56</v>
      </c>
      <c r="L3444" s="2">
        <v>53</v>
      </c>
      <c r="M3444">
        <v>198</v>
      </c>
      <c r="N3444" s="2">
        <v>733</v>
      </c>
      <c r="O3444">
        <v>15722.6</v>
      </c>
      <c r="P3444">
        <v>74</v>
      </c>
      <c r="Q3444">
        <v>659</v>
      </c>
      <c r="R3444">
        <v>13.25</v>
      </c>
      <c r="S3444">
        <v>7</v>
      </c>
      <c r="T3444">
        <v>59</v>
      </c>
      <c r="U3444" s="2">
        <v>1737.55</v>
      </c>
      <c r="V3444">
        <v>0</v>
      </c>
      <c r="W3444" t="s">
        <v>29</v>
      </c>
      <c r="X3444" t="str">
        <f>IF(Table2[[#This Row],[Qty available]]&gt;Table2[[#This Row],[Qty on hand]],"Check","OK")</f>
        <v>OK</v>
      </c>
    </row>
    <row r="3445" spans="1:24" x14ac:dyDescent="0.3">
      <c r="A3445" t="s">
        <v>347</v>
      </c>
      <c r="B3445" t="s">
        <v>348</v>
      </c>
      <c r="C3445" t="s">
        <v>57</v>
      </c>
      <c r="D3445" t="s">
        <v>58</v>
      </c>
      <c r="E3445" t="s">
        <v>27</v>
      </c>
      <c r="F3445" s="1" t="s">
        <v>40</v>
      </c>
      <c r="G3445" s="2">
        <v>21.65</v>
      </c>
      <c r="H3445">
        <v>21.65</v>
      </c>
      <c r="I3445">
        <v>21.449660999999999</v>
      </c>
      <c r="J3445">
        <v>29.45</v>
      </c>
      <c r="K3445">
        <v>56</v>
      </c>
      <c r="M3445">
        <v>0</v>
      </c>
      <c r="N3445" s="2">
        <v>354</v>
      </c>
      <c r="O3445">
        <v>7593.18</v>
      </c>
      <c r="P3445">
        <v>58</v>
      </c>
      <c r="Q3445">
        <v>296</v>
      </c>
      <c r="R3445">
        <v>7.28</v>
      </c>
      <c r="S3445">
        <v>0</v>
      </c>
      <c r="T3445">
        <v>379</v>
      </c>
      <c r="U3445" s="2">
        <v>11161.55</v>
      </c>
      <c r="V3445">
        <v>0</v>
      </c>
      <c r="W3445" t="s">
        <v>29</v>
      </c>
      <c r="X3445" t="str">
        <f>IF(Table2[[#This Row],[Qty available]]&gt;Table2[[#This Row],[Qty on hand]],"Check","OK")</f>
        <v>OK</v>
      </c>
    </row>
    <row r="3446" spans="1:24" x14ac:dyDescent="0.3">
      <c r="A3446" t="s">
        <v>347</v>
      </c>
      <c r="B3446" t="s">
        <v>348</v>
      </c>
      <c r="C3446" t="s">
        <v>57</v>
      </c>
      <c r="D3446" t="s">
        <v>58</v>
      </c>
      <c r="E3446" t="s">
        <v>27</v>
      </c>
      <c r="F3446" s="1" t="s">
        <v>41</v>
      </c>
      <c r="G3446" s="2">
        <v>21.19</v>
      </c>
      <c r="H3446">
        <v>21.19</v>
      </c>
      <c r="I3446">
        <v>21.283225999999999</v>
      </c>
      <c r="J3446">
        <v>29.45</v>
      </c>
      <c r="K3446">
        <v>56</v>
      </c>
      <c r="L3446" s="2">
        <v>66</v>
      </c>
      <c r="M3446">
        <v>632</v>
      </c>
      <c r="N3446" s="2">
        <v>623</v>
      </c>
      <c r="O3446">
        <v>13259.45</v>
      </c>
      <c r="P3446">
        <v>50</v>
      </c>
      <c r="Q3446">
        <v>573</v>
      </c>
      <c r="R3446">
        <v>10.220000000000001</v>
      </c>
      <c r="S3446">
        <v>0</v>
      </c>
      <c r="T3446">
        <v>363</v>
      </c>
      <c r="U3446" s="2">
        <v>10690.35</v>
      </c>
      <c r="V3446">
        <v>0</v>
      </c>
      <c r="W3446" t="s">
        <v>29</v>
      </c>
      <c r="X3446" t="str">
        <f>IF(Table2[[#This Row],[Qty available]]&gt;Table2[[#This Row],[Qty on hand]],"Check","OK")</f>
        <v>OK</v>
      </c>
    </row>
    <row r="3447" spans="1:24" x14ac:dyDescent="0.3">
      <c r="A3447" t="s">
        <v>347</v>
      </c>
      <c r="B3447" t="s">
        <v>348</v>
      </c>
      <c r="C3447" t="s">
        <v>57</v>
      </c>
      <c r="D3447" t="s">
        <v>58</v>
      </c>
      <c r="E3447" t="s">
        <v>27</v>
      </c>
      <c r="F3447" s="1" t="s">
        <v>42</v>
      </c>
      <c r="G3447" s="2">
        <v>21.45</v>
      </c>
      <c r="H3447">
        <v>21.45</v>
      </c>
      <c r="I3447">
        <v>21.310911999999998</v>
      </c>
      <c r="J3447">
        <v>29.45</v>
      </c>
      <c r="K3447">
        <v>56</v>
      </c>
      <c r="L3447" s="2">
        <v>52</v>
      </c>
      <c r="M3447">
        <v>124</v>
      </c>
      <c r="N3447" s="2">
        <v>658</v>
      </c>
      <c r="O3447">
        <v>14022.58</v>
      </c>
      <c r="P3447">
        <v>58</v>
      </c>
      <c r="Q3447">
        <v>600</v>
      </c>
      <c r="R3447">
        <v>10.41</v>
      </c>
      <c r="S3447">
        <v>10</v>
      </c>
      <c r="T3447">
        <v>89</v>
      </c>
      <c r="U3447" s="2">
        <v>2621.0500000000002</v>
      </c>
      <c r="V3447">
        <v>0</v>
      </c>
      <c r="W3447" t="s">
        <v>29</v>
      </c>
      <c r="X3447" t="str">
        <f>IF(Table2[[#This Row],[Qty available]]&gt;Table2[[#This Row],[Qty on hand]],"Check","OK")</f>
        <v>OK</v>
      </c>
    </row>
    <row r="3448" spans="1:24" x14ac:dyDescent="0.3">
      <c r="A3448" t="s">
        <v>347</v>
      </c>
      <c r="B3448" t="s">
        <v>348</v>
      </c>
      <c r="C3448" t="s">
        <v>57</v>
      </c>
      <c r="D3448" t="s">
        <v>58</v>
      </c>
      <c r="E3448" t="s">
        <v>27</v>
      </c>
      <c r="F3448" s="1" t="s">
        <v>43</v>
      </c>
      <c r="G3448" s="2">
        <v>21.55</v>
      </c>
      <c r="H3448">
        <v>21.55</v>
      </c>
      <c r="I3448">
        <v>21.310914</v>
      </c>
      <c r="J3448">
        <v>29.45</v>
      </c>
      <c r="K3448">
        <v>56</v>
      </c>
      <c r="M3448">
        <v>0</v>
      </c>
      <c r="N3448" s="2">
        <v>514</v>
      </c>
      <c r="O3448">
        <v>10953.81</v>
      </c>
      <c r="P3448">
        <v>17</v>
      </c>
      <c r="Q3448">
        <v>497</v>
      </c>
      <c r="R3448">
        <v>11.21</v>
      </c>
      <c r="S3448">
        <v>1</v>
      </c>
      <c r="T3448">
        <v>144</v>
      </c>
      <c r="U3448" s="2">
        <v>4240.8</v>
      </c>
      <c r="V3448">
        <v>0</v>
      </c>
      <c r="W3448" t="s">
        <v>29</v>
      </c>
      <c r="X3448" t="str">
        <f>IF(Table2[[#This Row],[Qty available]]&gt;Table2[[#This Row],[Qty on hand]],"Check","OK")</f>
        <v>OK</v>
      </c>
    </row>
    <row r="3449" spans="1:24" x14ac:dyDescent="0.3">
      <c r="A3449" t="s">
        <v>347</v>
      </c>
      <c r="B3449" t="s">
        <v>348</v>
      </c>
      <c r="C3449" t="s">
        <v>57</v>
      </c>
      <c r="D3449" t="s">
        <v>58</v>
      </c>
      <c r="E3449" t="s">
        <v>27</v>
      </c>
      <c r="F3449" s="1" t="s">
        <v>44</v>
      </c>
      <c r="G3449" s="2">
        <v>21.62</v>
      </c>
      <c r="H3449">
        <v>21.62</v>
      </c>
      <c r="I3449">
        <v>21.491883999999999</v>
      </c>
      <c r="J3449">
        <v>29.45</v>
      </c>
      <c r="K3449">
        <v>56</v>
      </c>
      <c r="L3449" s="2">
        <v>51</v>
      </c>
      <c r="M3449">
        <v>726</v>
      </c>
      <c r="N3449" s="2">
        <v>982</v>
      </c>
      <c r="O3449">
        <v>21105.03</v>
      </c>
      <c r="P3449">
        <v>33</v>
      </c>
      <c r="Q3449">
        <v>949</v>
      </c>
      <c r="R3449">
        <v>26.29</v>
      </c>
      <c r="S3449">
        <v>0</v>
      </c>
      <c r="T3449">
        <v>258</v>
      </c>
      <c r="U3449" s="2">
        <v>7598.1</v>
      </c>
      <c r="V3449">
        <v>0</v>
      </c>
      <c r="W3449" t="s">
        <v>29</v>
      </c>
      <c r="X3449" t="str">
        <f>IF(Table2[[#This Row],[Qty available]]&gt;Table2[[#This Row],[Qty on hand]],"Check","OK")</f>
        <v>OK</v>
      </c>
    </row>
    <row r="3450" spans="1:24" x14ac:dyDescent="0.3">
      <c r="A3450" t="s">
        <v>347</v>
      </c>
      <c r="B3450" t="s">
        <v>348</v>
      </c>
      <c r="C3450" t="s">
        <v>57</v>
      </c>
      <c r="D3450" t="s">
        <v>58</v>
      </c>
      <c r="E3450" t="s">
        <v>27</v>
      </c>
      <c r="F3450" s="1" t="s">
        <v>45</v>
      </c>
      <c r="G3450" s="2">
        <v>22.62</v>
      </c>
      <c r="H3450">
        <v>22.62</v>
      </c>
      <c r="I3450">
        <v>21.491879000000001</v>
      </c>
      <c r="J3450">
        <v>29.45</v>
      </c>
      <c r="K3450">
        <v>56</v>
      </c>
      <c r="M3450">
        <v>0</v>
      </c>
      <c r="N3450" s="2">
        <v>873</v>
      </c>
      <c r="O3450">
        <v>18762.41</v>
      </c>
      <c r="P3450">
        <v>83</v>
      </c>
      <c r="Q3450">
        <v>790</v>
      </c>
      <c r="R3450">
        <v>22.45</v>
      </c>
      <c r="S3450">
        <v>6</v>
      </c>
      <c r="T3450">
        <v>109</v>
      </c>
      <c r="U3450" s="2">
        <v>3210.05</v>
      </c>
      <c r="V3450">
        <v>0</v>
      </c>
      <c r="W3450" t="s">
        <v>29</v>
      </c>
      <c r="X3450" t="str">
        <f>IF(Table2[[#This Row],[Qty available]]&gt;Table2[[#This Row],[Qty on hand]],"Check","OK")</f>
        <v>OK</v>
      </c>
    </row>
    <row r="3451" spans="1:24" x14ac:dyDescent="0.3">
      <c r="A3451" t="s">
        <v>347</v>
      </c>
      <c r="B3451" t="s">
        <v>348</v>
      </c>
      <c r="C3451" t="s">
        <v>57</v>
      </c>
      <c r="D3451" t="s">
        <v>58</v>
      </c>
      <c r="E3451" t="s">
        <v>27</v>
      </c>
      <c r="F3451" s="1" t="s">
        <v>46</v>
      </c>
      <c r="G3451" s="2">
        <v>21.94</v>
      </c>
      <c r="H3451">
        <v>21.94</v>
      </c>
      <c r="I3451">
        <v>21.491876000000001</v>
      </c>
      <c r="J3451">
        <v>31.03</v>
      </c>
      <c r="K3451">
        <v>56</v>
      </c>
      <c r="M3451">
        <v>0</v>
      </c>
      <c r="N3451" s="2">
        <v>629</v>
      </c>
      <c r="O3451">
        <v>13518.39</v>
      </c>
      <c r="P3451">
        <v>41</v>
      </c>
      <c r="Q3451">
        <v>588</v>
      </c>
      <c r="R3451">
        <v>13.24</v>
      </c>
      <c r="S3451">
        <v>2</v>
      </c>
      <c r="T3451">
        <v>244</v>
      </c>
      <c r="U3451" s="2">
        <v>7571.32</v>
      </c>
      <c r="V3451">
        <v>0</v>
      </c>
      <c r="W3451" t="s">
        <v>29</v>
      </c>
      <c r="X3451" t="str">
        <f>IF(Table2[[#This Row],[Qty available]]&gt;Table2[[#This Row],[Qty on hand]],"Check","OK")</f>
        <v>OK</v>
      </c>
    </row>
    <row r="3452" spans="1:24" x14ac:dyDescent="0.3">
      <c r="A3452" t="s">
        <v>347</v>
      </c>
      <c r="B3452" t="s">
        <v>348</v>
      </c>
      <c r="C3452" t="s">
        <v>57</v>
      </c>
      <c r="D3452" t="s">
        <v>58</v>
      </c>
      <c r="E3452" t="s">
        <v>27</v>
      </c>
      <c r="F3452" s="1" t="s">
        <v>47</v>
      </c>
      <c r="G3452" s="2">
        <v>22.66</v>
      </c>
      <c r="H3452">
        <v>22.66</v>
      </c>
      <c r="I3452">
        <v>21.863949000000002</v>
      </c>
      <c r="J3452">
        <v>31.03</v>
      </c>
      <c r="K3452">
        <v>56</v>
      </c>
      <c r="L3452" s="2">
        <v>51</v>
      </c>
      <c r="M3452">
        <v>294</v>
      </c>
      <c r="N3452" s="2">
        <v>661</v>
      </c>
      <c r="O3452">
        <v>14452.07</v>
      </c>
      <c r="P3452">
        <v>66</v>
      </c>
      <c r="Q3452">
        <v>595</v>
      </c>
      <c r="R3452">
        <v>13.82</v>
      </c>
      <c r="S3452">
        <v>2</v>
      </c>
      <c r="T3452">
        <v>262</v>
      </c>
      <c r="U3452" s="2">
        <v>8129.86</v>
      </c>
      <c r="V3452">
        <v>0</v>
      </c>
      <c r="W3452" t="s">
        <v>29</v>
      </c>
      <c r="X3452" t="str">
        <f>IF(Table2[[#This Row],[Qty available]]&gt;Table2[[#This Row],[Qty on hand]],"Check","OK")</f>
        <v>OK</v>
      </c>
    </row>
    <row r="3453" spans="1:24" x14ac:dyDescent="0.3">
      <c r="A3453" t="s">
        <v>347</v>
      </c>
      <c r="B3453" t="s">
        <v>348</v>
      </c>
      <c r="C3453" t="s">
        <v>57</v>
      </c>
      <c r="D3453" t="s">
        <v>58</v>
      </c>
      <c r="E3453" t="s">
        <v>27</v>
      </c>
      <c r="F3453" s="1" t="s">
        <v>48</v>
      </c>
      <c r="G3453" s="2">
        <v>21.96</v>
      </c>
      <c r="H3453">
        <v>21.96</v>
      </c>
      <c r="I3453">
        <v>21.898596000000001</v>
      </c>
      <c r="J3453">
        <v>31.03</v>
      </c>
      <c r="K3453">
        <v>56</v>
      </c>
      <c r="L3453" s="2">
        <v>99</v>
      </c>
      <c r="M3453">
        <v>373</v>
      </c>
      <c r="N3453" s="2">
        <v>748</v>
      </c>
      <c r="O3453">
        <v>16380.15</v>
      </c>
      <c r="P3453">
        <v>25</v>
      </c>
      <c r="Q3453">
        <v>723</v>
      </c>
      <c r="R3453">
        <v>12.01</v>
      </c>
      <c r="S3453">
        <v>0</v>
      </c>
      <c r="T3453">
        <v>286</v>
      </c>
      <c r="U3453" s="2">
        <v>8874.58</v>
      </c>
      <c r="V3453">
        <v>0</v>
      </c>
      <c r="W3453" t="s">
        <v>29</v>
      </c>
      <c r="X3453" t="str">
        <f>IF(Table2[[#This Row],[Qty available]]&gt;Table2[[#This Row],[Qty on hand]],"Check","OK")</f>
        <v>OK</v>
      </c>
    </row>
    <row r="3454" spans="1:24" x14ac:dyDescent="0.3">
      <c r="A3454" t="s">
        <v>347</v>
      </c>
      <c r="B3454" t="s">
        <v>348</v>
      </c>
      <c r="C3454" t="s">
        <v>57</v>
      </c>
      <c r="D3454" t="s">
        <v>58</v>
      </c>
      <c r="E3454" t="s">
        <v>27</v>
      </c>
      <c r="F3454" s="1" t="s">
        <v>49</v>
      </c>
      <c r="G3454" s="2">
        <v>21.89</v>
      </c>
      <c r="H3454">
        <v>21.89</v>
      </c>
      <c r="I3454">
        <v>21.895061999999999</v>
      </c>
      <c r="J3454">
        <v>31.03</v>
      </c>
      <c r="K3454">
        <v>56</v>
      </c>
      <c r="L3454" s="2">
        <v>54</v>
      </c>
      <c r="M3454">
        <v>523</v>
      </c>
      <c r="N3454" s="2">
        <v>960</v>
      </c>
      <c r="O3454">
        <v>21019.26</v>
      </c>
      <c r="P3454">
        <v>50</v>
      </c>
      <c r="Q3454">
        <v>910</v>
      </c>
      <c r="R3454">
        <v>14.69</v>
      </c>
      <c r="S3454">
        <v>2</v>
      </c>
      <c r="T3454">
        <v>311</v>
      </c>
      <c r="U3454" s="2">
        <v>9650.33</v>
      </c>
      <c r="V3454">
        <v>0</v>
      </c>
      <c r="W3454" t="s">
        <v>29</v>
      </c>
      <c r="X3454" t="str">
        <f>IF(Table2[[#This Row],[Qty available]]&gt;Table2[[#This Row],[Qty on hand]],"Check","OK")</f>
        <v>OK</v>
      </c>
    </row>
    <row r="3455" spans="1:24" x14ac:dyDescent="0.3">
      <c r="A3455" t="s">
        <v>347</v>
      </c>
      <c r="B3455" t="s">
        <v>348</v>
      </c>
      <c r="C3455" t="s">
        <v>57</v>
      </c>
      <c r="D3455" t="s">
        <v>58</v>
      </c>
      <c r="E3455" t="s">
        <v>27</v>
      </c>
      <c r="F3455" s="1" t="s">
        <v>50</v>
      </c>
      <c r="G3455" s="2">
        <v>21.79</v>
      </c>
      <c r="H3455">
        <v>21.79</v>
      </c>
      <c r="I3455">
        <v>21.895059</v>
      </c>
      <c r="J3455">
        <v>31.03</v>
      </c>
      <c r="K3455">
        <v>56</v>
      </c>
      <c r="M3455">
        <v>0</v>
      </c>
      <c r="N3455" s="2">
        <v>769</v>
      </c>
      <c r="O3455">
        <v>16837.3</v>
      </c>
      <c r="P3455">
        <v>83</v>
      </c>
      <c r="Q3455">
        <v>686</v>
      </c>
      <c r="R3455">
        <v>12.69</v>
      </c>
      <c r="S3455">
        <v>0</v>
      </c>
      <c r="T3455">
        <v>191</v>
      </c>
      <c r="U3455" s="2">
        <v>5926.73</v>
      </c>
      <c r="V3455">
        <v>0</v>
      </c>
      <c r="W3455" t="s">
        <v>29</v>
      </c>
      <c r="X3455" t="str">
        <f>IF(Table2[[#This Row],[Qty available]]&gt;Table2[[#This Row],[Qty on hand]],"Check","OK")</f>
        <v>OK</v>
      </c>
    </row>
    <row r="3456" spans="1:24" x14ac:dyDescent="0.3">
      <c r="A3456" t="s">
        <v>347</v>
      </c>
      <c r="B3456" t="s">
        <v>348</v>
      </c>
      <c r="C3456" t="s">
        <v>57</v>
      </c>
      <c r="D3456" t="s">
        <v>58</v>
      </c>
      <c r="E3456" t="s">
        <v>27</v>
      </c>
      <c r="F3456" s="1" t="s">
        <v>51</v>
      </c>
      <c r="G3456" s="2">
        <v>22.09</v>
      </c>
      <c r="H3456">
        <v>22.09</v>
      </c>
      <c r="I3456">
        <v>21.982541999999999</v>
      </c>
      <c r="J3456">
        <v>31.03</v>
      </c>
      <c r="K3456">
        <v>56</v>
      </c>
      <c r="L3456" s="2">
        <v>51</v>
      </c>
      <c r="M3456">
        <v>626</v>
      </c>
      <c r="N3456" s="2">
        <v>948</v>
      </c>
      <c r="O3456">
        <v>20839.45</v>
      </c>
      <c r="P3456">
        <v>58</v>
      </c>
      <c r="Q3456">
        <v>890</v>
      </c>
      <c r="R3456">
        <v>13.13</v>
      </c>
      <c r="S3456">
        <v>0</v>
      </c>
      <c r="T3456">
        <v>447</v>
      </c>
      <c r="U3456" s="2">
        <v>13870.41</v>
      </c>
      <c r="V3456">
        <v>0</v>
      </c>
      <c r="W3456" t="s">
        <v>29</v>
      </c>
      <c r="X3456" t="str">
        <f>IF(Table2[[#This Row],[Qty available]]&gt;Table2[[#This Row],[Qty on hand]],"Check","OK")</f>
        <v>OK</v>
      </c>
    </row>
    <row r="3457" spans="1:24" x14ac:dyDescent="0.3">
      <c r="A3457" t="s">
        <v>347</v>
      </c>
      <c r="B3457" t="s">
        <v>348</v>
      </c>
      <c r="C3457" t="s">
        <v>57</v>
      </c>
      <c r="D3457" t="s">
        <v>58</v>
      </c>
      <c r="E3457" t="s">
        <v>27</v>
      </c>
      <c r="F3457" s="1" t="s">
        <v>52</v>
      </c>
      <c r="G3457" s="2">
        <v>21.86</v>
      </c>
      <c r="H3457">
        <v>21.86</v>
      </c>
      <c r="I3457">
        <v>21.982547</v>
      </c>
      <c r="J3457">
        <v>31.03</v>
      </c>
      <c r="K3457">
        <v>56</v>
      </c>
      <c r="M3457">
        <v>0</v>
      </c>
      <c r="N3457" s="2">
        <v>805</v>
      </c>
      <c r="O3457">
        <v>17695.95</v>
      </c>
      <c r="P3457">
        <v>66</v>
      </c>
      <c r="Q3457">
        <v>739</v>
      </c>
      <c r="R3457">
        <v>13.55</v>
      </c>
      <c r="S3457">
        <v>0</v>
      </c>
      <c r="T3457">
        <v>143</v>
      </c>
      <c r="U3457" s="2">
        <v>4437.29</v>
      </c>
      <c r="V3457">
        <v>0</v>
      </c>
      <c r="W3457" t="s">
        <v>29</v>
      </c>
      <c r="X3457" t="str">
        <f>IF(Table2[[#This Row],[Qty available]]&gt;Table2[[#This Row],[Qty on hand]],"Check","OK")</f>
        <v>OK</v>
      </c>
    </row>
    <row r="3458" spans="1:24" x14ac:dyDescent="0.3">
      <c r="A3458" t="s">
        <v>349</v>
      </c>
      <c r="B3458" t="s">
        <v>350</v>
      </c>
      <c r="C3458" t="s">
        <v>77</v>
      </c>
      <c r="D3458" t="s">
        <v>78</v>
      </c>
      <c r="E3458" t="s">
        <v>27</v>
      </c>
      <c r="F3458" s="1" t="s">
        <v>28</v>
      </c>
      <c r="G3458" s="2">
        <v>17.350000000000001</v>
      </c>
      <c r="H3458">
        <v>17.350000000000001</v>
      </c>
      <c r="I3458">
        <v>17.119149</v>
      </c>
      <c r="J3458">
        <v>25.01</v>
      </c>
      <c r="K3458">
        <v>35</v>
      </c>
      <c r="L3458" s="2">
        <v>32</v>
      </c>
      <c r="M3458">
        <v>100</v>
      </c>
      <c r="N3458" s="2">
        <v>282</v>
      </c>
      <c r="O3458">
        <v>4827.6000000000004</v>
      </c>
      <c r="P3458">
        <v>30</v>
      </c>
      <c r="Q3458">
        <v>252</v>
      </c>
      <c r="R3458">
        <v>11.73</v>
      </c>
      <c r="S3458">
        <v>0</v>
      </c>
      <c r="T3458">
        <v>106</v>
      </c>
      <c r="U3458" s="2">
        <v>2651.06</v>
      </c>
      <c r="V3458">
        <v>0</v>
      </c>
      <c r="W3458" t="s">
        <v>29</v>
      </c>
      <c r="X3458" t="str">
        <f>IF(Table2[[#This Row],[Qty available]]&gt;Table2[[#This Row],[Qty on hand]],"Check","OK")</f>
        <v>OK</v>
      </c>
    </row>
    <row r="3459" spans="1:24" x14ac:dyDescent="0.3">
      <c r="A3459" t="s">
        <v>349</v>
      </c>
      <c r="B3459" t="s">
        <v>350</v>
      </c>
      <c r="C3459" t="s">
        <v>77</v>
      </c>
      <c r="D3459" t="s">
        <v>78</v>
      </c>
      <c r="E3459" t="s">
        <v>27</v>
      </c>
      <c r="F3459" s="1" t="s">
        <v>30</v>
      </c>
      <c r="G3459" s="2">
        <v>17.45</v>
      </c>
      <c r="H3459">
        <v>17.45</v>
      </c>
      <c r="I3459">
        <v>17.205741</v>
      </c>
      <c r="J3459">
        <v>25.01</v>
      </c>
      <c r="K3459">
        <v>35</v>
      </c>
      <c r="L3459" s="2">
        <v>33</v>
      </c>
      <c r="M3459">
        <v>100</v>
      </c>
      <c r="N3459" s="2">
        <v>270</v>
      </c>
      <c r="O3459">
        <v>4645.55</v>
      </c>
      <c r="P3459">
        <v>17</v>
      </c>
      <c r="Q3459">
        <v>253</v>
      </c>
      <c r="R3459">
        <v>11.83</v>
      </c>
      <c r="S3459">
        <v>4</v>
      </c>
      <c r="T3459">
        <v>112</v>
      </c>
      <c r="U3459" s="2">
        <v>2801.12</v>
      </c>
      <c r="V3459">
        <v>0</v>
      </c>
      <c r="W3459" t="s">
        <v>29</v>
      </c>
      <c r="X3459" t="str">
        <f>IF(Table2[[#This Row],[Qty available]]&gt;Table2[[#This Row],[Qty on hand]],"Check","OK")</f>
        <v>OK</v>
      </c>
    </row>
    <row r="3460" spans="1:24" x14ac:dyDescent="0.3">
      <c r="A3460" t="s">
        <v>349</v>
      </c>
      <c r="B3460" t="s">
        <v>350</v>
      </c>
      <c r="C3460" t="s">
        <v>77</v>
      </c>
      <c r="D3460" t="s">
        <v>78</v>
      </c>
      <c r="E3460" t="s">
        <v>27</v>
      </c>
      <c r="F3460" s="1" t="s">
        <v>31</v>
      </c>
      <c r="G3460" s="2">
        <v>17.14</v>
      </c>
      <c r="H3460">
        <v>17.14</v>
      </c>
      <c r="I3460">
        <v>17.205714</v>
      </c>
      <c r="J3460">
        <v>25.01</v>
      </c>
      <c r="K3460">
        <v>35</v>
      </c>
      <c r="M3460">
        <v>0</v>
      </c>
      <c r="N3460" s="2">
        <v>154</v>
      </c>
      <c r="O3460">
        <v>2649.68</v>
      </c>
      <c r="P3460">
        <v>30</v>
      </c>
      <c r="Q3460">
        <v>124</v>
      </c>
      <c r="R3460">
        <v>5.99</v>
      </c>
      <c r="S3460">
        <v>2</v>
      </c>
      <c r="T3460">
        <v>116</v>
      </c>
      <c r="U3460" s="2">
        <v>2901.16</v>
      </c>
      <c r="V3460">
        <v>0</v>
      </c>
      <c r="W3460" t="s">
        <v>29</v>
      </c>
      <c r="X3460" t="str">
        <f>IF(Table2[[#This Row],[Qty available]]&gt;Table2[[#This Row],[Qty on hand]],"Check","OK")</f>
        <v>OK</v>
      </c>
    </row>
    <row r="3461" spans="1:24" x14ac:dyDescent="0.3">
      <c r="A3461" t="s">
        <v>349</v>
      </c>
      <c r="B3461" t="s">
        <v>350</v>
      </c>
      <c r="C3461" t="s">
        <v>77</v>
      </c>
      <c r="D3461" t="s">
        <v>78</v>
      </c>
      <c r="E3461" t="s">
        <v>27</v>
      </c>
      <c r="F3461" s="1" t="s">
        <v>32</v>
      </c>
      <c r="G3461" s="2">
        <v>17.25</v>
      </c>
      <c r="H3461">
        <v>17.25</v>
      </c>
      <c r="I3461">
        <v>17.223213999999999</v>
      </c>
      <c r="J3461">
        <v>25.01</v>
      </c>
      <c r="K3461">
        <v>35</v>
      </c>
      <c r="L3461" s="2">
        <v>32</v>
      </c>
      <c r="M3461">
        <v>100</v>
      </c>
      <c r="N3461" s="2">
        <v>56</v>
      </c>
      <c r="O3461">
        <v>964.5</v>
      </c>
      <c r="P3461">
        <v>21</v>
      </c>
      <c r="Q3461">
        <v>35</v>
      </c>
      <c r="R3461">
        <v>1.73</v>
      </c>
      <c r="S3461">
        <v>1</v>
      </c>
      <c r="T3461">
        <v>198</v>
      </c>
      <c r="U3461" s="2">
        <v>4951.9799999999996</v>
      </c>
      <c r="V3461">
        <v>0</v>
      </c>
      <c r="W3461" t="s">
        <v>29</v>
      </c>
      <c r="X3461" t="str">
        <f>IF(Table2[[#This Row],[Qty available]]&gt;Table2[[#This Row],[Qty on hand]],"Check","OK")</f>
        <v>OK</v>
      </c>
    </row>
    <row r="3462" spans="1:24" x14ac:dyDescent="0.3">
      <c r="A3462" t="s">
        <v>349</v>
      </c>
      <c r="B3462" t="s">
        <v>350</v>
      </c>
      <c r="C3462" t="s">
        <v>77</v>
      </c>
      <c r="D3462" t="s">
        <v>78</v>
      </c>
      <c r="E3462" t="s">
        <v>27</v>
      </c>
      <c r="F3462" s="1" t="s">
        <v>33</v>
      </c>
      <c r="G3462" s="2">
        <v>17.100000000000001</v>
      </c>
      <c r="H3462">
        <v>17.100000000000001</v>
      </c>
      <c r="I3462">
        <v>17.114419000000002</v>
      </c>
      <c r="J3462">
        <v>25.01</v>
      </c>
      <c r="K3462">
        <v>35</v>
      </c>
      <c r="L3462" s="2">
        <v>31</v>
      </c>
      <c r="M3462">
        <v>423</v>
      </c>
      <c r="N3462" s="2">
        <v>258</v>
      </c>
      <c r="O3462">
        <v>4415.5200000000004</v>
      </c>
      <c r="P3462">
        <v>17</v>
      </c>
      <c r="Q3462">
        <v>241</v>
      </c>
      <c r="R3462">
        <v>6.34</v>
      </c>
      <c r="S3462">
        <v>0</v>
      </c>
      <c r="T3462">
        <v>221</v>
      </c>
      <c r="U3462" s="2">
        <v>5527.21</v>
      </c>
      <c r="V3462">
        <v>0</v>
      </c>
      <c r="W3462" t="s">
        <v>29</v>
      </c>
      <c r="X3462" t="str">
        <f>IF(Table2[[#This Row],[Qty available]]&gt;Table2[[#This Row],[Qty on hand]],"Check","OK")</f>
        <v>OK</v>
      </c>
    </row>
    <row r="3463" spans="1:24" x14ac:dyDescent="0.3">
      <c r="A3463" t="s">
        <v>349</v>
      </c>
      <c r="B3463" t="s">
        <v>350</v>
      </c>
      <c r="C3463" t="s">
        <v>77</v>
      </c>
      <c r="D3463" t="s">
        <v>78</v>
      </c>
      <c r="E3463" t="s">
        <v>27</v>
      </c>
      <c r="F3463" s="1" t="s">
        <v>34</v>
      </c>
      <c r="G3463" s="2">
        <v>17.23</v>
      </c>
      <c r="H3463">
        <v>17.23</v>
      </c>
      <c r="I3463">
        <v>17.114398000000001</v>
      </c>
      <c r="J3463">
        <v>26.43</v>
      </c>
      <c r="K3463">
        <v>35</v>
      </c>
      <c r="M3463">
        <v>0</v>
      </c>
      <c r="N3463" s="2">
        <v>166</v>
      </c>
      <c r="O3463">
        <v>2840.99</v>
      </c>
      <c r="P3463">
        <v>38</v>
      </c>
      <c r="Q3463">
        <v>128</v>
      </c>
      <c r="R3463">
        <v>4.18</v>
      </c>
      <c r="S3463">
        <v>3</v>
      </c>
      <c r="T3463">
        <v>92</v>
      </c>
      <c r="U3463" s="2">
        <v>2431.56</v>
      </c>
      <c r="V3463">
        <v>0</v>
      </c>
      <c r="W3463" t="s">
        <v>29</v>
      </c>
      <c r="X3463" t="str">
        <f>IF(Table2[[#This Row],[Qty available]]&gt;Table2[[#This Row],[Qty on hand]],"Check","OK")</f>
        <v>OK</v>
      </c>
    </row>
    <row r="3464" spans="1:24" x14ac:dyDescent="0.3">
      <c r="A3464" t="s">
        <v>349</v>
      </c>
      <c r="B3464" t="s">
        <v>350</v>
      </c>
      <c r="C3464" t="s">
        <v>77</v>
      </c>
      <c r="D3464" t="s">
        <v>78</v>
      </c>
      <c r="E3464" t="s">
        <v>27</v>
      </c>
      <c r="F3464" s="1" t="s">
        <v>35</v>
      </c>
      <c r="G3464" s="2">
        <v>18.21</v>
      </c>
      <c r="H3464">
        <v>18.21</v>
      </c>
      <c r="I3464">
        <v>17.678239000000001</v>
      </c>
      <c r="J3464">
        <v>26.43</v>
      </c>
      <c r="K3464">
        <v>35</v>
      </c>
      <c r="L3464" s="2">
        <v>34</v>
      </c>
      <c r="M3464">
        <v>176</v>
      </c>
      <c r="N3464" s="2">
        <v>176</v>
      </c>
      <c r="O3464">
        <v>3111.37</v>
      </c>
      <c r="P3464">
        <v>42</v>
      </c>
      <c r="Q3464">
        <v>134</v>
      </c>
      <c r="R3464">
        <v>4.72</v>
      </c>
      <c r="S3464">
        <v>7</v>
      </c>
      <c r="T3464">
        <v>166</v>
      </c>
      <c r="U3464" s="2">
        <v>4387.38</v>
      </c>
      <c r="V3464">
        <v>0</v>
      </c>
      <c r="W3464" t="s">
        <v>29</v>
      </c>
      <c r="X3464" t="str">
        <f>IF(Table2[[#This Row],[Qty available]]&gt;Table2[[#This Row],[Qty on hand]],"Check","OK")</f>
        <v>OK</v>
      </c>
    </row>
    <row r="3465" spans="1:24" x14ac:dyDescent="0.3">
      <c r="A3465" t="s">
        <v>349</v>
      </c>
      <c r="B3465" t="s">
        <v>350</v>
      </c>
      <c r="C3465" t="s">
        <v>77</v>
      </c>
      <c r="D3465" t="s">
        <v>78</v>
      </c>
      <c r="E3465" t="s">
        <v>27</v>
      </c>
      <c r="F3465" s="1" t="s">
        <v>36</v>
      </c>
      <c r="G3465" s="2">
        <v>18.100000000000001</v>
      </c>
      <c r="H3465">
        <v>18.100000000000001</v>
      </c>
      <c r="I3465">
        <v>17.831053000000001</v>
      </c>
      <c r="J3465">
        <v>26.43</v>
      </c>
      <c r="K3465">
        <v>35</v>
      </c>
      <c r="L3465" s="2">
        <v>33</v>
      </c>
      <c r="M3465">
        <v>100</v>
      </c>
      <c r="N3465" s="2">
        <v>247</v>
      </c>
      <c r="O3465">
        <v>4404.2700000000004</v>
      </c>
      <c r="P3465">
        <v>8</v>
      </c>
      <c r="Q3465">
        <v>239</v>
      </c>
      <c r="R3465">
        <v>10.94</v>
      </c>
      <c r="S3465">
        <v>0</v>
      </c>
      <c r="T3465">
        <v>29</v>
      </c>
      <c r="U3465" s="2">
        <v>766.47</v>
      </c>
      <c r="V3465">
        <v>0</v>
      </c>
      <c r="W3465" t="s">
        <v>29</v>
      </c>
      <c r="X3465" t="str">
        <f>IF(Table2[[#This Row],[Qty available]]&gt;Table2[[#This Row],[Qty on hand]],"Check","OK")</f>
        <v>OK</v>
      </c>
    </row>
    <row r="3466" spans="1:24" x14ac:dyDescent="0.3">
      <c r="A3466" t="s">
        <v>349</v>
      </c>
      <c r="B3466" t="s">
        <v>350</v>
      </c>
      <c r="C3466" t="s">
        <v>77</v>
      </c>
      <c r="D3466" t="s">
        <v>78</v>
      </c>
      <c r="E3466" t="s">
        <v>27</v>
      </c>
      <c r="F3466" s="1" t="s">
        <v>37</v>
      </c>
      <c r="G3466" s="2">
        <v>18.34</v>
      </c>
      <c r="H3466">
        <v>18.34</v>
      </c>
      <c r="I3466">
        <v>18.081340999999998</v>
      </c>
      <c r="J3466">
        <v>26.43</v>
      </c>
      <c r="K3466">
        <v>35</v>
      </c>
      <c r="L3466" s="2">
        <v>34</v>
      </c>
      <c r="M3466">
        <v>239</v>
      </c>
      <c r="N3466" s="2">
        <v>328</v>
      </c>
      <c r="O3466">
        <v>5930.68</v>
      </c>
      <c r="P3466">
        <v>34</v>
      </c>
      <c r="Q3466">
        <v>294</v>
      </c>
      <c r="R3466">
        <v>12.21</v>
      </c>
      <c r="S3466">
        <v>2</v>
      </c>
      <c r="T3466">
        <v>158</v>
      </c>
      <c r="U3466" s="2">
        <v>4175.9399999999996</v>
      </c>
      <c r="V3466">
        <v>0</v>
      </c>
      <c r="W3466" t="s">
        <v>29</v>
      </c>
      <c r="X3466" t="str">
        <f>IF(Table2[[#This Row],[Qty available]]&gt;Table2[[#This Row],[Qty on hand]],"Check","OK")</f>
        <v>OK</v>
      </c>
    </row>
    <row r="3467" spans="1:24" x14ac:dyDescent="0.3">
      <c r="A3467" t="s">
        <v>349</v>
      </c>
      <c r="B3467" t="s">
        <v>350</v>
      </c>
      <c r="C3467" t="s">
        <v>77</v>
      </c>
      <c r="D3467" t="s">
        <v>78</v>
      </c>
      <c r="E3467" t="s">
        <v>27</v>
      </c>
      <c r="F3467" s="1" t="s">
        <v>38</v>
      </c>
      <c r="G3467" s="2">
        <v>17.86</v>
      </c>
      <c r="H3467">
        <v>17.86</v>
      </c>
      <c r="I3467">
        <v>18.081344999999999</v>
      </c>
      <c r="J3467">
        <v>26.43</v>
      </c>
      <c r="K3467">
        <v>35</v>
      </c>
      <c r="M3467">
        <v>0</v>
      </c>
      <c r="N3467" s="2">
        <v>223</v>
      </c>
      <c r="O3467">
        <v>4032.14</v>
      </c>
      <c r="P3467">
        <v>21</v>
      </c>
      <c r="Q3467">
        <v>202</v>
      </c>
      <c r="R3467">
        <v>9.93</v>
      </c>
      <c r="S3467">
        <v>0</v>
      </c>
      <c r="T3467">
        <v>105</v>
      </c>
      <c r="U3467" s="2">
        <v>2775.15</v>
      </c>
      <c r="V3467">
        <v>0</v>
      </c>
      <c r="W3467" t="s">
        <v>29</v>
      </c>
      <c r="X3467" t="str">
        <f>IF(Table2[[#This Row],[Qty available]]&gt;Table2[[#This Row],[Qty on hand]],"Check","OK")</f>
        <v>OK</v>
      </c>
    </row>
    <row r="3468" spans="1:24" x14ac:dyDescent="0.3">
      <c r="A3468" t="s">
        <v>349</v>
      </c>
      <c r="B3468" t="s">
        <v>350</v>
      </c>
      <c r="C3468" t="s">
        <v>77</v>
      </c>
      <c r="D3468" t="s">
        <v>78</v>
      </c>
      <c r="E3468" t="s">
        <v>27</v>
      </c>
      <c r="F3468" s="1" t="s">
        <v>39</v>
      </c>
      <c r="G3468" s="2">
        <v>18.02</v>
      </c>
      <c r="H3468">
        <v>18.02</v>
      </c>
      <c r="I3468">
        <v>18.058544999999999</v>
      </c>
      <c r="J3468">
        <v>26.43</v>
      </c>
      <c r="K3468">
        <v>35</v>
      </c>
      <c r="L3468" s="2">
        <v>60</v>
      </c>
      <c r="M3468">
        <v>132</v>
      </c>
      <c r="N3468" s="2">
        <v>220</v>
      </c>
      <c r="O3468">
        <v>3972.88</v>
      </c>
      <c r="P3468">
        <v>21</v>
      </c>
      <c r="Q3468">
        <v>199</v>
      </c>
      <c r="R3468">
        <v>7.26</v>
      </c>
      <c r="S3468">
        <v>0</v>
      </c>
      <c r="T3468">
        <v>135</v>
      </c>
      <c r="U3468" s="2">
        <v>3568.05</v>
      </c>
      <c r="V3468">
        <v>0</v>
      </c>
      <c r="W3468" t="s">
        <v>29</v>
      </c>
      <c r="X3468" t="str">
        <f>IF(Table2[[#This Row],[Qty available]]&gt;Table2[[#This Row],[Qty on hand]],"Check","OK")</f>
        <v>OK</v>
      </c>
    </row>
    <row r="3469" spans="1:24" x14ac:dyDescent="0.3">
      <c r="A3469" t="s">
        <v>349</v>
      </c>
      <c r="B3469" t="s">
        <v>350</v>
      </c>
      <c r="C3469" t="s">
        <v>77</v>
      </c>
      <c r="D3469" t="s">
        <v>78</v>
      </c>
      <c r="E3469" t="s">
        <v>27</v>
      </c>
      <c r="F3469" s="1" t="s">
        <v>40</v>
      </c>
      <c r="G3469" s="2">
        <v>18.420000000000002</v>
      </c>
      <c r="H3469">
        <v>18.420000000000002</v>
      </c>
      <c r="I3469">
        <v>18.173055999999999</v>
      </c>
      <c r="J3469">
        <v>26.43</v>
      </c>
      <c r="K3469">
        <v>35</v>
      </c>
      <c r="L3469" s="2">
        <v>32</v>
      </c>
      <c r="M3469">
        <v>102</v>
      </c>
      <c r="N3469" s="2">
        <v>252</v>
      </c>
      <c r="O3469">
        <v>4579.6099999999997</v>
      </c>
      <c r="P3469">
        <v>8</v>
      </c>
      <c r="Q3469">
        <v>244</v>
      </c>
      <c r="R3469">
        <v>10.68</v>
      </c>
      <c r="S3469">
        <v>15</v>
      </c>
      <c r="T3469">
        <v>70</v>
      </c>
      <c r="U3469" s="2">
        <v>1850.1</v>
      </c>
      <c r="V3469">
        <v>0</v>
      </c>
      <c r="W3469" t="s">
        <v>29</v>
      </c>
      <c r="X3469" t="str">
        <f>IF(Table2[[#This Row],[Qty available]]&gt;Table2[[#This Row],[Qty on hand]],"Check","OK")</f>
        <v>OK</v>
      </c>
    </row>
    <row r="3470" spans="1:24" x14ac:dyDescent="0.3">
      <c r="A3470" t="s">
        <v>349</v>
      </c>
      <c r="B3470" t="s">
        <v>350</v>
      </c>
      <c r="C3470" t="s">
        <v>77</v>
      </c>
      <c r="D3470" t="s">
        <v>78</v>
      </c>
      <c r="E3470" t="s">
        <v>27</v>
      </c>
      <c r="F3470" s="1" t="s">
        <v>41</v>
      </c>
      <c r="G3470" s="2">
        <v>18.38</v>
      </c>
      <c r="H3470">
        <v>18.38</v>
      </c>
      <c r="I3470">
        <v>18.231854999999999</v>
      </c>
      <c r="J3470">
        <v>26.43</v>
      </c>
      <c r="K3470">
        <v>35</v>
      </c>
      <c r="L3470" s="2">
        <v>33</v>
      </c>
      <c r="M3470">
        <v>100</v>
      </c>
      <c r="N3470" s="2">
        <v>275</v>
      </c>
      <c r="O3470">
        <v>5013.76</v>
      </c>
      <c r="P3470">
        <v>30</v>
      </c>
      <c r="Q3470">
        <v>245</v>
      </c>
      <c r="R3470">
        <v>12.82</v>
      </c>
      <c r="S3470">
        <v>8</v>
      </c>
      <c r="T3470">
        <v>77</v>
      </c>
      <c r="U3470" s="2">
        <v>2035.11</v>
      </c>
      <c r="V3470">
        <v>0</v>
      </c>
      <c r="W3470" t="s">
        <v>29</v>
      </c>
      <c r="X3470" t="str">
        <f>IF(Table2[[#This Row],[Qty available]]&gt;Table2[[#This Row],[Qty on hand]],"Check","OK")</f>
        <v>OK</v>
      </c>
    </row>
    <row r="3471" spans="1:24" x14ac:dyDescent="0.3">
      <c r="A3471" t="s">
        <v>349</v>
      </c>
      <c r="B3471" t="s">
        <v>350</v>
      </c>
      <c r="C3471" t="s">
        <v>77</v>
      </c>
      <c r="D3471" t="s">
        <v>78</v>
      </c>
      <c r="E3471" t="s">
        <v>27</v>
      </c>
      <c r="F3471" s="1" t="s">
        <v>42</v>
      </c>
      <c r="G3471" s="2">
        <v>18.2</v>
      </c>
      <c r="H3471">
        <v>18.2</v>
      </c>
      <c r="I3471">
        <v>18.231764999999999</v>
      </c>
      <c r="J3471">
        <v>26.43</v>
      </c>
      <c r="K3471">
        <v>35</v>
      </c>
      <c r="M3471">
        <v>0</v>
      </c>
      <c r="N3471" s="2">
        <v>51</v>
      </c>
      <c r="O3471">
        <v>929.82</v>
      </c>
      <c r="P3471">
        <v>21</v>
      </c>
      <c r="Q3471">
        <v>30</v>
      </c>
      <c r="R3471">
        <v>1.81</v>
      </c>
      <c r="S3471">
        <v>0</v>
      </c>
      <c r="T3471">
        <v>224</v>
      </c>
      <c r="U3471" s="2">
        <v>5920.32</v>
      </c>
      <c r="V3471">
        <v>0</v>
      </c>
      <c r="W3471" t="s">
        <v>29</v>
      </c>
      <c r="X3471" t="str">
        <f>IF(Table2[[#This Row],[Qty available]]&gt;Table2[[#This Row],[Qty on hand]],"Check","OK")</f>
        <v>OK</v>
      </c>
    </row>
    <row r="3472" spans="1:24" x14ac:dyDescent="0.3">
      <c r="A3472" t="s">
        <v>349</v>
      </c>
      <c r="B3472" t="s">
        <v>350</v>
      </c>
      <c r="C3472" t="s">
        <v>77</v>
      </c>
      <c r="D3472" t="s">
        <v>78</v>
      </c>
      <c r="E3472" t="s">
        <v>27</v>
      </c>
      <c r="F3472" s="1" t="s">
        <v>43</v>
      </c>
      <c r="G3472" s="2">
        <v>18.010000000000002</v>
      </c>
      <c r="H3472">
        <v>18.010000000000002</v>
      </c>
      <c r="I3472">
        <v>18.045528000000001</v>
      </c>
      <c r="J3472">
        <v>26.43</v>
      </c>
      <c r="K3472">
        <v>35</v>
      </c>
      <c r="L3472" s="2">
        <v>32</v>
      </c>
      <c r="M3472">
        <v>267</v>
      </c>
      <c r="N3472" s="2">
        <v>123</v>
      </c>
      <c r="O3472">
        <v>2219.6</v>
      </c>
      <c r="P3472">
        <v>25</v>
      </c>
      <c r="Q3472">
        <v>98</v>
      </c>
      <c r="R3472">
        <v>3.22</v>
      </c>
      <c r="S3472">
        <v>1</v>
      </c>
      <c r="T3472">
        <v>195</v>
      </c>
      <c r="U3472" s="2">
        <v>5153.8500000000004</v>
      </c>
      <c r="V3472">
        <v>0</v>
      </c>
      <c r="W3472" t="s">
        <v>29</v>
      </c>
      <c r="X3472" t="str">
        <f>IF(Table2[[#This Row],[Qty available]]&gt;Table2[[#This Row],[Qty on hand]],"Check","OK")</f>
        <v>OK</v>
      </c>
    </row>
    <row r="3473" spans="1:24" x14ac:dyDescent="0.3">
      <c r="A3473" t="s">
        <v>349</v>
      </c>
      <c r="B3473" t="s">
        <v>350</v>
      </c>
      <c r="C3473" t="s">
        <v>77</v>
      </c>
      <c r="D3473" t="s">
        <v>78</v>
      </c>
      <c r="E3473" t="s">
        <v>27</v>
      </c>
      <c r="F3473" s="1" t="s">
        <v>44</v>
      </c>
      <c r="G3473" s="2">
        <v>18.48</v>
      </c>
      <c r="H3473">
        <v>18.48</v>
      </c>
      <c r="I3473">
        <v>18.378779000000002</v>
      </c>
      <c r="J3473">
        <v>26.43</v>
      </c>
      <c r="K3473">
        <v>35</v>
      </c>
      <c r="L3473" s="2">
        <v>30</v>
      </c>
      <c r="M3473">
        <v>405</v>
      </c>
      <c r="N3473" s="2">
        <v>475</v>
      </c>
      <c r="O3473">
        <v>8729.92</v>
      </c>
      <c r="P3473">
        <v>42</v>
      </c>
      <c r="Q3473">
        <v>433</v>
      </c>
      <c r="R3473">
        <v>13.23</v>
      </c>
      <c r="S3473">
        <v>0</v>
      </c>
      <c r="T3473">
        <v>53</v>
      </c>
      <c r="U3473" s="2">
        <v>1400.79</v>
      </c>
      <c r="V3473">
        <v>0</v>
      </c>
      <c r="W3473" t="s">
        <v>29</v>
      </c>
      <c r="X3473" t="str">
        <f>IF(Table2[[#This Row],[Qty available]]&gt;Table2[[#This Row],[Qty on hand]],"Check","OK")</f>
        <v>OK</v>
      </c>
    </row>
    <row r="3474" spans="1:24" x14ac:dyDescent="0.3">
      <c r="A3474" t="s">
        <v>349</v>
      </c>
      <c r="B3474" t="s">
        <v>350</v>
      </c>
      <c r="C3474" t="s">
        <v>77</v>
      </c>
      <c r="D3474" t="s">
        <v>78</v>
      </c>
      <c r="E3474" t="s">
        <v>27</v>
      </c>
      <c r="F3474" s="1" t="s">
        <v>45</v>
      </c>
      <c r="G3474" s="2">
        <v>18.23</v>
      </c>
      <c r="H3474">
        <v>18.23</v>
      </c>
      <c r="I3474">
        <v>18.378792000000001</v>
      </c>
      <c r="J3474">
        <v>26.43</v>
      </c>
      <c r="K3474">
        <v>35</v>
      </c>
      <c r="M3474">
        <v>0</v>
      </c>
      <c r="N3474" s="2">
        <v>389</v>
      </c>
      <c r="O3474">
        <v>7149.35</v>
      </c>
      <c r="P3474">
        <v>38</v>
      </c>
      <c r="Q3474">
        <v>351</v>
      </c>
      <c r="R3474">
        <v>15.31</v>
      </c>
      <c r="S3474">
        <v>0</v>
      </c>
      <c r="T3474">
        <v>86</v>
      </c>
      <c r="U3474" s="2">
        <v>2272.98</v>
      </c>
      <c r="V3474">
        <v>0</v>
      </c>
      <c r="W3474" t="s">
        <v>29</v>
      </c>
      <c r="X3474" t="str">
        <f>IF(Table2[[#This Row],[Qty available]]&gt;Table2[[#This Row],[Qty on hand]],"Check","OK")</f>
        <v>OK</v>
      </c>
    </row>
    <row r="3475" spans="1:24" x14ac:dyDescent="0.3">
      <c r="A3475" t="s">
        <v>349</v>
      </c>
      <c r="B3475" t="s">
        <v>350</v>
      </c>
      <c r="C3475" t="s">
        <v>77</v>
      </c>
      <c r="D3475" t="s">
        <v>78</v>
      </c>
      <c r="E3475" t="s">
        <v>27</v>
      </c>
      <c r="F3475" s="1" t="s">
        <v>46</v>
      </c>
      <c r="G3475" s="2">
        <v>17.920000000000002</v>
      </c>
      <c r="H3475">
        <v>17.920000000000002</v>
      </c>
      <c r="I3475">
        <v>18.245668999999999</v>
      </c>
      <c r="J3475">
        <v>27.93</v>
      </c>
      <c r="K3475">
        <v>35</v>
      </c>
      <c r="L3475" s="2">
        <v>59</v>
      </c>
      <c r="M3475">
        <v>159</v>
      </c>
      <c r="N3475" s="2">
        <v>471</v>
      </c>
      <c r="O3475">
        <v>8593.7099999999991</v>
      </c>
      <c r="P3475">
        <v>38</v>
      </c>
      <c r="Q3475">
        <v>433</v>
      </c>
      <c r="R3475">
        <v>28.04</v>
      </c>
      <c r="S3475">
        <v>1</v>
      </c>
      <c r="T3475">
        <v>77</v>
      </c>
      <c r="U3475" s="2">
        <v>2150.61</v>
      </c>
      <c r="V3475">
        <v>0</v>
      </c>
      <c r="W3475" t="s">
        <v>29</v>
      </c>
      <c r="X3475" t="str">
        <f>IF(Table2[[#This Row],[Qty available]]&gt;Table2[[#This Row],[Qty on hand]],"Check","OK")</f>
        <v>OK</v>
      </c>
    </row>
    <row r="3476" spans="1:24" x14ac:dyDescent="0.3">
      <c r="A3476" t="s">
        <v>349</v>
      </c>
      <c r="B3476" t="s">
        <v>350</v>
      </c>
      <c r="C3476" t="s">
        <v>77</v>
      </c>
      <c r="D3476" t="s">
        <v>78</v>
      </c>
      <c r="E3476" t="s">
        <v>27</v>
      </c>
      <c r="F3476" s="1" t="s">
        <v>47</v>
      </c>
      <c r="G3476" s="2">
        <v>19.53</v>
      </c>
      <c r="H3476">
        <v>19.53</v>
      </c>
      <c r="I3476">
        <v>18.245664000000001</v>
      </c>
      <c r="J3476">
        <v>27.93</v>
      </c>
      <c r="K3476">
        <v>35</v>
      </c>
      <c r="M3476">
        <v>0</v>
      </c>
      <c r="N3476" s="2">
        <v>429</v>
      </c>
      <c r="O3476">
        <v>7827.39</v>
      </c>
      <c r="P3476">
        <v>34</v>
      </c>
      <c r="Q3476">
        <v>395</v>
      </c>
      <c r="R3476">
        <v>26.91</v>
      </c>
      <c r="S3476">
        <v>0</v>
      </c>
      <c r="T3476">
        <v>42</v>
      </c>
      <c r="U3476" s="2">
        <v>1173.06</v>
      </c>
      <c r="V3476">
        <v>0</v>
      </c>
      <c r="W3476" t="s">
        <v>29</v>
      </c>
      <c r="X3476" t="str">
        <f>IF(Table2[[#This Row],[Qty available]]&gt;Table2[[#This Row],[Qty on hand]],"Check","OK")</f>
        <v>OK</v>
      </c>
    </row>
    <row r="3477" spans="1:24" x14ac:dyDescent="0.3">
      <c r="A3477" t="s">
        <v>349</v>
      </c>
      <c r="B3477" t="s">
        <v>350</v>
      </c>
      <c r="C3477" t="s">
        <v>77</v>
      </c>
      <c r="D3477" t="s">
        <v>78</v>
      </c>
      <c r="E3477" t="s">
        <v>27</v>
      </c>
      <c r="F3477" s="1" t="s">
        <v>48</v>
      </c>
      <c r="G3477" s="2">
        <v>19.559999999999999</v>
      </c>
      <c r="H3477">
        <v>19.559999999999999</v>
      </c>
      <c r="I3477">
        <v>18.245660999999998</v>
      </c>
      <c r="J3477">
        <v>27.93</v>
      </c>
      <c r="K3477">
        <v>35</v>
      </c>
      <c r="M3477">
        <v>0</v>
      </c>
      <c r="N3477" s="2">
        <v>295</v>
      </c>
      <c r="O3477">
        <v>5382.47</v>
      </c>
      <c r="P3477">
        <v>42</v>
      </c>
      <c r="Q3477">
        <v>253</v>
      </c>
      <c r="R3477">
        <v>14.82</v>
      </c>
      <c r="S3477">
        <v>2</v>
      </c>
      <c r="T3477">
        <v>134</v>
      </c>
      <c r="U3477" s="2">
        <v>3742.62</v>
      </c>
      <c r="V3477">
        <v>0</v>
      </c>
      <c r="W3477" t="s">
        <v>29</v>
      </c>
      <c r="X3477" t="str">
        <f>IF(Table2[[#This Row],[Qty available]]&gt;Table2[[#This Row],[Qty on hand]],"Check","OK")</f>
        <v>OK</v>
      </c>
    </row>
    <row r="3478" spans="1:24" x14ac:dyDescent="0.3">
      <c r="A3478" t="s">
        <v>349</v>
      </c>
      <c r="B3478" t="s">
        <v>350</v>
      </c>
      <c r="C3478" t="s">
        <v>77</v>
      </c>
      <c r="D3478" t="s">
        <v>78</v>
      </c>
      <c r="E3478" t="s">
        <v>27</v>
      </c>
      <c r="F3478" s="1" t="s">
        <v>49</v>
      </c>
      <c r="G3478" s="2">
        <v>18.899999999999999</v>
      </c>
      <c r="H3478">
        <v>18.899999999999999</v>
      </c>
      <c r="I3478">
        <v>18.245673</v>
      </c>
      <c r="J3478">
        <v>27.93</v>
      </c>
      <c r="K3478">
        <v>35</v>
      </c>
      <c r="M3478">
        <v>0</v>
      </c>
      <c r="N3478" s="2">
        <v>208</v>
      </c>
      <c r="O3478">
        <v>3795.1</v>
      </c>
      <c r="P3478">
        <v>25</v>
      </c>
      <c r="Q3478">
        <v>183</v>
      </c>
      <c r="R3478">
        <v>10.39</v>
      </c>
      <c r="S3478">
        <v>1</v>
      </c>
      <c r="T3478">
        <v>87</v>
      </c>
      <c r="U3478" s="2">
        <v>2429.91</v>
      </c>
      <c r="V3478">
        <v>0</v>
      </c>
      <c r="W3478" t="s">
        <v>29</v>
      </c>
      <c r="X3478" t="str">
        <f>IF(Table2[[#This Row],[Qty available]]&gt;Table2[[#This Row],[Qty on hand]],"Check","OK")</f>
        <v>OK</v>
      </c>
    </row>
    <row r="3479" spans="1:24" x14ac:dyDescent="0.3">
      <c r="A3479" t="s">
        <v>349</v>
      </c>
      <c r="B3479" t="s">
        <v>350</v>
      </c>
      <c r="C3479" t="s">
        <v>77</v>
      </c>
      <c r="D3479" t="s">
        <v>78</v>
      </c>
      <c r="E3479" t="s">
        <v>27</v>
      </c>
      <c r="F3479" s="1" t="s">
        <v>50</v>
      </c>
      <c r="G3479" s="2">
        <v>19.05</v>
      </c>
      <c r="H3479">
        <v>19.05</v>
      </c>
      <c r="I3479">
        <v>18.674029999999998</v>
      </c>
      <c r="J3479">
        <v>27.93</v>
      </c>
      <c r="K3479">
        <v>35</v>
      </c>
      <c r="L3479" s="2">
        <v>32</v>
      </c>
      <c r="M3479">
        <v>237</v>
      </c>
      <c r="N3479" s="2">
        <v>330</v>
      </c>
      <c r="O3479">
        <v>6162.43</v>
      </c>
      <c r="P3479">
        <v>13</v>
      </c>
      <c r="Q3479">
        <v>317</v>
      </c>
      <c r="R3479">
        <v>12.77</v>
      </c>
      <c r="S3479">
        <v>8</v>
      </c>
      <c r="T3479">
        <v>115</v>
      </c>
      <c r="U3479" s="2">
        <v>3211.95</v>
      </c>
      <c r="V3479">
        <v>0</v>
      </c>
      <c r="W3479" t="s">
        <v>29</v>
      </c>
      <c r="X3479" t="str">
        <f>IF(Table2[[#This Row],[Qty available]]&gt;Table2[[#This Row],[Qty on hand]],"Check","OK")</f>
        <v>OK</v>
      </c>
    </row>
    <row r="3480" spans="1:24" x14ac:dyDescent="0.3">
      <c r="A3480" t="s">
        <v>349</v>
      </c>
      <c r="B3480" t="s">
        <v>350</v>
      </c>
      <c r="C3480" t="s">
        <v>77</v>
      </c>
      <c r="D3480" t="s">
        <v>78</v>
      </c>
      <c r="E3480" t="s">
        <v>27</v>
      </c>
      <c r="F3480" s="1" t="s">
        <v>51</v>
      </c>
      <c r="G3480" s="2">
        <v>19.600000000000001</v>
      </c>
      <c r="H3480">
        <v>19.600000000000001</v>
      </c>
      <c r="I3480">
        <v>18.674053000000001</v>
      </c>
      <c r="J3480">
        <v>27.93</v>
      </c>
      <c r="K3480">
        <v>35</v>
      </c>
      <c r="M3480">
        <v>0</v>
      </c>
      <c r="N3480" s="2">
        <v>190</v>
      </c>
      <c r="O3480">
        <v>3548.07</v>
      </c>
      <c r="P3480">
        <v>21</v>
      </c>
      <c r="Q3480">
        <v>169</v>
      </c>
      <c r="R3480">
        <v>7.3</v>
      </c>
      <c r="S3480">
        <v>0</v>
      </c>
      <c r="T3480">
        <v>140</v>
      </c>
      <c r="U3480" s="2">
        <v>3910.2</v>
      </c>
      <c r="V3480">
        <v>0</v>
      </c>
      <c r="W3480" t="s">
        <v>29</v>
      </c>
      <c r="X3480" t="str">
        <f>IF(Table2[[#This Row],[Qty available]]&gt;Table2[[#This Row],[Qty on hand]],"Check","OK")</f>
        <v>OK</v>
      </c>
    </row>
    <row r="3481" spans="1:24" x14ac:dyDescent="0.3">
      <c r="A3481" t="s">
        <v>349</v>
      </c>
      <c r="B3481" t="s">
        <v>350</v>
      </c>
      <c r="C3481" t="s">
        <v>77</v>
      </c>
      <c r="D3481" t="s">
        <v>78</v>
      </c>
      <c r="E3481" t="s">
        <v>27</v>
      </c>
      <c r="F3481" s="1" t="s">
        <v>52</v>
      </c>
      <c r="G3481" s="2">
        <v>19.37</v>
      </c>
      <c r="H3481">
        <v>19.37</v>
      </c>
      <c r="I3481">
        <v>18.914000000000001</v>
      </c>
      <c r="J3481">
        <v>27.93</v>
      </c>
      <c r="K3481">
        <v>35</v>
      </c>
      <c r="L3481" s="2">
        <v>35</v>
      </c>
      <c r="M3481">
        <v>100</v>
      </c>
      <c r="N3481" s="2">
        <v>100</v>
      </c>
      <c r="O3481">
        <v>1891.4</v>
      </c>
      <c r="P3481">
        <v>13</v>
      </c>
      <c r="Q3481">
        <v>87</v>
      </c>
      <c r="R3481">
        <v>2.95</v>
      </c>
      <c r="S3481">
        <v>5</v>
      </c>
      <c r="T3481">
        <v>190</v>
      </c>
      <c r="U3481" s="2">
        <v>5306.7</v>
      </c>
      <c r="V3481">
        <v>0</v>
      </c>
      <c r="W3481" t="s">
        <v>29</v>
      </c>
      <c r="X3481" t="str">
        <f>IF(Table2[[#This Row],[Qty available]]&gt;Table2[[#This Row],[Qty on hand]],"Check","OK")</f>
        <v>OK</v>
      </c>
    </row>
    <row r="3482" spans="1:24" x14ac:dyDescent="0.3">
      <c r="A3482" t="s">
        <v>351</v>
      </c>
      <c r="B3482" t="s">
        <v>352</v>
      </c>
      <c r="C3482" t="s">
        <v>69</v>
      </c>
      <c r="D3482" t="s">
        <v>70</v>
      </c>
      <c r="E3482" t="s">
        <v>27</v>
      </c>
      <c r="F3482" s="1" t="s">
        <v>28</v>
      </c>
      <c r="G3482" s="2">
        <v>1.36</v>
      </c>
      <c r="H3482">
        <v>1.36</v>
      </c>
      <c r="I3482">
        <v>1.3520289999999999</v>
      </c>
      <c r="J3482">
        <v>1.85</v>
      </c>
      <c r="K3482">
        <v>30</v>
      </c>
      <c r="L3482" s="2">
        <v>29</v>
      </c>
      <c r="M3482">
        <v>363</v>
      </c>
      <c r="N3482" s="2">
        <v>1715</v>
      </c>
      <c r="O3482">
        <v>2318.73</v>
      </c>
      <c r="P3482">
        <v>69</v>
      </c>
      <c r="Q3482">
        <v>1646</v>
      </c>
      <c r="R3482">
        <v>15.99</v>
      </c>
      <c r="S3482">
        <v>0</v>
      </c>
      <c r="T3482">
        <v>359</v>
      </c>
      <c r="U3482" s="2">
        <v>664.15</v>
      </c>
      <c r="V3482">
        <v>0</v>
      </c>
      <c r="W3482" t="s">
        <v>29</v>
      </c>
      <c r="X3482" t="str">
        <f>IF(Table2[[#This Row],[Qty available]]&gt;Table2[[#This Row],[Qty on hand]],"Check","OK")</f>
        <v>OK</v>
      </c>
    </row>
    <row r="3483" spans="1:24" x14ac:dyDescent="0.3">
      <c r="A3483" t="s">
        <v>351</v>
      </c>
      <c r="B3483" t="s">
        <v>352</v>
      </c>
      <c r="C3483" t="s">
        <v>69</v>
      </c>
      <c r="D3483" t="s">
        <v>70</v>
      </c>
      <c r="E3483" t="s">
        <v>27</v>
      </c>
      <c r="F3483" s="1" t="s">
        <v>30</v>
      </c>
      <c r="G3483" s="2">
        <v>1.36</v>
      </c>
      <c r="H3483">
        <v>1.36</v>
      </c>
      <c r="I3483">
        <v>1.3520289999999999</v>
      </c>
      <c r="J3483">
        <v>1.85</v>
      </c>
      <c r="K3483">
        <v>30</v>
      </c>
      <c r="M3483">
        <v>0</v>
      </c>
      <c r="N3483" s="2">
        <v>951</v>
      </c>
      <c r="O3483">
        <v>1285.78</v>
      </c>
      <c r="P3483">
        <v>172</v>
      </c>
      <c r="Q3483">
        <v>779</v>
      </c>
      <c r="R3483">
        <v>7.77</v>
      </c>
      <c r="S3483">
        <v>0</v>
      </c>
      <c r="T3483">
        <v>764</v>
      </c>
      <c r="U3483" s="2">
        <v>1413.4</v>
      </c>
      <c r="V3483">
        <v>0</v>
      </c>
      <c r="W3483" t="s">
        <v>29</v>
      </c>
      <c r="X3483" t="str">
        <f>IF(Table2[[#This Row],[Qty available]]&gt;Table2[[#This Row],[Qty on hand]],"Check","OK")</f>
        <v>OK</v>
      </c>
    </row>
    <row r="3484" spans="1:24" x14ac:dyDescent="0.3">
      <c r="A3484" t="s">
        <v>351</v>
      </c>
      <c r="B3484" t="s">
        <v>352</v>
      </c>
      <c r="C3484" t="s">
        <v>69</v>
      </c>
      <c r="D3484" t="s">
        <v>70</v>
      </c>
      <c r="E3484" t="s">
        <v>27</v>
      </c>
      <c r="F3484" s="1" t="s">
        <v>31</v>
      </c>
      <c r="G3484" s="2">
        <v>1.36</v>
      </c>
      <c r="H3484">
        <v>1.36</v>
      </c>
      <c r="I3484">
        <v>1.35205</v>
      </c>
      <c r="J3484">
        <v>1.85</v>
      </c>
      <c r="K3484">
        <v>30</v>
      </c>
      <c r="M3484">
        <v>0</v>
      </c>
      <c r="N3484" s="2">
        <v>161</v>
      </c>
      <c r="O3484">
        <v>217.68</v>
      </c>
      <c r="P3484">
        <v>161</v>
      </c>
      <c r="Q3484">
        <v>0</v>
      </c>
      <c r="R3484">
        <v>1.0900000000000001</v>
      </c>
      <c r="S3484">
        <v>0</v>
      </c>
      <c r="T3484">
        <v>790</v>
      </c>
      <c r="U3484" s="2">
        <v>1461.5</v>
      </c>
      <c r="V3484">
        <v>0</v>
      </c>
      <c r="W3484" t="s">
        <v>29</v>
      </c>
      <c r="X3484" t="str">
        <f>IF(Table2[[#This Row],[Qty available]]&gt;Table2[[#This Row],[Qty on hand]],"Check","OK")</f>
        <v>OK</v>
      </c>
    </row>
    <row r="3485" spans="1:24" x14ac:dyDescent="0.3">
      <c r="A3485" t="s">
        <v>351</v>
      </c>
      <c r="B3485" t="s">
        <v>352</v>
      </c>
      <c r="C3485" t="s">
        <v>69</v>
      </c>
      <c r="D3485" t="s">
        <v>70</v>
      </c>
      <c r="E3485" t="s">
        <v>27</v>
      </c>
      <c r="F3485" s="1" t="s">
        <v>32</v>
      </c>
      <c r="G3485" s="2">
        <v>1.37</v>
      </c>
      <c r="H3485">
        <v>1.37</v>
      </c>
      <c r="I3485">
        <v>1.3627199999999999</v>
      </c>
      <c r="J3485">
        <v>1.85</v>
      </c>
      <c r="K3485">
        <v>30</v>
      </c>
      <c r="L3485" s="2">
        <v>42</v>
      </c>
      <c r="M3485">
        <v>236</v>
      </c>
      <c r="N3485" s="2">
        <v>0</v>
      </c>
      <c r="O3485">
        <v>0</v>
      </c>
      <c r="P3485">
        <v>0</v>
      </c>
      <c r="Q3485">
        <v>0</v>
      </c>
      <c r="R3485">
        <v>0</v>
      </c>
      <c r="S3485">
        <v>4</v>
      </c>
      <c r="T3485">
        <v>397</v>
      </c>
      <c r="U3485" s="2">
        <v>734.45</v>
      </c>
      <c r="V3485">
        <v>328</v>
      </c>
      <c r="W3485" t="s">
        <v>59</v>
      </c>
      <c r="X3485" t="str">
        <f>IF(Table2[[#This Row],[Qty available]]&gt;Table2[[#This Row],[Qty on hand]],"Check","OK")</f>
        <v>OK</v>
      </c>
    </row>
    <row r="3486" spans="1:24" x14ac:dyDescent="0.3">
      <c r="A3486" t="s">
        <v>351</v>
      </c>
      <c r="B3486" t="s">
        <v>352</v>
      </c>
      <c r="C3486" t="s">
        <v>69</v>
      </c>
      <c r="D3486" t="s">
        <v>70</v>
      </c>
      <c r="E3486" t="s">
        <v>27</v>
      </c>
      <c r="F3486" s="1" t="s">
        <v>33</v>
      </c>
      <c r="G3486" s="2">
        <v>1.39</v>
      </c>
      <c r="H3486">
        <v>1.39</v>
      </c>
      <c r="I3486">
        <v>1.39</v>
      </c>
      <c r="J3486">
        <v>1.85</v>
      </c>
      <c r="K3486">
        <v>30</v>
      </c>
      <c r="L3486" s="2">
        <v>26</v>
      </c>
      <c r="M3486">
        <v>1467</v>
      </c>
      <c r="N3486" s="2">
        <v>872</v>
      </c>
      <c r="O3486">
        <v>1212.08</v>
      </c>
      <c r="P3486">
        <v>155</v>
      </c>
      <c r="Q3486">
        <v>717</v>
      </c>
      <c r="R3486">
        <v>6.43</v>
      </c>
      <c r="S3486">
        <v>0</v>
      </c>
      <c r="T3486">
        <v>595</v>
      </c>
      <c r="U3486" s="2">
        <v>1100.75</v>
      </c>
      <c r="V3486">
        <v>0</v>
      </c>
      <c r="W3486" t="s">
        <v>29</v>
      </c>
      <c r="X3486" t="str">
        <f>IF(Table2[[#This Row],[Qty available]]&gt;Table2[[#This Row],[Qty on hand]],"Check","OK")</f>
        <v>OK</v>
      </c>
    </row>
    <row r="3487" spans="1:24" x14ac:dyDescent="0.3">
      <c r="A3487" t="s">
        <v>351</v>
      </c>
      <c r="B3487" t="s">
        <v>352</v>
      </c>
      <c r="C3487" t="s">
        <v>69</v>
      </c>
      <c r="D3487" t="s">
        <v>70</v>
      </c>
      <c r="E3487" t="s">
        <v>27</v>
      </c>
      <c r="F3487" s="1" t="s">
        <v>34</v>
      </c>
      <c r="G3487" s="2">
        <v>1.41</v>
      </c>
      <c r="H3487">
        <v>1.41</v>
      </c>
      <c r="I3487">
        <v>1.398239</v>
      </c>
      <c r="J3487">
        <v>1.91</v>
      </c>
      <c r="K3487">
        <v>30</v>
      </c>
      <c r="L3487" s="2">
        <v>27</v>
      </c>
      <c r="M3487">
        <v>611</v>
      </c>
      <c r="N3487" s="2">
        <v>914</v>
      </c>
      <c r="O3487">
        <v>1277.99</v>
      </c>
      <c r="P3487">
        <v>69</v>
      </c>
      <c r="Q3487">
        <v>845</v>
      </c>
      <c r="R3487">
        <v>7.53</v>
      </c>
      <c r="S3487">
        <v>0</v>
      </c>
      <c r="T3487">
        <v>569</v>
      </c>
      <c r="U3487" s="2">
        <v>1086.79</v>
      </c>
      <c r="V3487">
        <v>0</v>
      </c>
      <c r="W3487" t="s">
        <v>29</v>
      </c>
      <c r="X3487" t="str">
        <f>IF(Table2[[#This Row],[Qty available]]&gt;Table2[[#This Row],[Qty on hand]],"Check","OK")</f>
        <v>OK</v>
      </c>
    </row>
    <row r="3488" spans="1:24" x14ac:dyDescent="0.3">
      <c r="A3488" t="s">
        <v>351</v>
      </c>
      <c r="B3488" t="s">
        <v>352</v>
      </c>
      <c r="C3488" t="s">
        <v>69</v>
      </c>
      <c r="D3488" t="s">
        <v>70</v>
      </c>
      <c r="E3488" t="s">
        <v>27</v>
      </c>
      <c r="F3488" s="1" t="s">
        <v>35</v>
      </c>
      <c r="G3488" s="2">
        <v>1.4</v>
      </c>
      <c r="H3488">
        <v>1.4</v>
      </c>
      <c r="I3488">
        <v>1.3992389999999999</v>
      </c>
      <c r="J3488">
        <v>1.91</v>
      </c>
      <c r="K3488">
        <v>30</v>
      </c>
      <c r="L3488" s="2">
        <v>26</v>
      </c>
      <c r="M3488">
        <v>1195</v>
      </c>
      <c r="N3488" s="2">
        <v>1669</v>
      </c>
      <c r="O3488">
        <v>2335.33</v>
      </c>
      <c r="P3488">
        <v>155</v>
      </c>
      <c r="Q3488">
        <v>1514</v>
      </c>
      <c r="R3488">
        <v>13.38</v>
      </c>
      <c r="S3488">
        <v>0</v>
      </c>
      <c r="T3488">
        <v>440</v>
      </c>
      <c r="U3488" s="2">
        <v>840.4</v>
      </c>
      <c r="V3488">
        <v>0</v>
      </c>
      <c r="W3488" t="s">
        <v>29</v>
      </c>
      <c r="X3488" t="str">
        <f>IF(Table2[[#This Row],[Qty available]]&gt;Table2[[#This Row],[Qty on hand]],"Check","OK")</f>
        <v>OK</v>
      </c>
    </row>
    <row r="3489" spans="1:24" x14ac:dyDescent="0.3">
      <c r="A3489" t="s">
        <v>351</v>
      </c>
      <c r="B3489" t="s">
        <v>352</v>
      </c>
      <c r="C3489" t="s">
        <v>69</v>
      </c>
      <c r="D3489" t="s">
        <v>70</v>
      </c>
      <c r="E3489" t="s">
        <v>27</v>
      </c>
      <c r="F3489" s="1" t="s">
        <v>36</v>
      </c>
      <c r="G3489" s="2">
        <v>1.39</v>
      </c>
      <c r="H3489">
        <v>1.39</v>
      </c>
      <c r="I3489">
        <v>1.3992389999999999</v>
      </c>
      <c r="J3489">
        <v>1.91</v>
      </c>
      <c r="K3489">
        <v>30</v>
      </c>
      <c r="M3489">
        <v>0</v>
      </c>
      <c r="N3489" s="2">
        <v>1156</v>
      </c>
      <c r="O3489">
        <v>1617.52</v>
      </c>
      <c r="P3489">
        <v>138</v>
      </c>
      <c r="Q3489">
        <v>1018</v>
      </c>
      <c r="R3489">
        <v>9.66</v>
      </c>
      <c r="S3489">
        <v>1</v>
      </c>
      <c r="T3489">
        <v>513</v>
      </c>
      <c r="U3489" s="2">
        <v>979.83</v>
      </c>
      <c r="V3489">
        <v>0</v>
      </c>
      <c r="W3489" t="s">
        <v>29</v>
      </c>
      <c r="X3489" t="str">
        <f>IF(Table2[[#This Row],[Qty available]]&gt;Table2[[#This Row],[Qty on hand]],"Check","OK")</f>
        <v>OK</v>
      </c>
    </row>
    <row r="3490" spans="1:24" x14ac:dyDescent="0.3">
      <c r="A3490" t="s">
        <v>351</v>
      </c>
      <c r="B3490" t="s">
        <v>352</v>
      </c>
      <c r="C3490" t="s">
        <v>69</v>
      </c>
      <c r="D3490" t="s">
        <v>70</v>
      </c>
      <c r="E3490" t="s">
        <v>27</v>
      </c>
      <c r="F3490" s="1" t="s">
        <v>37</v>
      </c>
      <c r="G3490" s="2">
        <v>1.4</v>
      </c>
      <c r="H3490">
        <v>1.4</v>
      </c>
      <c r="I3490">
        <v>1.399486</v>
      </c>
      <c r="J3490">
        <v>1.91</v>
      </c>
      <c r="K3490">
        <v>30</v>
      </c>
      <c r="L3490" s="2">
        <v>29</v>
      </c>
      <c r="M3490">
        <v>544</v>
      </c>
      <c r="N3490" s="2">
        <v>1071</v>
      </c>
      <c r="O3490">
        <v>1498.85</v>
      </c>
      <c r="P3490">
        <v>172</v>
      </c>
      <c r="Q3490">
        <v>899</v>
      </c>
      <c r="R3490">
        <v>8.9</v>
      </c>
      <c r="S3490">
        <v>0</v>
      </c>
      <c r="T3490">
        <v>629</v>
      </c>
      <c r="U3490" s="2">
        <v>1201.3900000000001</v>
      </c>
      <c r="V3490">
        <v>0</v>
      </c>
      <c r="W3490" t="s">
        <v>29</v>
      </c>
      <c r="X3490" t="str">
        <f>IF(Table2[[#This Row],[Qty available]]&gt;Table2[[#This Row],[Qty on hand]],"Check","OK")</f>
        <v>OK</v>
      </c>
    </row>
    <row r="3491" spans="1:24" x14ac:dyDescent="0.3">
      <c r="A3491" t="s">
        <v>351</v>
      </c>
      <c r="B3491" t="s">
        <v>352</v>
      </c>
      <c r="C3491" t="s">
        <v>69</v>
      </c>
      <c r="D3491" t="s">
        <v>70</v>
      </c>
      <c r="E3491" t="s">
        <v>27</v>
      </c>
      <c r="F3491" s="1" t="s">
        <v>38</v>
      </c>
      <c r="G3491" s="2">
        <v>1.38</v>
      </c>
      <c r="H3491">
        <v>1.38</v>
      </c>
      <c r="I3491">
        <v>1.3986190000000001</v>
      </c>
      <c r="J3491">
        <v>1.91</v>
      </c>
      <c r="K3491">
        <v>30</v>
      </c>
      <c r="L3491" s="2">
        <v>28</v>
      </c>
      <c r="M3491">
        <v>50</v>
      </c>
      <c r="N3491" s="2">
        <v>811</v>
      </c>
      <c r="O3491">
        <v>1134.28</v>
      </c>
      <c r="P3491">
        <v>138</v>
      </c>
      <c r="Q3491">
        <v>673</v>
      </c>
      <c r="R3491">
        <v>7.26</v>
      </c>
      <c r="S3491">
        <v>0</v>
      </c>
      <c r="T3491">
        <v>310</v>
      </c>
      <c r="U3491" s="2">
        <v>592.1</v>
      </c>
      <c r="V3491">
        <v>0</v>
      </c>
      <c r="W3491" t="s">
        <v>29</v>
      </c>
      <c r="X3491" t="str">
        <f>IF(Table2[[#This Row],[Qty available]]&gt;Table2[[#This Row],[Qty on hand]],"Check","OK")</f>
        <v>OK</v>
      </c>
    </row>
    <row r="3492" spans="1:24" x14ac:dyDescent="0.3">
      <c r="A3492" t="s">
        <v>351</v>
      </c>
      <c r="B3492" t="s">
        <v>352</v>
      </c>
      <c r="C3492" t="s">
        <v>69</v>
      </c>
      <c r="D3492" t="s">
        <v>70</v>
      </c>
      <c r="E3492" t="s">
        <v>27</v>
      </c>
      <c r="F3492" s="1" t="s">
        <v>39</v>
      </c>
      <c r="G3492" s="2">
        <v>1.41</v>
      </c>
      <c r="H3492">
        <v>1.41</v>
      </c>
      <c r="I3492">
        <v>1.4054770000000001</v>
      </c>
      <c r="J3492">
        <v>1.91</v>
      </c>
      <c r="K3492">
        <v>30</v>
      </c>
      <c r="L3492" s="2">
        <v>26</v>
      </c>
      <c r="M3492">
        <v>1228</v>
      </c>
      <c r="N3492" s="2">
        <v>1448</v>
      </c>
      <c r="O3492">
        <v>2035.13</v>
      </c>
      <c r="P3492">
        <v>172</v>
      </c>
      <c r="Q3492">
        <v>1276</v>
      </c>
      <c r="R3492">
        <v>12.44</v>
      </c>
      <c r="S3492">
        <v>1</v>
      </c>
      <c r="T3492">
        <v>591</v>
      </c>
      <c r="U3492" s="2">
        <v>1128.81</v>
      </c>
      <c r="V3492">
        <v>0</v>
      </c>
      <c r="W3492" t="s">
        <v>29</v>
      </c>
      <c r="X3492" t="str">
        <f>IF(Table2[[#This Row],[Qty available]]&gt;Table2[[#This Row],[Qty on hand]],"Check","OK")</f>
        <v>OK</v>
      </c>
    </row>
    <row r="3493" spans="1:24" x14ac:dyDescent="0.3">
      <c r="A3493" t="s">
        <v>351</v>
      </c>
      <c r="B3493" t="s">
        <v>352</v>
      </c>
      <c r="C3493" t="s">
        <v>69</v>
      </c>
      <c r="D3493" t="s">
        <v>70</v>
      </c>
      <c r="E3493" t="s">
        <v>27</v>
      </c>
      <c r="F3493" s="1" t="s">
        <v>40</v>
      </c>
      <c r="G3493" s="2">
        <v>1.4</v>
      </c>
      <c r="H3493">
        <v>1.4</v>
      </c>
      <c r="I3493">
        <v>1.4054770000000001</v>
      </c>
      <c r="J3493">
        <v>1.91</v>
      </c>
      <c r="K3493">
        <v>30</v>
      </c>
      <c r="M3493">
        <v>0</v>
      </c>
      <c r="N3493" s="2">
        <v>1143</v>
      </c>
      <c r="O3493">
        <v>1606.46</v>
      </c>
      <c r="P3493">
        <v>172</v>
      </c>
      <c r="Q3493">
        <v>971</v>
      </c>
      <c r="R3493">
        <v>12.46</v>
      </c>
      <c r="S3493">
        <v>0</v>
      </c>
      <c r="T3493">
        <v>305</v>
      </c>
      <c r="U3493" s="2">
        <v>582.54999999999995</v>
      </c>
      <c r="V3493">
        <v>0</v>
      </c>
      <c r="W3493" t="s">
        <v>29</v>
      </c>
      <c r="X3493" t="str">
        <f>IF(Table2[[#This Row],[Qty available]]&gt;Table2[[#This Row],[Qty on hand]],"Check","OK")</f>
        <v>OK</v>
      </c>
    </row>
    <row r="3494" spans="1:24" x14ac:dyDescent="0.3">
      <c r="A3494" t="s">
        <v>351</v>
      </c>
      <c r="B3494" t="s">
        <v>352</v>
      </c>
      <c r="C3494" t="s">
        <v>69</v>
      </c>
      <c r="D3494" t="s">
        <v>70</v>
      </c>
      <c r="E3494" t="s">
        <v>27</v>
      </c>
      <c r="F3494" s="1" t="s">
        <v>41</v>
      </c>
      <c r="G3494" s="2">
        <v>1.4</v>
      </c>
      <c r="H3494">
        <v>1.4</v>
      </c>
      <c r="I3494">
        <v>1.403284</v>
      </c>
      <c r="J3494">
        <v>1.91</v>
      </c>
      <c r="K3494">
        <v>30</v>
      </c>
      <c r="L3494" s="2">
        <v>38</v>
      </c>
      <c r="M3494">
        <v>761</v>
      </c>
      <c r="N3494" s="2">
        <v>1428</v>
      </c>
      <c r="O3494">
        <v>2003.89</v>
      </c>
      <c r="P3494">
        <v>172</v>
      </c>
      <c r="Q3494">
        <v>1256</v>
      </c>
      <c r="R3494">
        <v>13.68</v>
      </c>
      <c r="S3494">
        <v>1</v>
      </c>
      <c r="T3494">
        <v>476</v>
      </c>
      <c r="U3494" s="2">
        <v>909.16</v>
      </c>
      <c r="V3494">
        <v>0</v>
      </c>
      <c r="W3494" t="s">
        <v>29</v>
      </c>
      <c r="X3494" t="str">
        <f>IF(Table2[[#This Row],[Qty available]]&gt;Table2[[#This Row],[Qty on hand]],"Check","OK")</f>
        <v>OK</v>
      </c>
    </row>
    <row r="3495" spans="1:24" x14ac:dyDescent="0.3">
      <c r="A3495" t="s">
        <v>351</v>
      </c>
      <c r="B3495" t="s">
        <v>352</v>
      </c>
      <c r="C3495" t="s">
        <v>69</v>
      </c>
      <c r="D3495" t="s">
        <v>70</v>
      </c>
      <c r="E3495" t="s">
        <v>27</v>
      </c>
      <c r="F3495" s="1" t="s">
        <v>42</v>
      </c>
      <c r="G3495" s="2">
        <v>1.39</v>
      </c>
      <c r="H3495">
        <v>1.39</v>
      </c>
      <c r="I3495">
        <v>1.403287</v>
      </c>
      <c r="J3495">
        <v>1.91</v>
      </c>
      <c r="K3495">
        <v>30</v>
      </c>
      <c r="M3495">
        <v>0</v>
      </c>
      <c r="N3495" s="2">
        <v>1144</v>
      </c>
      <c r="O3495">
        <v>1605.36</v>
      </c>
      <c r="P3495">
        <v>34</v>
      </c>
      <c r="Q3495">
        <v>1110</v>
      </c>
      <c r="R3495">
        <v>14.12</v>
      </c>
      <c r="S3495">
        <v>1</v>
      </c>
      <c r="T3495">
        <v>284</v>
      </c>
      <c r="U3495" s="2">
        <v>542.44000000000005</v>
      </c>
      <c r="V3495">
        <v>0</v>
      </c>
      <c r="W3495" t="s">
        <v>29</v>
      </c>
      <c r="X3495" t="str">
        <f>IF(Table2[[#This Row],[Qty available]]&gt;Table2[[#This Row],[Qty on hand]],"Check","OK")</f>
        <v>OK</v>
      </c>
    </row>
    <row r="3496" spans="1:24" x14ac:dyDescent="0.3">
      <c r="A3496" t="s">
        <v>351</v>
      </c>
      <c r="B3496" t="s">
        <v>352</v>
      </c>
      <c r="C3496" t="s">
        <v>69</v>
      </c>
      <c r="D3496" t="s">
        <v>70</v>
      </c>
      <c r="E3496" t="s">
        <v>27</v>
      </c>
      <c r="F3496" s="1" t="s">
        <v>43</v>
      </c>
      <c r="G3496" s="2">
        <v>1.4</v>
      </c>
      <c r="H3496">
        <v>1.4</v>
      </c>
      <c r="I3496">
        <v>1.4018889999999999</v>
      </c>
      <c r="J3496">
        <v>1.91</v>
      </c>
      <c r="K3496">
        <v>30</v>
      </c>
      <c r="L3496" s="2">
        <v>27</v>
      </c>
      <c r="M3496">
        <v>850</v>
      </c>
      <c r="N3496" s="2">
        <v>1265</v>
      </c>
      <c r="O3496">
        <v>1773.39</v>
      </c>
      <c r="P3496">
        <v>172</v>
      </c>
      <c r="Q3496">
        <v>1093</v>
      </c>
      <c r="R3496">
        <v>11.04</v>
      </c>
      <c r="S3496">
        <v>1</v>
      </c>
      <c r="T3496">
        <v>729</v>
      </c>
      <c r="U3496" s="2">
        <v>1392.39</v>
      </c>
      <c r="V3496">
        <v>0</v>
      </c>
      <c r="W3496" t="s">
        <v>29</v>
      </c>
      <c r="X3496" t="str">
        <f>IF(Table2[[#This Row],[Qty available]]&gt;Table2[[#This Row],[Qty on hand]],"Check","OK")</f>
        <v>OK</v>
      </c>
    </row>
    <row r="3497" spans="1:24" x14ac:dyDescent="0.3">
      <c r="A3497" t="s">
        <v>351</v>
      </c>
      <c r="B3497" t="s">
        <v>352</v>
      </c>
      <c r="C3497" t="s">
        <v>69</v>
      </c>
      <c r="D3497" t="s">
        <v>70</v>
      </c>
      <c r="E3497" t="s">
        <v>27</v>
      </c>
      <c r="F3497" s="1" t="s">
        <v>44</v>
      </c>
      <c r="G3497" s="2">
        <v>1.42</v>
      </c>
      <c r="H3497">
        <v>1.42</v>
      </c>
      <c r="I3497">
        <v>1.4062209999999999</v>
      </c>
      <c r="J3497">
        <v>1.91</v>
      </c>
      <c r="K3497">
        <v>30</v>
      </c>
      <c r="L3497" s="2">
        <v>28</v>
      </c>
      <c r="M3497">
        <v>398</v>
      </c>
      <c r="N3497" s="2">
        <v>950</v>
      </c>
      <c r="O3497">
        <v>1335.91</v>
      </c>
      <c r="P3497">
        <v>138</v>
      </c>
      <c r="Q3497">
        <v>812</v>
      </c>
      <c r="R3497">
        <v>7.23</v>
      </c>
      <c r="S3497">
        <v>4</v>
      </c>
      <c r="T3497">
        <v>713</v>
      </c>
      <c r="U3497" s="2">
        <v>1361.83</v>
      </c>
      <c r="V3497">
        <v>0</v>
      </c>
      <c r="W3497" t="s">
        <v>29</v>
      </c>
      <c r="X3497" t="str">
        <f>IF(Table2[[#This Row],[Qty available]]&gt;Table2[[#This Row],[Qty on hand]],"Check","OK")</f>
        <v>OK</v>
      </c>
    </row>
    <row r="3498" spans="1:24" x14ac:dyDescent="0.3">
      <c r="A3498" t="s">
        <v>351</v>
      </c>
      <c r="B3498" t="s">
        <v>352</v>
      </c>
      <c r="C3498" t="s">
        <v>69</v>
      </c>
      <c r="D3498" t="s">
        <v>70</v>
      </c>
      <c r="E3498" t="s">
        <v>27</v>
      </c>
      <c r="F3498" s="1" t="s">
        <v>45</v>
      </c>
      <c r="G3498" s="2">
        <v>1.46</v>
      </c>
      <c r="H3498">
        <v>1.46</v>
      </c>
      <c r="I3498">
        <v>1.421869</v>
      </c>
      <c r="J3498">
        <v>1.91</v>
      </c>
      <c r="K3498">
        <v>30</v>
      </c>
      <c r="L3498" s="2">
        <v>29</v>
      </c>
      <c r="M3498">
        <v>390</v>
      </c>
      <c r="N3498" s="2">
        <v>915</v>
      </c>
      <c r="O3498">
        <v>1301.01</v>
      </c>
      <c r="P3498">
        <v>34</v>
      </c>
      <c r="Q3498">
        <v>881</v>
      </c>
      <c r="R3498">
        <v>6.44</v>
      </c>
      <c r="S3498">
        <v>0</v>
      </c>
      <c r="T3498">
        <v>425</v>
      </c>
      <c r="U3498" s="2">
        <v>811.75</v>
      </c>
      <c r="V3498">
        <v>0</v>
      </c>
      <c r="W3498" t="s">
        <v>29</v>
      </c>
      <c r="X3498" t="str">
        <f>IF(Table2[[#This Row],[Qty available]]&gt;Table2[[#This Row],[Qty on hand]],"Check","OK")</f>
        <v>OK</v>
      </c>
    </row>
    <row r="3499" spans="1:24" x14ac:dyDescent="0.3">
      <c r="A3499" t="s">
        <v>351</v>
      </c>
      <c r="B3499" t="s">
        <v>352</v>
      </c>
      <c r="C3499" t="s">
        <v>69</v>
      </c>
      <c r="D3499" t="s">
        <v>70</v>
      </c>
      <c r="E3499" t="s">
        <v>27</v>
      </c>
      <c r="F3499" s="1" t="s">
        <v>46</v>
      </c>
      <c r="G3499" s="2">
        <v>1.45</v>
      </c>
      <c r="H3499">
        <v>1.45</v>
      </c>
      <c r="I3499">
        <v>1.4367300000000001</v>
      </c>
      <c r="J3499">
        <v>1.97</v>
      </c>
      <c r="K3499">
        <v>30</v>
      </c>
      <c r="L3499" s="2">
        <v>27</v>
      </c>
      <c r="M3499">
        <v>1025</v>
      </c>
      <c r="N3499" s="2">
        <v>1379</v>
      </c>
      <c r="O3499">
        <v>1981.25</v>
      </c>
      <c r="P3499">
        <v>103</v>
      </c>
      <c r="Q3499">
        <v>1276</v>
      </c>
      <c r="R3499">
        <v>10.44</v>
      </c>
      <c r="S3499">
        <v>1</v>
      </c>
      <c r="T3499">
        <v>561</v>
      </c>
      <c r="U3499" s="2">
        <v>1105.17</v>
      </c>
      <c r="V3499">
        <v>0</v>
      </c>
      <c r="W3499" t="s">
        <v>29</v>
      </c>
      <c r="X3499" t="str">
        <f>IF(Table2[[#This Row],[Qty available]]&gt;Table2[[#This Row],[Qty on hand]],"Check","OK")</f>
        <v>OK</v>
      </c>
    </row>
    <row r="3500" spans="1:24" x14ac:dyDescent="0.3">
      <c r="A3500" t="s">
        <v>351</v>
      </c>
      <c r="B3500" t="s">
        <v>352</v>
      </c>
      <c r="C3500" t="s">
        <v>69</v>
      </c>
      <c r="D3500" t="s">
        <v>70</v>
      </c>
      <c r="E3500" t="s">
        <v>27</v>
      </c>
      <c r="F3500" s="1" t="s">
        <v>47</v>
      </c>
      <c r="G3500" s="2">
        <v>1.44</v>
      </c>
      <c r="H3500">
        <v>1.44</v>
      </c>
      <c r="I3500">
        <v>1.4375579999999999</v>
      </c>
      <c r="J3500">
        <v>1.97</v>
      </c>
      <c r="K3500">
        <v>30</v>
      </c>
      <c r="L3500" s="2">
        <v>28</v>
      </c>
      <c r="M3500">
        <v>470</v>
      </c>
      <c r="N3500" s="2">
        <v>1417</v>
      </c>
      <c r="O3500">
        <v>2037.02</v>
      </c>
      <c r="P3500">
        <v>121</v>
      </c>
      <c r="Q3500">
        <v>1296</v>
      </c>
      <c r="R3500">
        <v>12.85</v>
      </c>
      <c r="S3500">
        <v>0</v>
      </c>
      <c r="T3500">
        <v>432</v>
      </c>
      <c r="U3500" s="2">
        <v>851.04</v>
      </c>
      <c r="V3500">
        <v>0</v>
      </c>
      <c r="W3500" t="s">
        <v>29</v>
      </c>
      <c r="X3500" t="str">
        <f>IF(Table2[[#This Row],[Qty available]]&gt;Table2[[#This Row],[Qty on hand]],"Check","OK")</f>
        <v>OK</v>
      </c>
    </row>
    <row r="3501" spans="1:24" x14ac:dyDescent="0.3">
      <c r="A3501" t="s">
        <v>351</v>
      </c>
      <c r="B3501" t="s">
        <v>352</v>
      </c>
      <c r="C3501" t="s">
        <v>69</v>
      </c>
      <c r="D3501" t="s">
        <v>70</v>
      </c>
      <c r="E3501" t="s">
        <v>27</v>
      </c>
      <c r="F3501" s="1" t="s">
        <v>48</v>
      </c>
      <c r="G3501" s="2">
        <v>1.42</v>
      </c>
      <c r="H3501">
        <v>1.42</v>
      </c>
      <c r="I3501">
        <v>1.4369639999999999</v>
      </c>
      <c r="J3501">
        <v>1.97</v>
      </c>
      <c r="K3501">
        <v>30</v>
      </c>
      <c r="L3501" s="2">
        <v>26</v>
      </c>
      <c r="M3501">
        <v>50</v>
      </c>
      <c r="N3501" s="2">
        <v>1235</v>
      </c>
      <c r="O3501">
        <v>1774.65</v>
      </c>
      <c r="P3501">
        <v>86</v>
      </c>
      <c r="Q3501">
        <v>1149</v>
      </c>
      <c r="R3501">
        <v>12.82</v>
      </c>
      <c r="S3501">
        <v>0</v>
      </c>
      <c r="T3501">
        <v>232</v>
      </c>
      <c r="U3501" s="2">
        <v>457.04</v>
      </c>
      <c r="V3501">
        <v>0</v>
      </c>
      <c r="W3501" t="s">
        <v>29</v>
      </c>
      <c r="X3501" t="str">
        <f>IF(Table2[[#This Row],[Qty available]]&gt;Table2[[#This Row],[Qty on hand]],"Check","OK")</f>
        <v>OK</v>
      </c>
    </row>
    <row r="3502" spans="1:24" x14ac:dyDescent="0.3">
      <c r="A3502" t="s">
        <v>351</v>
      </c>
      <c r="B3502" t="s">
        <v>352</v>
      </c>
      <c r="C3502" t="s">
        <v>69</v>
      </c>
      <c r="D3502" t="s">
        <v>70</v>
      </c>
      <c r="E3502" t="s">
        <v>27</v>
      </c>
      <c r="F3502" s="1" t="s">
        <v>49</v>
      </c>
      <c r="G3502" s="2">
        <v>1.44</v>
      </c>
      <c r="H3502">
        <v>1.44</v>
      </c>
      <c r="I3502">
        <v>1.437543</v>
      </c>
      <c r="J3502">
        <v>1.97</v>
      </c>
      <c r="K3502">
        <v>30</v>
      </c>
      <c r="L3502" s="2">
        <v>27</v>
      </c>
      <c r="M3502">
        <v>294</v>
      </c>
      <c r="N3502" s="2">
        <v>924</v>
      </c>
      <c r="O3502">
        <v>1328.29</v>
      </c>
      <c r="P3502">
        <v>86</v>
      </c>
      <c r="Q3502">
        <v>838</v>
      </c>
      <c r="R3502">
        <v>9.57</v>
      </c>
      <c r="S3502">
        <v>1</v>
      </c>
      <c r="T3502">
        <v>605</v>
      </c>
      <c r="U3502" s="2">
        <v>1191.8499999999999</v>
      </c>
      <c r="V3502">
        <v>0</v>
      </c>
      <c r="W3502" t="s">
        <v>29</v>
      </c>
      <c r="X3502" t="str">
        <f>IF(Table2[[#This Row],[Qty available]]&gt;Table2[[#This Row],[Qty on hand]],"Check","OK")</f>
        <v>OK</v>
      </c>
    </row>
    <row r="3503" spans="1:24" x14ac:dyDescent="0.3">
      <c r="A3503" t="s">
        <v>351</v>
      </c>
      <c r="B3503" t="s">
        <v>352</v>
      </c>
      <c r="C3503" t="s">
        <v>69</v>
      </c>
      <c r="D3503" t="s">
        <v>70</v>
      </c>
      <c r="E3503" t="s">
        <v>27</v>
      </c>
      <c r="F3503" s="1" t="s">
        <v>50</v>
      </c>
      <c r="G3503" s="2">
        <v>1.46</v>
      </c>
      <c r="H3503">
        <v>1.46</v>
      </c>
      <c r="I3503">
        <v>1.437551</v>
      </c>
      <c r="J3503">
        <v>1.97</v>
      </c>
      <c r="K3503">
        <v>30</v>
      </c>
      <c r="M3503">
        <v>0</v>
      </c>
      <c r="N3503" s="2">
        <v>539</v>
      </c>
      <c r="O3503">
        <v>774.84</v>
      </c>
      <c r="P3503">
        <v>155</v>
      </c>
      <c r="Q3503">
        <v>384</v>
      </c>
      <c r="R3503">
        <v>5.73</v>
      </c>
      <c r="S3503">
        <v>0</v>
      </c>
      <c r="T3503">
        <v>385</v>
      </c>
      <c r="U3503" s="2">
        <v>758.45</v>
      </c>
      <c r="V3503">
        <v>0</v>
      </c>
      <c r="W3503" t="s">
        <v>29</v>
      </c>
      <c r="X3503" t="str">
        <f>IF(Table2[[#This Row],[Qty available]]&gt;Table2[[#This Row],[Qty on hand]],"Check","OK")</f>
        <v>OK</v>
      </c>
    </row>
    <row r="3504" spans="1:24" x14ac:dyDescent="0.3">
      <c r="A3504" t="s">
        <v>351</v>
      </c>
      <c r="B3504" t="s">
        <v>352</v>
      </c>
      <c r="C3504" t="s">
        <v>69</v>
      </c>
      <c r="D3504" t="s">
        <v>70</v>
      </c>
      <c r="E3504" t="s">
        <v>27</v>
      </c>
      <c r="F3504" s="1" t="s">
        <v>51</v>
      </c>
      <c r="G3504" s="2">
        <v>1.42</v>
      </c>
      <c r="H3504">
        <v>1.42</v>
      </c>
      <c r="I3504">
        <v>1.42615</v>
      </c>
      <c r="J3504">
        <v>1.97</v>
      </c>
      <c r="K3504">
        <v>30</v>
      </c>
      <c r="L3504" s="2">
        <v>50</v>
      </c>
      <c r="M3504">
        <v>1001</v>
      </c>
      <c r="N3504" s="2">
        <v>709</v>
      </c>
      <c r="O3504">
        <v>1011.14</v>
      </c>
      <c r="P3504">
        <v>138</v>
      </c>
      <c r="Q3504">
        <v>571</v>
      </c>
      <c r="R3504">
        <v>5.12</v>
      </c>
      <c r="S3504">
        <v>1</v>
      </c>
      <c r="T3504">
        <v>831</v>
      </c>
      <c r="U3504" s="2">
        <v>1637.07</v>
      </c>
      <c r="V3504">
        <v>0</v>
      </c>
      <c r="W3504" t="s">
        <v>29</v>
      </c>
      <c r="X3504" t="str">
        <f>IF(Table2[[#This Row],[Qty available]]&gt;Table2[[#This Row],[Qty on hand]],"Check","OK")</f>
        <v>OK</v>
      </c>
    </row>
    <row r="3505" spans="1:24" x14ac:dyDescent="0.3">
      <c r="A3505" t="s">
        <v>351</v>
      </c>
      <c r="B3505" t="s">
        <v>352</v>
      </c>
      <c r="C3505" t="s">
        <v>69</v>
      </c>
      <c r="D3505" t="s">
        <v>70</v>
      </c>
      <c r="E3505" t="s">
        <v>27</v>
      </c>
      <c r="F3505" s="1" t="s">
        <v>52</v>
      </c>
      <c r="G3505" s="2">
        <v>1.44</v>
      </c>
      <c r="H3505">
        <v>1.44</v>
      </c>
      <c r="I3505">
        <v>1.428777</v>
      </c>
      <c r="J3505">
        <v>1.97</v>
      </c>
      <c r="K3505">
        <v>30</v>
      </c>
      <c r="L3505" s="2">
        <v>46</v>
      </c>
      <c r="M3505">
        <v>166</v>
      </c>
      <c r="N3505" s="2">
        <v>638</v>
      </c>
      <c r="O3505">
        <v>911.56</v>
      </c>
      <c r="P3505">
        <v>121</v>
      </c>
      <c r="Q3505">
        <v>517</v>
      </c>
      <c r="R3505">
        <v>5.77</v>
      </c>
      <c r="S3505">
        <v>0</v>
      </c>
      <c r="T3505">
        <v>237</v>
      </c>
      <c r="U3505" s="2">
        <v>466.89</v>
      </c>
      <c r="V3505">
        <v>0</v>
      </c>
      <c r="W3505" t="s">
        <v>29</v>
      </c>
      <c r="X3505" t="str">
        <f>IF(Table2[[#This Row],[Qty available]]&gt;Table2[[#This Row],[Qty on hand]],"Check","OK")</f>
        <v>OK</v>
      </c>
    </row>
    <row r="3506" spans="1:24" x14ac:dyDescent="0.3">
      <c r="A3506" t="s">
        <v>353</v>
      </c>
      <c r="B3506" t="s">
        <v>354</v>
      </c>
      <c r="C3506" t="s">
        <v>77</v>
      </c>
      <c r="D3506" t="s">
        <v>78</v>
      </c>
      <c r="E3506" t="s">
        <v>66</v>
      </c>
      <c r="F3506" s="1" t="s">
        <v>28</v>
      </c>
      <c r="G3506" s="2">
        <v>232.64</v>
      </c>
      <c r="H3506">
        <v>232.64</v>
      </c>
      <c r="I3506">
        <v>227.84</v>
      </c>
      <c r="J3506">
        <v>310.02999999999997</v>
      </c>
      <c r="K3506">
        <v>57</v>
      </c>
      <c r="M3506">
        <v>0</v>
      </c>
      <c r="N3506" s="2">
        <v>110</v>
      </c>
      <c r="O3506">
        <v>25062.400000000001</v>
      </c>
      <c r="P3506">
        <v>3</v>
      </c>
      <c r="Q3506">
        <v>107</v>
      </c>
      <c r="R3506">
        <v>20.95</v>
      </c>
      <c r="S3506">
        <v>5</v>
      </c>
      <c r="T3506">
        <v>31</v>
      </c>
      <c r="U3506" s="2">
        <v>9610.93</v>
      </c>
      <c r="V3506">
        <v>0</v>
      </c>
      <c r="W3506" t="s">
        <v>29</v>
      </c>
      <c r="X3506" t="str">
        <f>IF(Table2[[#This Row],[Qty available]]&gt;Table2[[#This Row],[Qty on hand]],"Check","OK")</f>
        <v>OK</v>
      </c>
    </row>
    <row r="3507" spans="1:24" x14ac:dyDescent="0.3">
      <c r="A3507" t="s">
        <v>353</v>
      </c>
      <c r="B3507" t="s">
        <v>354</v>
      </c>
      <c r="C3507" t="s">
        <v>77</v>
      </c>
      <c r="D3507" t="s">
        <v>78</v>
      </c>
      <c r="E3507" t="s">
        <v>66</v>
      </c>
      <c r="F3507" s="1" t="s">
        <v>30</v>
      </c>
      <c r="G3507" s="2">
        <v>234.98</v>
      </c>
      <c r="H3507">
        <v>234.98</v>
      </c>
      <c r="I3507">
        <v>230.51747700000001</v>
      </c>
      <c r="J3507">
        <v>310.02999999999997</v>
      </c>
      <c r="K3507">
        <v>57</v>
      </c>
      <c r="L3507" s="2">
        <v>49</v>
      </c>
      <c r="M3507">
        <v>66</v>
      </c>
      <c r="N3507" s="2">
        <v>107</v>
      </c>
      <c r="O3507">
        <v>24665.37</v>
      </c>
      <c r="P3507">
        <v>6</v>
      </c>
      <c r="Q3507">
        <v>101</v>
      </c>
      <c r="R3507">
        <v>10.65</v>
      </c>
      <c r="S3507">
        <v>0</v>
      </c>
      <c r="T3507">
        <v>69</v>
      </c>
      <c r="U3507" s="2">
        <v>21392.07</v>
      </c>
      <c r="V3507">
        <v>0</v>
      </c>
      <c r="W3507" t="s">
        <v>29</v>
      </c>
      <c r="X3507" t="str">
        <f>IF(Table2[[#This Row],[Qty available]]&gt;Table2[[#This Row],[Qty on hand]],"Check","OK")</f>
        <v>OK</v>
      </c>
    </row>
    <row r="3508" spans="1:24" x14ac:dyDescent="0.3">
      <c r="A3508" t="s">
        <v>353</v>
      </c>
      <c r="B3508" t="s">
        <v>354</v>
      </c>
      <c r="C3508" t="s">
        <v>77</v>
      </c>
      <c r="D3508" t="s">
        <v>78</v>
      </c>
      <c r="E3508" t="s">
        <v>66</v>
      </c>
      <c r="F3508" s="1" t="s">
        <v>31</v>
      </c>
      <c r="G3508" s="2">
        <v>228.96</v>
      </c>
      <c r="H3508">
        <v>228.96</v>
      </c>
      <c r="I3508">
        <v>230.23214300000001</v>
      </c>
      <c r="J3508">
        <v>310.02999999999997</v>
      </c>
      <c r="K3508">
        <v>57</v>
      </c>
      <c r="L3508" s="2">
        <v>54</v>
      </c>
      <c r="M3508">
        <v>24</v>
      </c>
      <c r="N3508" s="2">
        <v>70</v>
      </c>
      <c r="O3508">
        <v>16116.25</v>
      </c>
      <c r="P3508">
        <v>6</v>
      </c>
      <c r="Q3508">
        <v>64</v>
      </c>
      <c r="R3508">
        <v>5.65</v>
      </c>
      <c r="S3508">
        <v>2</v>
      </c>
      <c r="T3508">
        <v>61</v>
      </c>
      <c r="U3508" s="2">
        <v>18911.830000000002</v>
      </c>
      <c r="V3508">
        <v>0</v>
      </c>
      <c r="W3508" t="s">
        <v>29</v>
      </c>
      <c r="X3508" t="str">
        <f>IF(Table2[[#This Row],[Qty available]]&gt;Table2[[#This Row],[Qty on hand]],"Check","OK")</f>
        <v>OK</v>
      </c>
    </row>
    <row r="3509" spans="1:24" x14ac:dyDescent="0.3">
      <c r="A3509" t="s">
        <v>353</v>
      </c>
      <c r="B3509" t="s">
        <v>354</v>
      </c>
      <c r="C3509" t="s">
        <v>77</v>
      </c>
      <c r="D3509" t="s">
        <v>78</v>
      </c>
      <c r="E3509" t="s">
        <v>66</v>
      </c>
      <c r="F3509" s="1" t="s">
        <v>32</v>
      </c>
      <c r="G3509" s="2">
        <v>228.9</v>
      </c>
      <c r="H3509">
        <v>228.9</v>
      </c>
      <c r="I3509">
        <v>229.55210099999999</v>
      </c>
      <c r="J3509">
        <v>310.02999999999997</v>
      </c>
      <c r="K3509">
        <v>57</v>
      </c>
      <c r="L3509" s="2">
        <v>51</v>
      </c>
      <c r="M3509">
        <v>73</v>
      </c>
      <c r="N3509" s="2">
        <v>119</v>
      </c>
      <c r="O3509">
        <v>27316.7</v>
      </c>
      <c r="P3509">
        <v>14</v>
      </c>
      <c r="Q3509">
        <v>105</v>
      </c>
      <c r="R3509">
        <v>10.16</v>
      </c>
      <c r="S3509">
        <v>0</v>
      </c>
      <c r="T3509">
        <v>24</v>
      </c>
      <c r="U3509" s="2">
        <v>7440.72</v>
      </c>
      <c r="V3509">
        <v>0</v>
      </c>
      <c r="W3509" t="s">
        <v>29</v>
      </c>
      <c r="X3509" t="str">
        <f>IF(Table2[[#This Row],[Qty available]]&gt;Table2[[#This Row],[Qty on hand]],"Check","OK")</f>
        <v>OK</v>
      </c>
    </row>
    <row r="3510" spans="1:24" x14ac:dyDescent="0.3">
      <c r="A3510" t="s">
        <v>353</v>
      </c>
      <c r="B3510" t="s">
        <v>354</v>
      </c>
      <c r="C3510" t="s">
        <v>77</v>
      </c>
      <c r="D3510" t="s">
        <v>78</v>
      </c>
      <c r="E3510" t="s">
        <v>66</v>
      </c>
      <c r="F3510" s="1" t="s">
        <v>33</v>
      </c>
      <c r="G3510" s="2">
        <v>235.06</v>
      </c>
      <c r="H3510">
        <v>235.06</v>
      </c>
      <c r="I3510">
        <v>229.552065</v>
      </c>
      <c r="J3510">
        <v>310.02999999999997</v>
      </c>
      <c r="K3510">
        <v>57</v>
      </c>
      <c r="M3510">
        <v>0</v>
      </c>
      <c r="N3510" s="2">
        <v>92</v>
      </c>
      <c r="O3510">
        <v>21118.79</v>
      </c>
      <c r="P3510">
        <v>11</v>
      </c>
      <c r="Q3510">
        <v>81</v>
      </c>
      <c r="R3510">
        <v>10.8</v>
      </c>
      <c r="S3510">
        <v>0</v>
      </c>
      <c r="T3510">
        <v>27</v>
      </c>
      <c r="U3510" s="2">
        <v>8370.81</v>
      </c>
      <c r="V3510">
        <v>0</v>
      </c>
      <c r="W3510" t="s">
        <v>29</v>
      </c>
      <c r="X3510" t="str">
        <f>IF(Table2[[#This Row],[Qty available]]&gt;Table2[[#This Row],[Qty on hand]],"Check","OK")</f>
        <v>OK</v>
      </c>
    </row>
    <row r="3511" spans="1:24" x14ac:dyDescent="0.3">
      <c r="A3511" t="s">
        <v>353</v>
      </c>
      <c r="B3511" t="s">
        <v>354</v>
      </c>
      <c r="C3511" t="s">
        <v>77</v>
      </c>
      <c r="D3511" t="s">
        <v>78</v>
      </c>
      <c r="E3511" t="s">
        <v>66</v>
      </c>
      <c r="F3511" s="1" t="s">
        <v>34</v>
      </c>
      <c r="G3511" s="2">
        <v>232.09</v>
      </c>
      <c r="H3511">
        <v>232.09</v>
      </c>
      <c r="I3511">
        <v>229.55208300000001</v>
      </c>
      <c r="J3511">
        <v>325.3</v>
      </c>
      <c r="K3511">
        <v>57</v>
      </c>
      <c r="M3511">
        <v>0</v>
      </c>
      <c r="N3511" s="2">
        <v>48</v>
      </c>
      <c r="O3511">
        <v>11018.5</v>
      </c>
      <c r="P3511">
        <v>15</v>
      </c>
      <c r="Q3511">
        <v>33</v>
      </c>
      <c r="R3511">
        <v>6.5</v>
      </c>
      <c r="S3511">
        <v>1</v>
      </c>
      <c r="T3511">
        <v>44</v>
      </c>
      <c r="U3511" s="2">
        <v>14313.2</v>
      </c>
      <c r="V3511">
        <v>0</v>
      </c>
      <c r="W3511" t="s">
        <v>29</v>
      </c>
      <c r="X3511" t="str">
        <f>IF(Table2[[#This Row],[Qty available]]&gt;Table2[[#This Row],[Qty on hand]],"Check","OK")</f>
        <v>OK</v>
      </c>
    </row>
    <row r="3512" spans="1:24" x14ac:dyDescent="0.3">
      <c r="A3512" t="s">
        <v>353</v>
      </c>
      <c r="B3512" t="s">
        <v>354</v>
      </c>
      <c r="C3512" t="s">
        <v>77</v>
      </c>
      <c r="D3512" t="s">
        <v>78</v>
      </c>
      <c r="E3512" t="s">
        <v>66</v>
      </c>
      <c r="F3512" s="1" t="s">
        <v>35</v>
      </c>
      <c r="G3512" s="2">
        <v>246.81</v>
      </c>
      <c r="H3512">
        <v>246.81</v>
      </c>
      <c r="I3512">
        <v>239.54346200000001</v>
      </c>
      <c r="J3512">
        <v>325.3</v>
      </c>
      <c r="K3512">
        <v>57</v>
      </c>
      <c r="L3512" s="2">
        <v>73</v>
      </c>
      <c r="M3512">
        <v>66</v>
      </c>
      <c r="N3512" s="2">
        <v>78</v>
      </c>
      <c r="O3512">
        <v>18684.39</v>
      </c>
      <c r="P3512">
        <v>3</v>
      </c>
      <c r="Q3512">
        <v>75</v>
      </c>
      <c r="R3512">
        <v>9.3699999999999992</v>
      </c>
      <c r="S3512">
        <v>3</v>
      </c>
      <c r="T3512">
        <v>36</v>
      </c>
      <c r="U3512" s="2">
        <v>11710.8</v>
      </c>
      <c r="V3512">
        <v>0</v>
      </c>
      <c r="W3512" t="s">
        <v>29</v>
      </c>
      <c r="X3512" t="str">
        <f>IF(Table2[[#This Row],[Qty available]]&gt;Table2[[#This Row],[Qty on hand]],"Check","OK")</f>
        <v>OK</v>
      </c>
    </row>
    <row r="3513" spans="1:24" x14ac:dyDescent="0.3">
      <c r="A3513" t="s">
        <v>353</v>
      </c>
      <c r="B3513" t="s">
        <v>354</v>
      </c>
      <c r="C3513" t="s">
        <v>77</v>
      </c>
      <c r="D3513" t="s">
        <v>78</v>
      </c>
      <c r="E3513" t="s">
        <v>66</v>
      </c>
      <c r="F3513" s="1" t="s">
        <v>36</v>
      </c>
      <c r="G3513" s="2">
        <v>243.4</v>
      </c>
      <c r="H3513">
        <v>243.4</v>
      </c>
      <c r="I3513">
        <v>241.808425</v>
      </c>
      <c r="J3513">
        <v>325.3</v>
      </c>
      <c r="K3513">
        <v>57</v>
      </c>
      <c r="L3513" s="2">
        <v>56</v>
      </c>
      <c r="M3513">
        <v>111</v>
      </c>
      <c r="N3513" s="2">
        <v>146</v>
      </c>
      <c r="O3513">
        <v>35304.03</v>
      </c>
      <c r="P3513">
        <v>8</v>
      </c>
      <c r="Q3513">
        <v>138</v>
      </c>
      <c r="R3513">
        <v>15.09</v>
      </c>
      <c r="S3513">
        <v>5</v>
      </c>
      <c r="T3513">
        <v>43</v>
      </c>
      <c r="U3513" s="2">
        <v>13987.9</v>
      </c>
      <c r="V3513">
        <v>0</v>
      </c>
      <c r="W3513" t="s">
        <v>29</v>
      </c>
      <c r="X3513" t="str">
        <f>IF(Table2[[#This Row],[Qty available]]&gt;Table2[[#This Row],[Qty on hand]],"Check","OK")</f>
        <v>OK</v>
      </c>
    </row>
    <row r="3514" spans="1:24" x14ac:dyDescent="0.3">
      <c r="A3514" t="s">
        <v>353</v>
      </c>
      <c r="B3514" t="s">
        <v>354</v>
      </c>
      <c r="C3514" t="s">
        <v>77</v>
      </c>
      <c r="D3514" t="s">
        <v>78</v>
      </c>
      <c r="E3514" t="s">
        <v>66</v>
      </c>
      <c r="F3514" s="1" t="s">
        <v>37</v>
      </c>
      <c r="G3514" s="2">
        <v>240.15</v>
      </c>
      <c r="H3514">
        <v>240.15</v>
      </c>
      <c r="I3514">
        <v>241.80846199999999</v>
      </c>
      <c r="J3514">
        <v>325.3</v>
      </c>
      <c r="K3514">
        <v>57</v>
      </c>
      <c r="M3514">
        <v>0</v>
      </c>
      <c r="N3514" s="2">
        <v>78</v>
      </c>
      <c r="O3514">
        <v>18861.060000000001</v>
      </c>
      <c r="P3514">
        <v>14</v>
      </c>
      <c r="Q3514">
        <v>64</v>
      </c>
      <c r="R3514">
        <v>6.97</v>
      </c>
      <c r="S3514">
        <v>0</v>
      </c>
      <c r="T3514">
        <v>68</v>
      </c>
      <c r="U3514" s="2">
        <v>22120.400000000001</v>
      </c>
      <c r="V3514">
        <v>0</v>
      </c>
      <c r="W3514" t="s">
        <v>29</v>
      </c>
      <c r="X3514" t="str">
        <f>IF(Table2[[#This Row],[Qty available]]&gt;Table2[[#This Row],[Qty on hand]],"Check","OK")</f>
        <v>OK</v>
      </c>
    </row>
    <row r="3515" spans="1:24" x14ac:dyDescent="0.3">
      <c r="A3515" t="s">
        <v>353</v>
      </c>
      <c r="B3515" t="s">
        <v>354</v>
      </c>
      <c r="C3515" t="s">
        <v>77</v>
      </c>
      <c r="D3515" t="s">
        <v>78</v>
      </c>
      <c r="E3515" t="s">
        <v>66</v>
      </c>
      <c r="F3515" s="1" t="s">
        <v>38</v>
      </c>
      <c r="G3515" s="2">
        <v>244.09</v>
      </c>
      <c r="H3515">
        <v>244.09</v>
      </c>
      <c r="I3515">
        <v>242.81882999999999</v>
      </c>
      <c r="J3515">
        <v>325.3</v>
      </c>
      <c r="K3515">
        <v>57</v>
      </c>
      <c r="L3515" s="2">
        <v>52</v>
      </c>
      <c r="M3515">
        <v>62</v>
      </c>
      <c r="N3515" s="2">
        <v>94</v>
      </c>
      <c r="O3515">
        <v>22824.97</v>
      </c>
      <c r="P3515">
        <v>9</v>
      </c>
      <c r="Q3515">
        <v>85</v>
      </c>
      <c r="R3515">
        <v>7.78</v>
      </c>
      <c r="S3515">
        <v>0</v>
      </c>
      <c r="T3515">
        <v>46</v>
      </c>
      <c r="U3515" s="2">
        <v>14963.8</v>
      </c>
      <c r="V3515">
        <v>0</v>
      </c>
      <c r="W3515" t="s">
        <v>29</v>
      </c>
      <c r="X3515" t="str">
        <f>IF(Table2[[#This Row],[Qty available]]&gt;Table2[[#This Row],[Qty on hand]],"Check","OK")</f>
        <v>OK</v>
      </c>
    </row>
    <row r="3516" spans="1:24" x14ac:dyDescent="0.3">
      <c r="A3516" t="s">
        <v>353</v>
      </c>
      <c r="B3516" t="s">
        <v>354</v>
      </c>
      <c r="C3516" t="s">
        <v>77</v>
      </c>
      <c r="D3516" t="s">
        <v>78</v>
      </c>
      <c r="E3516" t="s">
        <v>66</v>
      </c>
      <c r="F3516" s="1" t="s">
        <v>39</v>
      </c>
      <c r="G3516" s="2">
        <v>245.75</v>
      </c>
      <c r="H3516">
        <v>245.75</v>
      </c>
      <c r="I3516">
        <v>242.81888900000001</v>
      </c>
      <c r="J3516">
        <v>325.3</v>
      </c>
      <c r="K3516">
        <v>57</v>
      </c>
      <c r="M3516">
        <v>0</v>
      </c>
      <c r="N3516" s="2">
        <v>45</v>
      </c>
      <c r="O3516">
        <v>10926.85</v>
      </c>
      <c r="P3516">
        <v>5</v>
      </c>
      <c r="Q3516">
        <v>40</v>
      </c>
      <c r="R3516">
        <v>3.63</v>
      </c>
      <c r="S3516">
        <v>7</v>
      </c>
      <c r="T3516">
        <v>49</v>
      </c>
      <c r="U3516" s="2">
        <v>15939.7</v>
      </c>
      <c r="V3516">
        <v>0</v>
      </c>
      <c r="W3516" t="s">
        <v>29</v>
      </c>
      <c r="X3516" t="str">
        <f>IF(Table2[[#This Row],[Qty available]]&gt;Table2[[#This Row],[Qty on hand]],"Check","OK")</f>
        <v>OK</v>
      </c>
    </row>
    <row r="3517" spans="1:24" x14ac:dyDescent="0.3">
      <c r="A3517" t="s">
        <v>353</v>
      </c>
      <c r="B3517" t="s">
        <v>354</v>
      </c>
      <c r="C3517" t="s">
        <v>77</v>
      </c>
      <c r="D3517" t="s">
        <v>78</v>
      </c>
      <c r="E3517" t="s">
        <v>66</v>
      </c>
      <c r="F3517" s="1" t="s">
        <v>40</v>
      </c>
      <c r="G3517" s="2">
        <v>244.42</v>
      </c>
      <c r="H3517">
        <v>244.42</v>
      </c>
      <c r="I3517">
        <v>243.79346899999999</v>
      </c>
      <c r="J3517">
        <v>325.3</v>
      </c>
      <c r="K3517">
        <v>57</v>
      </c>
      <c r="L3517" s="2">
        <v>52</v>
      </c>
      <c r="M3517">
        <v>70</v>
      </c>
      <c r="N3517" s="2">
        <v>49</v>
      </c>
      <c r="O3517">
        <v>11945.88</v>
      </c>
      <c r="P3517">
        <v>3</v>
      </c>
      <c r="Q3517">
        <v>46</v>
      </c>
      <c r="R3517">
        <v>4</v>
      </c>
      <c r="S3517">
        <v>3</v>
      </c>
      <c r="T3517">
        <v>66</v>
      </c>
      <c r="U3517" s="2">
        <v>21469.8</v>
      </c>
      <c r="V3517">
        <v>0</v>
      </c>
      <c r="W3517" t="s">
        <v>29</v>
      </c>
      <c r="X3517" t="str">
        <f>IF(Table2[[#This Row],[Qty available]]&gt;Table2[[#This Row],[Qty on hand]],"Check","OK")</f>
        <v>OK</v>
      </c>
    </row>
    <row r="3518" spans="1:24" x14ac:dyDescent="0.3">
      <c r="A3518" t="s">
        <v>353</v>
      </c>
      <c r="B3518" t="s">
        <v>354</v>
      </c>
      <c r="C3518" t="s">
        <v>77</v>
      </c>
      <c r="D3518" t="s">
        <v>78</v>
      </c>
      <c r="E3518" t="s">
        <v>66</v>
      </c>
      <c r="F3518" s="1" t="s">
        <v>41</v>
      </c>
      <c r="G3518" s="2">
        <v>248.08</v>
      </c>
      <c r="H3518">
        <v>248.08</v>
      </c>
      <c r="I3518">
        <v>246.079545</v>
      </c>
      <c r="J3518">
        <v>325.3</v>
      </c>
      <c r="K3518">
        <v>57</v>
      </c>
      <c r="L3518" s="2">
        <v>49</v>
      </c>
      <c r="M3518">
        <v>56</v>
      </c>
      <c r="N3518" s="2">
        <v>66</v>
      </c>
      <c r="O3518">
        <v>16241.25</v>
      </c>
      <c r="P3518">
        <v>6</v>
      </c>
      <c r="Q3518">
        <v>60</v>
      </c>
      <c r="R3518">
        <v>5.63</v>
      </c>
      <c r="S3518">
        <v>8</v>
      </c>
      <c r="T3518">
        <v>39</v>
      </c>
      <c r="U3518" s="2">
        <v>12686.7</v>
      </c>
      <c r="V3518">
        <v>0</v>
      </c>
      <c r="W3518" t="s">
        <v>29</v>
      </c>
      <c r="X3518" t="str">
        <f>IF(Table2[[#This Row],[Qty available]]&gt;Table2[[#This Row],[Qty on hand]],"Check","OK")</f>
        <v>OK</v>
      </c>
    </row>
    <row r="3519" spans="1:24" x14ac:dyDescent="0.3">
      <c r="A3519" t="s">
        <v>353</v>
      </c>
      <c r="B3519" t="s">
        <v>354</v>
      </c>
      <c r="C3519" t="s">
        <v>77</v>
      </c>
      <c r="D3519" t="s">
        <v>78</v>
      </c>
      <c r="E3519" t="s">
        <v>66</v>
      </c>
      <c r="F3519" s="1" t="s">
        <v>42</v>
      </c>
      <c r="G3519" s="2">
        <v>239.63</v>
      </c>
      <c r="H3519">
        <v>239.63</v>
      </c>
      <c r="I3519">
        <v>244.69733299999999</v>
      </c>
      <c r="J3519">
        <v>325.3</v>
      </c>
      <c r="K3519">
        <v>57</v>
      </c>
      <c r="L3519" s="2">
        <v>50</v>
      </c>
      <c r="M3519">
        <v>18</v>
      </c>
      <c r="N3519" s="2">
        <v>30</v>
      </c>
      <c r="O3519">
        <v>7340.92</v>
      </c>
      <c r="P3519">
        <v>8</v>
      </c>
      <c r="Q3519">
        <v>22</v>
      </c>
      <c r="R3519">
        <v>2.48</v>
      </c>
      <c r="S3519">
        <v>0</v>
      </c>
      <c r="T3519">
        <v>54</v>
      </c>
      <c r="U3519" s="2">
        <v>17566.2</v>
      </c>
      <c r="V3519">
        <v>0</v>
      </c>
      <c r="W3519" t="s">
        <v>29</v>
      </c>
      <c r="X3519" t="str">
        <f>IF(Table2[[#This Row],[Qty available]]&gt;Table2[[#This Row],[Qty on hand]],"Check","OK")</f>
        <v>OK</v>
      </c>
    </row>
    <row r="3520" spans="1:24" x14ac:dyDescent="0.3">
      <c r="A3520" t="s">
        <v>353</v>
      </c>
      <c r="B3520" t="s">
        <v>354</v>
      </c>
      <c r="C3520" t="s">
        <v>77</v>
      </c>
      <c r="D3520" t="s">
        <v>78</v>
      </c>
      <c r="E3520" t="s">
        <v>66</v>
      </c>
      <c r="F3520" s="1" t="s">
        <v>43</v>
      </c>
      <c r="G3520" s="2">
        <v>248.27</v>
      </c>
      <c r="H3520">
        <v>248.27</v>
      </c>
      <c r="I3520">
        <v>244.69733299999999</v>
      </c>
      <c r="J3520">
        <v>325.3</v>
      </c>
      <c r="K3520">
        <v>57</v>
      </c>
      <c r="M3520">
        <v>0</v>
      </c>
      <c r="N3520" s="2">
        <v>0</v>
      </c>
      <c r="O3520">
        <v>0</v>
      </c>
      <c r="P3520">
        <v>0</v>
      </c>
      <c r="Q3520">
        <v>0</v>
      </c>
      <c r="R3520">
        <v>0</v>
      </c>
      <c r="S3520">
        <v>2</v>
      </c>
      <c r="T3520">
        <v>30</v>
      </c>
      <c r="U3520" s="2">
        <v>9759</v>
      </c>
      <c r="V3520">
        <v>7</v>
      </c>
      <c r="W3520" t="s">
        <v>59</v>
      </c>
      <c r="X3520" t="str">
        <f>IF(Table2[[#This Row],[Qty available]]&gt;Table2[[#This Row],[Qty on hand]],"Check","OK")</f>
        <v>OK</v>
      </c>
    </row>
    <row r="3521" spans="1:24" x14ac:dyDescent="0.3">
      <c r="A3521" t="s">
        <v>353</v>
      </c>
      <c r="B3521" t="s">
        <v>354</v>
      </c>
      <c r="C3521" t="s">
        <v>77</v>
      </c>
      <c r="D3521" t="s">
        <v>78</v>
      </c>
      <c r="E3521" t="s">
        <v>66</v>
      </c>
      <c r="F3521" s="1" t="s">
        <v>44</v>
      </c>
      <c r="G3521" s="2">
        <v>245.19</v>
      </c>
      <c r="H3521">
        <v>245.19</v>
      </c>
      <c r="I3521">
        <v>245.19</v>
      </c>
      <c r="J3521">
        <v>325.3</v>
      </c>
      <c r="K3521">
        <v>57</v>
      </c>
      <c r="L3521" s="2">
        <v>49</v>
      </c>
      <c r="M3521">
        <v>148</v>
      </c>
      <c r="N3521" s="2">
        <v>112</v>
      </c>
      <c r="O3521">
        <v>27461.279999999999</v>
      </c>
      <c r="P3521">
        <v>12</v>
      </c>
      <c r="Q3521">
        <v>100</v>
      </c>
      <c r="R3521">
        <v>12.27</v>
      </c>
      <c r="S3521">
        <v>6</v>
      </c>
      <c r="T3521">
        <v>36</v>
      </c>
      <c r="U3521" s="2">
        <v>11710.8</v>
      </c>
      <c r="V3521">
        <v>0</v>
      </c>
      <c r="W3521" t="s">
        <v>29</v>
      </c>
      <c r="X3521" t="str">
        <f>IF(Table2[[#This Row],[Qty available]]&gt;Table2[[#This Row],[Qty on hand]],"Check","OK")</f>
        <v>OK</v>
      </c>
    </row>
    <row r="3522" spans="1:24" x14ac:dyDescent="0.3">
      <c r="A3522" t="s">
        <v>353</v>
      </c>
      <c r="B3522" t="s">
        <v>354</v>
      </c>
      <c r="C3522" t="s">
        <v>77</v>
      </c>
      <c r="D3522" t="s">
        <v>78</v>
      </c>
      <c r="E3522" t="s">
        <v>66</v>
      </c>
      <c r="F3522" s="1" t="s">
        <v>45</v>
      </c>
      <c r="G3522" s="2">
        <v>243.33</v>
      </c>
      <c r="H3522">
        <v>243.33</v>
      </c>
      <c r="I3522">
        <v>245.19</v>
      </c>
      <c r="J3522">
        <v>325.3</v>
      </c>
      <c r="K3522">
        <v>57</v>
      </c>
      <c r="M3522">
        <v>0</v>
      </c>
      <c r="N3522" s="2">
        <v>65</v>
      </c>
      <c r="O3522">
        <v>15937.35</v>
      </c>
      <c r="P3522">
        <v>11</v>
      </c>
      <c r="Q3522">
        <v>54</v>
      </c>
      <c r="R3522">
        <v>7.56</v>
      </c>
      <c r="S3522">
        <v>1</v>
      </c>
      <c r="T3522">
        <v>47</v>
      </c>
      <c r="U3522" s="2">
        <v>15289.1</v>
      </c>
      <c r="V3522">
        <v>0</v>
      </c>
      <c r="W3522" t="s">
        <v>29</v>
      </c>
      <c r="X3522" t="str">
        <f>IF(Table2[[#This Row],[Qty available]]&gt;Table2[[#This Row],[Qty on hand]],"Check","OK")</f>
        <v>OK</v>
      </c>
    </row>
    <row r="3523" spans="1:24" x14ac:dyDescent="0.3">
      <c r="A3523" t="s">
        <v>353</v>
      </c>
      <c r="B3523" t="s">
        <v>354</v>
      </c>
      <c r="C3523" t="s">
        <v>77</v>
      </c>
      <c r="D3523" t="s">
        <v>78</v>
      </c>
      <c r="E3523" t="s">
        <v>66</v>
      </c>
      <c r="F3523" s="1" t="s">
        <v>46</v>
      </c>
      <c r="G3523" s="2">
        <v>246.63</v>
      </c>
      <c r="H3523">
        <v>246.63</v>
      </c>
      <c r="I3523">
        <v>245.19</v>
      </c>
      <c r="J3523">
        <v>341.33</v>
      </c>
      <c r="K3523">
        <v>57</v>
      </c>
      <c r="M3523">
        <v>0</v>
      </c>
      <c r="N3523" s="2">
        <v>16</v>
      </c>
      <c r="O3523">
        <v>3923.04</v>
      </c>
      <c r="P3523">
        <v>6</v>
      </c>
      <c r="Q3523">
        <v>10</v>
      </c>
      <c r="R3523">
        <v>1.56</v>
      </c>
      <c r="S3523">
        <v>1</v>
      </c>
      <c r="T3523">
        <v>49</v>
      </c>
      <c r="U3523" s="2">
        <v>16725.169999999998</v>
      </c>
      <c r="V3523">
        <v>0</v>
      </c>
      <c r="W3523" t="s">
        <v>29</v>
      </c>
      <c r="X3523" t="str">
        <f>IF(Table2[[#This Row],[Qty available]]&gt;Table2[[#This Row],[Qty on hand]],"Check","OK")</f>
        <v>OK</v>
      </c>
    </row>
    <row r="3524" spans="1:24" x14ac:dyDescent="0.3">
      <c r="A3524" t="s">
        <v>353</v>
      </c>
      <c r="B3524" t="s">
        <v>354</v>
      </c>
      <c r="C3524" t="s">
        <v>77</v>
      </c>
      <c r="D3524" t="s">
        <v>78</v>
      </c>
      <c r="E3524" t="s">
        <v>66</v>
      </c>
      <c r="F3524" s="1" t="s">
        <v>47</v>
      </c>
      <c r="G3524" s="2">
        <v>262.89999999999998</v>
      </c>
      <c r="H3524">
        <v>262.89999999999998</v>
      </c>
      <c r="I3524">
        <v>245.19</v>
      </c>
      <c r="J3524">
        <v>341.33</v>
      </c>
      <c r="K3524">
        <v>57</v>
      </c>
      <c r="M3524">
        <v>0</v>
      </c>
      <c r="N3524" s="2">
        <v>0</v>
      </c>
      <c r="O3524">
        <v>0</v>
      </c>
      <c r="P3524">
        <v>0</v>
      </c>
      <c r="Q3524">
        <v>0</v>
      </c>
      <c r="R3524">
        <v>0</v>
      </c>
      <c r="S3524">
        <v>10</v>
      </c>
      <c r="T3524">
        <v>16</v>
      </c>
      <c r="U3524" s="2">
        <v>5461.28</v>
      </c>
      <c r="V3524">
        <v>12</v>
      </c>
      <c r="W3524" t="s">
        <v>59</v>
      </c>
      <c r="X3524" t="str">
        <f>IF(Table2[[#This Row],[Qty available]]&gt;Table2[[#This Row],[Qty on hand]],"Check","OK")</f>
        <v>OK</v>
      </c>
    </row>
    <row r="3525" spans="1:24" x14ac:dyDescent="0.3">
      <c r="A3525" t="s">
        <v>353</v>
      </c>
      <c r="B3525" t="s">
        <v>354</v>
      </c>
      <c r="C3525" t="s">
        <v>77</v>
      </c>
      <c r="D3525" t="s">
        <v>78</v>
      </c>
      <c r="E3525" t="s">
        <v>66</v>
      </c>
      <c r="F3525" s="1" t="s">
        <v>48</v>
      </c>
      <c r="G3525" s="2">
        <v>254.53</v>
      </c>
      <c r="H3525">
        <v>254.53</v>
      </c>
      <c r="I3525">
        <v>254.53</v>
      </c>
      <c r="J3525">
        <v>341.33</v>
      </c>
      <c r="K3525">
        <v>57</v>
      </c>
      <c r="L3525" s="2">
        <v>71</v>
      </c>
      <c r="M3525">
        <v>93</v>
      </c>
      <c r="N3525" s="2">
        <v>43</v>
      </c>
      <c r="O3525">
        <v>10944.79</v>
      </c>
      <c r="P3525">
        <v>3</v>
      </c>
      <c r="Q3525">
        <v>40</v>
      </c>
      <c r="R3525">
        <v>4.75</v>
      </c>
      <c r="S3525">
        <v>8</v>
      </c>
      <c r="T3525">
        <v>50</v>
      </c>
      <c r="U3525" s="2">
        <v>17066.5</v>
      </c>
      <c r="V3525">
        <v>0</v>
      </c>
      <c r="W3525" t="s">
        <v>29</v>
      </c>
      <c r="X3525" t="str">
        <f>IF(Table2[[#This Row],[Qty available]]&gt;Table2[[#This Row],[Qty on hand]],"Check","OK")</f>
        <v>OK</v>
      </c>
    </row>
    <row r="3526" spans="1:24" x14ac:dyDescent="0.3">
      <c r="A3526" t="s">
        <v>353</v>
      </c>
      <c r="B3526" t="s">
        <v>354</v>
      </c>
      <c r="C3526" t="s">
        <v>77</v>
      </c>
      <c r="D3526" t="s">
        <v>78</v>
      </c>
      <c r="E3526" t="s">
        <v>66</v>
      </c>
      <c r="F3526" s="1" t="s">
        <v>49</v>
      </c>
      <c r="G3526" s="2">
        <v>256.45</v>
      </c>
      <c r="H3526">
        <v>256.45</v>
      </c>
      <c r="I3526">
        <v>254.53</v>
      </c>
      <c r="J3526">
        <v>341.33</v>
      </c>
      <c r="K3526">
        <v>57</v>
      </c>
      <c r="M3526">
        <v>0</v>
      </c>
      <c r="N3526" s="2">
        <v>0</v>
      </c>
      <c r="O3526">
        <v>0</v>
      </c>
      <c r="P3526">
        <v>0</v>
      </c>
      <c r="Q3526">
        <v>0</v>
      </c>
      <c r="R3526">
        <v>0</v>
      </c>
      <c r="S3526">
        <v>7</v>
      </c>
      <c r="T3526">
        <v>43</v>
      </c>
      <c r="U3526" s="2">
        <v>14677.19</v>
      </c>
      <c r="V3526">
        <v>27</v>
      </c>
      <c r="W3526" t="s">
        <v>59</v>
      </c>
      <c r="X3526" t="str">
        <f>IF(Table2[[#This Row],[Qty available]]&gt;Table2[[#This Row],[Qty on hand]],"Check","OK")</f>
        <v>OK</v>
      </c>
    </row>
    <row r="3527" spans="1:24" x14ac:dyDescent="0.3">
      <c r="A3527" t="s">
        <v>353</v>
      </c>
      <c r="B3527" t="s">
        <v>354</v>
      </c>
      <c r="C3527" t="s">
        <v>77</v>
      </c>
      <c r="D3527" t="s">
        <v>78</v>
      </c>
      <c r="E3527" t="s">
        <v>66</v>
      </c>
      <c r="F3527" s="1" t="s">
        <v>50</v>
      </c>
      <c r="G3527" s="2">
        <v>253.93</v>
      </c>
      <c r="H3527">
        <v>253.93</v>
      </c>
      <c r="I3527">
        <v>253.93</v>
      </c>
      <c r="J3527">
        <v>341.33</v>
      </c>
      <c r="K3527">
        <v>57</v>
      </c>
      <c r="L3527" s="2">
        <v>50</v>
      </c>
      <c r="M3527">
        <v>196</v>
      </c>
      <c r="N3527" s="2">
        <v>154</v>
      </c>
      <c r="O3527">
        <v>39105.22</v>
      </c>
      <c r="P3527">
        <v>6</v>
      </c>
      <c r="Q3527">
        <v>148</v>
      </c>
      <c r="R3527">
        <v>14.83</v>
      </c>
      <c r="S3527">
        <v>1</v>
      </c>
      <c r="T3527">
        <v>42</v>
      </c>
      <c r="U3527" s="2">
        <v>14335.86</v>
      </c>
      <c r="V3527">
        <v>0</v>
      </c>
      <c r="W3527" t="s">
        <v>29</v>
      </c>
      <c r="X3527" t="str">
        <f>IF(Table2[[#This Row],[Qty available]]&gt;Table2[[#This Row],[Qty on hand]],"Check","OK")</f>
        <v>OK</v>
      </c>
    </row>
    <row r="3528" spans="1:24" x14ac:dyDescent="0.3">
      <c r="A3528" t="s">
        <v>353</v>
      </c>
      <c r="B3528" t="s">
        <v>354</v>
      </c>
      <c r="C3528" t="s">
        <v>77</v>
      </c>
      <c r="D3528" t="s">
        <v>78</v>
      </c>
      <c r="E3528" t="s">
        <v>66</v>
      </c>
      <c r="F3528" s="1" t="s">
        <v>51</v>
      </c>
      <c r="G3528" s="2">
        <v>255.42</v>
      </c>
      <c r="H3528">
        <v>255.42</v>
      </c>
      <c r="I3528">
        <v>253.93</v>
      </c>
      <c r="J3528">
        <v>341.33</v>
      </c>
      <c r="K3528">
        <v>57</v>
      </c>
      <c r="M3528">
        <v>0</v>
      </c>
      <c r="N3528" s="2">
        <v>97</v>
      </c>
      <c r="O3528">
        <v>24631.21</v>
      </c>
      <c r="P3528">
        <v>12</v>
      </c>
      <c r="Q3528">
        <v>85</v>
      </c>
      <c r="R3528">
        <v>8.98</v>
      </c>
      <c r="S3528">
        <v>3</v>
      </c>
      <c r="T3528">
        <v>57</v>
      </c>
      <c r="U3528" s="2">
        <v>19455.810000000001</v>
      </c>
      <c r="V3528">
        <v>0</v>
      </c>
      <c r="W3528" t="s">
        <v>29</v>
      </c>
      <c r="X3528" t="str">
        <f>IF(Table2[[#This Row],[Qty available]]&gt;Table2[[#This Row],[Qty on hand]],"Check","OK")</f>
        <v>OK</v>
      </c>
    </row>
    <row r="3529" spans="1:24" x14ac:dyDescent="0.3">
      <c r="A3529" t="s">
        <v>353</v>
      </c>
      <c r="B3529" t="s">
        <v>354</v>
      </c>
      <c r="C3529" t="s">
        <v>77</v>
      </c>
      <c r="D3529" t="s">
        <v>78</v>
      </c>
      <c r="E3529" t="s">
        <v>66</v>
      </c>
      <c r="F3529" s="1" t="s">
        <v>52</v>
      </c>
      <c r="G3529" s="2">
        <v>260.26</v>
      </c>
      <c r="H3529">
        <v>260.26</v>
      </c>
      <c r="I3529">
        <v>253.93</v>
      </c>
      <c r="J3529">
        <v>341.33</v>
      </c>
      <c r="K3529">
        <v>57</v>
      </c>
      <c r="M3529">
        <v>0</v>
      </c>
      <c r="N3529" s="2">
        <v>16</v>
      </c>
      <c r="O3529">
        <v>4062.88</v>
      </c>
      <c r="P3529">
        <v>12</v>
      </c>
      <c r="Q3529">
        <v>4</v>
      </c>
      <c r="R3529">
        <v>1.17</v>
      </c>
      <c r="S3529">
        <v>0</v>
      </c>
      <c r="T3529">
        <v>81</v>
      </c>
      <c r="U3529" s="2">
        <v>27647.73</v>
      </c>
      <c r="V3529">
        <v>0</v>
      </c>
      <c r="W3529" t="s">
        <v>29</v>
      </c>
      <c r="X3529" t="str">
        <f>IF(Table2[[#This Row],[Qty available]]&gt;Table2[[#This Row],[Qty on hand]],"Check","OK")</f>
        <v>OK</v>
      </c>
    </row>
    <row r="3530" spans="1:24" x14ac:dyDescent="0.3">
      <c r="A3530" t="s">
        <v>355</v>
      </c>
      <c r="B3530" t="s">
        <v>356</v>
      </c>
      <c r="C3530" t="s">
        <v>25</v>
      </c>
      <c r="D3530" t="s">
        <v>26</v>
      </c>
      <c r="E3530" t="s">
        <v>27</v>
      </c>
      <c r="F3530" s="1" t="s">
        <v>28</v>
      </c>
      <c r="G3530" s="2">
        <v>2</v>
      </c>
      <c r="H3530">
        <v>2</v>
      </c>
      <c r="I3530">
        <v>2</v>
      </c>
      <c r="J3530">
        <v>2.74</v>
      </c>
      <c r="K3530">
        <v>43</v>
      </c>
      <c r="M3530">
        <v>0</v>
      </c>
      <c r="N3530" s="2">
        <v>159</v>
      </c>
      <c r="O3530">
        <v>318</v>
      </c>
      <c r="P3530">
        <v>80</v>
      </c>
      <c r="Q3530">
        <v>79</v>
      </c>
      <c r="R3530">
        <v>2.99</v>
      </c>
      <c r="S3530">
        <v>0</v>
      </c>
      <c r="T3530">
        <v>278</v>
      </c>
      <c r="U3530" s="2">
        <v>761.72</v>
      </c>
      <c r="V3530">
        <v>0</v>
      </c>
      <c r="W3530" t="s">
        <v>29</v>
      </c>
      <c r="X3530" t="str">
        <f>IF(Table2[[#This Row],[Qty available]]&gt;Table2[[#This Row],[Qty on hand]],"Check","OK")</f>
        <v>OK</v>
      </c>
    </row>
    <row r="3531" spans="1:24" x14ac:dyDescent="0.3">
      <c r="A3531" t="s">
        <v>355</v>
      </c>
      <c r="B3531" t="s">
        <v>356</v>
      </c>
      <c r="C3531" t="s">
        <v>25</v>
      </c>
      <c r="D3531" t="s">
        <v>26</v>
      </c>
      <c r="E3531" t="s">
        <v>27</v>
      </c>
      <c r="F3531" s="1" t="s">
        <v>30</v>
      </c>
      <c r="G3531" s="2">
        <v>1.96</v>
      </c>
      <c r="H3531">
        <v>1.96</v>
      </c>
      <c r="I3531">
        <v>1.971098</v>
      </c>
      <c r="J3531">
        <v>2.74</v>
      </c>
      <c r="K3531">
        <v>43</v>
      </c>
      <c r="L3531" s="2">
        <v>47</v>
      </c>
      <c r="M3531">
        <v>414</v>
      </c>
      <c r="N3531" s="2">
        <v>437</v>
      </c>
      <c r="O3531">
        <v>861.37</v>
      </c>
      <c r="P3531">
        <v>30</v>
      </c>
      <c r="Q3531">
        <v>407</v>
      </c>
      <c r="R3531">
        <v>9.8000000000000007</v>
      </c>
      <c r="S3531">
        <v>8</v>
      </c>
      <c r="T3531">
        <v>136</v>
      </c>
      <c r="U3531" s="2">
        <v>372.64</v>
      </c>
      <c r="V3531">
        <v>0</v>
      </c>
      <c r="W3531" t="s">
        <v>29</v>
      </c>
      <c r="X3531" t="str">
        <f>IF(Table2[[#This Row],[Qty available]]&gt;Table2[[#This Row],[Qty on hand]],"Check","OK")</f>
        <v>OK</v>
      </c>
    </row>
    <row r="3532" spans="1:24" x14ac:dyDescent="0.3">
      <c r="A3532" t="s">
        <v>355</v>
      </c>
      <c r="B3532" t="s">
        <v>356</v>
      </c>
      <c r="C3532" t="s">
        <v>25</v>
      </c>
      <c r="D3532" t="s">
        <v>26</v>
      </c>
      <c r="E3532" t="s">
        <v>27</v>
      </c>
      <c r="F3532" s="1" t="s">
        <v>31</v>
      </c>
      <c r="G3532" s="2">
        <v>1.95</v>
      </c>
      <c r="H3532">
        <v>1.95</v>
      </c>
      <c r="I3532">
        <v>1.9629129999999999</v>
      </c>
      <c r="J3532">
        <v>2.74</v>
      </c>
      <c r="K3532">
        <v>43</v>
      </c>
      <c r="L3532" s="2">
        <v>37</v>
      </c>
      <c r="M3532">
        <v>276</v>
      </c>
      <c r="N3532" s="2">
        <v>230</v>
      </c>
      <c r="O3532">
        <v>451.47</v>
      </c>
      <c r="P3532">
        <v>50</v>
      </c>
      <c r="Q3532">
        <v>180</v>
      </c>
      <c r="R3532">
        <v>3.33</v>
      </c>
      <c r="S3532">
        <v>3</v>
      </c>
      <c r="T3532">
        <v>483</v>
      </c>
      <c r="U3532" s="2">
        <v>1323.42</v>
      </c>
      <c r="V3532">
        <v>0</v>
      </c>
      <c r="W3532" t="s">
        <v>29</v>
      </c>
      <c r="X3532" t="str">
        <f>IF(Table2[[#This Row],[Qty available]]&gt;Table2[[#This Row],[Qty on hand]],"Check","OK")</f>
        <v>OK</v>
      </c>
    </row>
    <row r="3533" spans="1:24" x14ac:dyDescent="0.3">
      <c r="A3533" t="s">
        <v>355</v>
      </c>
      <c r="B3533" t="s">
        <v>356</v>
      </c>
      <c r="C3533" t="s">
        <v>25</v>
      </c>
      <c r="D3533" t="s">
        <v>26</v>
      </c>
      <c r="E3533" t="s">
        <v>27</v>
      </c>
      <c r="F3533" s="1" t="s">
        <v>32</v>
      </c>
      <c r="G3533" s="2">
        <v>2.0099999999999998</v>
      </c>
      <c r="H3533">
        <v>2.0099999999999998</v>
      </c>
      <c r="I3533">
        <v>1.977182</v>
      </c>
      <c r="J3533">
        <v>2.74</v>
      </c>
      <c r="K3533">
        <v>43</v>
      </c>
      <c r="L3533" s="2">
        <v>39</v>
      </c>
      <c r="M3533">
        <v>100</v>
      </c>
      <c r="N3533" s="2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330</v>
      </c>
      <c r="U3533" s="2">
        <v>904.2</v>
      </c>
      <c r="V3533">
        <v>113</v>
      </c>
      <c r="W3533" t="s">
        <v>59</v>
      </c>
      <c r="X3533" t="str">
        <f>IF(Table2[[#This Row],[Qty available]]&gt;Table2[[#This Row],[Qty on hand]],"Check","OK")</f>
        <v>OK</v>
      </c>
    </row>
    <row r="3534" spans="1:24" x14ac:dyDescent="0.3">
      <c r="A3534" t="s">
        <v>355</v>
      </c>
      <c r="B3534" t="s">
        <v>356</v>
      </c>
      <c r="C3534" t="s">
        <v>25</v>
      </c>
      <c r="D3534" t="s">
        <v>26</v>
      </c>
      <c r="E3534" t="s">
        <v>27</v>
      </c>
      <c r="F3534" s="1" t="s">
        <v>33</v>
      </c>
      <c r="G3534" s="2">
        <v>2</v>
      </c>
      <c r="H3534">
        <v>2</v>
      </c>
      <c r="I3534">
        <v>2</v>
      </c>
      <c r="J3534">
        <v>2.74</v>
      </c>
      <c r="K3534">
        <v>43</v>
      </c>
      <c r="L3534" s="2">
        <v>38</v>
      </c>
      <c r="M3534">
        <v>142</v>
      </c>
      <c r="N3534" s="2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142</v>
      </c>
      <c r="U3534" s="2">
        <v>389.08</v>
      </c>
      <c r="V3534">
        <v>123</v>
      </c>
      <c r="W3534" t="s">
        <v>59</v>
      </c>
      <c r="X3534" t="str">
        <f>IF(Table2[[#This Row],[Qty available]]&gt;Table2[[#This Row],[Qty on hand]],"Check","OK")</f>
        <v>OK</v>
      </c>
    </row>
    <row r="3535" spans="1:24" x14ac:dyDescent="0.3">
      <c r="A3535" t="s">
        <v>355</v>
      </c>
      <c r="B3535" t="s">
        <v>356</v>
      </c>
      <c r="C3535" t="s">
        <v>25</v>
      </c>
      <c r="D3535" t="s">
        <v>26</v>
      </c>
      <c r="E3535" t="s">
        <v>27</v>
      </c>
      <c r="F3535" s="1" t="s">
        <v>34</v>
      </c>
      <c r="G3535" s="2">
        <v>1.95</v>
      </c>
      <c r="H3535">
        <v>1.95</v>
      </c>
      <c r="I3535">
        <v>1.95</v>
      </c>
      <c r="J3535">
        <v>2.88</v>
      </c>
      <c r="K3535">
        <v>43</v>
      </c>
      <c r="L3535" s="2">
        <v>38</v>
      </c>
      <c r="M3535">
        <v>432</v>
      </c>
      <c r="N3535" s="2">
        <v>185</v>
      </c>
      <c r="O3535">
        <v>360.75</v>
      </c>
      <c r="P3535">
        <v>50</v>
      </c>
      <c r="Q3535">
        <v>135</v>
      </c>
      <c r="R3535">
        <v>3.31</v>
      </c>
      <c r="S3535">
        <v>0</v>
      </c>
      <c r="T3535">
        <v>247</v>
      </c>
      <c r="U3535" s="2">
        <v>711.36</v>
      </c>
      <c r="V3535">
        <v>0</v>
      </c>
      <c r="W3535" t="s">
        <v>29</v>
      </c>
      <c r="X3535" t="str">
        <f>IF(Table2[[#This Row],[Qty available]]&gt;Table2[[#This Row],[Qty on hand]],"Check","OK")</f>
        <v>OK</v>
      </c>
    </row>
    <row r="3536" spans="1:24" x14ac:dyDescent="0.3">
      <c r="A3536" t="s">
        <v>355</v>
      </c>
      <c r="B3536" t="s">
        <v>356</v>
      </c>
      <c r="C3536" t="s">
        <v>25</v>
      </c>
      <c r="D3536" t="s">
        <v>26</v>
      </c>
      <c r="E3536" t="s">
        <v>27</v>
      </c>
      <c r="F3536" s="1" t="s">
        <v>35</v>
      </c>
      <c r="G3536" s="2">
        <v>1.96</v>
      </c>
      <c r="H3536">
        <v>1.96</v>
      </c>
      <c r="I3536">
        <v>1.95</v>
      </c>
      <c r="J3536">
        <v>2.88</v>
      </c>
      <c r="K3536">
        <v>43</v>
      </c>
      <c r="M3536">
        <v>0</v>
      </c>
      <c r="N3536" s="2">
        <v>0</v>
      </c>
      <c r="O3536">
        <v>0</v>
      </c>
      <c r="P3536">
        <v>0</v>
      </c>
      <c r="Q3536">
        <v>0</v>
      </c>
      <c r="R3536">
        <v>0</v>
      </c>
      <c r="S3536">
        <v>6</v>
      </c>
      <c r="T3536">
        <v>185</v>
      </c>
      <c r="U3536" s="2">
        <v>532.79999999999995</v>
      </c>
      <c r="V3536">
        <v>98</v>
      </c>
      <c r="W3536" t="s">
        <v>59</v>
      </c>
      <c r="X3536" t="str">
        <f>IF(Table2[[#This Row],[Qty available]]&gt;Table2[[#This Row],[Qty on hand]],"Check","OK")</f>
        <v>OK</v>
      </c>
    </row>
    <row r="3537" spans="1:24" x14ac:dyDescent="0.3">
      <c r="A3537" t="s">
        <v>355</v>
      </c>
      <c r="B3537" t="s">
        <v>356</v>
      </c>
      <c r="C3537" t="s">
        <v>25</v>
      </c>
      <c r="D3537" t="s">
        <v>26</v>
      </c>
      <c r="E3537" t="s">
        <v>27</v>
      </c>
      <c r="F3537" s="1" t="s">
        <v>36</v>
      </c>
      <c r="G3537" s="2">
        <v>2.08</v>
      </c>
      <c r="H3537">
        <v>2.08</v>
      </c>
      <c r="I3537">
        <v>2.08</v>
      </c>
      <c r="J3537">
        <v>2.88</v>
      </c>
      <c r="K3537">
        <v>43</v>
      </c>
      <c r="L3537" s="2">
        <v>42</v>
      </c>
      <c r="M3537">
        <v>397</v>
      </c>
      <c r="N3537" s="2">
        <v>282</v>
      </c>
      <c r="O3537">
        <v>586.55999999999995</v>
      </c>
      <c r="P3537">
        <v>100</v>
      </c>
      <c r="Q3537">
        <v>182</v>
      </c>
      <c r="R3537">
        <v>6.55</v>
      </c>
      <c r="S3537">
        <v>0</v>
      </c>
      <c r="T3537">
        <v>115</v>
      </c>
      <c r="U3537" s="2">
        <v>331.2</v>
      </c>
      <c r="V3537">
        <v>0</v>
      </c>
      <c r="W3537" t="s">
        <v>29</v>
      </c>
      <c r="X3537" t="str">
        <f>IF(Table2[[#This Row],[Qty available]]&gt;Table2[[#This Row],[Qty on hand]],"Check","OK")</f>
        <v>OK</v>
      </c>
    </row>
    <row r="3538" spans="1:24" x14ac:dyDescent="0.3">
      <c r="A3538" t="s">
        <v>355</v>
      </c>
      <c r="B3538" t="s">
        <v>356</v>
      </c>
      <c r="C3538" t="s">
        <v>25</v>
      </c>
      <c r="D3538" t="s">
        <v>26</v>
      </c>
      <c r="E3538" t="s">
        <v>27</v>
      </c>
      <c r="F3538" s="1" t="s">
        <v>37</v>
      </c>
      <c r="G3538" s="2">
        <v>2.0699999999999998</v>
      </c>
      <c r="H3538">
        <v>2.0699999999999998</v>
      </c>
      <c r="I3538">
        <v>2.08</v>
      </c>
      <c r="J3538">
        <v>2.88</v>
      </c>
      <c r="K3538">
        <v>43</v>
      </c>
      <c r="M3538">
        <v>0</v>
      </c>
      <c r="N3538" s="2">
        <v>0</v>
      </c>
      <c r="O3538">
        <v>0</v>
      </c>
      <c r="P3538">
        <v>0</v>
      </c>
      <c r="Q3538">
        <v>0</v>
      </c>
      <c r="R3538">
        <v>0</v>
      </c>
      <c r="S3538">
        <v>4</v>
      </c>
      <c r="T3538">
        <v>282</v>
      </c>
      <c r="U3538" s="2">
        <v>812.16</v>
      </c>
      <c r="V3538">
        <v>14</v>
      </c>
      <c r="W3538" t="s">
        <v>59</v>
      </c>
      <c r="X3538" t="str">
        <f>IF(Table2[[#This Row],[Qty available]]&gt;Table2[[#This Row],[Qty on hand]],"Check","OK")</f>
        <v>OK</v>
      </c>
    </row>
    <row r="3539" spans="1:24" x14ac:dyDescent="0.3">
      <c r="A3539" t="s">
        <v>355</v>
      </c>
      <c r="B3539" t="s">
        <v>356</v>
      </c>
      <c r="C3539" t="s">
        <v>25</v>
      </c>
      <c r="D3539" t="s">
        <v>26</v>
      </c>
      <c r="E3539" t="s">
        <v>27</v>
      </c>
      <c r="F3539" s="1" t="s">
        <v>38</v>
      </c>
      <c r="G3539" s="2">
        <v>2.04</v>
      </c>
      <c r="H3539">
        <v>2.04</v>
      </c>
      <c r="I3539">
        <v>2.04</v>
      </c>
      <c r="J3539">
        <v>2.88</v>
      </c>
      <c r="K3539">
        <v>43</v>
      </c>
      <c r="L3539" s="2">
        <v>74</v>
      </c>
      <c r="M3539">
        <v>647</v>
      </c>
      <c r="N3539" s="2">
        <v>228</v>
      </c>
      <c r="O3539">
        <v>465.12</v>
      </c>
      <c r="P3539">
        <v>90</v>
      </c>
      <c r="Q3539">
        <v>138</v>
      </c>
      <c r="R3539">
        <v>3.63</v>
      </c>
      <c r="S3539">
        <v>1</v>
      </c>
      <c r="T3539">
        <v>419</v>
      </c>
      <c r="U3539" s="2">
        <v>1206.72</v>
      </c>
      <c r="V3539">
        <v>0</v>
      </c>
      <c r="W3539" t="s">
        <v>29</v>
      </c>
      <c r="X3539" t="str">
        <f>IF(Table2[[#This Row],[Qty available]]&gt;Table2[[#This Row],[Qty on hand]],"Check","OK")</f>
        <v>OK</v>
      </c>
    </row>
    <row r="3540" spans="1:24" x14ac:dyDescent="0.3">
      <c r="A3540" t="s">
        <v>355</v>
      </c>
      <c r="B3540" t="s">
        <v>356</v>
      </c>
      <c r="C3540" t="s">
        <v>25</v>
      </c>
      <c r="D3540" t="s">
        <v>26</v>
      </c>
      <c r="E3540" t="s">
        <v>27</v>
      </c>
      <c r="F3540" s="1" t="s">
        <v>39</v>
      </c>
      <c r="G3540" s="2">
        <v>2.06</v>
      </c>
      <c r="H3540">
        <v>2.06</v>
      </c>
      <c r="I3540">
        <v>2.0551819999999998</v>
      </c>
      <c r="J3540">
        <v>2.88</v>
      </c>
      <c r="K3540">
        <v>43</v>
      </c>
      <c r="L3540" s="2">
        <v>42</v>
      </c>
      <c r="M3540">
        <v>719</v>
      </c>
      <c r="N3540" s="2">
        <v>741</v>
      </c>
      <c r="O3540">
        <v>1522.89</v>
      </c>
      <c r="P3540">
        <v>40</v>
      </c>
      <c r="Q3540">
        <v>701</v>
      </c>
      <c r="R3540">
        <v>10.74</v>
      </c>
      <c r="S3540">
        <v>1</v>
      </c>
      <c r="T3540">
        <v>206</v>
      </c>
      <c r="U3540" s="2">
        <v>593.28</v>
      </c>
      <c r="V3540">
        <v>0</v>
      </c>
      <c r="W3540" t="s">
        <v>29</v>
      </c>
      <c r="X3540" t="str">
        <f>IF(Table2[[#This Row],[Qty available]]&gt;Table2[[#This Row],[Qty on hand]],"Check","OK")</f>
        <v>OK</v>
      </c>
    </row>
    <row r="3541" spans="1:24" x14ac:dyDescent="0.3">
      <c r="A3541" t="s">
        <v>355</v>
      </c>
      <c r="B3541" t="s">
        <v>356</v>
      </c>
      <c r="C3541" t="s">
        <v>25</v>
      </c>
      <c r="D3541" t="s">
        <v>26</v>
      </c>
      <c r="E3541" t="s">
        <v>27</v>
      </c>
      <c r="F3541" s="1" t="s">
        <v>40</v>
      </c>
      <c r="G3541" s="2">
        <v>2.02</v>
      </c>
      <c r="H3541">
        <v>2.02</v>
      </c>
      <c r="I3541">
        <v>2.05518</v>
      </c>
      <c r="J3541">
        <v>2.88</v>
      </c>
      <c r="K3541">
        <v>43</v>
      </c>
      <c r="M3541">
        <v>0</v>
      </c>
      <c r="N3541" s="2">
        <v>417</v>
      </c>
      <c r="O3541">
        <v>857.01</v>
      </c>
      <c r="P3541">
        <v>90</v>
      </c>
      <c r="Q3541">
        <v>327</v>
      </c>
      <c r="R3541">
        <v>5.78</v>
      </c>
      <c r="S3541">
        <v>0</v>
      </c>
      <c r="T3541">
        <v>324</v>
      </c>
      <c r="U3541" s="2">
        <v>933.12</v>
      </c>
      <c r="V3541">
        <v>0</v>
      </c>
      <c r="W3541" t="s">
        <v>29</v>
      </c>
      <c r="X3541" t="str">
        <f>IF(Table2[[#This Row],[Qty available]]&gt;Table2[[#This Row],[Qty on hand]],"Check","OK")</f>
        <v>OK</v>
      </c>
    </row>
    <row r="3542" spans="1:24" x14ac:dyDescent="0.3">
      <c r="A3542" t="s">
        <v>355</v>
      </c>
      <c r="B3542" t="s">
        <v>356</v>
      </c>
      <c r="C3542" t="s">
        <v>25</v>
      </c>
      <c r="D3542" t="s">
        <v>26</v>
      </c>
      <c r="E3542" t="s">
        <v>27</v>
      </c>
      <c r="F3542" s="1" t="s">
        <v>41</v>
      </c>
      <c r="G3542" s="2">
        <v>2.02</v>
      </c>
      <c r="H3542">
        <v>2.02</v>
      </c>
      <c r="I3542">
        <v>2.0551940000000002</v>
      </c>
      <c r="J3542">
        <v>2.88</v>
      </c>
      <c r="K3542">
        <v>43</v>
      </c>
      <c r="M3542">
        <v>0</v>
      </c>
      <c r="N3542" s="2">
        <v>310</v>
      </c>
      <c r="O3542">
        <v>637.11</v>
      </c>
      <c r="P3542">
        <v>40</v>
      </c>
      <c r="Q3542">
        <v>270</v>
      </c>
      <c r="R3542">
        <v>6.4</v>
      </c>
      <c r="S3542">
        <v>2</v>
      </c>
      <c r="T3542">
        <v>107</v>
      </c>
      <c r="U3542" s="2">
        <v>308.16000000000003</v>
      </c>
      <c r="V3542">
        <v>0</v>
      </c>
      <c r="W3542" t="s">
        <v>29</v>
      </c>
      <c r="X3542" t="str">
        <f>IF(Table2[[#This Row],[Qty available]]&gt;Table2[[#This Row],[Qty on hand]],"Check","OK")</f>
        <v>OK</v>
      </c>
    </row>
    <row r="3543" spans="1:24" x14ac:dyDescent="0.3">
      <c r="A3543" t="s">
        <v>355</v>
      </c>
      <c r="B3543" t="s">
        <v>356</v>
      </c>
      <c r="C3543" t="s">
        <v>25</v>
      </c>
      <c r="D3543" t="s">
        <v>26</v>
      </c>
      <c r="E3543" t="s">
        <v>27</v>
      </c>
      <c r="F3543" s="1" t="s">
        <v>42</v>
      </c>
      <c r="G3543" s="2">
        <v>2.09</v>
      </c>
      <c r="H3543">
        <v>2.09</v>
      </c>
      <c r="I3543">
        <v>2.072273</v>
      </c>
      <c r="J3543">
        <v>2.88</v>
      </c>
      <c r="K3543">
        <v>43</v>
      </c>
      <c r="L3543" s="2">
        <v>57</v>
      </c>
      <c r="M3543">
        <v>297</v>
      </c>
      <c r="N3543" s="2">
        <v>88</v>
      </c>
      <c r="O3543">
        <v>182.36</v>
      </c>
      <c r="P3543">
        <v>20</v>
      </c>
      <c r="Q3543">
        <v>68</v>
      </c>
      <c r="R3543">
        <v>1.22</v>
      </c>
      <c r="S3543">
        <v>1</v>
      </c>
      <c r="T3543">
        <v>519</v>
      </c>
      <c r="U3543" s="2">
        <v>1494.72</v>
      </c>
      <c r="V3543">
        <v>0</v>
      </c>
      <c r="W3543" t="s">
        <v>29</v>
      </c>
      <c r="X3543" t="str">
        <f>IF(Table2[[#This Row],[Qty available]]&gt;Table2[[#This Row],[Qty on hand]],"Check","OK")</f>
        <v>OK</v>
      </c>
    </row>
    <row r="3544" spans="1:24" x14ac:dyDescent="0.3">
      <c r="A3544" t="s">
        <v>355</v>
      </c>
      <c r="B3544" t="s">
        <v>356</v>
      </c>
      <c r="C3544" t="s">
        <v>25</v>
      </c>
      <c r="D3544" t="s">
        <v>26</v>
      </c>
      <c r="E3544" t="s">
        <v>27</v>
      </c>
      <c r="F3544" s="1" t="s">
        <v>43</v>
      </c>
      <c r="G3544" s="2">
        <v>2.08</v>
      </c>
      <c r="H3544">
        <v>2.08</v>
      </c>
      <c r="I3544">
        <v>2.0788890000000002</v>
      </c>
      <c r="J3544">
        <v>2.88</v>
      </c>
      <c r="K3544">
        <v>43</v>
      </c>
      <c r="L3544" s="2">
        <v>38</v>
      </c>
      <c r="M3544">
        <v>532</v>
      </c>
      <c r="N3544" s="2">
        <v>279</v>
      </c>
      <c r="O3544">
        <v>580.01</v>
      </c>
      <c r="P3544">
        <v>70</v>
      </c>
      <c r="Q3544">
        <v>209</v>
      </c>
      <c r="R3544">
        <v>3.75</v>
      </c>
      <c r="S3544">
        <v>0</v>
      </c>
      <c r="T3544">
        <v>341</v>
      </c>
      <c r="U3544" s="2">
        <v>982.08</v>
      </c>
      <c r="V3544">
        <v>0</v>
      </c>
      <c r="W3544" t="s">
        <v>29</v>
      </c>
      <c r="X3544" t="str">
        <f>IF(Table2[[#This Row],[Qty available]]&gt;Table2[[#This Row],[Qty on hand]],"Check","OK")</f>
        <v>OK</v>
      </c>
    </row>
    <row r="3545" spans="1:24" x14ac:dyDescent="0.3">
      <c r="A3545" t="s">
        <v>355</v>
      </c>
      <c r="B3545" t="s">
        <v>356</v>
      </c>
      <c r="C3545" t="s">
        <v>25</v>
      </c>
      <c r="D3545" t="s">
        <v>26</v>
      </c>
      <c r="E3545" t="s">
        <v>27</v>
      </c>
      <c r="F3545" s="1" t="s">
        <v>44</v>
      </c>
      <c r="G3545" s="2">
        <v>2.0499999999999998</v>
      </c>
      <c r="H3545">
        <v>2.0499999999999998</v>
      </c>
      <c r="I3545">
        <v>2.0622180000000001</v>
      </c>
      <c r="J3545">
        <v>2.88</v>
      </c>
      <c r="K3545">
        <v>43</v>
      </c>
      <c r="L3545" s="2">
        <v>55</v>
      </c>
      <c r="M3545">
        <v>381</v>
      </c>
      <c r="N3545" s="2">
        <v>532</v>
      </c>
      <c r="O3545">
        <v>1097.0999999999999</v>
      </c>
      <c r="P3545">
        <v>90</v>
      </c>
      <c r="Q3545">
        <v>442</v>
      </c>
      <c r="R3545">
        <v>7.08</v>
      </c>
      <c r="S3545">
        <v>0</v>
      </c>
      <c r="T3545">
        <v>128</v>
      </c>
      <c r="U3545" s="2">
        <v>368.64</v>
      </c>
      <c r="V3545">
        <v>0</v>
      </c>
      <c r="W3545" t="s">
        <v>29</v>
      </c>
      <c r="X3545" t="str">
        <f>IF(Table2[[#This Row],[Qty available]]&gt;Table2[[#This Row],[Qty on hand]],"Check","OK")</f>
        <v>OK</v>
      </c>
    </row>
    <row r="3546" spans="1:24" x14ac:dyDescent="0.3">
      <c r="A3546" t="s">
        <v>355</v>
      </c>
      <c r="B3546" t="s">
        <v>356</v>
      </c>
      <c r="C3546" t="s">
        <v>25</v>
      </c>
      <c r="D3546" t="s">
        <v>26</v>
      </c>
      <c r="E3546" t="s">
        <v>27</v>
      </c>
      <c r="F3546" s="1" t="s">
        <v>45</v>
      </c>
      <c r="G3546" s="2">
        <v>2.0099999999999998</v>
      </c>
      <c r="H3546">
        <v>2.0099999999999998</v>
      </c>
      <c r="I3546">
        <v>2.0622180000000001</v>
      </c>
      <c r="J3546">
        <v>2.88</v>
      </c>
      <c r="K3546">
        <v>43</v>
      </c>
      <c r="M3546">
        <v>0</v>
      </c>
      <c r="N3546" s="2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532</v>
      </c>
      <c r="U3546" s="2">
        <v>1532.16</v>
      </c>
      <c r="V3546">
        <v>56</v>
      </c>
      <c r="W3546" t="s">
        <v>59</v>
      </c>
      <c r="X3546" t="str">
        <f>IF(Table2[[#This Row],[Qty available]]&gt;Table2[[#This Row],[Qty on hand]],"Check","OK")</f>
        <v>OK</v>
      </c>
    </row>
    <row r="3547" spans="1:24" x14ac:dyDescent="0.3">
      <c r="A3547" t="s">
        <v>355</v>
      </c>
      <c r="B3547" t="s">
        <v>356</v>
      </c>
      <c r="C3547" t="s">
        <v>25</v>
      </c>
      <c r="D3547" t="s">
        <v>26</v>
      </c>
      <c r="E3547" t="s">
        <v>27</v>
      </c>
      <c r="F3547" s="1" t="s">
        <v>46</v>
      </c>
      <c r="G3547" s="2">
        <v>2.04</v>
      </c>
      <c r="H3547">
        <v>2.04</v>
      </c>
      <c r="I3547">
        <v>2.04</v>
      </c>
      <c r="J3547">
        <v>3.02</v>
      </c>
      <c r="K3547">
        <v>43</v>
      </c>
      <c r="L3547" s="2">
        <v>77</v>
      </c>
      <c r="M3547">
        <v>616</v>
      </c>
      <c r="N3547" s="2">
        <v>286</v>
      </c>
      <c r="O3547">
        <v>583.44000000000005</v>
      </c>
      <c r="P3547">
        <v>100</v>
      </c>
      <c r="Q3547">
        <v>186</v>
      </c>
      <c r="R3547">
        <v>3.71</v>
      </c>
      <c r="S3547">
        <v>0</v>
      </c>
      <c r="T3547">
        <v>330</v>
      </c>
      <c r="U3547" s="2">
        <v>996.6</v>
      </c>
      <c r="V3547">
        <v>0</v>
      </c>
      <c r="W3547" t="s">
        <v>29</v>
      </c>
      <c r="X3547" t="str">
        <f>IF(Table2[[#This Row],[Qty available]]&gt;Table2[[#This Row],[Qty on hand]],"Check","OK")</f>
        <v>OK</v>
      </c>
    </row>
    <row r="3548" spans="1:24" x14ac:dyDescent="0.3">
      <c r="A3548" t="s">
        <v>355</v>
      </c>
      <c r="B3548" t="s">
        <v>356</v>
      </c>
      <c r="C3548" t="s">
        <v>25</v>
      </c>
      <c r="D3548" t="s">
        <v>26</v>
      </c>
      <c r="E3548" t="s">
        <v>27</v>
      </c>
      <c r="F3548" s="1" t="s">
        <v>47</v>
      </c>
      <c r="G3548" s="2">
        <v>2.0699999999999998</v>
      </c>
      <c r="H3548">
        <v>2.0699999999999998</v>
      </c>
      <c r="I3548">
        <v>2.056333</v>
      </c>
      <c r="J3548">
        <v>3.02</v>
      </c>
      <c r="K3548">
        <v>43</v>
      </c>
      <c r="L3548" s="2">
        <v>42</v>
      </c>
      <c r="M3548">
        <v>339</v>
      </c>
      <c r="N3548" s="2">
        <v>30</v>
      </c>
      <c r="O3548">
        <v>61.69</v>
      </c>
      <c r="P3548">
        <v>30</v>
      </c>
      <c r="Q3548">
        <v>0</v>
      </c>
      <c r="R3548">
        <v>0.26</v>
      </c>
      <c r="S3548">
        <v>0</v>
      </c>
      <c r="T3548">
        <v>595</v>
      </c>
      <c r="U3548" s="2">
        <v>1796.9</v>
      </c>
      <c r="V3548">
        <v>0</v>
      </c>
      <c r="W3548" t="s">
        <v>29</v>
      </c>
      <c r="X3548" t="str">
        <f>IF(Table2[[#This Row],[Qty available]]&gt;Table2[[#This Row],[Qty on hand]],"Check","OK")</f>
        <v>OK</v>
      </c>
    </row>
    <row r="3549" spans="1:24" x14ac:dyDescent="0.3">
      <c r="A3549" t="s">
        <v>355</v>
      </c>
      <c r="B3549" t="s">
        <v>356</v>
      </c>
      <c r="C3549" t="s">
        <v>25</v>
      </c>
      <c r="D3549" t="s">
        <v>26</v>
      </c>
      <c r="E3549" t="s">
        <v>27</v>
      </c>
      <c r="F3549" s="1" t="s">
        <v>48</v>
      </c>
      <c r="G3549" s="2">
        <v>2.1</v>
      </c>
      <c r="H3549">
        <v>2.1</v>
      </c>
      <c r="I3549">
        <v>2.0952009999999999</v>
      </c>
      <c r="J3549">
        <v>3.02</v>
      </c>
      <c r="K3549">
        <v>43</v>
      </c>
      <c r="L3549" s="2">
        <v>38</v>
      </c>
      <c r="M3549">
        <v>243</v>
      </c>
      <c r="N3549" s="2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273</v>
      </c>
      <c r="U3549" s="2">
        <v>824.46</v>
      </c>
      <c r="V3549">
        <v>203</v>
      </c>
      <c r="W3549" t="s">
        <v>59</v>
      </c>
      <c r="X3549" t="str">
        <f>IF(Table2[[#This Row],[Qty available]]&gt;Table2[[#This Row],[Qty on hand]],"Check","OK")</f>
        <v>OK</v>
      </c>
    </row>
    <row r="3550" spans="1:24" x14ac:dyDescent="0.3">
      <c r="A3550" t="s">
        <v>355</v>
      </c>
      <c r="B3550" t="s">
        <v>356</v>
      </c>
      <c r="C3550" t="s">
        <v>25</v>
      </c>
      <c r="D3550" t="s">
        <v>26</v>
      </c>
      <c r="E3550" t="s">
        <v>27</v>
      </c>
      <c r="F3550" s="1" t="s">
        <v>49</v>
      </c>
      <c r="G3550" s="2">
        <v>2.09</v>
      </c>
      <c r="H3550">
        <v>2.09</v>
      </c>
      <c r="I3550">
        <v>2.09</v>
      </c>
      <c r="J3550">
        <v>3.02</v>
      </c>
      <c r="K3550">
        <v>43</v>
      </c>
      <c r="L3550" s="2">
        <v>38</v>
      </c>
      <c r="M3550">
        <v>767</v>
      </c>
      <c r="N3550" s="2">
        <v>318</v>
      </c>
      <c r="O3550">
        <v>664.62</v>
      </c>
      <c r="P3550">
        <v>100</v>
      </c>
      <c r="Q3550">
        <v>218</v>
      </c>
      <c r="R3550">
        <v>3.17</v>
      </c>
      <c r="S3550">
        <v>0</v>
      </c>
      <c r="T3550">
        <v>449</v>
      </c>
      <c r="U3550" s="2">
        <v>1355.98</v>
      </c>
      <c r="V3550">
        <v>0</v>
      </c>
      <c r="W3550" t="s">
        <v>29</v>
      </c>
      <c r="X3550" t="str">
        <f>IF(Table2[[#This Row],[Qty available]]&gt;Table2[[#This Row],[Qty on hand]],"Check","OK")</f>
        <v>OK</v>
      </c>
    </row>
    <row r="3551" spans="1:24" x14ac:dyDescent="0.3">
      <c r="A3551" t="s">
        <v>355</v>
      </c>
      <c r="B3551" t="s">
        <v>356</v>
      </c>
      <c r="C3551" t="s">
        <v>25</v>
      </c>
      <c r="D3551" t="s">
        <v>26</v>
      </c>
      <c r="E3551" t="s">
        <v>27</v>
      </c>
      <c r="F3551" s="1" t="s">
        <v>50</v>
      </c>
      <c r="G3551" s="2">
        <v>2.09</v>
      </c>
      <c r="H3551">
        <v>2.09</v>
      </c>
      <c r="I3551">
        <v>2.09</v>
      </c>
      <c r="J3551">
        <v>3.02</v>
      </c>
      <c r="K3551">
        <v>43</v>
      </c>
      <c r="L3551" s="2">
        <v>37</v>
      </c>
      <c r="M3551">
        <v>100</v>
      </c>
      <c r="N3551" s="2">
        <v>126</v>
      </c>
      <c r="O3551">
        <v>263.33999999999997</v>
      </c>
      <c r="P3551">
        <v>70</v>
      </c>
      <c r="Q3551">
        <v>56</v>
      </c>
      <c r="R3551">
        <v>1.62</v>
      </c>
      <c r="S3551">
        <v>2</v>
      </c>
      <c r="T3551">
        <v>292</v>
      </c>
      <c r="U3551" s="2">
        <v>881.84</v>
      </c>
      <c r="V3551">
        <v>0</v>
      </c>
      <c r="W3551" t="s">
        <v>29</v>
      </c>
      <c r="X3551" t="str">
        <f>IF(Table2[[#This Row],[Qty available]]&gt;Table2[[#This Row],[Qty on hand]],"Check","OK")</f>
        <v>OK</v>
      </c>
    </row>
    <row r="3552" spans="1:24" x14ac:dyDescent="0.3">
      <c r="A3552" t="s">
        <v>355</v>
      </c>
      <c r="B3552" t="s">
        <v>356</v>
      </c>
      <c r="C3552" t="s">
        <v>25</v>
      </c>
      <c r="D3552" t="s">
        <v>26</v>
      </c>
      <c r="E3552" t="s">
        <v>27</v>
      </c>
      <c r="F3552" s="1" t="s">
        <v>51</v>
      </c>
      <c r="G3552" s="2">
        <v>2.11</v>
      </c>
      <c r="H3552">
        <v>2.11</v>
      </c>
      <c r="I3552">
        <v>2.106779</v>
      </c>
      <c r="J3552">
        <v>3.02</v>
      </c>
      <c r="K3552">
        <v>43</v>
      </c>
      <c r="L3552" s="2">
        <v>37</v>
      </c>
      <c r="M3552">
        <v>655</v>
      </c>
      <c r="N3552" s="2">
        <v>503</v>
      </c>
      <c r="O3552">
        <v>1059.71</v>
      </c>
      <c r="P3552">
        <v>40</v>
      </c>
      <c r="Q3552">
        <v>463</v>
      </c>
      <c r="R3552">
        <v>6.49</v>
      </c>
      <c r="S3552">
        <v>1</v>
      </c>
      <c r="T3552">
        <v>278</v>
      </c>
      <c r="U3552" s="2">
        <v>839.56</v>
      </c>
      <c r="V3552">
        <v>0</v>
      </c>
      <c r="W3552" t="s">
        <v>29</v>
      </c>
      <c r="X3552" t="str">
        <f>IF(Table2[[#This Row],[Qty available]]&gt;Table2[[#This Row],[Qty on hand]],"Check","OK")</f>
        <v>OK</v>
      </c>
    </row>
    <row r="3553" spans="1:24" x14ac:dyDescent="0.3">
      <c r="A3553" t="s">
        <v>355</v>
      </c>
      <c r="B3553" t="s">
        <v>356</v>
      </c>
      <c r="C3553" t="s">
        <v>25</v>
      </c>
      <c r="D3553" t="s">
        <v>26</v>
      </c>
      <c r="E3553" t="s">
        <v>27</v>
      </c>
      <c r="F3553" s="1" t="s">
        <v>52</v>
      </c>
      <c r="G3553" s="2">
        <v>2.11</v>
      </c>
      <c r="H3553">
        <v>2.11</v>
      </c>
      <c r="I3553">
        <v>2.1067550000000002</v>
      </c>
      <c r="J3553">
        <v>3.02</v>
      </c>
      <c r="K3553">
        <v>43</v>
      </c>
      <c r="M3553">
        <v>0</v>
      </c>
      <c r="N3553" s="2">
        <v>151</v>
      </c>
      <c r="O3553">
        <v>318.12</v>
      </c>
      <c r="P3553">
        <v>40</v>
      </c>
      <c r="Q3553">
        <v>111</v>
      </c>
      <c r="R3553">
        <v>2.15</v>
      </c>
      <c r="S3553">
        <v>0</v>
      </c>
      <c r="T3553">
        <v>352</v>
      </c>
      <c r="U3553" s="2">
        <v>1063.04</v>
      </c>
      <c r="V3553">
        <v>0</v>
      </c>
      <c r="W3553" t="s">
        <v>29</v>
      </c>
      <c r="X3553" t="str">
        <f>IF(Table2[[#This Row],[Qty available]]&gt;Table2[[#This Row],[Qty on hand]],"Check","OK")</f>
        <v>OK</v>
      </c>
    </row>
    <row r="3554" spans="1:24" x14ac:dyDescent="0.3">
      <c r="A3554" t="s">
        <v>357</v>
      </c>
      <c r="B3554" t="s">
        <v>358</v>
      </c>
      <c r="C3554" t="s">
        <v>77</v>
      </c>
      <c r="D3554" t="s">
        <v>78</v>
      </c>
      <c r="E3554" t="s">
        <v>66</v>
      </c>
      <c r="F3554" s="1" t="s">
        <v>28</v>
      </c>
      <c r="G3554" s="2">
        <v>3.74</v>
      </c>
      <c r="H3554">
        <v>3.98</v>
      </c>
      <c r="I3554">
        <v>3.9442910000000002</v>
      </c>
      <c r="J3554">
        <v>5.8</v>
      </c>
      <c r="K3554">
        <v>39</v>
      </c>
      <c r="M3554">
        <v>0</v>
      </c>
      <c r="N3554" s="2">
        <v>3232</v>
      </c>
      <c r="O3554">
        <v>12747.95</v>
      </c>
      <c r="P3554">
        <v>201</v>
      </c>
      <c r="Q3554">
        <v>3031</v>
      </c>
      <c r="R3554">
        <v>26.3</v>
      </c>
      <c r="S3554">
        <v>0</v>
      </c>
      <c r="T3554">
        <v>282</v>
      </c>
      <c r="U3554" s="2">
        <v>1635.6</v>
      </c>
      <c r="V3554">
        <v>0</v>
      </c>
      <c r="W3554" t="s">
        <v>29</v>
      </c>
      <c r="X3554" t="str">
        <f>IF(Table2[[#This Row],[Qty available]]&gt;Table2[[#This Row],[Qty on hand]],"Check","OK")</f>
        <v>OK</v>
      </c>
    </row>
    <row r="3555" spans="1:24" x14ac:dyDescent="0.3">
      <c r="A3555" t="s">
        <v>357</v>
      </c>
      <c r="B3555" t="s">
        <v>358</v>
      </c>
      <c r="C3555" t="s">
        <v>77</v>
      </c>
      <c r="D3555" t="s">
        <v>78</v>
      </c>
      <c r="E3555" t="s">
        <v>66</v>
      </c>
      <c r="F3555" s="1" t="s">
        <v>30</v>
      </c>
      <c r="G3555" s="2">
        <v>3.78</v>
      </c>
      <c r="H3555">
        <v>4.0199999999999996</v>
      </c>
      <c r="I3555">
        <v>3.9589180000000002</v>
      </c>
      <c r="J3555">
        <v>5.8</v>
      </c>
      <c r="K3555">
        <v>39</v>
      </c>
      <c r="L3555" s="2">
        <v>36</v>
      </c>
      <c r="M3555">
        <v>774</v>
      </c>
      <c r="N3555" s="2">
        <v>3042</v>
      </c>
      <c r="O3555">
        <v>12043.03</v>
      </c>
      <c r="P3555">
        <v>251</v>
      </c>
      <c r="Q3555">
        <v>2791</v>
      </c>
      <c r="R3555">
        <v>19.989999999999998</v>
      </c>
      <c r="S3555">
        <v>1</v>
      </c>
      <c r="T3555">
        <v>964</v>
      </c>
      <c r="U3555" s="2">
        <v>5591.2</v>
      </c>
      <c r="V3555">
        <v>0</v>
      </c>
      <c r="W3555" t="s">
        <v>29</v>
      </c>
      <c r="X3555" t="str">
        <f>IF(Table2[[#This Row],[Qty available]]&gt;Table2[[#This Row],[Qty on hand]],"Check","OK")</f>
        <v>OK</v>
      </c>
    </row>
    <row r="3556" spans="1:24" x14ac:dyDescent="0.3">
      <c r="A3556" t="s">
        <v>357</v>
      </c>
      <c r="B3556" t="s">
        <v>358</v>
      </c>
      <c r="C3556" t="s">
        <v>77</v>
      </c>
      <c r="D3556" t="s">
        <v>78</v>
      </c>
      <c r="E3556" t="s">
        <v>66</v>
      </c>
      <c r="F3556" s="1" t="s">
        <v>31</v>
      </c>
      <c r="G3556" s="2">
        <v>3.73</v>
      </c>
      <c r="H3556">
        <v>3.97</v>
      </c>
      <c r="I3556">
        <v>3.95892</v>
      </c>
      <c r="J3556">
        <v>5.8</v>
      </c>
      <c r="K3556">
        <v>39</v>
      </c>
      <c r="M3556">
        <v>0</v>
      </c>
      <c r="N3556" s="2">
        <v>2647</v>
      </c>
      <c r="O3556">
        <v>10479.26</v>
      </c>
      <c r="P3556">
        <v>100</v>
      </c>
      <c r="Q3556">
        <v>2547</v>
      </c>
      <c r="R3556">
        <v>20.97</v>
      </c>
      <c r="S3556">
        <v>3</v>
      </c>
      <c r="T3556">
        <v>395</v>
      </c>
      <c r="U3556" s="2">
        <v>2291</v>
      </c>
      <c r="V3556">
        <v>0</v>
      </c>
      <c r="W3556" t="s">
        <v>29</v>
      </c>
      <c r="X3556" t="str">
        <f>IF(Table2[[#This Row],[Qty available]]&gt;Table2[[#This Row],[Qty on hand]],"Check","OK")</f>
        <v>OK</v>
      </c>
    </row>
    <row r="3557" spans="1:24" x14ac:dyDescent="0.3">
      <c r="A3557" t="s">
        <v>357</v>
      </c>
      <c r="B3557" t="s">
        <v>358</v>
      </c>
      <c r="C3557" t="s">
        <v>77</v>
      </c>
      <c r="D3557" t="s">
        <v>78</v>
      </c>
      <c r="E3557" t="s">
        <v>66</v>
      </c>
      <c r="F3557" s="1" t="s">
        <v>32</v>
      </c>
      <c r="G3557" s="2">
        <v>3.77</v>
      </c>
      <c r="H3557">
        <v>4.01</v>
      </c>
      <c r="I3557">
        <v>3.9685139999999999</v>
      </c>
      <c r="J3557">
        <v>5.8</v>
      </c>
      <c r="K3557">
        <v>39</v>
      </c>
      <c r="L3557" s="2">
        <v>62</v>
      </c>
      <c r="M3557">
        <v>612</v>
      </c>
      <c r="N3557" s="2">
        <v>2335</v>
      </c>
      <c r="O3557">
        <v>9266.48</v>
      </c>
      <c r="P3557">
        <v>126</v>
      </c>
      <c r="Q3557">
        <v>2209</v>
      </c>
      <c r="R3557">
        <v>13.44</v>
      </c>
      <c r="S3557">
        <v>0</v>
      </c>
      <c r="T3557">
        <v>924</v>
      </c>
      <c r="U3557" s="2">
        <v>5359.2</v>
      </c>
      <c r="V3557">
        <v>0</v>
      </c>
      <c r="W3557" t="s">
        <v>29</v>
      </c>
      <c r="X3557" t="str">
        <f>IF(Table2[[#This Row],[Qty available]]&gt;Table2[[#This Row],[Qty on hand]],"Check","OK")</f>
        <v>OK</v>
      </c>
    </row>
    <row r="3558" spans="1:24" x14ac:dyDescent="0.3">
      <c r="A3558" t="s">
        <v>357</v>
      </c>
      <c r="B3558" t="s">
        <v>358</v>
      </c>
      <c r="C3558" t="s">
        <v>77</v>
      </c>
      <c r="D3558" t="s">
        <v>78</v>
      </c>
      <c r="E3558" t="s">
        <v>66</v>
      </c>
      <c r="F3558" s="1" t="s">
        <v>33</v>
      </c>
      <c r="G3558" s="2">
        <v>3.76</v>
      </c>
      <c r="H3558">
        <v>4</v>
      </c>
      <c r="I3558">
        <v>3.977061</v>
      </c>
      <c r="J3558">
        <v>5.8</v>
      </c>
      <c r="K3558">
        <v>39</v>
      </c>
      <c r="L3558" s="2">
        <v>47</v>
      </c>
      <c r="M3558">
        <v>870</v>
      </c>
      <c r="N3558" s="2">
        <v>1977</v>
      </c>
      <c r="O3558">
        <v>7862.65</v>
      </c>
      <c r="P3558">
        <v>50</v>
      </c>
      <c r="Q3558">
        <v>1927</v>
      </c>
      <c r="R3558">
        <v>10.199999999999999</v>
      </c>
      <c r="S3558">
        <v>0</v>
      </c>
      <c r="T3558">
        <v>1228</v>
      </c>
      <c r="U3558" s="2">
        <v>7122.4</v>
      </c>
      <c r="V3558">
        <v>0</v>
      </c>
      <c r="W3558" t="s">
        <v>29</v>
      </c>
      <c r="X3558" t="str">
        <f>IF(Table2[[#This Row],[Qty available]]&gt;Table2[[#This Row],[Qty on hand]],"Check","OK")</f>
        <v>OK</v>
      </c>
    </row>
    <row r="3559" spans="1:24" x14ac:dyDescent="0.3">
      <c r="A3559" t="s">
        <v>357</v>
      </c>
      <c r="B3559" t="s">
        <v>358</v>
      </c>
      <c r="C3559" t="s">
        <v>77</v>
      </c>
      <c r="D3559" t="s">
        <v>78</v>
      </c>
      <c r="E3559" t="s">
        <v>66</v>
      </c>
      <c r="F3559" s="1" t="s">
        <v>34</v>
      </c>
      <c r="G3559" s="2">
        <v>3.75</v>
      </c>
      <c r="H3559">
        <v>3.99</v>
      </c>
      <c r="I3559">
        <v>3.977058</v>
      </c>
      <c r="J3559">
        <v>5.99</v>
      </c>
      <c r="K3559">
        <v>39</v>
      </c>
      <c r="M3559">
        <v>0</v>
      </c>
      <c r="N3559" s="2">
        <v>1465</v>
      </c>
      <c r="O3559">
        <v>5826.39</v>
      </c>
      <c r="P3559">
        <v>50</v>
      </c>
      <c r="Q3559">
        <v>1415</v>
      </c>
      <c r="R3559">
        <v>7.07</v>
      </c>
      <c r="S3559">
        <v>1</v>
      </c>
      <c r="T3559">
        <v>512</v>
      </c>
      <c r="U3559" s="2">
        <v>3066.88</v>
      </c>
      <c r="V3559">
        <v>0</v>
      </c>
      <c r="W3559" t="s">
        <v>29</v>
      </c>
      <c r="X3559" t="str">
        <f>IF(Table2[[#This Row],[Qty available]]&gt;Table2[[#This Row],[Qty on hand]],"Check","OK")</f>
        <v>OK</v>
      </c>
    </row>
    <row r="3560" spans="1:24" x14ac:dyDescent="0.3">
      <c r="A3560" t="s">
        <v>357</v>
      </c>
      <c r="B3560" t="s">
        <v>358</v>
      </c>
      <c r="C3560" t="s">
        <v>77</v>
      </c>
      <c r="D3560" t="s">
        <v>78</v>
      </c>
      <c r="E3560" t="s">
        <v>66</v>
      </c>
      <c r="F3560" s="1" t="s">
        <v>35</v>
      </c>
      <c r="G3560" s="2">
        <v>4.01</v>
      </c>
      <c r="H3560">
        <v>4.2699999999999996</v>
      </c>
      <c r="I3560">
        <v>3.977058</v>
      </c>
      <c r="J3560">
        <v>5.99</v>
      </c>
      <c r="K3560">
        <v>39</v>
      </c>
      <c r="M3560">
        <v>0</v>
      </c>
      <c r="N3560" s="2">
        <v>554</v>
      </c>
      <c r="O3560">
        <v>2203.29</v>
      </c>
      <c r="P3560">
        <v>75</v>
      </c>
      <c r="Q3560">
        <v>479</v>
      </c>
      <c r="R3560">
        <v>2.69</v>
      </c>
      <c r="S3560">
        <v>1</v>
      </c>
      <c r="T3560">
        <v>911</v>
      </c>
      <c r="U3560" s="2">
        <v>5456.89</v>
      </c>
      <c r="V3560">
        <v>0</v>
      </c>
      <c r="W3560" t="s">
        <v>29</v>
      </c>
      <c r="X3560" t="str">
        <f>IF(Table2[[#This Row],[Qty available]]&gt;Table2[[#This Row],[Qty on hand]],"Check","OK")</f>
        <v>OK</v>
      </c>
    </row>
    <row r="3561" spans="1:24" x14ac:dyDescent="0.3">
      <c r="A3561" t="s">
        <v>357</v>
      </c>
      <c r="B3561" t="s">
        <v>358</v>
      </c>
      <c r="C3561" t="s">
        <v>77</v>
      </c>
      <c r="D3561" t="s">
        <v>78</v>
      </c>
      <c r="E3561" t="s">
        <v>66</v>
      </c>
      <c r="F3561" s="1" t="s">
        <v>36</v>
      </c>
      <c r="G3561" s="2">
        <v>3.9</v>
      </c>
      <c r="H3561">
        <v>4.1500000000000004</v>
      </c>
      <c r="I3561">
        <v>4.1135409999999997</v>
      </c>
      <c r="J3561">
        <v>5.99</v>
      </c>
      <c r="K3561">
        <v>39</v>
      </c>
      <c r="L3561" s="2">
        <v>70</v>
      </c>
      <c r="M3561">
        <v>2074</v>
      </c>
      <c r="N3561" s="2">
        <v>2248</v>
      </c>
      <c r="O3561">
        <v>9247.24</v>
      </c>
      <c r="P3561">
        <v>201</v>
      </c>
      <c r="Q3561">
        <v>2047</v>
      </c>
      <c r="R3561">
        <v>15.85</v>
      </c>
      <c r="S3561">
        <v>2</v>
      </c>
      <c r="T3561">
        <v>380</v>
      </c>
      <c r="U3561" s="2">
        <v>2276.1999999999998</v>
      </c>
      <c r="V3561">
        <v>0</v>
      </c>
      <c r="W3561" t="s">
        <v>29</v>
      </c>
      <c r="X3561" t="str">
        <f>IF(Table2[[#This Row],[Qty available]]&gt;Table2[[#This Row],[Qty on hand]],"Check","OK")</f>
        <v>OK</v>
      </c>
    </row>
    <row r="3562" spans="1:24" x14ac:dyDescent="0.3">
      <c r="A3562" t="s">
        <v>357</v>
      </c>
      <c r="B3562" t="s">
        <v>358</v>
      </c>
      <c r="C3562" t="s">
        <v>77</v>
      </c>
      <c r="D3562" t="s">
        <v>78</v>
      </c>
      <c r="E3562" t="s">
        <v>66</v>
      </c>
      <c r="F3562" s="1" t="s">
        <v>37</v>
      </c>
      <c r="G3562" s="2">
        <v>4.03</v>
      </c>
      <c r="H3562">
        <v>4.29</v>
      </c>
      <c r="I3562">
        <v>4.1453850000000001</v>
      </c>
      <c r="J3562">
        <v>5.99</v>
      </c>
      <c r="K3562">
        <v>39</v>
      </c>
      <c r="L3562" s="2">
        <v>38</v>
      </c>
      <c r="M3562">
        <v>495</v>
      </c>
      <c r="N3562" s="2">
        <v>2297</v>
      </c>
      <c r="O3562">
        <v>9521.9500000000007</v>
      </c>
      <c r="P3562">
        <v>126</v>
      </c>
      <c r="Q3562">
        <v>2171</v>
      </c>
      <c r="R3562">
        <v>17.38</v>
      </c>
      <c r="S3562">
        <v>0</v>
      </c>
      <c r="T3562">
        <v>446</v>
      </c>
      <c r="U3562" s="2">
        <v>2671.54</v>
      </c>
      <c r="V3562">
        <v>0</v>
      </c>
      <c r="W3562" t="s">
        <v>29</v>
      </c>
      <c r="X3562" t="str">
        <f>IF(Table2[[#This Row],[Qty available]]&gt;Table2[[#This Row],[Qty on hand]],"Check","OK")</f>
        <v>OK</v>
      </c>
    </row>
    <row r="3563" spans="1:24" x14ac:dyDescent="0.3">
      <c r="A3563" t="s">
        <v>357</v>
      </c>
      <c r="B3563" t="s">
        <v>358</v>
      </c>
      <c r="C3563" t="s">
        <v>77</v>
      </c>
      <c r="D3563" t="s">
        <v>78</v>
      </c>
      <c r="E3563" t="s">
        <v>66</v>
      </c>
      <c r="F3563" s="1" t="s">
        <v>38</v>
      </c>
      <c r="G3563" s="2">
        <v>4.01</v>
      </c>
      <c r="H3563">
        <v>4.2699999999999996</v>
      </c>
      <c r="I3563">
        <v>4.1632340000000001</v>
      </c>
      <c r="J3563">
        <v>5.99</v>
      </c>
      <c r="K3563">
        <v>39</v>
      </c>
      <c r="L3563" s="2">
        <v>35</v>
      </c>
      <c r="M3563">
        <v>384</v>
      </c>
      <c r="N3563" s="2">
        <v>1914</v>
      </c>
      <c r="O3563">
        <v>7968.43</v>
      </c>
      <c r="P3563">
        <v>100</v>
      </c>
      <c r="Q3563">
        <v>1814</v>
      </c>
      <c r="R3563">
        <v>15.62</v>
      </c>
      <c r="S3563">
        <v>0</v>
      </c>
      <c r="T3563">
        <v>767</v>
      </c>
      <c r="U3563" s="2">
        <v>4594.33</v>
      </c>
      <c r="V3563">
        <v>0</v>
      </c>
      <c r="W3563" t="s">
        <v>29</v>
      </c>
      <c r="X3563" t="str">
        <f>IF(Table2[[#This Row],[Qty available]]&gt;Table2[[#This Row],[Qty on hand]],"Check","OK")</f>
        <v>OK</v>
      </c>
    </row>
    <row r="3564" spans="1:24" x14ac:dyDescent="0.3">
      <c r="A3564" t="s">
        <v>357</v>
      </c>
      <c r="B3564" t="s">
        <v>358</v>
      </c>
      <c r="C3564" t="s">
        <v>77</v>
      </c>
      <c r="D3564" t="s">
        <v>78</v>
      </c>
      <c r="E3564" t="s">
        <v>66</v>
      </c>
      <c r="F3564" s="1" t="s">
        <v>39</v>
      </c>
      <c r="G3564" s="2">
        <v>4.0199999999999996</v>
      </c>
      <c r="H3564">
        <v>4.28</v>
      </c>
      <c r="I3564">
        <v>4.2151059999999996</v>
      </c>
      <c r="J3564">
        <v>5.99</v>
      </c>
      <c r="K3564">
        <v>39</v>
      </c>
      <c r="L3564" s="2">
        <v>34</v>
      </c>
      <c r="M3564">
        <v>1530</v>
      </c>
      <c r="N3564" s="2">
        <v>2730</v>
      </c>
      <c r="O3564">
        <v>11507.24</v>
      </c>
      <c r="P3564">
        <v>226</v>
      </c>
      <c r="Q3564">
        <v>2504</v>
      </c>
      <c r="R3564">
        <v>18.62</v>
      </c>
      <c r="S3564">
        <v>0</v>
      </c>
      <c r="T3564">
        <v>714</v>
      </c>
      <c r="U3564" s="2">
        <v>4276.8599999999997</v>
      </c>
      <c r="V3564">
        <v>0</v>
      </c>
      <c r="W3564" t="s">
        <v>29</v>
      </c>
      <c r="X3564" t="str">
        <f>IF(Table2[[#This Row],[Qty available]]&gt;Table2[[#This Row],[Qty on hand]],"Check","OK")</f>
        <v>OK</v>
      </c>
    </row>
    <row r="3565" spans="1:24" x14ac:dyDescent="0.3">
      <c r="A3565" t="s">
        <v>357</v>
      </c>
      <c r="B3565" t="s">
        <v>358</v>
      </c>
      <c r="C3565" t="s">
        <v>77</v>
      </c>
      <c r="D3565" t="s">
        <v>78</v>
      </c>
      <c r="E3565" t="s">
        <v>66</v>
      </c>
      <c r="F3565" s="1" t="s">
        <v>40</v>
      </c>
      <c r="G3565" s="2">
        <v>3.92</v>
      </c>
      <c r="H3565">
        <v>4.17</v>
      </c>
      <c r="I3565">
        <v>4.2064659999999998</v>
      </c>
      <c r="J3565">
        <v>5.99</v>
      </c>
      <c r="K3565">
        <v>39</v>
      </c>
      <c r="L3565" s="2">
        <v>35</v>
      </c>
      <c r="M3565">
        <v>647</v>
      </c>
      <c r="N3565" s="2">
        <v>2264</v>
      </c>
      <c r="O3565">
        <v>9523.44</v>
      </c>
      <c r="P3565">
        <v>201</v>
      </c>
      <c r="Q3565">
        <v>2063</v>
      </c>
      <c r="R3565">
        <v>11.47</v>
      </c>
      <c r="S3565">
        <v>2</v>
      </c>
      <c r="T3565">
        <v>1113</v>
      </c>
      <c r="U3565" s="2">
        <v>6666.87</v>
      </c>
      <c r="V3565">
        <v>0</v>
      </c>
      <c r="W3565" t="s">
        <v>29</v>
      </c>
      <c r="X3565" t="str">
        <f>IF(Table2[[#This Row],[Qty available]]&gt;Table2[[#This Row],[Qty on hand]],"Check","OK")</f>
        <v>OK</v>
      </c>
    </row>
    <row r="3566" spans="1:24" x14ac:dyDescent="0.3">
      <c r="A3566" t="s">
        <v>357</v>
      </c>
      <c r="B3566" t="s">
        <v>358</v>
      </c>
      <c r="C3566" t="s">
        <v>77</v>
      </c>
      <c r="D3566" t="s">
        <v>78</v>
      </c>
      <c r="E3566" t="s">
        <v>66</v>
      </c>
      <c r="F3566" s="1" t="s">
        <v>41</v>
      </c>
      <c r="G3566" s="2">
        <v>3.89</v>
      </c>
      <c r="H3566">
        <v>4.1399999999999997</v>
      </c>
      <c r="I3566">
        <v>4.2064680000000001</v>
      </c>
      <c r="J3566">
        <v>5.99</v>
      </c>
      <c r="K3566">
        <v>39</v>
      </c>
      <c r="M3566">
        <v>0</v>
      </c>
      <c r="N3566" s="2">
        <v>1860</v>
      </c>
      <c r="O3566">
        <v>7824.03</v>
      </c>
      <c r="P3566">
        <v>100</v>
      </c>
      <c r="Q3566">
        <v>1760</v>
      </c>
      <c r="R3566">
        <v>10.96</v>
      </c>
      <c r="S3566">
        <v>0</v>
      </c>
      <c r="T3566">
        <v>404</v>
      </c>
      <c r="U3566" s="2">
        <v>2419.96</v>
      </c>
      <c r="V3566">
        <v>0</v>
      </c>
      <c r="W3566" t="s">
        <v>29</v>
      </c>
      <c r="X3566" t="str">
        <f>IF(Table2[[#This Row],[Qty available]]&gt;Table2[[#This Row],[Qty on hand]],"Check","OK")</f>
        <v>OK</v>
      </c>
    </row>
    <row r="3567" spans="1:24" x14ac:dyDescent="0.3">
      <c r="A3567" t="s">
        <v>357</v>
      </c>
      <c r="B3567" t="s">
        <v>358</v>
      </c>
      <c r="C3567" t="s">
        <v>77</v>
      </c>
      <c r="D3567" t="s">
        <v>78</v>
      </c>
      <c r="E3567" t="s">
        <v>66</v>
      </c>
      <c r="F3567" s="1" t="s">
        <v>42</v>
      </c>
      <c r="G3567" s="2">
        <v>4.0199999999999996</v>
      </c>
      <c r="H3567">
        <v>4.28</v>
      </c>
      <c r="I3567">
        <v>4.2410800000000002</v>
      </c>
      <c r="J3567">
        <v>5.99</v>
      </c>
      <c r="K3567">
        <v>39</v>
      </c>
      <c r="L3567" s="2">
        <v>35</v>
      </c>
      <c r="M3567">
        <v>1654</v>
      </c>
      <c r="N3567" s="2">
        <v>2852</v>
      </c>
      <c r="O3567">
        <v>12095.56</v>
      </c>
      <c r="P3567">
        <v>251</v>
      </c>
      <c r="Q3567">
        <v>2601</v>
      </c>
      <c r="R3567">
        <v>17.2</v>
      </c>
      <c r="S3567">
        <v>1</v>
      </c>
      <c r="T3567">
        <v>662</v>
      </c>
      <c r="U3567" s="2">
        <v>3965.38</v>
      </c>
      <c r="V3567">
        <v>0</v>
      </c>
      <c r="W3567" t="s">
        <v>29</v>
      </c>
      <c r="X3567" t="str">
        <f>IF(Table2[[#This Row],[Qty available]]&gt;Table2[[#This Row],[Qty on hand]],"Check","OK")</f>
        <v>OK</v>
      </c>
    </row>
    <row r="3568" spans="1:24" x14ac:dyDescent="0.3">
      <c r="A3568" t="s">
        <v>357</v>
      </c>
      <c r="B3568" t="s">
        <v>358</v>
      </c>
      <c r="C3568" t="s">
        <v>77</v>
      </c>
      <c r="D3568" t="s">
        <v>78</v>
      </c>
      <c r="E3568" t="s">
        <v>66</v>
      </c>
      <c r="F3568" s="1" t="s">
        <v>43</v>
      </c>
      <c r="G3568" s="2">
        <v>3.94</v>
      </c>
      <c r="H3568">
        <v>4.1900000000000004</v>
      </c>
      <c r="I3568">
        <v>4.2410810000000003</v>
      </c>
      <c r="J3568">
        <v>5.99</v>
      </c>
      <c r="K3568">
        <v>39</v>
      </c>
      <c r="M3568">
        <v>0</v>
      </c>
      <c r="N3568" s="2">
        <v>1915</v>
      </c>
      <c r="O3568">
        <v>8121.67</v>
      </c>
      <c r="P3568">
        <v>151</v>
      </c>
      <c r="Q3568">
        <v>1764</v>
      </c>
      <c r="R3568">
        <v>12.43</v>
      </c>
      <c r="S3568">
        <v>5</v>
      </c>
      <c r="T3568">
        <v>937</v>
      </c>
      <c r="U3568" s="2">
        <v>5612.63</v>
      </c>
      <c r="V3568">
        <v>0</v>
      </c>
      <c r="W3568" t="s">
        <v>29</v>
      </c>
      <c r="X3568" t="str">
        <f>IF(Table2[[#This Row],[Qty available]]&gt;Table2[[#This Row],[Qty on hand]],"Check","OK")</f>
        <v>OK</v>
      </c>
    </row>
    <row r="3569" spans="1:24" x14ac:dyDescent="0.3">
      <c r="A3569" t="s">
        <v>357</v>
      </c>
      <c r="B3569" t="s">
        <v>358</v>
      </c>
      <c r="C3569" t="s">
        <v>77</v>
      </c>
      <c r="D3569" t="s">
        <v>78</v>
      </c>
      <c r="E3569" t="s">
        <v>66</v>
      </c>
      <c r="F3569" s="1" t="s">
        <v>44</v>
      </c>
      <c r="G3569" s="2">
        <v>4.01</v>
      </c>
      <c r="H3569">
        <v>4.2699999999999996</v>
      </c>
      <c r="I3569">
        <v>4.241079</v>
      </c>
      <c r="J3569">
        <v>5.99</v>
      </c>
      <c r="K3569">
        <v>39</v>
      </c>
      <c r="M3569">
        <v>0</v>
      </c>
      <c r="N3569" s="2">
        <v>1363</v>
      </c>
      <c r="O3569">
        <v>5780.59</v>
      </c>
      <c r="P3569">
        <v>75</v>
      </c>
      <c r="Q3569">
        <v>1288</v>
      </c>
      <c r="R3569">
        <v>8.33</v>
      </c>
      <c r="S3569">
        <v>0</v>
      </c>
      <c r="T3569">
        <v>552</v>
      </c>
      <c r="U3569" s="2">
        <v>3306.48</v>
      </c>
      <c r="V3569">
        <v>0</v>
      </c>
      <c r="W3569" t="s">
        <v>29</v>
      </c>
      <c r="X3569" t="str">
        <f>IF(Table2[[#This Row],[Qty available]]&gt;Table2[[#This Row],[Qty on hand]],"Check","OK")</f>
        <v>OK</v>
      </c>
    </row>
    <row r="3570" spans="1:24" x14ac:dyDescent="0.3">
      <c r="A3570" t="s">
        <v>357</v>
      </c>
      <c r="B3570" t="s">
        <v>358</v>
      </c>
      <c r="C3570" t="s">
        <v>77</v>
      </c>
      <c r="D3570" t="s">
        <v>78</v>
      </c>
      <c r="E3570" t="s">
        <v>66</v>
      </c>
      <c r="F3570" s="1" t="s">
        <v>45</v>
      </c>
      <c r="G3570" s="2">
        <v>4</v>
      </c>
      <c r="H3570">
        <v>4.26</v>
      </c>
      <c r="I3570">
        <v>4.2526440000000001</v>
      </c>
      <c r="J3570">
        <v>5.99</v>
      </c>
      <c r="K3570">
        <v>39</v>
      </c>
      <c r="L3570" s="2">
        <v>67</v>
      </c>
      <c r="M3570">
        <v>2143</v>
      </c>
      <c r="N3570" s="2">
        <v>2976</v>
      </c>
      <c r="O3570">
        <v>12655.87</v>
      </c>
      <c r="P3570">
        <v>126</v>
      </c>
      <c r="Q3570">
        <v>2850</v>
      </c>
      <c r="R3570">
        <v>19.37</v>
      </c>
      <c r="S3570">
        <v>0</v>
      </c>
      <c r="T3570">
        <v>530</v>
      </c>
      <c r="U3570" s="2">
        <v>3174.7</v>
      </c>
      <c r="V3570">
        <v>0</v>
      </c>
      <c r="W3570" t="s">
        <v>29</v>
      </c>
      <c r="X3570" t="str">
        <f>IF(Table2[[#This Row],[Qty available]]&gt;Table2[[#This Row],[Qty on hand]],"Check","OK")</f>
        <v>OK</v>
      </c>
    </row>
    <row r="3571" spans="1:24" x14ac:dyDescent="0.3">
      <c r="A3571" t="s">
        <v>357</v>
      </c>
      <c r="B3571" t="s">
        <v>358</v>
      </c>
      <c r="C3571" t="s">
        <v>77</v>
      </c>
      <c r="D3571" t="s">
        <v>78</v>
      </c>
      <c r="E3571" t="s">
        <v>66</v>
      </c>
      <c r="F3571" s="1" t="s">
        <v>46</v>
      </c>
      <c r="G3571" s="2">
        <v>3.97</v>
      </c>
      <c r="H3571">
        <v>4.22</v>
      </c>
      <c r="I3571">
        <v>4.244129</v>
      </c>
      <c r="J3571">
        <v>6.19</v>
      </c>
      <c r="K3571">
        <v>39</v>
      </c>
      <c r="L3571" s="2">
        <v>58</v>
      </c>
      <c r="M3571">
        <v>1050</v>
      </c>
      <c r="N3571" s="2">
        <v>3291</v>
      </c>
      <c r="O3571">
        <v>13967.43</v>
      </c>
      <c r="P3571">
        <v>75</v>
      </c>
      <c r="Q3571">
        <v>3216</v>
      </c>
      <c r="R3571">
        <v>23.29</v>
      </c>
      <c r="S3571">
        <v>0</v>
      </c>
      <c r="T3571">
        <v>735</v>
      </c>
      <c r="U3571" s="2">
        <v>4549.6499999999996</v>
      </c>
      <c r="V3571">
        <v>0</v>
      </c>
      <c r="W3571" t="s">
        <v>29</v>
      </c>
      <c r="X3571" t="str">
        <f>IF(Table2[[#This Row],[Qty available]]&gt;Table2[[#This Row],[Qty on hand]],"Check","OK")</f>
        <v>OK</v>
      </c>
    </row>
    <row r="3572" spans="1:24" x14ac:dyDescent="0.3">
      <c r="A3572" t="s">
        <v>357</v>
      </c>
      <c r="B3572" t="s">
        <v>358</v>
      </c>
      <c r="C3572" t="s">
        <v>77</v>
      </c>
      <c r="D3572" t="s">
        <v>78</v>
      </c>
      <c r="E3572" t="s">
        <v>66</v>
      </c>
      <c r="F3572" s="1" t="s">
        <v>47</v>
      </c>
      <c r="G3572" s="2">
        <v>4.2699999999999996</v>
      </c>
      <c r="H3572">
        <v>4.54</v>
      </c>
      <c r="I3572">
        <v>4.2441279999999999</v>
      </c>
      <c r="J3572">
        <v>6.19</v>
      </c>
      <c r="K3572">
        <v>39</v>
      </c>
      <c r="M3572">
        <v>0</v>
      </c>
      <c r="N3572" s="2">
        <v>2289</v>
      </c>
      <c r="O3572">
        <v>9714.81</v>
      </c>
      <c r="P3572">
        <v>226</v>
      </c>
      <c r="Q3572">
        <v>2063</v>
      </c>
      <c r="R3572">
        <v>12.98</v>
      </c>
      <c r="S3572">
        <v>0</v>
      </c>
      <c r="T3572">
        <v>1002</v>
      </c>
      <c r="U3572" s="2">
        <v>6202.38</v>
      </c>
      <c r="V3572">
        <v>0</v>
      </c>
      <c r="W3572" t="s">
        <v>29</v>
      </c>
      <c r="X3572" t="str">
        <f>IF(Table2[[#This Row],[Qty available]]&gt;Table2[[#This Row],[Qty on hand]],"Check","OK")</f>
        <v>OK</v>
      </c>
    </row>
    <row r="3573" spans="1:24" x14ac:dyDescent="0.3">
      <c r="A3573" t="s">
        <v>357</v>
      </c>
      <c r="B3573" t="s">
        <v>358</v>
      </c>
      <c r="C3573" t="s">
        <v>77</v>
      </c>
      <c r="D3573" t="s">
        <v>78</v>
      </c>
      <c r="E3573" t="s">
        <v>66</v>
      </c>
      <c r="F3573" s="1" t="s">
        <v>48</v>
      </c>
      <c r="G3573" s="2">
        <v>4.28</v>
      </c>
      <c r="H3573">
        <v>4.55</v>
      </c>
      <c r="I3573">
        <v>4.2871839999999999</v>
      </c>
      <c r="J3573">
        <v>6.19</v>
      </c>
      <c r="K3573">
        <v>39</v>
      </c>
      <c r="L3573" s="2">
        <v>39</v>
      </c>
      <c r="M3573">
        <v>375</v>
      </c>
      <c r="N3573" s="2">
        <v>2198</v>
      </c>
      <c r="O3573">
        <v>9423.23</v>
      </c>
      <c r="P3573">
        <v>176</v>
      </c>
      <c r="Q3573">
        <v>2022</v>
      </c>
      <c r="R3573">
        <v>12.69</v>
      </c>
      <c r="S3573">
        <v>2</v>
      </c>
      <c r="T3573">
        <v>466</v>
      </c>
      <c r="U3573" s="2">
        <v>2884.54</v>
      </c>
      <c r="V3573">
        <v>0</v>
      </c>
      <c r="W3573" t="s">
        <v>29</v>
      </c>
      <c r="X3573" t="str">
        <f>IF(Table2[[#This Row],[Qty available]]&gt;Table2[[#This Row],[Qty on hand]],"Check","OK")</f>
        <v>OK</v>
      </c>
    </row>
    <row r="3574" spans="1:24" x14ac:dyDescent="0.3">
      <c r="A3574" t="s">
        <v>357</v>
      </c>
      <c r="B3574" t="s">
        <v>358</v>
      </c>
      <c r="C3574" t="s">
        <v>77</v>
      </c>
      <c r="D3574" t="s">
        <v>78</v>
      </c>
      <c r="E3574" t="s">
        <v>66</v>
      </c>
      <c r="F3574" s="1" t="s">
        <v>49</v>
      </c>
      <c r="G3574" s="2">
        <v>4.2</v>
      </c>
      <c r="H3574">
        <v>4.47</v>
      </c>
      <c r="I3574">
        <v>4.3456349999999997</v>
      </c>
      <c r="J3574">
        <v>6.19</v>
      </c>
      <c r="K3574">
        <v>39</v>
      </c>
      <c r="L3574" s="2">
        <v>38</v>
      </c>
      <c r="M3574">
        <v>1033</v>
      </c>
      <c r="N3574" s="2">
        <v>2568</v>
      </c>
      <c r="O3574">
        <v>11159.59</v>
      </c>
      <c r="P3574">
        <v>201</v>
      </c>
      <c r="Q3574">
        <v>2367</v>
      </c>
      <c r="R3574">
        <v>15.84</v>
      </c>
      <c r="S3574">
        <v>0</v>
      </c>
      <c r="T3574">
        <v>663</v>
      </c>
      <c r="U3574" s="2">
        <v>4103.97</v>
      </c>
      <c r="V3574">
        <v>0</v>
      </c>
      <c r="W3574" t="s">
        <v>29</v>
      </c>
      <c r="X3574" t="str">
        <f>IF(Table2[[#This Row],[Qty available]]&gt;Table2[[#This Row],[Qty on hand]],"Check","OK")</f>
        <v>OK</v>
      </c>
    </row>
    <row r="3575" spans="1:24" x14ac:dyDescent="0.3">
      <c r="A3575" t="s">
        <v>357</v>
      </c>
      <c r="B3575" t="s">
        <v>358</v>
      </c>
      <c r="C3575" t="s">
        <v>77</v>
      </c>
      <c r="D3575" t="s">
        <v>78</v>
      </c>
      <c r="E3575" t="s">
        <v>66</v>
      </c>
      <c r="F3575" s="1" t="s">
        <v>50</v>
      </c>
      <c r="G3575" s="2">
        <v>4.1500000000000004</v>
      </c>
      <c r="H3575">
        <v>4.42</v>
      </c>
      <c r="I3575">
        <v>4.3550880000000003</v>
      </c>
      <c r="J3575">
        <v>6.19</v>
      </c>
      <c r="K3575">
        <v>39</v>
      </c>
      <c r="L3575" s="2">
        <v>35</v>
      </c>
      <c r="M3575">
        <v>374</v>
      </c>
      <c r="N3575" s="2">
        <v>2333</v>
      </c>
      <c r="O3575">
        <v>10160.42</v>
      </c>
      <c r="P3575">
        <v>151</v>
      </c>
      <c r="Q3575">
        <v>2182</v>
      </c>
      <c r="R3575">
        <v>17.45</v>
      </c>
      <c r="S3575">
        <v>0</v>
      </c>
      <c r="T3575">
        <v>609</v>
      </c>
      <c r="U3575" s="2">
        <v>3769.71</v>
      </c>
      <c r="V3575">
        <v>0</v>
      </c>
      <c r="W3575" t="s">
        <v>29</v>
      </c>
      <c r="X3575" t="str">
        <f>IF(Table2[[#This Row],[Qty available]]&gt;Table2[[#This Row],[Qty on hand]],"Check","OK")</f>
        <v>OK</v>
      </c>
    </row>
    <row r="3576" spans="1:24" x14ac:dyDescent="0.3">
      <c r="A3576" t="s">
        <v>357</v>
      </c>
      <c r="B3576" t="s">
        <v>358</v>
      </c>
      <c r="C3576" t="s">
        <v>77</v>
      </c>
      <c r="D3576" t="s">
        <v>78</v>
      </c>
      <c r="E3576" t="s">
        <v>66</v>
      </c>
      <c r="F3576" s="1" t="s">
        <v>51</v>
      </c>
      <c r="G3576" s="2">
        <v>4.28</v>
      </c>
      <c r="H3576">
        <v>4.55</v>
      </c>
      <c r="I3576">
        <v>4.4345869999999996</v>
      </c>
      <c r="J3576">
        <v>6.19</v>
      </c>
      <c r="K3576">
        <v>39</v>
      </c>
      <c r="L3576" s="2">
        <v>34</v>
      </c>
      <c r="M3576">
        <v>1607</v>
      </c>
      <c r="N3576" s="2">
        <v>3560</v>
      </c>
      <c r="O3576">
        <v>15787.13</v>
      </c>
      <c r="P3576">
        <v>226</v>
      </c>
      <c r="Q3576">
        <v>3334</v>
      </c>
      <c r="R3576">
        <v>28.32</v>
      </c>
      <c r="S3576">
        <v>0</v>
      </c>
      <c r="T3576">
        <v>380</v>
      </c>
      <c r="U3576" s="2">
        <v>2352.1999999999998</v>
      </c>
      <c r="V3576">
        <v>0</v>
      </c>
      <c r="W3576" t="s">
        <v>29</v>
      </c>
      <c r="X3576" t="str">
        <f>IF(Table2[[#This Row],[Qty available]]&gt;Table2[[#This Row],[Qty on hand]],"Check","OK")</f>
        <v>OK</v>
      </c>
    </row>
    <row r="3577" spans="1:24" x14ac:dyDescent="0.3">
      <c r="A3577" t="s">
        <v>357</v>
      </c>
      <c r="B3577" t="s">
        <v>358</v>
      </c>
      <c r="C3577" t="s">
        <v>77</v>
      </c>
      <c r="D3577" t="s">
        <v>78</v>
      </c>
      <c r="E3577" t="s">
        <v>66</v>
      </c>
      <c r="F3577" s="1" t="s">
        <v>52</v>
      </c>
      <c r="G3577" s="2">
        <v>4.25</v>
      </c>
      <c r="H3577">
        <v>4.5199999999999996</v>
      </c>
      <c r="I3577">
        <v>4.4345869999999996</v>
      </c>
      <c r="J3577">
        <v>6.19</v>
      </c>
      <c r="K3577">
        <v>39</v>
      </c>
      <c r="M3577">
        <v>0</v>
      </c>
      <c r="N3577" s="2">
        <v>2673</v>
      </c>
      <c r="O3577">
        <v>11853.65</v>
      </c>
      <c r="P3577">
        <v>100</v>
      </c>
      <c r="Q3577">
        <v>2573</v>
      </c>
      <c r="R3577">
        <v>18.73</v>
      </c>
      <c r="S3577">
        <v>1</v>
      </c>
      <c r="T3577">
        <v>887</v>
      </c>
      <c r="U3577" s="2">
        <v>5490.53</v>
      </c>
      <c r="V3577">
        <v>0</v>
      </c>
      <c r="W3577" t="s">
        <v>29</v>
      </c>
      <c r="X3577" t="str">
        <f>IF(Table2[[#This Row],[Qty available]]&gt;Table2[[#This Row],[Qty on hand]],"Check","OK")</f>
        <v>OK</v>
      </c>
    </row>
    <row r="3578" spans="1:24" x14ac:dyDescent="0.3">
      <c r="A3578" t="s">
        <v>359</v>
      </c>
      <c r="B3578" t="s">
        <v>360</v>
      </c>
      <c r="C3578" t="s">
        <v>91</v>
      </c>
      <c r="D3578" t="s">
        <v>92</v>
      </c>
      <c r="E3578" t="s">
        <v>66</v>
      </c>
      <c r="F3578" s="1" t="s">
        <v>28</v>
      </c>
      <c r="G3578" s="2">
        <v>9.11</v>
      </c>
      <c r="H3578">
        <v>9.11</v>
      </c>
      <c r="I3578">
        <v>9.0210830000000009</v>
      </c>
      <c r="J3578">
        <v>12.1</v>
      </c>
      <c r="K3578">
        <v>49</v>
      </c>
      <c r="L3578" s="2">
        <v>44</v>
      </c>
      <c r="M3578">
        <v>39</v>
      </c>
      <c r="N3578" s="2">
        <v>120</v>
      </c>
      <c r="O3578">
        <v>1082.53</v>
      </c>
      <c r="P3578">
        <v>14</v>
      </c>
      <c r="Q3578">
        <v>106</v>
      </c>
      <c r="R3578">
        <v>11.27</v>
      </c>
      <c r="S3578">
        <v>6</v>
      </c>
      <c r="T3578">
        <v>42</v>
      </c>
      <c r="U3578" s="2">
        <v>508.2</v>
      </c>
      <c r="V3578">
        <v>0</v>
      </c>
      <c r="W3578" t="s">
        <v>29</v>
      </c>
      <c r="X3578" t="str">
        <f>IF(Table2[[#This Row],[Qty available]]&gt;Table2[[#This Row],[Qty on hand]],"Check","OK")</f>
        <v>OK</v>
      </c>
    </row>
    <row r="3579" spans="1:24" x14ac:dyDescent="0.3">
      <c r="A3579" t="s">
        <v>359</v>
      </c>
      <c r="B3579" t="s">
        <v>360</v>
      </c>
      <c r="C3579" t="s">
        <v>91</v>
      </c>
      <c r="D3579" t="s">
        <v>92</v>
      </c>
      <c r="E3579" t="s">
        <v>66</v>
      </c>
      <c r="F3579" s="1" t="s">
        <v>30</v>
      </c>
      <c r="G3579" s="2">
        <v>9.59</v>
      </c>
      <c r="H3579">
        <v>9.59</v>
      </c>
      <c r="I3579">
        <v>9.0210530000000002</v>
      </c>
      <c r="J3579">
        <v>12.1</v>
      </c>
      <c r="K3579">
        <v>49</v>
      </c>
      <c r="M3579">
        <v>0</v>
      </c>
      <c r="N3579" s="2">
        <v>95</v>
      </c>
      <c r="O3579">
        <v>857</v>
      </c>
      <c r="P3579">
        <v>7</v>
      </c>
      <c r="Q3579">
        <v>88</v>
      </c>
      <c r="R3579">
        <v>11.05</v>
      </c>
      <c r="S3579">
        <v>7</v>
      </c>
      <c r="T3579">
        <v>25</v>
      </c>
      <c r="U3579" s="2">
        <v>302.5</v>
      </c>
      <c r="V3579">
        <v>0</v>
      </c>
      <c r="W3579" t="s">
        <v>29</v>
      </c>
      <c r="X3579" t="str">
        <f>IF(Table2[[#This Row],[Qty available]]&gt;Table2[[#This Row],[Qty on hand]],"Check","OK")</f>
        <v>OK</v>
      </c>
    </row>
    <row r="3580" spans="1:24" x14ac:dyDescent="0.3">
      <c r="A3580" t="s">
        <v>359</v>
      </c>
      <c r="B3580" t="s">
        <v>360</v>
      </c>
      <c r="C3580" t="s">
        <v>91</v>
      </c>
      <c r="D3580" t="s">
        <v>92</v>
      </c>
      <c r="E3580" t="s">
        <v>66</v>
      </c>
      <c r="F3580" s="1" t="s">
        <v>31</v>
      </c>
      <c r="G3580" s="2">
        <v>9.3800000000000008</v>
      </c>
      <c r="H3580">
        <v>9.3800000000000008</v>
      </c>
      <c r="I3580">
        <v>9.1884029999999992</v>
      </c>
      <c r="J3580">
        <v>12.1</v>
      </c>
      <c r="K3580">
        <v>49</v>
      </c>
      <c r="L3580" s="2">
        <v>42</v>
      </c>
      <c r="M3580">
        <v>83</v>
      </c>
      <c r="N3580" s="2">
        <v>144</v>
      </c>
      <c r="O3580">
        <v>1323.13</v>
      </c>
      <c r="P3580">
        <v>10</v>
      </c>
      <c r="Q3580">
        <v>134</v>
      </c>
      <c r="R3580">
        <v>18.53</v>
      </c>
      <c r="S3580">
        <v>1</v>
      </c>
      <c r="T3580">
        <v>34</v>
      </c>
      <c r="U3580" s="2">
        <v>411.4</v>
      </c>
      <c r="V3580">
        <v>0</v>
      </c>
      <c r="W3580" t="s">
        <v>29</v>
      </c>
      <c r="X3580" t="str">
        <f>IF(Table2[[#This Row],[Qty available]]&gt;Table2[[#This Row],[Qty on hand]],"Check","OK")</f>
        <v>OK</v>
      </c>
    </row>
    <row r="3581" spans="1:24" x14ac:dyDescent="0.3">
      <c r="A3581" t="s">
        <v>359</v>
      </c>
      <c r="B3581" t="s">
        <v>360</v>
      </c>
      <c r="C3581" t="s">
        <v>91</v>
      </c>
      <c r="D3581" t="s">
        <v>92</v>
      </c>
      <c r="E3581" t="s">
        <v>66</v>
      </c>
      <c r="F3581" s="1" t="s">
        <v>32</v>
      </c>
      <c r="G3581" s="2">
        <v>9.32</v>
      </c>
      <c r="H3581">
        <v>9.32</v>
      </c>
      <c r="I3581">
        <v>9.2318599999999993</v>
      </c>
      <c r="J3581">
        <v>12.1</v>
      </c>
      <c r="K3581">
        <v>49</v>
      </c>
      <c r="L3581" s="2">
        <v>48</v>
      </c>
      <c r="M3581">
        <v>71</v>
      </c>
      <c r="N3581" s="2">
        <v>215</v>
      </c>
      <c r="O3581">
        <v>1984.85</v>
      </c>
      <c r="P3581">
        <v>3</v>
      </c>
      <c r="Q3581">
        <v>212</v>
      </c>
      <c r="R3581">
        <v>47.89</v>
      </c>
      <c r="S3581">
        <v>32</v>
      </c>
      <c r="T3581">
        <v>0</v>
      </c>
      <c r="U3581" s="2">
        <v>0</v>
      </c>
      <c r="V3581">
        <v>0</v>
      </c>
      <c r="W3581" t="s">
        <v>29</v>
      </c>
      <c r="X3581" t="str">
        <f>IF(Table2[[#This Row],[Qty available]]&gt;Table2[[#This Row],[Qty on hand]],"Check","OK")</f>
        <v>OK</v>
      </c>
    </row>
    <row r="3582" spans="1:24" x14ac:dyDescent="0.3">
      <c r="A3582" t="s">
        <v>359</v>
      </c>
      <c r="B3582" t="s">
        <v>360</v>
      </c>
      <c r="C3582" t="s">
        <v>91</v>
      </c>
      <c r="D3582" t="s">
        <v>92</v>
      </c>
      <c r="E3582" t="s">
        <v>66</v>
      </c>
      <c r="F3582" s="1" t="s">
        <v>33</v>
      </c>
      <c r="G3582" s="2">
        <v>9.36</v>
      </c>
      <c r="H3582">
        <v>9.36</v>
      </c>
      <c r="I3582">
        <v>9.2318820000000006</v>
      </c>
      <c r="J3582">
        <v>12.1</v>
      </c>
      <c r="K3582">
        <v>49</v>
      </c>
      <c r="M3582">
        <v>0</v>
      </c>
      <c r="N3582" s="2">
        <v>170</v>
      </c>
      <c r="O3582">
        <v>1569.42</v>
      </c>
      <c r="P3582">
        <v>4</v>
      </c>
      <c r="Q3582">
        <v>166</v>
      </c>
      <c r="R3582">
        <v>28.28</v>
      </c>
      <c r="S3582">
        <v>1</v>
      </c>
      <c r="T3582">
        <v>45</v>
      </c>
      <c r="U3582" s="2">
        <v>544.5</v>
      </c>
      <c r="V3582">
        <v>0</v>
      </c>
      <c r="W3582" t="s">
        <v>29</v>
      </c>
      <c r="X3582" t="str">
        <f>IF(Table2[[#This Row],[Qty available]]&gt;Table2[[#This Row],[Qty on hand]],"Check","OK")</f>
        <v>OK</v>
      </c>
    </row>
    <row r="3583" spans="1:24" x14ac:dyDescent="0.3">
      <c r="A3583" t="s">
        <v>359</v>
      </c>
      <c r="B3583" t="s">
        <v>360</v>
      </c>
      <c r="C3583" t="s">
        <v>91</v>
      </c>
      <c r="D3583" t="s">
        <v>92</v>
      </c>
      <c r="E3583" t="s">
        <v>66</v>
      </c>
      <c r="F3583" s="1" t="s">
        <v>34</v>
      </c>
      <c r="G3583" s="2">
        <v>9.57</v>
      </c>
      <c r="H3583">
        <v>9.57</v>
      </c>
      <c r="I3583">
        <v>9.3274600000000003</v>
      </c>
      <c r="J3583">
        <v>12.59</v>
      </c>
      <c r="K3583">
        <v>49</v>
      </c>
      <c r="L3583" s="2">
        <v>74</v>
      </c>
      <c r="M3583">
        <v>67</v>
      </c>
      <c r="N3583" s="2">
        <v>189</v>
      </c>
      <c r="O3583">
        <v>1762.89</v>
      </c>
      <c r="P3583">
        <v>3</v>
      </c>
      <c r="Q3583">
        <v>186</v>
      </c>
      <c r="R3583">
        <v>26.13</v>
      </c>
      <c r="S3583">
        <v>2</v>
      </c>
      <c r="T3583">
        <v>48</v>
      </c>
      <c r="U3583" s="2">
        <v>604.32000000000005</v>
      </c>
      <c r="V3583">
        <v>0</v>
      </c>
      <c r="W3583" t="s">
        <v>29</v>
      </c>
      <c r="X3583" t="str">
        <f>IF(Table2[[#This Row],[Qty available]]&gt;Table2[[#This Row],[Qty on hand]],"Check","OK")</f>
        <v>OK</v>
      </c>
    </row>
    <row r="3584" spans="1:24" x14ac:dyDescent="0.3">
      <c r="A3584" t="s">
        <v>359</v>
      </c>
      <c r="B3584" t="s">
        <v>360</v>
      </c>
      <c r="C3584" t="s">
        <v>91</v>
      </c>
      <c r="D3584" t="s">
        <v>92</v>
      </c>
      <c r="E3584" t="s">
        <v>66</v>
      </c>
      <c r="F3584" s="1" t="s">
        <v>35</v>
      </c>
      <c r="G3584" s="2">
        <v>9.42</v>
      </c>
      <c r="H3584">
        <v>9.42</v>
      </c>
      <c r="I3584">
        <v>9.3274799999999995</v>
      </c>
      <c r="J3584">
        <v>12.59</v>
      </c>
      <c r="K3584">
        <v>49</v>
      </c>
      <c r="M3584">
        <v>0</v>
      </c>
      <c r="N3584" s="2">
        <v>123</v>
      </c>
      <c r="O3584">
        <v>1147.28</v>
      </c>
      <c r="P3584">
        <v>8</v>
      </c>
      <c r="Q3584">
        <v>115</v>
      </c>
      <c r="R3584">
        <v>9.9499999999999993</v>
      </c>
      <c r="S3584">
        <v>4</v>
      </c>
      <c r="T3584">
        <v>66</v>
      </c>
      <c r="U3584" s="2">
        <v>830.94</v>
      </c>
      <c r="V3584">
        <v>0</v>
      </c>
      <c r="W3584" t="s">
        <v>29</v>
      </c>
      <c r="X3584" t="str">
        <f>IF(Table2[[#This Row],[Qty available]]&gt;Table2[[#This Row],[Qty on hand]],"Check","OK")</f>
        <v>OK</v>
      </c>
    </row>
    <row r="3585" spans="1:24" x14ac:dyDescent="0.3">
      <c r="A3585" t="s">
        <v>359</v>
      </c>
      <c r="B3585" t="s">
        <v>360</v>
      </c>
      <c r="C3585" t="s">
        <v>91</v>
      </c>
      <c r="D3585" t="s">
        <v>92</v>
      </c>
      <c r="E3585" t="s">
        <v>66</v>
      </c>
      <c r="F3585" s="1" t="s">
        <v>36</v>
      </c>
      <c r="G3585" s="2">
        <v>9.68</v>
      </c>
      <c r="H3585">
        <v>9.68</v>
      </c>
      <c r="I3585">
        <v>9.3275319999999997</v>
      </c>
      <c r="J3585">
        <v>12.59</v>
      </c>
      <c r="K3585">
        <v>49</v>
      </c>
      <c r="M3585">
        <v>0</v>
      </c>
      <c r="N3585" s="2">
        <v>77</v>
      </c>
      <c r="O3585">
        <v>718.22</v>
      </c>
      <c r="P3585">
        <v>4</v>
      </c>
      <c r="Q3585">
        <v>73</v>
      </c>
      <c r="R3585">
        <v>6.12</v>
      </c>
      <c r="S3585">
        <v>2</v>
      </c>
      <c r="T3585">
        <v>46</v>
      </c>
      <c r="U3585" s="2">
        <v>579.14</v>
      </c>
      <c r="V3585">
        <v>0</v>
      </c>
      <c r="W3585" t="s">
        <v>29</v>
      </c>
      <c r="X3585" t="str">
        <f>IF(Table2[[#This Row],[Qty available]]&gt;Table2[[#This Row],[Qty on hand]],"Check","OK")</f>
        <v>OK</v>
      </c>
    </row>
    <row r="3586" spans="1:24" x14ac:dyDescent="0.3">
      <c r="A3586" t="s">
        <v>359</v>
      </c>
      <c r="B3586" t="s">
        <v>360</v>
      </c>
      <c r="C3586" t="s">
        <v>91</v>
      </c>
      <c r="D3586" t="s">
        <v>92</v>
      </c>
      <c r="E3586" t="s">
        <v>66</v>
      </c>
      <c r="F3586" s="1" t="s">
        <v>37</v>
      </c>
      <c r="G3586" s="2">
        <v>9.34</v>
      </c>
      <c r="H3586">
        <v>9.34</v>
      </c>
      <c r="I3586">
        <v>9.3353020000000004</v>
      </c>
      <c r="J3586">
        <v>12.59</v>
      </c>
      <c r="K3586">
        <v>49</v>
      </c>
      <c r="L3586" s="2">
        <v>43</v>
      </c>
      <c r="M3586">
        <v>128</v>
      </c>
      <c r="N3586" s="2">
        <v>149</v>
      </c>
      <c r="O3586">
        <v>1390.96</v>
      </c>
      <c r="P3586">
        <v>3</v>
      </c>
      <c r="Q3586">
        <v>146</v>
      </c>
      <c r="R3586">
        <v>11.66</v>
      </c>
      <c r="S3586">
        <v>8</v>
      </c>
      <c r="T3586">
        <v>56</v>
      </c>
      <c r="U3586" s="2">
        <v>705.04</v>
      </c>
      <c r="V3586">
        <v>0</v>
      </c>
      <c r="W3586" t="s">
        <v>29</v>
      </c>
      <c r="X3586" t="str">
        <f>IF(Table2[[#This Row],[Qty available]]&gt;Table2[[#This Row],[Qty on hand]],"Check","OK")</f>
        <v>OK</v>
      </c>
    </row>
    <row r="3587" spans="1:24" x14ac:dyDescent="0.3">
      <c r="A3587" t="s">
        <v>359</v>
      </c>
      <c r="B3587" t="s">
        <v>360</v>
      </c>
      <c r="C3587" t="s">
        <v>91</v>
      </c>
      <c r="D3587" t="s">
        <v>92</v>
      </c>
      <c r="E3587" t="s">
        <v>66</v>
      </c>
      <c r="F3587" s="1" t="s">
        <v>38</v>
      </c>
      <c r="G3587" s="2">
        <v>9.66</v>
      </c>
      <c r="H3587">
        <v>9.66</v>
      </c>
      <c r="I3587">
        <v>9.4168830000000003</v>
      </c>
      <c r="J3587">
        <v>12.59</v>
      </c>
      <c r="K3587">
        <v>49</v>
      </c>
      <c r="L3587" s="2">
        <v>48</v>
      </c>
      <c r="M3587">
        <v>50</v>
      </c>
      <c r="N3587" s="2">
        <v>154</v>
      </c>
      <c r="O3587">
        <v>1450.2</v>
      </c>
      <c r="P3587">
        <v>10</v>
      </c>
      <c r="Q3587">
        <v>144</v>
      </c>
      <c r="R3587">
        <v>13.62</v>
      </c>
      <c r="S3587">
        <v>0</v>
      </c>
      <c r="T3587">
        <v>45</v>
      </c>
      <c r="U3587" s="2">
        <v>566.54999999999995</v>
      </c>
      <c r="V3587">
        <v>0</v>
      </c>
      <c r="W3587" t="s">
        <v>29</v>
      </c>
      <c r="X3587" t="str">
        <f>IF(Table2[[#This Row],[Qty available]]&gt;Table2[[#This Row],[Qty on hand]],"Check","OK")</f>
        <v>OK</v>
      </c>
    </row>
    <row r="3588" spans="1:24" x14ac:dyDescent="0.3">
      <c r="A3588" t="s">
        <v>359</v>
      </c>
      <c r="B3588" t="s">
        <v>360</v>
      </c>
      <c r="C3588" t="s">
        <v>91</v>
      </c>
      <c r="D3588" t="s">
        <v>92</v>
      </c>
      <c r="E3588" t="s">
        <v>66</v>
      </c>
      <c r="F3588" s="1" t="s">
        <v>39</v>
      </c>
      <c r="G3588" s="2">
        <v>9.44</v>
      </c>
      <c r="H3588">
        <v>9.44</v>
      </c>
      <c r="I3588">
        <v>9.4169090000000004</v>
      </c>
      <c r="J3588">
        <v>12.59</v>
      </c>
      <c r="K3588">
        <v>49</v>
      </c>
      <c r="M3588">
        <v>0</v>
      </c>
      <c r="N3588" s="2">
        <v>110</v>
      </c>
      <c r="O3588">
        <v>1035.8599999999999</v>
      </c>
      <c r="P3588">
        <v>13</v>
      </c>
      <c r="Q3588">
        <v>97</v>
      </c>
      <c r="R3588">
        <v>9.9700000000000006</v>
      </c>
      <c r="S3588">
        <v>0</v>
      </c>
      <c r="T3588">
        <v>44</v>
      </c>
      <c r="U3588" s="2">
        <v>553.96</v>
      </c>
      <c r="V3588">
        <v>0</v>
      </c>
      <c r="W3588" t="s">
        <v>29</v>
      </c>
      <c r="X3588" t="str">
        <f>IF(Table2[[#This Row],[Qty available]]&gt;Table2[[#This Row],[Qty on hand]],"Check","OK")</f>
        <v>OK</v>
      </c>
    </row>
    <row r="3589" spans="1:24" x14ac:dyDescent="0.3">
      <c r="A3589" t="s">
        <v>359</v>
      </c>
      <c r="B3589" t="s">
        <v>360</v>
      </c>
      <c r="C3589" t="s">
        <v>91</v>
      </c>
      <c r="D3589" t="s">
        <v>92</v>
      </c>
      <c r="E3589" t="s">
        <v>66</v>
      </c>
      <c r="F3589" s="1" t="s">
        <v>40</v>
      </c>
      <c r="G3589" s="2">
        <v>9.67</v>
      </c>
      <c r="H3589">
        <v>9.67</v>
      </c>
      <c r="I3589">
        <v>9.5249699999999997</v>
      </c>
      <c r="J3589">
        <v>12.59</v>
      </c>
      <c r="K3589">
        <v>49</v>
      </c>
      <c r="L3589" s="2">
        <v>45</v>
      </c>
      <c r="M3589">
        <v>82</v>
      </c>
      <c r="N3589" s="2">
        <v>169</v>
      </c>
      <c r="O3589">
        <v>1609.72</v>
      </c>
      <c r="P3589">
        <v>6</v>
      </c>
      <c r="Q3589">
        <v>163</v>
      </c>
      <c r="R3589">
        <v>19.829999999999998</v>
      </c>
      <c r="S3589">
        <v>11</v>
      </c>
      <c r="T3589">
        <v>23</v>
      </c>
      <c r="U3589" s="2">
        <v>289.57</v>
      </c>
      <c r="V3589">
        <v>0</v>
      </c>
      <c r="W3589" t="s">
        <v>29</v>
      </c>
      <c r="X3589" t="str">
        <f>IF(Table2[[#This Row],[Qty available]]&gt;Table2[[#This Row],[Qty on hand]],"Check","OK")</f>
        <v>OK</v>
      </c>
    </row>
    <row r="3590" spans="1:24" x14ac:dyDescent="0.3">
      <c r="A3590" t="s">
        <v>359</v>
      </c>
      <c r="B3590" t="s">
        <v>360</v>
      </c>
      <c r="C3590" t="s">
        <v>91</v>
      </c>
      <c r="D3590" t="s">
        <v>92</v>
      </c>
      <c r="E3590" t="s">
        <v>66</v>
      </c>
      <c r="F3590" s="1" t="s">
        <v>41</v>
      </c>
      <c r="G3590" s="2">
        <v>9.4499999999999993</v>
      </c>
      <c r="H3590">
        <v>9.4499999999999993</v>
      </c>
      <c r="I3590">
        <v>9.5250000000000004</v>
      </c>
      <c r="J3590">
        <v>12.59</v>
      </c>
      <c r="K3590">
        <v>49</v>
      </c>
      <c r="M3590">
        <v>0</v>
      </c>
      <c r="N3590" s="2">
        <v>118</v>
      </c>
      <c r="O3590">
        <v>1123.95</v>
      </c>
      <c r="P3590">
        <v>7</v>
      </c>
      <c r="Q3590">
        <v>111</v>
      </c>
      <c r="R3590">
        <v>13.14</v>
      </c>
      <c r="S3590">
        <v>5</v>
      </c>
      <c r="T3590">
        <v>51</v>
      </c>
      <c r="U3590" s="2">
        <v>642.09</v>
      </c>
      <c r="V3590">
        <v>0</v>
      </c>
      <c r="W3590" t="s">
        <v>29</v>
      </c>
      <c r="X3590" t="str">
        <f>IF(Table2[[#This Row],[Qty available]]&gt;Table2[[#This Row],[Qty on hand]],"Check","OK")</f>
        <v>OK</v>
      </c>
    </row>
    <row r="3591" spans="1:24" x14ac:dyDescent="0.3">
      <c r="A3591" t="s">
        <v>359</v>
      </c>
      <c r="B3591" t="s">
        <v>360</v>
      </c>
      <c r="C3591" t="s">
        <v>91</v>
      </c>
      <c r="D3591" t="s">
        <v>92</v>
      </c>
      <c r="E3591" t="s">
        <v>66</v>
      </c>
      <c r="F3591" s="1" t="s">
        <v>42</v>
      </c>
      <c r="G3591" s="2">
        <v>9.9499999999999993</v>
      </c>
      <c r="H3591">
        <v>9.9499999999999993</v>
      </c>
      <c r="I3591">
        <v>9.6682439999999996</v>
      </c>
      <c r="J3591">
        <v>12.59</v>
      </c>
      <c r="K3591">
        <v>49</v>
      </c>
      <c r="L3591" s="2">
        <v>44</v>
      </c>
      <c r="M3591">
        <v>60</v>
      </c>
      <c r="N3591" s="2">
        <v>131</v>
      </c>
      <c r="O3591">
        <v>1266.54</v>
      </c>
      <c r="P3591">
        <v>10</v>
      </c>
      <c r="Q3591">
        <v>121</v>
      </c>
      <c r="R3591">
        <v>14.23</v>
      </c>
      <c r="S3591">
        <v>7</v>
      </c>
      <c r="T3591">
        <v>47</v>
      </c>
      <c r="U3591" s="2">
        <v>591.73</v>
      </c>
      <c r="V3591">
        <v>0</v>
      </c>
      <c r="W3591" t="s">
        <v>29</v>
      </c>
      <c r="X3591" t="str">
        <f>IF(Table2[[#This Row],[Qty available]]&gt;Table2[[#This Row],[Qty on hand]],"Check","OK")</f>
        <v>OK</v>
      </c>
    </row>
    <row r="3592" spans="1:24" x14ac:dyDescent="0.3">
      <c r="A3592" t="s">
        <v>359</v>
      </c>
      <c r="B3592" t="s">
        <v>360</v>
      </c>
      <c r="C3592" t="s">
        <v>91</v>
      </c>
      <c r="D3592" t="s">
        <v>92</v>
      </c>
      <c r="E3592" t="s">
        <v>66</v>
      </c>
      <c r="F3592" s="1" t="s">
        <v>43</v>
      </c>
      <c r="G3592" s="2">
        <v>10.19</v>
      </c>
      <c r="H3592">
        <v>10.19</v>
      </c>
      <c r="I3592">
        <v>9.6681939999999997</v>
      </c>
      <c r="J3592">
        <v>12.59</v>
      </c>
      <c r="K3592">
        <v>49</v>
      </c>
      <c r="M3592">
        <v>0</v>
      </c>
      <c r="N3592" s="2">
        <v>72</v>
      </c>
      <c r="O3592">
        <v>696.11</v>
      </c>
      <c r="P3592">
        <v>4</v>
      </c>
      <c r="Q3592">
        <v>68</v>
      </c>
      <c r="R3592">
        <v>5.96</v>
      </c>
      <c r="S3592">
        <v>2</v>
      </c>
      <c r="T3592">
        <v>59</v>
      </c>
      <c r="U3592" s="2">
        <v>742.81</v>
      </c>
      <c r="V3592">
        <v>0</v>
      </c>
      <c r="W3592" t="s">
        <v>29</v>
      </c>
      <c r="X3592" t="str">
        <f>IF(Table2[[#This Row],[Qty available]]&gt;Table2[[#This Row],[Qty on hand]],"Check","OK")</f>
        <v>OK</v>
      </c>
    </row>
    <row r="3593" spans="1:24" x14ac:dyDescent="0.3">
      <c r="A3593" t="s">
        <v>359</v>
      </c>
      <c r="B3593" t="s">
        <v>360</v>
      </c>
      <c r="C3593" t="s">
        <v>91</v>
      </c>
      <c r="D3593" t="s">
        <v>92</v>
      </c>
      <c r="E3593" t="s">
        <v>66</v>
      </c>
      <c r="F3593" s="1" t="s">
        <v>44</v>
      </c>
      <c r="G3593" s="2">
        <v>10.11</v>
      </c>
      <c r="H3593">
        <v>10.11</v>
      </c>
      <c r="I3593">
        <v>9.8070830000000004</v>
      </c>
      <c r="J3593">
        <v>12.59</v>
      </c>
      <c r="K3593">
        <v>49</v>
      </c>
      <c r="L3593" s="2">
        <v>46</v>
      </c>
      <c r="M3593">
        <v>33</v>
      </c>
      <c r="N3593" s="2">
        <v>72</v>
      </c>
      <c r="O3593">
        <v>706.11</v>
      </c>
      <c r="P3593">
        <v>3</v>
      </c>
      <c r="Q3593">
        <v>69</v>
      </c>
      <c r="R3593">
        <v>6.81</v>
      </c>
      <c r="S3593">
        <v>0</v>
      </c>
      <c r="T3593">
        <v>33</v>
      </c>
      <c r="U3593" s="2">
        <v>415.47</v>
      </c>
      <c r="V3593">
        <v>0</v>
      </c>
      <c r="W3593" t="s">
        <v>29</v>
      </c>
      <c r="X3593" t="str">
        <f>IF(Table2[[#This Row],[Qty available]]&gt;Table2[[#This Row],[Qty on hand]],"Check","OK")</f>
        <v>OK</v>
      </c>
    </row>
    <row r="3594" spans="1:24" x14ac:dyDescent="0.3">
      <c r="A3594" t="s">
        <v>359</v>
      </c>
      <c r="B3594" t="s">
        <v>360</v>
      </c>
      <c r="C3594" t="s">
        <v>91</v>
      </c>
      <c r="D3594" t="s">
        <v>92</v>
      </c>
      <c r="E3594" t="s">
        <v>66</v>
      </c>
      <c r="F3594" s="1" t="s">
        <v>45</v>
      </c>
      <c r="G3594" s="2">
        <v>9.91</v>
      </c>
      <c r="H3594">
        <v>9.91</v>
      </c>
      <c r="I3594">
        <v>9.8666669999999996</v>
      </c>
      <c r="J3594">
        <v>12.59</v>
      </c>
      <c r="K3594">
        <v>49</v>
      </c>
      <c r="L3594" s="2">
        <v>46</v>
      </c>
      <c r="M3594">
        <v>99</v>
      </c>
      <c r="N3594" s="2">
        <v>108</v>
      </c>
      <c r="O3594">
        <v>1065.5999999999999</v>
      </c>
      <c r="P3594">
        <v>11</v>
      </c>
      <c r="Q3594">
        <v>97</v>
      </c>
      <c r="R3594">
        <v>9.16</v>
      </c>
      <c r="S3594">
        <v>3</v>
      </c>
      <c r="T3594">
        <v>63</v>
      </c>
      <c r="U3594" s="2">
        <v>793.17</v>
      </c>
      <c r="V3594">
        <v>0</v>
      </c>
      <c r="W3594" t="s">
        <v>29</v>
      </c>
      <c r="X3594" t="str">
        <f>IF(Table2[[#This Row],[Qty available]]&gt;Table2[[#This Row],[Qty on hand]],"Check","OK")</f>
        <v>OK</v>
      </c>
    </row>
    <row r="3595" spans="1:24" x14ac:dyDescent="0.3">
      <c r="A3595" t="s">
        <v>359</v>
      </c>
      <c r="B3595" t="s">
        <v>360</v>
      </c>
      <c r="C3595" t="s">
        <v>91</v>
      </c>
      <c r="D3595" t="s">
        <v>92</v>
      </c>
      <c r="E3595" t="s">
        <v>66</v>
      </c>
      <c r="F3595" s="1" t="s">
        <v>46</v>
      </c>
      <c r="G3595" s="2">
        <v>10.24</v>
      </c>
      <c r="H3595">
        <v>10.24</v>
      </c>
      <c r="I3595">
        <v>10.033232</v>
      </c>
      <c r="J3595">
        <v>13.1</v>
      </c>
      <c r="K3595">
        <v>49</v>
      </c>
      <c r="L3595" s="2">
        <v>46</v>
      </c>
      <c r="M3595">
        <v>87</v>
      </c>
      <c r="N3595" s="2">
        <v>164</v>
      </c>
      <c r="O3595">
        <v>1645.45</v>
      </c>
      <c r="P3595">
        <v>13</v>
      </c>
      <c r="Q3595">
        <v>151</v>
      </c>
      <c r="R3595">
        <v>16.600000000000001</v>
      </c>
      <c r="S3595">
        <v>1</v>
      </c>
      <c r="T3595">
        <v>31</v>
      </c>
      <c r="U3595" s="2">
        <v>406.1</v>
      </c>
      <c r="V3595">
        <v>0</v>
      </c>
      <c r="W3595" t="s">
        <v>29</v>
      </c>
      <c r="X3595" t="str">
        <f>IF(Table2[[#This Row],[Qty available]]&gt;Table2[[#This Row],[Qty on hand]],"Check","OK")</f>
        <v>OK</v>
      </c>
    </row>
    <row r="3596" spans="1:24" x14ac:dyDescent="0.3">
      <c r="A3596" t="s">
        <v>359</v>
      </c>
      <c r="B3596" t="s">
        <v>360</v>
      </c>
      <c r="C3596" t="s">
        <v>91</v>
      </c>
      <c r="D3596" t="s">
        <v>92</v>
      </c>
      <c r="E3596" t="s">
        <v>66</v>
      </c>
      <c r="F3596" s="1" t="s">
        <v>47</v>
      </c>
      <c r="G3596" s="2">
        <v>10.19</v>
      </c>
      <c r="H3596">
        <v>10.19</v>
      </c>
      <c r="I3596">
        <v>10.033200000000001</v>
      </c>
      <c r="J3596">
        <v>13.1</v>
      </c>
      <c r="K3596">
        <v>49</v>
      </c>
      <c r="M3596">
        <v>0</v>
      </c>
      <c r="N3596" s="2">
        <v>125</v>
      </c>
      <c r="O3596">
        <v>1254.1500000000001</v>
      </c>
      <c r="P3596">
        <v>13</v>
      </c>
      <c r="Q3596">
        <v>112</v>
      </c>
      <c r="R3596">
        <v>12.08</v>
      </c>
      <c r="S3596">
        <v>6</v>
      </c>
      <c r="T3596">
        <v>39</v>
      </c>
      <c r="U3596" s="2">
        <v>510.9</v>
      </c>
      <c r="V3596">
        <v>0</v>
      </c>
      <c r="W3596" t="s">
        <v>29</v>
      </c>
      <c r="X3596" t="str">
        <f>IF(Table2[[#This Row],[Qty available]]&gt;Table2[[#This Row],[Qty on hand]],"Check","OK")</f>
        <v>OK</v>
      </c>
    </row>
    <row r="3597" spans="1:24" x14ac:dyDescent="0.3">
      <c r="A3597" t="s">
        <v>359</v>
      </c>
      <c r="B3597" t="s">
        <v>360</v>
      </c>
      <c r="C3597" t="s">
        <v>91</v>
      </c>
      <c r="D3597" t="s">
        <v>92</v>
      </c>
      <c r="E3597" t="s">
        <v>66</v>
      </c>
      <c r="F3597" s="1" t="s">
        <v>48</v>
      </c>
      <c r="G3597" s="2">
        <v>9.8699999999999992</v>
      </c>
      <c r="H3597">
        <v>9.8699999999999992</v>
      </c>
      <c r="I3597">
        <v>10.033204</v>
      </c>
      <c r="J3597">
        <v>13.1</v>
      </c>
      <c r="K3597">
        <v>49</v>
      </c>
      <c r="M3597">
        <v>0</v>
      </c>
      <c r="N3597" s="2">
        <v>103</v>
      </c>
      <c r="O3597">
        <v>1033.42</v>
      </c>
      <c r="P3597">
        <v>11</v>
      </c>
      <c r="Q3597">
        <v>92</v>
      </c>
      <c r="R3597">
        <v>14.23</v>
      </c>
      <c r="S3597">
        <v>11</v>
      </c>
      <c r="T3597">
        <v>22</v>
      </c>
      <c r="U3597" s="2">
        <v>288.2</v>
      </c>
      <c r="V3597">
        <v>0</v>
      </c>
      <c r="W3597" t="s">
        <v>29</v>
      </c>
      <c r="X3597" t="str">
        <f>IF(Table2[[#This Row],[Qty available]]&gt;Table2[[#This Row],[Qty on hand]],"Check","OK")</f>
        <v>OK</v>
      </c>
    </row>
    <row r="3598" spans="1:24" x14ac:dyDescent="0.3">
      <c r="A3598" t="s">
        <v>359</v>
      </c>
      <c r="B3598" t="s">
        <v>360</v>
      </c>
      <c r="C3598" t="s">
        <v>91</v>
      </c>
      <c r="D3598" t="s">
        <v>92</v>
      </c>
      <c r="E3598" t="s">
        <v>66</v>
      </c>
      <c r="F3598" s="1" t="s">
        <v>49</v>
      </c>
      <c r="G3598" s="2">
        <v>10.130000000000001</v>
      </c>
      <c r="H3598">
        <v>10.130000000000001</v>
      </c>
      <c r="I3598">
        <v>10.048954999999999</v>
      </c>
      <c r="J3598">
        <v>13.1</v>
      </c>
      <c r="K3598">
        <v>49</v>
      </c>
      <c r="L3598" s="2">
        <v>62</v>
      </c>
      <c r="M3598">
        <v>20</v>
      </c>
      <c r="N3598" s="2">
        <v>67</v>
      </c>
      <c r="O3598">
        <v>673.28</v>
      </c>
      <c r="P3598">
        <v>4</v>
      </c>
      <c r="Q3598">
        <v>63</v>
      </c>
      <c r="R3598">
        <v>7.53</v>
      </c>
      <c r="S3598">
        <v>4</v>
      </c>
      <c r="T3598">
        <v>56</v>
      </c>
      <c r="U3598" s="2">
        <v>733.6</v>
      </c>
      <c r="V3598">
        <v>0</v>
      </c>
      <c r="W3598" t="s">
        <v>29</v>
      </c>
      <c r="X3598" t="str">
        <f>IF(Table2[[#This Row],[Qty available]]&gt;Table2[[#This Row],[Qty on hand]],"Check","OK")</f>
        <v>OK</v>
      </c>
    </row>
    <row r="3599" spans="1:24" x14ac:dyDescent="0.3">
      <c r="A3599" t="s">
        <v>359</v>
      </c>
      <c r="B3599" t="s">
        <v>360</v>
      </c>
      <c r="C3599" t="s">
        <v>91</v>
      </c>
      <c r="D3599" t="s">
        <v>92</v>
      </c>
      <c r="E3599" t="s">
        <v>66</v>
      </c>
      <c r="F3599" s="1" t="s">
        <v>50</v>
      </c>
      <c r="G3599" s="2">
        <v>10.11</v>
      </c>
      <c r="H3599">
        <v>10.11</v>
      </c>
      <c r="I3599">
        <v>10.075062000000001</v>
      </c>
      <c r="J3599">
        <v>13.1</v>
      </c>
      <c r="K3599">
        <v>49</v>
      </c>
      <c r="L3599" s="2">
        <v>45</v>
      </c>
      <c r="M3599">
        <v>50</v>
      </c>
      <c r="N3599" s="2">
        <v>81</v>
      </c>
      <c r="O3599">
        <v>816.08</v>
      </c>
      <c r="P3599">
        <v>13</v>
      </c>
      <c r="Q3599">
        <v>68</v>
      </c>
      <c r="R3599">
        <v>9.24</v>
      </c>
      <c r="S3599">
        <v>4</v>
      </c>
      <c r="T3599">
        <v>36</v>
      </c>
      <c r="U3599" s="2">
        <v>471.6</v>
      </c>
      <c r="V3599">
        <v>0</v>
      </c>
      <c r="W3599" t="s">
        <v>29</v>
      </c>
      <c r="X3599" t="str">
        <f>IF(Table2[[#This Row],[Qty available]]&gt;Table2[[#This Row],[Qty on hand]],"Check","OK")</f>
        <v>OK</v>
      </c>
    </row>
    <row r="3600" spans="1:24" x14ac:dyDescent="0.3">
      <c r="A3600" t="s">
        <v>359</v>
      </c>
      <c r="B3600" t="s">
        <v>360</v>
      </c>
      <c r="C3600" t="s">
        <v>91</v>
      </c>
      <c r="D3600" t="s">
        <v>92</v>
      </c>
      <c r="E3600" t="s">
        <v>66</v>
      </c>
      <c r="F3600" s="1" t="s">
        <v>51</v>
      </c>
      <c r="G3600" s="2">
        <v>9.9499999999999993</v>
      </c>
      <c r="H3600">
        <v>9.9499999999999993</v>
      </c>
      <c r="I3600">
        <v>10.013332999999999</v>
      </c>
      <c r="J3600">
        <v>13.1</v>
      </c>
      <c r="K3600">
        <v>49</v>
      </c>
      <c r="L3600" s="2">
        <v>43</v>
      </c>
      <c r="M3600">
        <v>79</v>
      </c>
      <c r="N3600" s="2">
        <v>120</v>
      </c>
      <c r="O3600">
        <v>1201.5999999999999</v>
      </c>
      <c r="P3600">
        <v>14</v>
      </c>
      <c r="Q3600">
        <v>106</v>
      </c>
      <c r="R3600">
        <v>11.95</v>
      </c>
      <c r="S3600">
        <v>0</v>
      </c>
      <c r="T3600">
        <v>40</v>
      </c>
      <c r="U3600" s="2">
        <v>524</v>
      </c>
      <c r="V3600">
        <v>0</v>
      </c>
      <c r="W3600" t="s">
        <v>29</v>
      </c>
      <c r="X3600" t="str">
        <f>IF(Table2[[#This Row],[Qty available]]&gt;Table2[[#This Row],[Qty on hand]],"Check","OK")</f>
        <v>OK</v>
      </c>
    </row>
    <row r="3601" spans="1:24" x14ac:dyDescent="0.3">
      <c r="A3601" t="s">
        <v>359</v>
      </c>
      <c r="B3601" t="s">
        <v>360</v>
      </c>
      <c r="C3601" t="s">
        <v>91</v>
      </c>
      <c r="D3601" t="s">
        <v>92</v>
      </c>
      <c r="E3601" t="s">
        <v>66</v>
      </c>
      <c r="F3601" s="1" t="s">
        <v>52</v>
      </c>
      <c r="G3601" s="2">
        <v>10.14</v>
      </c>
      <c r="H3601">
        <v>10.14</v>
      </c>
      <c r="I3601">
        <v>10.013375</v>
      </c>
      <c r="J3601">
        <v>13.1</v>
      </c>
      <c r="K3601">
        <v>49</v>
      </c>
      <c r="M3601">
        <v>0</v>
      </c>
      <c r="N3601" s="2">
        <v>80</v>
      </c>
      <c r="O3601">
        <v>801.07</v>
      </c>
      <c r="P3601">
        <v>11</v>
      </c>
      <c r="Q3601">
        <v>69</v>
      </c>
      <c r="R3601">
        <v>9.06</v>
      </c>
      <c r="S3601">
        <v>0</v>
      </c>
      <c r="T3601">
        <v>40</v>
      </c>
      <c r="U3601" s="2">
        <v>524</v>
      </c>
      <c r="V3601">
        <v>0</v>
      </c>
      <c r="W3601" t="s">
        <v>29</v>
      </c>
      <c r="X3601" t="str">
        <f>IF(Table2[[#This Row],[Qty available]]&gt;Table2[[#This Row],[Qty on hand]],"Check","OK")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559D-975D-4161-AE55-763F8A4BC803}">
  <dimension ref="A3:B6"/>
  <sheetViews>
    <sheetView topLeftCell="B1"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23" bestFit="1" customWidth="1"/>
  </cols>
  <sheetData>
    <row r="3" spans="1:2" x14ac:dyDescent="0.3">
      <c r="A3" s="9" t="s">
        <v>371</v>
      </c>
      <c r="B3" t="s">
        <v>373</v>
      </c>
    </row>
    <row r="4" spans="1:2" x14ac:dyDescent="0.3">
      <c r="A4" s="10" t="s">
        <v>29</v>
      </c>
      <c r="B4">
        <v>3486</v>
      </c>
    </row>
    <row r="5" spans="1:2" x14ac:dyDescent="0.3">
      <c r="A5" s="10" t="s">
        <v>59</v>
      </c>
      <c r="B5">
        <v>114</v>
      </c>
    </row>
    <row r="6" spans="1:2" x14ac:dyDescent="0.3">
      <c r="A6" s="10" t="s">
        <v>372</v>
      </c>
      <c r="B6">
        <v>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E16B-EB22-4DDA-A7B5-74C97335F0B2}">
  <dimension ref="A3:B9"/>
  <sheetViews>
    <sheetView workbookViewId="0">
      <selection activeCell="B4" sqref="B4"/>
    </sheetView>
  </sheetViews>
  <sheetFormatPr defaultRowHeight="14.4" x14ac:dyDescent="0.3"/>
  <cols>
    <col min="1" max="1" width="16.88671875" bestFit="1" customWidth="1"/>
    <col min="2" max="2" width="14.109375" bestFit="1" customWidth="1"/>
  </cols>
  <sheetData>
    <row r="3" spans="1:2" x14ac:dyDescent="0.3">
      <c r="A3" s="9" t="s">
        <v>371</v>
      </c>
      <c r="B3" t="s">
        <v>374</v>
      </c>
    </row>
    <row r="4" spans="1:2" x14ac:dyDescent="0.3">
      <c r="A4" s="10" t="s">
        <v>25</v>
      </c>
      <c r="B4" s="2">
        <v>5253716.7200000025</v>
      </c>
    </row>
    <row r="5" spans="1:2" x14ac:dyDescent="0.3">
      <c r="A5" s="10" t="s">
        <v>77</v>
      </c>
      <c r="B5" s="2">
        <v>4601753.6000000006</v>
      </c>
    </row>
    <row r="6" spans="1:2" x14ac:dyDescent="0.3">
      <c r="A6" s="10" t="s">
        <v>69</v>
      </c>
      <c r="B6" s="2">
        <v>4548349.09</v>
      </c>
    </row>
    <row r="7" spans="1:2" x14ac:dyDescent="0.3">
      <c r="A7" s="10" t="s">
        <v>57</v>
      </c>
      <c r="B7" s="2">
        <v>6138005.5599999912</v>
      </c>
    </row>
    <row r="8" spans="1:2" x14ac:dyDescent="0.3">
      <c r="A8" s="10" t="s">
        <v>91</v>
      </c>
      <c r="B8" s="2">
        <v>3224943.44</v>
      </c>
    </row>
    <row r="9" spans="1:2" x14ac:dyDescent="0.3">
      <c r="A9" s="10" t="s">
        <v>372</v>
      </c>
      <c r="B9" s="2">
        <v>23766768.409999996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5ED0-9102-45F4-8108-920019A4ED66}">
  <dimension ref="A3:B9"/>
  <sheetViews>
    <sheetView workbookViewId="0">
      <selection activeCell="B8" sqref="B8"/>
    </sheetView>
  </sheetViews>
  <sheetFormatPr defaultRowHeight="14.4" x14ac:dyDescent="0.3"/>
  <cols>
    <col min="1" max="1" width="15.5546875" bestFit="1" customWidth="1"/>
    <col min="2" max="2" width="28.21875" bestFit="1" customWidth="1"/>
  </cols>
  <sheetData>
    <row r="3" spans="1:2" x14ac:dyDescent="0.3">
      <c r="A3" s="9" t="s">
        <v>371</v>
      </c>
      <c r="B3" t="s">
        <v>375</v>
      </c>
    </row>
    <row r="4" spans="1:2" x14ac:dyDescent="0.3">
      <c r="A4" s="10" t="s">
        <v>26</v>
      </c>
      <c r="B4">
        <v>37.140529531568227</v>
      </c>
    </row>
    <row r="5" spans="1:2" x14ac:dyDescent="0.3">
      <c r="A5" s="10" t="s">
        <v>70</v>
      </c>
      <c r="B5">
        <v>40.770270270270274</v>
      </c>
    </row>
    <row r="6" spans="1:2" x14ac:dyDescent="0.3">
      <c r="A6" s="10" t="s">
        <v>78</v>
      </c>
      <c r="B6">
        <v>38.564236111111114</v>
      </c>
    </row>
    <row r="7" spans="1:2" x14ac:dyDescent="0.3">
      <c r="A7" s="10" t="s">
        <v>92</v>
      </c>
      <c r="B7">
        <v>33.553921568627452</v>
      </c>
    </row>
    <row r="8" spans="1:2" x14ac:dyDescent="0.3">
      <c r="A8" s="10" t="s">
        <v>58</v>
      </c>
      <c r="B8">
        <v>35.343173431734314</v>
      </c>
    </row>
    <row r="9" spans="1:2" x14ac:dyDescent="0.3">
      <c r="A9" s="10" t="s">
        <v>372</v>
      </c>
      <c r="B9">
        <v>37.138155221454696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614-99DF-43C9-B7DB-70B3C6501FAC}">
  <dimension ref="A3:B6"/>
  <sheetViews>
    <sheetView workbookViewId="0">
      <selection activeCell="J18" sqref="J18"/>
    </sheetView>
  </sheetViews>
  <sheetFormatPr defaultRowHeight="14.4" x14ac:dyDescent="0.3"/>
  <cols>
    <col min="1" max="1" width="14.88671875" bestFit="1" customWidth="1"/>
    <col min="2" max="2" width="16.6640625" bestFit="1" customWidth="1"/>
  </cols>
  <sheetData>
    <row r="3" spans="1:2" x14ac:dyDescent="0.3">
      <c r="A3" s="9" t="s">
        <v>371</v>
      </c>
      <c r="B3" t="s">
        <v>376</v>
      </c>
    </row>
    <row r="4" spans="1:2" x14ac:dyDescent="0.3">
      <c r="A4" s="10" t="s">
        <v>27</v>
      </c>
      <c r="B4">
        <v>14262357.369999994</v>
      </c>
    </row>
    <row r="5" spans="1:2" x14ac:dyDescent="0.3">
      <c r="A5" s="10" t="s">
        <v>66</v>
      </c>
      <c r="B5">
        <v>23847966.089999966</v>
      </c>
    </row>
    <row r="6" spans="1:2" x14ac:dyDescent="0.3">
      <c r="A6" s="10" t="s">
        <v>372</v>
      </c>
      <c r="B6">
        <v>38110323.459999964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DBEB-F915-447D-855B-2A74A8946B4E}">
  <dimension ref="A3:B9"/>
  <sheetViews>
    <sheetView workbookViewId="0">
      <selection activeCell="B9" sqref="A3:B9"/>
    </sheetView>
  </sheetViews>
  <sheetFormatPr defaultRowHeight="14.4" x14ac:dyDescent="0.3"/>
  <cols>
    <col min="1" max="1" width="16.88671875" bestFit="1" customWidth="1"/>
    <col min="2" max="2" width="28.88671875" bestFit="1" customWidth="1"/>
  </cols>
  <sheetData>
    <row r="3" spans="1:2" x14ac:dyDescent="0.3">
      <c r="A3" s="9" t="s">
        <v>371</v>
      </c>
      <c r="B3" t="s">
        <v>377</v>
      </c>
    </row>
    <row r="4" spans="1:2" x14ac:dyDescent="0.3">
      <c r="A4" s="10" t="s">
        <v>25</v>
      </c>
      <c r="B4" s="14">
        <v>3501</v>
      </c>
    </row>
    <row r="5" spans="1:2" x14ac:dyDescent="0.3">
      <c r="A5" s="10" t="s">
        <v>77</v>
      </c>
      <c r="B5" s="14">
        <v>3335</v>
      </c>
    </row>
    <row r="6" spans="1:2" x14ac:dyDescent="0.3">
      <c r="A6" s="10" t="s">
        <v>69</v>
      </c>
      <c r="B6" s="14">
        <v>4939</v>
      </c>
    </row>
    <row r="7" spans="1:2" x14ac:dyDescent="0.3">
      <c r="A7" s="10" t="s">
        <v>57</v>
      </c>
      <c r="B7" s="14">
        <v>2901</v>
      </c>
    </row>
    <row r="8" spans="1:2" x14ac:dyDescent="0.3">
      <c r="A8" s="10" t="s">
        <v>91</v>
      </c>
      <c r="B8" s="14">
        <v>1258</v>
      </c>
    </row>
    <row r="9" spans="1:2" x14ac:dyDescent="0.3">
      <c r="A9" s="10" t="s">
        <v>372</v>
      </c>
      <c r="B9" s="14">
        <v>15934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38F4-F090-4375-88C1-955708318BB9}">
  <dimension ref="A3:D10"/>
  <sheetViews>
    <sheetView workbookViewId="0">
      <selection activeCell="B7" sqref="B7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15" bestFit="1" customWidth="1"/>
    <col min="4" max="4" width="10.5546875" bestFit="1" customWidth="1"/>
  </cols>
  <sheetData>
    <row r="3" spans="1:4" x14ac:dyDescent="0.3">
      <c r="A3" s="9" t="s">
        <v>378</v>
      </c>
      <c r="B3" s="9" t="s">
        <v>379</v>
      </c>
    </row>
    <row r="4" spans="1:4" x14ac:dyDescent="0.3">
      <c r="A4" s="9" t="s">
        <v>371</v>
      </c>
      <c r="B4" t="s">
        <v>27</v>
      </c>
      <c r="C4" t="s">
        <v>66</v>
      </c>
      <c r="D4" t="s">
        <v>372</v>
      </c>
    </row>
    <row r="5" spans="1:4" x14ac:dyDescent="0.3">
      <c r="A5" s="10" t="s">
        <v>25</v>
      </c>
      <c r="B5" s="2">
        <v>178259</v>
      </c>
      <c r="C5" s="2">
        <v>197933</v>
      </c>
      <c r="D5" s="2">
        <v>376192</v>
      </c>
    </row>
    <row r="6" spans="1:4" x14ac:dyDescent="0.3">
      <c r="A6" s="10" t="s">
        <v>77</v>
      </c>
      <c r="B6" s="2">
        <v>190306</v>
      </c>
      <c r="C6" s="2">
        <v>327267</v>
      </c>
      <c r="D6" s="2">
        <v>517573</v>
      </c>
    </row>
    <row r="7" spans="1:4" x14ac:dyDescent="0.3">
      <c r="A7" s="10" t="s">
        <v>69</v>
      </c>
      <c r="B7" s="2">
        <v>88765</v>
      </c>
      <c r="C7" s="2">
        <v>252765</v>
      </c>
      <c r="D7" s="2">
        <v>341530</v>
      </c>
    </row>
    <row r="8" spans="1:4" x14ac:dyDescent="0.3">
      <c r="A8" s="10" t="s">
        <v>57</v>
      </c>
      <c r="B8" s="2">
        <v>147809</v>
      </c>
      <c r="C8" s="2">
        <v>187281</v>
      </c>
      <c r="D8" s="2">
        <v>335090</v>
      </c>
    </row>
    <row r="9" spans="1:4" x14ac:dyDescent="0.3">
      <c r="A9" s="10" t="s">
        <v>91</v>
      </c>
      <c r="B9" s="2">
        <v>43945</v>
      </c>
      <c r="C9" s="2">
        <v>218503</v>
      </c>
      <c r="D9" s="2">
        <v>262448</v>
      </c>
    </row>
    <row r="10" spans="1:4" x14ac:dyDescent="0.3">
      <c r="A10" s="10" t="s">
        <v>372</v>
      </c>
      <c r="B10" s="2">
        <v>649084</v>
      </c>
      <c r="C10" s="2">
        <v>1183749</v>
      </c>
      <c r="D10" s="2">
        <v>1832833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items_and_stock</vt:lpstr>
      <vt:lpstr>Stockout Status Distrirbution</vt:lpstr>
      <vt:lpstr>Revenue bu category</vt:lpstr>
      <vt:lpstr>Average Lead Time by Supplier</vt:lpstr>
      <vt:lpstr>Stock Value by Warehouse</vt:lpstr>
      <vt:lpstr>Lost Sales Units by Category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pranali47@outlook.com</cp:lastModifiedBy>
  <dcterms:created xsi:type="dcterms:W3CDTF">2026-10-28T06:05:01Z</dcterms:created>
  <dcterms:modified xsi:type="dcterms:W3CDTF">2026-10-28T14:23:32Z</dcterms:modified>
</cp:coreProperties>
</file>